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dogan/Documents/github/Update-CALVIN-data/data_sources_documentation/CALVIN_Updated_Hydrology/"/>
    </mc:Choice>
  </mc:AlternateContent>
  <xr:revisionPtr revIDLastSave="0" documentId="13_ncr:1_{87F0556D-FDE9-9449-B9F1-E468A99755E8}" xr6:coauthVersionLast="46" xr6:coauthVersionMax="46" xr10:uidLastSave="{00000000-0000-0000-0000-000000000000}"/>
  <bookViews>
    <workbookView xWindow="11780" yWindow="500" windowWidth="26180" windowHeight="19680" activeTab="4" xr2:uid="{6A55084D-C91C-FC43-AB17-12CEB4D89535}"/>
  </bookViews>
  <sheets>
    <sheet name="plots" sheetId="5" r:id="rId1"/>
    <sheet name="existing_gw_inflows_1921-2003" sheetId="1" r:id="rId2"/>
    <sheet name="extended_recharge_2003-2015" sheetId="2" r:id="rId3"/>
    <sheet name="Updated_gw_inflows_1921-2015" sheetId="6" r:id="rId4"/>
    <sheet name="initial_ending_storage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" i="7"/>
  <c r="F3" i="7"/>
  <c r="D4" i="7"/>
  <c r="D5" i="7"/>
  <c r="D6" i="7"/>
  <c r="F6" i="7" s="1"/>
  <c r="D7" i="7"/>
  <c r="D8" i="7"/>
  <c r="D9" i="7"/>
  <c r="D10" i="7"/>
  <c r="F10" i="7" s="1"/>
  <c r="D11" i="7"/>
  <c r="D12" i="7"/>
  <c r="D13" i="7"/>
  <c r="D14" i="7"/>
  <c r="F14" i="7" s="1"/>
  <c r="D15" i="7"/>
  <c r="D16" i="7"/>
  <c r="D17" i="7"/>
  <c r="D18" i="7"/>
  <c r="F18" i="7" s="1"/>
  <c r="D19" i="7"/>
  <c r="D20" i="7"/>
  <c r="D21" i="7"/>
  <c r="D22" i="7"/>
  <c r="F22" i="7" s="1"/>
  <c r="D23" i="7"/>
  <c r="D24" i="7"/>
  <c r="D25" i="7"/>
  <c r="D26" i="7"/>
  <c r="D27" i="7"/>
  <c r="D28" i="7"/>
  <c r="D29" i="7"/>
  <c r="D30" i="7"/>
  <c r="D31" i="7"/>
  <c r="D32" i="7"/>
  <c r="D33" i="7"/>
  <c r="D34" i="7"/>
  <c r="D3" i="7"/>
  <c r="F4" i="7"/>
  <c r="F7" i="7"/>
  <c r="F8" i="7"/>
  <c r="F9" i="7"/>
  <c r="F11" i="7"/>
  <c r="F12" i="7"/>
  <c r="F13" i="7"/>
  <c r="F15" i="7"/>
  <c r="F16" i="7"/>
  <c r="F17" i="7"/>
  <c r="F19" i="7"/>
  <c r="F20" i="7"/>
  <c r="F21" i="7"/>
  <c r="F23" i="7"/>
  <c r="F5" i="7"/>
  <c r="F25" i="7"/>
  <c r="F26" i="7"/>
  <c r="F27" i="7"/>
  <c r="F28" i="7"/>
  <c r="F29" i="7"/>
  <c r="F30" i="7"/>
  <c r="F31" i="7"/>
  <c r="F32" i="7"/>
  <c r="F33" i="7"/>
  <c r="F34" i="7"/>
  <c r="F24" i="7"/>
  <c r="E35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" i="7"/>
  <c r="D35" i="7"/>
  <c r="C35" i="7"/>
  <c r="B35" i="7"/>
  <c r="W867" i="6"/>
  <c r="X867" i="6"/>
  <c r="Y867" i="6"/>
  <c r="Z867" i="6"/>
  <c r="AA867" i="6"/>
  <c r="AB867" i="6"/>
  <c r="AC867" i="6"/>
  <c r="AD867" i="6"/>
  <c r="AE867" i="6"/>
  <c r="AF867" i="6"/>
  <c r="AG867" i="6"/>
  <c r="W868" i="6"/>
  <c r="X868" i="6"/>
  <c r="Y868" i="6"/>
  <c r="Z868" i="6"/>
  <c r="AA868" i="6"/>
  <c r="AB868" i="6"/>
  <c r="AC868" i="6"/>
  <c r="AD868" i="6"/>
  <c r="AE868" i="6"/>
  <c r="AF868" i="6"/>
  <c r="AG868" i="6"/>
  <c r="W869" i="6"/>
  <c r="X869" i="6"/>
  <c r="Y869" i="6"/>
  <c r="Z869" i="6"/>
  <c r="AA869" i="6"/>
  <c r="AB869" i="6"/>
  <c r="AC869" i="6"/>
  <c r="AD869" i="6"/>
  <c r="AE869" i="6"/>
  <c r="AF869" i="6"/>
  <c r="AG869" i="6"/>
  <c r="W870" i="6"/>
  <c r="X870" i="6"/>
  <c r="Y870" i="6"/>
  <c r="Z870" i="6"/>
  <c r="AA870" i="6"/>
  <c r="AB870" i="6"/>
  <c r="AC870" i="6"/>
  <c r="AD870" i="6"/>
  <c r="AE870" i="6"/>
  <c r="AF870" i="6"/>
  <c r="AG870" i="6"/>
  <c r="W871" i="6"/>
  <c r="X871" i="6"/>
  <c r="Y871" i="6"/>
  <c r="Z871" i="6"/>
  <c r="AA871" i="6"/>
  <c r="AB871" i="6"/>
  <c r="AC871" i="6"/>
  <c r="AD871" i="6"/>
  <c r="AE871" i="6"/>
  <c r="AF871" i="6"/>
  <c r="AG871" i="6"/>
  <c r="W872" i="6"/>
  <c r="X872" i="6"/>
  <c r="Y872" i="6"/>
  <c r="Z872" i="6"/>
  <c r="AA872" i="6"/>
  <c r="AB872" i="6"/>
  <c r="AC872" i="6"/>
  <c r="AD872" i="6"/>
  <c r="AE872" i="6"/>
  <c r="AF872" i="6"/>
  <c r="AG872" i="6"/>
  <c r="W873" i="6"/>
  <c r="X873" i="6"/>
  <c r="Y873" i="6"/>
  <c r="Z873" i="6"/>
  <c r="AA873" i="6"/>
  <c r="AB873" i="6"/>
  <c r="AC873" i="6"/>
  <c r="AD873" i="6"/>
  <c r="AE873" i="6"/>
  <c r="AF873" i="6"/>
  <c r="AG873" i="6"/>
  <c r="W874" i="6"/>
  <c r="X874" i="6"/>
  <c r="Y874" i="6"/>
  <c r="Z874" i="6"/>
  <c r="AA874" i="6"/>
  <c r="AB874" i="6"/>
  <c r="AC874" i="6"/>
  <c r="AD874" i="6"/>
  <c r="AE874" i="6"/>
  <c r="AF874" i="6"/>
  <c r="AG874" i="6"/>
  <c r="W875" i="6"/>
  <c r="X875" i="6"/>
  <c r="Y875" i="6"/>
  <c r="Z875" i="6"/>
  <c r="AA875" i="6"/>
  <c r="AB875" i="6"/>
  <c r="AC875" i="6"/>
  <c r="AD875" i="6"/>
  <c r="AE875" i="6"/>
  <c r="AF875" i="6"/>
  <c r="AG875" i="6"/>
  <c r="W876" i="6"/>
  <c r="X876" i="6"/>
  <c r="Y876" i="6"/>
  <c r="Z876" i="6"/>
  <c r="AA876" i="6"/>
  <c r="AB876" i="6"/>
  <c r="AC876" i="6"/>
  <c r="AD876" i="6"/>
  <c r="AE876" i="6"/>
  <c r="AF876" i="6"/>
  <c r="AG876" i="6"/>
  <c r="W877" i="6"/>
  <c r="X877" i="6"/>
  <c r="Y877" i="6"/>
  <c r="Z877" i="6"/>
  <c r="AA877" i="6"/>
  <c r="AB877" i="6"/>
  <c r="AC877" i="6"/>
  <c r="AD877" i="6"/>
  <c r="AE877" i="6"/>
  <c r="AF877" i="6"/>
  <c r="AG877" i="6"/>
  <c r="W878" i="6"/>
  <c r="X878" i="6"/>
  <c r="Y878" i="6"/>
  <c r="Z878" i="6"/>
  <c r="AA878" i="6"/>
  <c r="AB878" i="6"/>
  <c r="AC878" i="6"/>
  <c r="AD878" i="6"/>
  <c r="AE878" i="6"/>
  <c r="AF878" i="6"/>
  <c r="AG878" i="6"/>
  <c r="W879" i="6"/>
  <c r="X879" i="6"/>
  <c r="Y879" i="6"/>
  <c r="Z879" i="6"/>
  <c r="AA879" i="6"/>
  <c r="AB879" i="6"/>
  <c r="AC879" i="6"/>
  <c r="AD879" i="6"/>
  <c r="AE879" i="6"/>
  <c r="AF879" i="6"/>
  <c r="AG879" i="6"/>
  <c r="W880" i="6"/>
  <c r="X880" i="6"/>
  <c r="Y880" i="6"/>
  <c r="Z880" i="6"/>
  <c r="AA880" i="6"/>
  <c r="AB880" i="6"/>
  <c r="AC880" i="6"/>
  <c r="AD880" i="6"/>
  <c r="AE880" i="6"/>
  <c r="AF880" i="6"/>
  <c r="AG880" i="6"/>
  <c r="W881" i="6"/>
  <c r="X881" i="6"/>
  <c r="Y881" i="6"/>
  <c r="Z881" i="6"/>
  <c r="AA881" i="6"/>
  <c r="AB881" i="6"/>
  <c r="AC881" i="6"/>
  <c r="AD881" i="6"/>
  <c r="AE881" i="6"/>
  <c r="AF881" i="6"/>
  <c r="AG881" i="6"/>
  <c r="W882" i="6"/>
  <c r="X882" i="6"/>
  <c r="Y882" i="6"/>
  <c r="Z882" i="6"/>
  <c r="AA882" i="6"/>
  <c r="AB882" i="6"/>
  <c r="AC882" i="6"/>
  <c r="AD882" i="6"/>
  <c r="AE882" i="6"/>
  <c r="AF882" i="6"/>
  <c r="AG882" i="6"/>
  <c r="W883" i="6"/>
  <c r="X883" i="6"/>
  <c r="Y883" i="6"/>
  <c r="Z883" i="6"/>
  <c r="AA883" i="6"/>
  <c r="AB883" i="6"/>
  <c r="AC883" i="6"/>
  <c r="AD883" i="6"/>
  <c r="AE883" i="6"/>
  <c r="AF883" i="6"/>
  <c r="AG883" i="6"/>
  <c r="W884" i="6"/>
  <c r="X884" i="6"/>
  <c r="Y884" i="6"/>
  <c r="Z884" i="6"/>
  <c r="AA884" i="6"/>
  <c r="AB884" i="6"/>
  <c r="AC884" i="6"/>
  <c r="AD884" i="6"/>
  <c r="AE884" i="6"/>
  <c r="AF884" i="6"/>
  <c r="AG884" i="6"/>
  <c r="W885" i="6"/>
  <c r="X885" i="6"/>
  <c r="Y885" i="6"/>
  <c r="Z885" i="6"/>
  <c r="AA885" i="6"/>
  <c r="AB885" i="6"/>
  <c r="AC885" i="6"/>
  <c r="AD885" i="6"/>
  <c r="AE885" i="6"/>
  <c r="AF885" i="6"/>
  <c r="AG885" i="6"/>
  <c r="W886" i="6"/>
  <c r="X886" i="6"/>
  <c r="Y886" i="6"/>
  <c r="Z886" i="6"/>
  <c r="AA886" i="6"/>
  <c r="AB886" i="6"/>
  <c r="AC886" i="6"/>
  <c r="AD886" i="6"/>
  <c r="AE886" i="6"/>
  <c r="AF886" i="6"/>
  <c r="AG886" i="6"/>
  <c r="W887" i="6"/>
  <c r="X887" i="6"/>
  <c r="Y887" i="6"/>
  <c r="Z887" i="6"/>
  <c r="AA887" i="6"/>
  <c r="AB887" i="6"/>
  <c r="AC887" i="6"/>
  <c r="AD887" i="6"/>
  <c r="AE887" i="6"/>
  <c r="AF887" i="6"/>
  <c r="AG887" i="6"/>
  <c r="W888" i="6"/>
  <c r="X888" i="6"/>
  <c r="Y888" i="6"/>
  <c r="Z888" i="6"/>
  <c r="AA888" i="6"/>
  <c r="AB888" i="6"/>
  <c r="AC888" i="6"/>
  <c r="AD888" i="6"/>
  <c r="AE888" i="6"/>
  <c r="AF888" i="6"/>
  <c r="AG888" i="6"/>
  <c r="W889" i="6"/>
  <c r="X889" i="6"/>
  <c r="Y889" i="6"/>
  <c r="Z889" i="6"/>
  <c r="AA889" i="6"/>
  <c r="AB889" i="6"/>
  <c r="AC889" i="6"/>
  <c r="AD889" i="6"/>
  <c r="AE889" i="6"/>
  <c r="AF889" i="6"/>
  <c r="AG889" i="6"/>
  <c r="W890" i="6"/>
  <c r="X890" i="6"/>
  <c r="Y890" i="6"/>
  <c r="Z890" i="6"/>
  <c r="AA890" i="6"/>
  <c r="AB890" i="6"/>
  <c r="AC890" i="6"/>
  <c r="AD890" i="6"/>
  <c r="AE890" i="6"/>
  <c r="AF890" i="6"/>
  <c r="AG890" i="6"/>
  <c r="W891" i="6"/>
  <c r="X891" i="6"/>
  <c r="Y891" i="6"/>
  <c r="Z891" i="6"/>
  <c r="AA891" i="6"/>
  <c r="AB891" i="6"/>
  <c r="AC891" i="6"/>
  <c r="AD891" i="6"/>
  <c r="AE891" i="6"/>
  <c r="AF891" i="6"/>
  <c r="AG891" i="6"/>
  <c r="W892" i="6"/>
  <c r="X892" i="6"/>
  <c r="Y892" i="6"/>
  <c r="Z892" i="6"/>
  <c r="AA892" i="6"/>
  <c r="AB892" i="6"/>
  <c r="AC892" i="6"/>
  <c r="AD892" i="6"/>
  <c r="AE892" i="6"/>
  <c r="AF892" i="6"/>
  <c r="AG892" i="6"/>
  <c r="W893" i="6"/>
  <c r="X893" i="6"/>
  <c r="Y893" i="6"/>
  <c r="Z893" i="6"/>
  <c r="AA893" i="6"/>
  <c r="AB893" i="6"/>
  <c r="AC893" i="6"/>
  <c r="AD893" i="6"/>
  <c r="AE893" i="6"/>
  <c r="AF893" i="6"/>
  <c r="AG893" i="6"/>
  <c r="W894" i="6"/>
  <c r="X894" i="6"/>
  <c r="Y894" i="6"/>
  <c r="Z894" i="6"/>
  <c r="AA894" i="6"/>
  <c r="AB894" i="6"/>
  <c r="AC894" i="6"/>
  <c r="AD894" i="6"/>
  <c r="AE894" i="6"/>
  <c r="AF894" i="6"/>
  <c r="AG894" i="6"/>
  <c r="W895" i="6"/>
  <c r="X895" i="6"/>
  <c r="Y895" i="6"/>
  <c r="Z895" i="6"/>
  <c r="AA895" i="6"/>
  <c r="AB895" i="6"/>
  <c r="AC895" i="6"/>
  <c r="AD895" i="6"/>
  <c r="AE895" i="6"/>
  <c r="AF895" i="6"/>
  <c r="AG895" i="6"/>
  <c r="W896" i="6"/>
  <c r="X896" i="6"/>
  <c r="Y896" i="6"/>
  <c r="Z896" i="6"/>
  <c r="AA896" i="6"/>
  <c r="AB896" i="6"/>
  <c r="AC896" i="6"/>
  <c r="AD896" i="6"/>
  <c r="AE896" i="6"/>
  <c r="AF896" i="6"/>
  <c r="AG896" i="6"/>
  <c r="W897" i="6"/>
  <c r="X897" i="6"/>
  <c r="Y897" i="6"/>
  <c r="Z897" i="6"/>
  <c r="AA897" i="6"/>
  <c r="AB897" i="6"/>
  <c r="AC897" i="6"/>
  <c r="AD897" i="6"/>
  <c r="AE897" i="6"/>
  <c r="AF897" i="6"/>
  <c r="AG897" i="6"/>
  <c r="W898" i="6"/>
  <c r="X898" i="6"/>
  <c r="Y898" i="6"/>
  <c r="Z898" i="6"/>
  <c r="AA898" i="6"/>
  <c r="AB898" i="6"/>
  <c r="AC898" i="6"/>
  <c r="AD898" i="6"/>
  <c r="AE898" i="6"/>
  <c r="AF898" i="6"/>
  <c r="AG898" i="6"/>
  <c r="W899" i="6"/>
  <c r="X899" i="6"/>
  <c r="Y899" i="6"/>
  <c r="Z899" i="6"/>
  <c r="AA899" i="6"/>
  <c r="AB899" i="6"/>
  <c r="AC899" i="6"/>
  <c r="AD899" i="6"/>
  <c r="AE899" i="6"/>
  <c r="AF899" i="6"/>
  <c r="AG899" i="6"/>
  <c r="W900" i="6"/>
  <c r="X900" i="6"/>
  <c r="Y900" i="6"/>
  <c r="Z900" i="6"/>
  <c r="AA900" i="6"/>
  <c r="AB900" i="6"/>
  <c r="AC900" i="6"/>
  <c r="AD900" i="6"/>
  <c r="AE900" i="6"/>
  <c r="AF900" i="6"/>
  <c r="AG900" i="6"/>
  <c r="W901" i="6"/>
  <c r="X901" i="6"/>
  <c r="Y901" i="6"/>
  <c r="Z901" i="6"/>
  <c r="AA901" i="6"/>
  <c r="AB901" i="6"/>
  <c r="AC901" i="6"/>
  <c r="AD901" i="6"/>
  <c r="AE901" i="6"/>
  <c r="AF901" i="6"/>
  <c r="AG901" i="6"/>
  <c r="W902" i="6"/>
  <c r="X902" i="6"/>
  <c r="Y902" i="6"/>
  <c r="Z902" i="6"/>
  <c r="AA902" i="6"/>
  <c r="AB902" i="6"/>
  <c r="AC902" i="6"/>
  <c r="AD902" i="6"/>
  <c r="AE902" i="6"/>
  <c r="AF902" i="6"/>
  <c r="AG902" i="6"/>
  <c r="W903" i="6"/>
  <c r="X903" i="6"/>
  <c r="Y903" i="6"/>
  <c r="Z903" i="6"/>
  <c r="AA903" i="6"/>
  <c r="AB903" i="6"/>
  <c r="AC903" i="6"/>
  <c r="AD903" i="6"/>
  <c r="AE903" i="6"/>
  <c r="AF903" i="6"/>
  <c r="AG903" i="6"/>
  <c r="W904" i="6"/>
  <c r="X904" i="6"/>
  <c r="Y904" i="6"/>
  <c r="Z904" i="6"/>
  <c r="AA904" i="6"/>
  <c r="AB904" i="6"/>
  <c r="AC904" i="6"/>
  <c r="AD904" i="6"/>
  <c r="AE904" i="6"/>
  <c r="AF904" i="6"/>
  <c r="AG904" i="6"/>
  <c r="W905" i="6"/>
  <c r="X905" i="6"/>
  <c r="Y905" i="6"/>
  <c r="Z905" i="6"/>
  <c r="AA905" i="6"/>
  <c r="AB905" i="6"/>
  <c r="AC905" i="6"/>
  <c r="AD905" i="6"/>
  <c r="AE905" i="6"/>
  <c r="AF905" i="6"/>
  <c r="AG905" i="6"/>
  <c r="W906" i="6"/>
  <c r="X906" i="6"/>
  <c r="Y906" i="6"/>
  <c r="Z906" i="6"/>
  <c r="AA906" i="6"/>
  <c r="AB906" i="6"/>
  <c r="AC906" i="6"/>
  <c r="AD906" i="6"/>
  <c r="AE906" i="6"/>
  <c r="AF906" i="6"/>
  <c r="AG906" i="6"/>
  <c r="W907" i="6"/>
  <c r="X907" i="6"/>
  <c r="Y907" i="6"/>
  <c r="Z907" i="6"/>
  <c r="AA907" i="6"/>
  <c r="AB907" i="6"/>
  <c r="AC907" i="6"/>
  <c r="AD907" i="6"/>
  <c r="AE907" i="6"/>
  <c r="AF907" i="6"/>
  <c r="AG907" i="6"/>
  <c r="W908" i="6"/>
  <c r="X908" i="6"/>
  <c r="Y908" i="6"/>
  <c r="Z908" i="6"/>
  <c r="AA908" i="6"/>
  <c r="AB908" i="6"/>
  <c r="AC908" i="6"/>
  <c r="AD908" i="6"/>
  <c r="AE908" i="6"/>
  <c r="AF908" i="6"/>
  <c r="AG908" i="6"/>
  <c r="W909" i="6"/>
  <c r="X909" i="6"/>
  <c r="Y909" i="6"/>
  <c r="Z909" i="6"/>
  <c r="AA909" i="6"/>
  <c r="AB909" i="6"/>
  <c r="AC909" i="6"/>
  <c r="AD909" i="6"/>
  <c r="AE909" i="6"/>
  <c r="AF909" i="6"/>
  <c r="AG909" i="6"/>
  <c r="W910" i="6"/>
  <c r="X910" i="6"/>
  <c r="Y910" i="6"/>
  <c r="Z910" i="6"/>
  <c r="AA910" i="6"/>
  <c r="AB910" i="6"/>
  <c r="AC910" i="6"/>
  <c r="AD910" i="6"/>
  <c r="AE910" i="6"/>
  <c r="AF910" i="6"/>
  <c r="AG910" i="6"/>
  <c r="W911" i="6"/>
  <c r="X911" i="6"/>
  <c r="Y911" i="6"/>
  <c r="Z911" i="6"/>
  <c r="AA911" i="6"/>
  <c r="AB911" i="6"/>
  <c r="AC911" i="6"/>
  <c r="AD911" i="6"/>
  <c r="AE911" i="6"/>
  <c r="AF911" i="6"/>
  <c r="AG911" i="6"/>
  <c r="W912" i="6"/>
  <c r="X912" i="6"/>
  <c r="Y912" i="6"/>
  <c r="Z912" i="6"/>
  <c r="AA912" i="6"/>
  <c r="AB912" i="6"/>
  <c r="AC912" i="6"/>
  <c r="AD912" i="6"/>
  <c r="AE912" i="6"/>
  <c r="AF912" i="6"/>
  <c r="AG912" i="6"/>
  <c r="W913" i="6"/>
  <c r="X913" i="6"/>
  <c r="Y913" i="6"/>
  <c r="Z913" i="6"/>
  <c r="AA913" i="6"/>
  <c r="AB913" i="6"/>
  <c r="AC913" i="6"/>
  <c r="AD913" i="6"/>
  <c r="AE913" i="6"/>
  <c r="AF913" i="6"/>
  <c r="AG913" i="6"/>
  <c r="W914" i="6"/>
  <c r="X914" i="6"/>
  <c r="Y914" i="6"/>
  <c r="Z914" i="6"/>
  <c r="AA914" i="6"/>
  <c r="AB914" i="6"/>
  <c r="AC914" i="6"/>
  <c r="AD914" i="6"/>
  <c r="AE914" i="6"/>
  <c r="AF914" i="6"/>
  <c r="AG914" i="6"/>
  <c r="W915" i="6"/>
  <c r="X915" i="6"/>
  <c r="Y915" i="6"/>
  <c r="Z915" i="6"/>
  <c r="AA915" i="6"/>
  <c r="AB915" i="6"/>
  <c r="AC915" i="6"/>
  <c r="AD915" i="6"/>
  <c r="AE915" i="6"/>
  <c r="AF915" i="6"/>
  <c r="AG915" i="6"/>
  <c r="W916" i="6"/>
  <c r="X916" i="6"/>
  <c r="Y916" i="6"/>
  <c r="Z916" i="6"/>
  <c r="AA916" i="6"/>
  <c r="AB916" i="6"/>
  <c r="AC916" i="6"/>
  <c r="AD916" i="6"/>
  <c r="AE916" i="6"/>
  <c r="AF916" i="6"/>
  <c r="AG916" i="6"/>
  <c r="W917" i="6"/>
  <c r="X917" i="6"/>
  <c r="Y917" i="6"/>
  <c r="Z917" i="6"/>
  <c r="AA917" i="6"/>
  <c r="AB917" i="6"/>
  <c r="AC917" i="6"/>
  <c r="AD917" i="6"/>
  <c r="AE917" i="6"/>
  <c r="AF917" i="6"/>
  <c r="AG917" i="6"/>
  <c r="W918" i="6"/>
  <c r="X918" i="6"/>
  <c r="Y918" i="6"/>
  <c r="Z918" i="6"/>
  <c r="AA918" i="6"/>
  <c r="AB918" i="6"/>
  <c r="AC918" i="6"/>
  <c r="AD918" i="6"/>
  <c r="AE918" i="6"/>
  <c r="AF918" i="6"/>
  <c r="AG918" i="6"/>
  <c r="W919" i="6"/>
  <c r="X919" i="6"/>
  <c r="Y919" i="6"/>
  <c r="Z919" i="6"/>
  <c r="AA919" i="6"/>
  <c r="AB919" i="6"/>
  <c r="AC919" i="6"/>
  <c r="AD919" i="6"/>
  <c r="AE919" i="6"/>
  <c r="AF919" i="6"/>
  <c r="AG919" i="6"/>
  <c r="W920" i="6"/>
  <c r="X920" i="6"/>
  <c r="Y920" i="6"/>
  <c r="Z920" i="6"/>
  <c r="AA920" i="6"/>
  <c r="AB920" i="6"/>
  <c r="AC920" i="6"/>
  <c r="AD920" i="6"/>
  <c r="AE920" i="6"/>
  <c r="AF920" i="6"/>
  <c r="AG920" i="6"/>
  <c r="W921" i="6"/>
  <c r="X921" i="6"/>
  <c r="Y921" i="6"/>
  <c r="Z921" i="6"/>
  <c r="AA921" i="6"/>
  <c r="AB921" i="6"/>
  <c r="AC921" i="6"/>
  <c r="AD921" i="6"/>
  <c r="AE921" i="6"/>
  <c r="AF921" i="6"/>
  <c r="AG921" i="6"/>
  <c r="W922" i="6"/>
  <c r="X922" i="6"/>
  <c r="Y922" i="6"/>
  <c r="Z922" i="6"/>
  <c r="AA922" i="6"/>
  <c r="AB922" i="6"/>
  <c r="AC922" i="6"/>
  <c r="AD922" i="6"/>
  <c r="AE922" i="6"/>
  <c r="AF922" i="6"/>
  <c r="AG922" i="6"/>
  <c r="W923" i="6"/>
  <c r="X923" i="6"/>
  <c r="Y923" i="6"/>
  <c r="Z923" i="6"/>
  <c r="AA923" i="6"/>
  <c r="AB923" i="6"/>
  <c r="AC923" i="6"/>
  <c r="AD923" i="6"/>
  <c r="AE923" i="6"/>
  <c r="AF923" i="6"/>
  <c r="AG923" i="6"/>
  <c r="W924" i="6"/>
  <c r="X924" i="6"/>
  <c r="Y924" i="6"/>
  <c r="Z924" i="6"/>
  <c r="AA924" i="6"/>
  <c r="AB924" i="6"/>
  <c r="AC924" i="6"/>
  <c r="AD924" i="6"/>
  <c r="AE924" i="6"/>
  <c r="AF924" i="6"/>
  <c r="AG924" i="6"/>
  <c r="W925" i="6"/>
  <c r="X925" i="6"/>
  <c r="Y925" i="6"/>
  <c r="Z925" i="6"/>
  <c r="AA925" i="6"/>
  <c r="AB925" i="6"/>
  <c r="AC925" i="6"/>
  <c r="AD925" i="6"/>
  <c r="AE925" i="6"/>
  <c r="AF925" i="6"/>
  <c r="AG925" i="6"/>
  <c r="W926" i="6"/>
  <c r="X926" i="6"/>
  <c r="Y926" i="6"/>
  <c r="Z926" i="6"/>
  <c r="AA926" i="6"/>
  <c r="AB926" i="6"/>
  <c r="AC926" i="6"/>
  <c r="AD926" i="6"/>
  <c r="AE926" i="6"/>
  <c r="AF926" i="6"/>
  <c r="AG926" i="6"/>
  <c r="W927" i="6"/>
  <c r="X927" i="6"/>
  <c r="Y927" i="6"/>
  <c r="Z927" i="6"/>
  <c r="AA927" i="6"/>
  <c r="AB927" i="6"/>
  <c r="AC927" i="6"/>
  <c r="AD927" i="6"/>
  <c r="AE927" i="6"/>
  <c r="AF927" i="6"/>
  <c r="AG927" i="6"/>
  <c r="W928" i="6"/>
  <c r="X928" i="6"/>
  <c r="Y928" i="6"/>
  <c r="Z928" i="6"/>
  <c r="AA928" i="6"/>
  <c r="AB928" i="6"/>
  <c r="AC928" i="6"/>
  <c r="AD928" i="6"/>
  <c r="AE928" i="6"/>
  <c r="AF928" i="6"/>
  <c r="AG928" i="6"/>
  <c r="W929" i="6"/>
  <c r="X929" i="6"/>
  <c r="Y929" i="6"/>
  <c r="Z929" i="6"/>
  <c r="AA929" i="6"/>
  <c r="AB929" i="6"/>
  <c r="AC929" i="6"/>
  <c r="AD929" i="6"/>
  <c r="AE929" i="6"/>
  <c r="AF929" i="6"/>
  <c r="AG929" i="6"/>
  <c r="W930" i="6"/>
  <c r="X930" i="6"/>
  <c r="Y930" i="6"/>
  <c r="Z930" i="6"/>
  <c r="AA930" i="6"/>
  <c r="AB930" i="6"/>
  <c r="AC930" i="6"/>
  <c r="AD930" i="6"/>
  <c r="AE930" i="6"/>
  <c r="AF930" i="6"/>
  <c r="AG930" i="6"/>
  <c r="W931" i="6"/>
  <c r="X931" i="6"/>
  <c r="Y931" i="6"/>
  <c r="Z931" i="6"/>
  <c r="AA931" i="6"/>
  <c r="AB931" i="6"/>
  <c r="AC931" i="6"/>
  <c r="AD931" i="6"/>
  <c r="AE931" i="6"/>
  <c r="AF931" i="6"/>
  <c r="AG931" i="6"/>
  <c r="W932" i="6"/>
  <c r="X932" i="6"/>
  <c r="Y932" i="6"/>
  <c r="Z932" i="6"/>
  <c r="AA932" i="6"/>
  <c r="AB932" i="6"/>
  <c r="AC932" i="6"/>
  <c r="AD932" i="6"/>
  <c r="AE932" i="6"/>
  <c r="AF932" i="6"/>
  <c r="AG932" i="6"/>
  <c r="W933" i="6"/>
  <c r="X933" i="6"/>
  <c r="Y933" i="6"/>
  <c r="Z933" i="6"/>
  <c r="AA933" i="6"/>
  <c r="AB933" i="6"/>
  <c r="AC933" i="6"/>
  <c r="AD933" i="6"/>
  <c r="AE933" i="6"/>
  <c r="AF933" i="6"/>
  <c r="AG933" i="6"/>
  <c r="W934" i="6"/>
  <c r="X934" i="6"/>
  <c r="Y934" i="6"/>
  <c r="Z934" i="6"/>
  <c r="AA934" i="6"/>
  <c r="AB934" i="6"/>
  <c r="AC934" i="6"/>
  <c r="AD934" i="6"/>
  <c r="AE934" i="6"/>
  <c r="AF934" i="6"/>
  <c r="AG934" i="6"/>
  <c r="W935" i="6"/>
  <c r="X935" i="6"/>
  <c r="Y935" i="6"/>
  <c r="Z935" i="6"/>
  <c r="AA935" i="6"/>
  <c r="AB935" i="6"/>
  <c r="AC935" i="6"/>
  <c r="AD935" i="6"/>
  <c r="AE935" i="6"/>
  <c r="AF935" i="6"/>
  <c r="AG935" i="6"/>
  <c r="W936" i="6"/>
  <c r="X936" i="6"/>
  <c r="Y936" i="6"/>
  <c r="Z936" i="6"/>
  <c r="AA936" i="6"/>
  <c r="AB936" i="6"/>
  <c r="AC936" i="6"/>
  <c r="AD936" i="6"/>
  <c r="AE936" i="6"/>
  <c r="AF936" i="6"/>
  <c r="AG936" i="6"/>
  <c r="W937" i="6"/>
  <c r="X937" i="6"/>
  <c r="Y937" i="6"/>
  <c r="Z937" i="6"/>
  <c r="AA937" i="6"/>
  <c r="AB937" i="6"/>
  <c r="AC937" i="6"/>
  <c r="AD937" i="6"/>
  <c r="AE937" i="6"/>
  <c r="AF937" i="6"/>
  <c r="AG937" i="6"/>
  <c r="W938" i="6"/>
  <c r="X938" i="6"/>
  <c r="Y938" i="6"/>
  <c r="Z938" i="6"/>
  <c r="AA938" i="6"/>
  <c r="AB938" i="6"/>
  <c r="AC938" i="6"/>
  <c r="AD938" i="6"/>
  <c r="AE938" i="6"/>
  <c r="AF938" i="6"/>
  <c r="AG938" i="6"/>
  <c r="W939" i="6"/>
  <c r="X939" i="6"/>
  <c r="Y939" i="6"/>
  <c r="Z939" i="6"/>
  <c r="AA939" i="6"/>
  <c r="AB939" i="6"/>
  <c r="AC939" i="6"/>
  <c r="AD939" i="6"/>
  <c r="AE939" i="6"/>
  <c r="AF939" i="6"/>
  <c r="AG939" i="6"/>
  <c r="W940" i="6"/>
  <c r="X940" i="6"/>
  <c r="Y940" i="6"/>
  <c r="Z940" i="6"/>
  <c r="AA940" i="6"/>
  <c r="AB940" i="6"/>
  <c r="AC940" i="6"/>
  <c r="AD940" i="6"/>
  <c r="AE940" i="6"/>
  <c r="AF940" i="6"/>
  <c r="AG940" i="6"/>
  <c r="W941" i="6"/>
  <c r="X941" i="6"/>
  <c r="Y941" i="6"/>
  <c r="Z941" i="6"/>
  <c r="AA941" i="6"/>
  <c r="AB941" i="6"/>
  <c r="AC941" i="6"/>
  <c r="AD941" i="6"/>
  <c r="AE941" i="6"/>
  <c r="AF941" i="6"/>
  <c r="AG941" i="6"/>
  <c r="W942" i="6"/>
  <c r="X942" i="6"/>
  <c r="Y942" i="6"/>
  <c r="Z942" i="6"/>
  <c r="AA942" i="6"/>
  <c r="AB942" i="6"/>
  <c r="AC942" i="6"/>
  <c r="AD942" i="6"/>
  <c r="AE942" i="6"/>
  <c r="AF942" i="6"/>
  <c r="AG942" i="6"/>
  <c r="W943" i="6"/>
  <c r="X943" i="6"/>
  <c r="Y943" i="6"/>
  <c r="Z943" i="6"/>
  <c r="AA943" i="6"/>
  <c r="AB943" i="6"/>
  <c r="AC943" i="6"/>
  <c r="AD943" i="6"/>
  <c r="AE943" i="6"/>
  <c r="AF943" i="6"/>
  <c r="AG943" i="6"/>
  <c r="W944" i="6"/>
  <c r="X944" i="6"/>
  <c r="Y944" i="6"/>
  <c r="Z944" i="6"/>
  <c r="AA944" i="6"/>
  <c r="AB944" i="6"/>
  <c r="AC944" i="6"/>
  <c r="AD944" i="6"/>
  <c r="AE944" i="6"/>
  <c r="AF944" i="6"/>
  <c r="AG944" i="6"/>
  <c r="W945" i="6"/>
  <c r="X945" i="6"/>
  <c r="Y945" i="6"/>
  <c r="Z945" i="6"/>
  <c r="AA945" i="6"/>
  <c r="AB945" i="6"/>
  <c r="AC945" i="6"/>
  <c r="AD945" i="6"/>
  <c r="AE945" i="6"/>
  <c r="AF945" i="6"/>
  <c r="AG945" i="6"/>
  <c r="W946" i="6"/>
  <c r="X946" i="6"/>
  <c r="Y946" i="6"/>
  <c r="Z946" i="6"/>
  <c r="AA946" i="6"/>
  <c r="AB946" i="6"/>
  <c r="AC946" i="6"/>
  <c r="AD946" i="6"/>
  <c r="AE946" i="6"/>
  <c r="AF946" i="6"/>
  <c r="AG946" i="6"/>
  <c r="W947" i="6"/>
  <c r="X947" i="6"/>
  <c r="Y947" i="6"/>
  <c r="Z947" i="6"/>
  <c r="AA947" i="6"/>
  <c r="AB947" i="6"/>
  <c r="AC947" i="6"/>
  <c r="AD947" i="6"/>
  <c r="AE947" i="6"/>
  <c r="AF947" i="6"/>
  <c r="AG947" i="6"/>
  <c r="W948" i="6"/>
  <c r="X948" i="6"/>
  <c r="Y948" i="6"/>
  <c r="Z948" i="6"/>
  <c r="AA948" i="6"/>
  <c r="AB948" i="6"/>
  <c r="AC948" i="6"/>
  <c r="AD948" i="6"/>
  <c r="AE948" i="6"/>
  <c r="AF948" i="6"/>
  <c r="AG948" i="6"/>
  <c r="W949" i="6"/>
  <c r="X949" i="6"/>
  <c r="Y949" i="6"/>
  <c r="Z949" i="6"/>
  <c r="AA949" i="6"/>
  <c r="AB949" i="6"/>
  <c r="AC949" i="6"/>
  <c r="AD949" i="6"/>
  <c r="AE949" i="6"/>
  <c r="AF949" i="6"/>
  <c r="AG949" i="6"/>
  <c r="W950" i="6"/>
  <c r="X950" i="6"/>
  <c r="Y950" i="6"/>
  <c r="Z950" i="6"/>
  <c r="AA950" i="6"/>
  <c r="AB950" i="6"/>
  <c r="AC950" i="6"/>
  <c r="AD950" i="6"/>
  <c r="AE950" i="6"/>
  <c r="AF950" i="6"/>
  <c r="AG950" i="6"/>
  <c r="W951" i="6"/>
  <c r="X951" i="6"/>
  <c r="Y951" i="6"/>
  <c r="Z951" i="6"/>
  <c r="AA951" i="6"/>
  <c r="AB951" i="6"/>
  <c r="AC951" i="6"/>
  <c r="AD951" i="6"/>
  <c r="AE951" i="6"/>
  <c r="AF951" i="6"/>
  <c r="AG951" i="6"/>
  <c r="W952" i="6"/>
  <c r="X952" i="6"/>
  <c r="Y952" i="6"/>
  <c r="Z952" i="6"/>
  <c r="AA952" i="6"/>
  <c r="AB952" i="6"/>
  <c r="AC952" i="6"/>
  <c r="AD952" i="6"/>
  <c r="AE952" i="6"/>
  <c r="AF952" i="6"/>
  <c r="AG952" i="6"/>
  <c r="W953" i="6"/>
  <c r="X953" i="6"/>
  <c r="Y953" i="6"/>
  <c r="Z953" i="6"/>
  <c r="AA953" i="6"/>
  <c r="AB953" i="6"/>
  <c r="AC953" i="6"/>
  <c r="AD953" i="6"/>
  <c r="AE953" i="6"/>
  <c r="AF953" i="6"/>
  <c r="AG953" i="6"/>
  <c r="W954" i="6"/>
  <c r="X954" i="6"/>
  <c r="Y954" i="6"/>
  <c r="Z954" i="6"/>
  <c r="AA954" i="6"/>
  <c r="AB954" i="6"/>
  <c r="AC954" i="6"/>
  <c r="AD954" i="6"/>
  <c r="AE954" i="6"/>
  <c r="AF954" i="6"/>
  <c r="AG954" i="6"/>
  <c r="W955" i="6"/>
  <c r="X955" i="6"/>
  <c r="Y955" i="6"/>
  <c r="Z955" i="6"/>
  <c r="AA955" i="6"/>
  <c r="AB955" i="6"/>
  <c r="AC955" i="6"/>
  <c r="AD955" i="6"/>
  <c r="AE955" i="6"/>
  <c r="AF955" i="6"/>
  <c r="AG955" i="6"/>
  <c r="W956" i="6"/>
  <c r="X956" i="6"/>
  <c r="Y956" i="6"/>
  <c r="Z956" i="6"/>
  <c r="AA956" i="6"/>
  <c r="AB956" i="6"/>
  <c r="AC956" i="6"/>
  <c r="AD956" i="6"/>
  <c r="AE956" i="6"/>
  <c r="AF956" i="6"/>
  <c r="AG956" i="6"/>
  <c r="W957" i="6"/>
  <c r="X957" i="6"/>
  <c r="Y957" i="6"/>
  <c r="Z957" i="6"/>
  <c r="AA957" i="6"/>
  <c r="AB957" i="6"/>
  <c r="AC957" i="6"/>
  <c r="AD957" i="6"/>
  <c r="AE957" i="6"/>
  <c r="AF957" i="6"/>
  <c r="AG957" i="6"/>
  <c r="W958" i="6"/>
  <c r="X958" i="6"/>
  <c r="Y958" i="6"/>
  <c r="Z958" i="6"/>
  <c r="AA958" i="6"/>
  <c r="AB958" i="6"/>
  <c r="AC958" i="6"/>
  <c r="AD958" i="6"/>
  <c r="AE958" i="6"/>
  <c r="AF958" i="6"/>
  <c r="AG958" i="6"/>
  <c r="W959" i="6"/>
  <c r="X959" i="6"/>
  <c r="Y959" i="6"/>
  <c r="Z959" i="6"/>
  <c r="AA959" i="6"/>
  <c r="AB959" i="6"/>
  <c r="AC959" i="6"/>
  <c r="AD959" i="6"/>
  <c r="AE959" i="6"/>
  <c r="AF959" i="6"/>
  <c r="AG959" i="6"/>
  <c r="W960" i="6"/>
  <c r="X960" i="6"/>
  <c r="Y960" i="6"/>
  <c r="Z960" i="6"/>
  <c r="AA960" i="6"/>
  <c r="AB960" i="6"/>
  <c r="AC960" i="6"/>
  <c r="AD960" i="6"/>
  <c r="AE960" i="6"/>
  <c r="AF960" i="6"/>
  <c r="AG960" i="6"/>
  <c r="W961" i="6"/>
  <c r="X961" i="6"/>
  <c r="Y961" i="6"/>
  <c r="Z961" i="6"/>
  <c r="AA961" i="6"/>
  <c r="AB961" i="6"/>
  <c r="AC961" i="6"/>
  <c r="AD961" i="6"/>
  <c r="AE961" i="6"/>
  <c r="AF961" i="6"/>
  <c r="AG961" i="6"/>
  <c r="W962" i="6"/>
  <c r="X962" i="6"/>
  <c r="Y962" i="6"/>
  <c r="Z962" i="6"/>
  <c r="AA962" i="6"/>
  <c r="AB962" i="6"/>
  <c r="AC962" i="6"/>
  <c r="AD962" i="6"/>
  <c r="AE962" i="6"/>
  <c r="AF962" i="6"/>
  <c r="AG962" i="6"/>
  <c r="W963" i="6"/>
  <c r="X963" i="6"/>
  <c r="Y963" i="6"/>
  <c r="Z963" i="6"/>
  <c r="AA963" i="6"/>
  <c r="AB963" i="6"/>
  <c r="AC963" i="6"/>
  <c r="AD963" i="6"/>
  <c r="AE963" i="6"/>
  <c r="AF963" i="6"/>
  <c r="AG963" i="6"/>
  <c r="W964" i="6"/>
  <c r="X964" i="6"/>
  <c r="Y964" i="6"/>
  <c r="Z964" i="6"/>
  <c r="AA964" i="6"/>
  <c r="AB964" i="6"/>
  <c r="AC964" i="6"/>
  <c r="AD964" i="6"/>
  <c r="AE964" i="6"/>
  <c r="AF964" i="6"/>
  <c r="AG964" i="6"/>
  <c r="W965" i="6"/>
  <c r="X965" i="6"/>
  <c r="Y965" i="6"/>
  <c r="Z965" i="6"/>
  <c r="AA965" i="6"/>
  <c r="AB965" i="6"/>
  <c r="AC965" i="6"/>
  <c r="AD965" i="6"/>
  <c r="AE965" i="6"/>
  <c r="AF965" i="6"/>
  <c r="AG965" i="6"/>
  <c r="W966" i="6"/>
  <c r="X966" i="6"/>
  <c r="Y966" i="6"/>
  <c r="Z966" i="6"/>
  <c r="AA966" i="6"/>
  <c r="AB966" i="6"/>
  <c r="AC966" i="6"/>
  <c r="AD966" i="6"/>
  <c r="AE966" i="6"/>
  <c r="AF966" i="6"/>
  <c r="AG966" i="6"/>
  <c r="W967" i="6"/>
  <c r="X967" i="6"/>
  <c r="Y967" i="6"/>
  <c r="Z967" i="6"/>
  <c r="AA967" i="6"/>
  <c r="AB967" i="6"/>
  <c r="AC967" i="6"/>
  <c r="AD967" i="6"/>
  <c r="AE967" i="6"/>
  <c r="AF967" i="6"/>
  <c r="AG967" i="6"/>
  <c r="W968" i="6"/>
  <c r="X968" i="6"/>
  <c r="Y968" i="6"/>
  <c r="Z968" i="6"/>
  <c r="AA968" i="6"/>
  <c r="AB968" i="6"/>
  <c r="AC968" i="6"/>
  <c r="AD968" i="6"/>
  <c r="AE968" i="6"/>
  <c r="AF968" i="6"/>
  <c r="AG968" i="6"/>
  <c r="W969" i="6"/>
  <c r="X969" i="6"/>
  <c r="Y969" i="6"/>
  <c r="Z969" i="6"/>
  <c r="AA969" i="6"/>
  <c r="AB969" i="6"/>
  <c r="AC969" i="6"/>
  <c r="AD969" i="6"/>
  <c r="AE969" i="6"/>
  <c r="AF969" i="6"/>
  <c r="AG969" i="6"/>
  <c r="W970" i="6"/>
  <c r="X970" i="6"/>
  <c r="Y970" i="6"/>
  <c r="Z970" i="6"/>
  <c r="AA970" i="6"/>
  <c r="AB970" i="6"/>
  <c r="AC970" i="6"/>
  <c r="AD970" i="6"/>
  <c r="AE970" i="6"/>
  <c r="AF970" i="6"/>
  <c r="AG970" i="6"/>
  <c r="W971" i="6"/>
  <c r="X971" i="6"/>
  <c r="Y971" i="6"/>
  <c r="Z971" i="6"/>
  <c r="AA971" i="6"/>
  <c r="AB971" i="6"/>
  <c r="AC971" i="6"/>
  <c r="AD971" i="6"/>
  <c r="AE971" i="6"/>
  <c r="AF971" i="6"/>
  <c r="AG971" i="6"/>
  <c r="W972" i="6"/>
  <c r="X972" i="6"/>
  <c r="Y972" i="6"/>
  <c r="Z972" i="6"/>
  <c r="AA972" i="6"/>
  <c r="AB972" i="6"/>
  <c r="AC972" i="6"/>
  <c r="AD972" i="6"/>
  <c r="AE972" i="6"/>
  <c r="AF972" i="6"/>
  <c r="AG972" i="6"/>
  <c r="W973" i="6"/>
  <c r="X973" i="6"/>
  <c r="Y973" i="6"/>
  <c r="Z973" i="6"/>
  <c r="AA973" i="6"/>
  <c r="AB973" i="6"/>
  <c r="AC973" i="6"/>
  <c r="AD973" i="6"/>
  <c r="AE973" i="6"/>
  <c r="AF973" i="6"/>
  <c r="AG973" i="6"/>
  <c r="W974" i="6"/>
  <c r="X974" i="6"/>
  <c r="Y974" i="6"/>
  <c r="Z974" i="6"/>
  <c r="AA974" i="6"/>
  <c r="AB974" i="6"/>
  <c r="AC974" i="6"/>
  <c r="AD974" i="6"/>
  <c r="AE974" i="6"/>
  <c r="AF974" i="6"/>
  <c r="AG974" i="6"/>
  <c r="W975" i="6"/>
  <c r="X975" i="6"/>
  <c r="Y975" i="6"/>
  <c r="Z975" i="6"/>
  <c r="AA975" i="6"/>
  <c r="AB975" i="6"/>
  <c r="AC975" i="6"/>
  <c r="AD975" i="6"/>
  <c r="AE975" i="6"/>
  <c r="AF975" i="6"/>
  <c r="AG975" i="6"/>
  <c r="W976" i="6"/>
  <c r="X976" i="6"/>
  <c r="Y976" i="6"/>
  <c r="Z976" i="6"/>
  <c r="AA976" i="6"/>
  <c r="AB976" i="6"/>
  <c r="AC976" i="6"/>
  <c r="AD976" i="6"/>
  <c r="AE976" i="6"/>
  <c r="AF976" i="6"/>
  <c r="AG976" i="6"/>
  <c r="W977" i="6"/>
  <c r="X977" i="6"/>
  <c r="Y977" i="6"/>
  <c r="Z977" i="6"/>
  <c r="AA977" i="6"/>
  <c r="AB977" i="6"/>
  <c r="AC977" i="6"/>
  <c r="AD977" i="6"/>
  <c r="AE977" i="6"/>
  <c r="AF977" i="6"/>
  <c r="AG977" i="6"/>
  <c r="W978" i="6"/>
  <c r="X978" i="6"/>
  <c r="Y978" i="6"/>
  <c r="Z978" i="6"/>
  <c r="AA978" i="6"/>
  <c r="AB978" i="6"/>
  <c r="AC978" i="6"/>
  <c r="AD978" i="6"/>
  <c r="AE978" i="6"/>
  <c r="AF978" i="6"/>
  <c r="AG978" i="6"/>
  <c r="W979" i="6"/>
  <c r="X979" i="6"/>
  <c r="Y979" i="6"/>
  <c r="Z979" i="6"/>
  <c r="AA979" i="6"/>
  <c r="AB979" i="6"/>
  <c r="AC979" i="6"/>
  <c r="AD979" i="6"/>
  <c r="AE979" i="6"/>
  <c r="AF979" i="6"/>
  <c r="AG979" i="6"/>
  <c r="W980" i="6"/>
  <c r="X980" i="6"/>
  <c r="Y980" i="6"/>
  <c r="Z980" i="6"/>
  <c r="AA980" i="6"/>
  <c r="AB980" i="6"/>
  <c r="AC980" i="6"/>
  <c r="AD980" i="6"/>
  <c r="AE980" i="6"/>
  <c r="AF980" i="6"/>
  <c r="AG980" i="6"/>
  <c r="W981" i="6"/>
  <c r="X981" i="6"/>
  <c r="Y981" i="6"/>
  <c r="Z981" i="6"/>
  <c r="AA981" i="6"/>
  <c r="AB981" i="6"/>
  <c r="AC981" i="6"/>
  <c r="AD981" i="6"/>
  <c r="AE981" i="6"/>
  <c r="AF981" i="6"/>
  <c r="AG981" i="6"/>
  <c r="W982" i="6"/>
  <c r="X982" i="6"/>
  <c r="Y982" i="6"/>
  <c r="Z982" i="6"/>
  <c r="AA982" i="6"/>
  <c r="AB982" i="6"/>
  <c r="AC982" i="6"/>
  <c r="AD982" i="6"/>
  <c r="AE982" i="6"/>
  <c r="AF982" i="6"/>
  <c r="AG982" i="6"/>
  <c r="W983" i="6"/>
  <c r="X983" i="6"/>
  <c r="Y983" i="6"/>
  <c r="Z983" i="6"/>
  <c r="AA983" i="6"/>
  <c r="AB983" i="6"/>
  <c r="AC983" i="6"/>
  <c r="AD983" i="6"/>
  <c r="AE983" i="6"/>
  <c r="AF983" i="6"/>
  <c r="AG983" i="6"/>
  <c r="W984" i="6"/>
  <c r="X984" i="6"/>
  <c r="Y984" i="6"/>
  <c r="Z984" i="6"/>
  <c r="AA984" i="6"/>
  <c r="AB984" i="6"/>
  <c r="AC984" i="6"/>
  <c r="AD984" i="6"/>
  <c r="AE984" i="6"/>
  <c r="AF984" i="6"/>
  <c r="AG984" i="6"/>
  <c r="W985" i="6"/>
  <c r="X985" i="6"/>
  <c r="Y985" i="6"/>
  <c r="Z985" i="6"/>
  <c r="AA985" i="6"/>
  <c r="AB985" i="6"/>
  <c r="AC985" i="6"/>
  <c r="AD985" i="6"/>
  <c r="AE985" i="6"/>
  <c r="AF985" i="6"/>
  <c r="AG985" i="6"/>
  <c r="W986" i="6"/>
  <c r="X986" i="6"/>
  <c r="Y986" i="6"/>
  <c r="Z986" i="6"/>
  <c r="AA986" i="6"/>
  <c r="AB986" i="6"/>
  <c r="AC986" i="6"/>
  <c r="AD986" i="6"/>
  <c r="AE986" i="6"/>
  <c r="AF986" i="6"/>
  <c r="AG986" i="6"/>
  <c r="W987" i="6"/>
  <c r="X987" i="6"/>
  <c r="Y987" i="6"/>
  <c r="Z987" i="6"/>
  <c r="AA987" i="6"/>
  <c r="AB987" i="6"/>
  <c r="AC987" i="6"/>
  <c r="AD987" i="6"/>
  <c r="AE987" i="6"/>
  <c r="AF987" i="6"/>
  <c r="AG987" i="6"/>
  <c r="W988" i="6"/>
  <c r="X988" i="6"/>
  <c r="Y988" i="6"/>
  <c r="Z988" i="6"/>
  <c r="AA988" i="6"/>
  <c r="AB988" i="6"/>
  <c r="AC988" i="6"/>
  <c r="AD988" i="6"/>
  <c r="AE988" i="6"/>
  <c r="AF988" i="6"/>
  <c r="AG988" i="6"/>
  <c r="W989" i="6"/>
  <c r="X989" i="6"/>
  <c r="Y989" i="6"/>
  <c r="Z989" i="6"/>
  <c r="AA989" i="6"/>
  <c r="AB989" i="6"/>
  <c r="AC989" i="6"/>
  <c r="AD989" i="6"/>
  <c r="AE989" i="6"/>
  <c r="AF989" i="6"/>
  <c r="AG989" i="6"/>
  <c r="W990" i="6"/>
  <c r="X990" i="6"/>
  <c r="Y990" i="6"/>
  <c r="Z990" i="6"/>
  <c r="AA990" i="6"/>
  <c r="AB990" i="6"/>
  <c r="AC990" i="6"/>
  <c r="AD990" i="6"/>
  <c r="AE990" i="6"/>
  <c r="AF990" i="6"/>
  <c r="AG990" i="6"/>
  <c r="W991" i="6"/>
  <c r="X991" i="6"/>
  <c r="Y991" i="6"/>
  <c r="Z991" i="6"/>
  <c r="AA991" i="6"/>
  <c r="AB991" i="6"/>
  <c r="AC991" i="6"/>
  <c r="AD991" i="6"/>
  <c r="AE991" i="6"/>
  <c r="AF991" i="6"/>
  <c r="AG991" i="6"/>
  <c r="W992" i="6"/>
  <c r="X992" i="6"/>
  <c r="Y992" i="6"/>
  <c r="Z992" i="6"/>
  <c r="AA992" i="6"/>
  <c r="AB992" i="6"/>
  <c r="AC992" i="6"/>
  <c r="AD992" i="6"/>
  <c r="AE992" i="6"/>
  <c r="AF992" i="6"/>
  <c r="AG992" i="6"/>
  <c r="W993" i="6"/>
  <c r="X993" i="6"/>
  <c r="Y993" i="6"/>
  <c r="Z993" i="6"/>
  <c r="AA993" i="6"/>
  <c r="AB993" i="6"/>
  <c r="AC993" i="6"/>
  <c r="AD993" i="6"/>
  <c r="AE993" i="6"/>
  <c r="AF993" i="6"/>
  <c r="AG993" i="6"/>
  <c r="W994" i="6"/>
  <c r="X994" i="6"/>
  <c r="Y994" i="6"/>
  <c r="Z994" i="6"/>
  <c r="AA994" i="6"/>
  <c r="AB994" i="6"/>
  <c r="AC994" i="6"/>
  <c r="AD994" i="6"/>
  <c r="AE994" i="6"/>
  <c r="AF994" i="6"/>
  <c r="AG994" i="6"/>
  <c r="W995" i="6"/>
  <c r="X995" i="6"/>
  <c r="Y995" i="6"/>
  <c r="Z995" i="6"/>
  <c r="AA995" i="6"/>
  <c r="AB995" i="6"/>
  <c r="AC995" i="6"/>
  <c r="AD995" i="6"/>
  <c r="AE995" i="6"/>
  <c r="AF995" i="6"/>
  <c r="AG995" i="6"/>
  <c r="W996" i="6"/>
  <c r="X996" i="6"/>
  <c r="Y996" i="6"/>
  <c r="Z996" i="6"/>
  <c r="AA996" i="6"/>
  <c r="AB996" i="6"/>
  <c r="AC996" i="6"/>
  <c r="AD996" i="6"/>
  <c r="AE996" i="6"/>
  <c r="AF996" i="6"/>
  <c r="AG996" i="6"/>
  <c r="W997" i="6"/>
  <c r="X997" i="6"/>
  <c r="Y997" i="6"/>
  <c r="Z997" i="6"/>
  <c r="AA997" i="6"/>
  <c r="AB997" i="6"/>
  <c r="AC997" i="6"/>
  <c r="AD997" i="6"/>
  <c r="AE997" i="6"/>
  <c r="AF997" i="6"/>
  <c r="AG997" i="6"/>
  <c r="W998" i="6"/>
  <c r="X998" i="6"/>
  <c r="Y998" i="6"/>
  <c r="Z998" i="6"/>
  <c r="AA998" i="6"/>
  <c r="AB998" i="6"/>
  <c r="AC998" i="6"/>
  <c r="AD998" i="6"/>
  <c r="AE998" i="6"/>
  <c r="AF998" i="6"/>
  <c r="AG998" i="6"/>
  <c r="W999" i="6"/>
  <c r="X999" i="6"/>
  <c r="Y999" i="6"/>
  <c r="Z999" i="6"/>
  <c r="AA999" i="6"/>
  <c r="AB999" i="6"/>
  <c r="AC999" i="6"/>
  <c r="AD999" i="6"/>
  <c r="AE999" i="6"/>
  <c r="AF999" i="6"/>
  <c r="AG999" i="6"/>
  <c r="W1000" i="6"/>
  <c r="X1000" i="6"/>
  <c r="Y1000" i="6"/>
  <c r="Z1000" i="6"/>
  <c r="AA1000" i="6"/>
  <c r="AB1000" i="6"/>
  <c r="AC1000" i="6"/>
  <c r="AD1000" i="6"/>
  <c r="AE1000" i="6"/>
  <c r="AF1000" i="6"/>
  <c r="AG1000" i="6"/>
  <c r="W1001" i="6"/>
  <c r="X1001" i="6"/>
  <c r="Y1001" i="6"/>
  <c r="Z1001" i="6"/>
  <c r="AA1001" i="6"/>
  <c r="AB1001" i="6"/>
  <c r="AC1001" i="6"/>
  <c r="AD1001" i="6"/>
  <c r="AE1001" i="6"/>
  <c r="AF1001" i="6"/>
  <c r="AG1001" i="6"/>
  <c r="W1002" i="6"/>
  <c r="X1002" i="6"/>
  <c r="Y1002" i="6"/>
  <c r="Z1002" i="6"/>
  <c r="AA1002" i="6"/>
  <c r="AB1002" i="6"/>
  <c r="AC1002" i="6"/>
  <c r="AD1002" i="6"/>
  <c r="AE1002" i="6"/>
  <c r="AF1002" i="6"/>
  <c r="AG1002" i="6"/>
  <c r="W1003" i="6"/>
  <c r="X1003" i="6"/>
  <c r="Y1003" i="6"/>
  <c r="Z1003" i="6"/>
  <c r="AA1003" i="6"/>
  <c r="AB1003" i="6"/>
  <c r="AC1003" i="6"/>
  <c r="AD1003" i="6"/>
  <c r="AE1003" i="6"/>
  <c r="AF1003" i="6"/>
  <c r="AG1003" i="6"/>
  <c r="W1004" i="6"/>
  <c r="X1004" i="6"/>
  <c r="Y1004" i="6"/>
  <c r="Z1004" i="6"/>
  <c r="AA1004" i="6"/>
  <c r="AB1004" i="6"/>
  <c r="AC1004" i="6"/>
  <c r="AD1004" i="6"/>
  <c r="AE1004" i="6"/>
  <c r="AF1004" i="6"/>
  <c r="AG1004" i="6"/>
  <c r="W1005" i="6"/>
  <c r="X1005" i="6"/>
  <c r="Y1005" i="6"/>
  <c r="Z1005" i="6"/>
  <c r="AA1005" i="6"/>
  <c r="AB1005" i="6"/>
  <c r="AC1005" i="6"/>
  <c r="AD1005" i="6"/>
  <c r="AE1005" i="6"/>
  <c r="AF1005" i="6"/>
  <c r="AG1005" i="6"/>
  <c r="W1006" i="6"/>
  <c r="X1006" i="6"/>
  <c r="Y1006" i="6"/>
  <c r="Z1006" i="6"/>
  <c r="AA1006" i="6"/>
  <c r="AB1006" i="6"/>
  <c r="AC1006" i="6"/>
  <c r="AD1006" i="6"/>
  <c r="AE1006" i="6"/>
  <c r="AF1006" i="6"/>
  <c r="AG1006" i="6"/>
  <c r="W1007" i="6"/>
  <c r="X1007" i="6"/>
  <c r="Y1007" i="6"/>
  <c r="Z1007" i="6"/>
  <c r="AA1007" i="6"/>
  <c r="AB1007" i="6"/>
  <c r="AC1007" i="6"/>
  <c r="AD1007" i="6"/>
  <c r="AE1007" i="6"/>
  <c r="AF1007" i="6"/>
  <c r="AG1007" i="6"/>
  <c r="W1008" i="6"/>
  <c r="X1008" i="6"/>
  <c r="Y1008" i="6"/>
  <c r="Z1008" i="6"/>
  <c r="AA1008" i="6"/>
  <c r="AB1008" i="6"/>
  <c r="AC1008" i="6"/>
  <c r="AD1008" i="6"/>
  <c r="AE1008" i="6"/>
  <c r="AF1008" i="6"/>
  <c r="AG1008" i="6"/>
  <c r="W1009" i="6"/>
  <c r="X1009" i="6"/>
  <c r="Y1009" i="6"/>
  <c r="Z1009" i="6"/>
  <c r="AA1009" i="6"/>
  <c r="AB1009" i="6"/>
  <c r="AC1009" i="6"/>
  <c r="AD1009" i="6"/>
  <c r="AE1009" i="6"/>
  <c r="AF1009" i="6"/>
  <c r="AG1009" i="6"/>
  <c r="W1010" i="6"/>
  <c r="X1010" i="6"/>
  <c r="Y1010" i="6"/>
  <c r="Z1010" i="6"/>
  <c r="AA1010" i="6"/>
  <c r="AB1010" i="6"/>
  <c r="AC1010" i="6"/>
  <c r="AD1010" i="6"/>
  <c r="AE1010" i="6"/>
  <c r="AF1010" i="6"/>
  <c r="AG1010" i="6"/>
  <c r="W1011" i="6"/>
  <c r="X1011" i="6"/>
  <c r="Y1011" i="6"/>
  <c r="Z1011" i="6"/>
  <c r="AA1011" i="6"/>
  <c r="AB1011" i="6"/>
  <c r="AC1011" i="6"/>
  <c r="AD1011" i="6"/>
  <c r="AE1011" i="6"/>
  <c r="AF1011" i="6"/>
  <c r="AG1011" i="6"/>
  <c r="W1012" i="6"/>
  <c r="X1012" i="6"/>
  <c r="Y1012" i="6"/>
  <c r="Z1012" i="6"/>
  <c r="AA1012" i="6"/>
  <c r="AB1012" i="6"/>
  <c r="AC1012" i="6"/>
  <c r="AD1012" i="6"/>
  <c r="AE1012" i="6"/>
  <c r="AF1012" i="6"/>
  <c r="AG1012" i="6"/>
  <c r="W1013" i="6"/>
  <c r="X1013" i="6"/>
  <c r="Y1013" i="6"/>
  <c r="Z1013" i="6"/>
  <c r="AA1013" i="6"/>
  <c r="AB1013" i="6"/>
  <c r="AC1013" i="6"/>
  <c r="AD1013" i="6"/>
  <c r="AE1013" i="6"/>
  <c r="AF1013" i="6"/>
  <c r="AG1013" i="6"/>
  <c r="W1014" i="6"/>
  <c r="X1014" i="6"/>
  <c r="Y1014" i="6"/>
  <c r="Z1014" i="6"/>
  <c r="AA1014" i="6"/>
  <c r="AB1014" i="6"/>
  <c r="AC1014" i="6"/>
  <c r="AD1014" i="6"/>
  <c r="AE1014" i="6"/>
  <c r="AF1014" i="6"/>
  <c r="AG1014" i="6"/>
  <c r="W1015" i="6"/>
  <c r="X1015" i="6"/>
  <c r="Y1015" i="6"/>
  <c r="Z1015" i="6"/>
  <c r="AA1015" i="6"/>
  <c r="AB1015" i="6"/>
  <c r="AC1015" i="6"/>
  <c r="AD1015" i="6"/>
  <c r="AE1015" i="6"/>
  <c r="AF1015" i="6"/>
  <c r="AG1015" i="6"/>
  <c r="W1016" i="6"/>
  <c r="X1016" i="6"/>
  <c r="Y1016" i="6"/>
  <c r="Z1016" i="6"/>
  <c r="AA1016" i="6"/>
  <c r="AB1016" i="6"/>
  <c r="AC1016" i="6"/>
  <c r="AD1016" i="6"/>
  <c r="AE1016" i="6"/>
  <c r="AF1016" i="6"/>
  <c r="AG1016" i="6"/>
  <c r="W1017" i="6"/>
  <c r="X1017" i="6"/>
  <c r="Y1017" i="6"/>
  <c r="Z1017" i="6"/>
  <c r="AA1017" i="6"/>
  <c r="AB1017" i="6"/>
  <c r="AC1017" i="6"/>
  <c r="AD1017" i="6"/>
  <c r="AE1017" i="6"/>
  <c r="AF1017" i="6"/>
  <c r="AG1017" i="6"/>
  <c r="W1018" i="6"/>
  <c r="X1018" i="6"/>
  <c r="Y1018" i="6"/>
  <c r="Z1018" i="6"/>
  <c r="AA1018" i="6"/>
  <c r="AB1018" i="6"/>
  <c r="AC1018" i="6"/>
  <c r="AD1018" i="6"/>
  <c r="AE1018" i="6"/>
  <c r="AF1018" i="6"/>
  <c r="AG1018" i="6"/>
  <c r="W1019" i="6"/>
  <c r="X1019" i="6"/>
  <c r="Y1019" i="6"/>
  <c r="Z1019" i="6"/>
  <c r="AA1019" i="6"/>
  <c r="AB1019" i="6"/>
  <c r="AC1019" i="6"/>
  <c r="AD1019" i="6"/>
  <c r="AE1019" i="6"/>
  <c r="AF1019" i="6"/>
  <c r="AG1019" i="6"/>
  <c r="W1020" i="6"/>
  <c r="X1020" i="6"/>
  <c r="Y1020" i="6"/>
  <c r="Z1020" i="6"/>
  <c r="AA1020" i="6"/>
  <c r="AB1020" i="6"/>
  <c r="AC1020" i="6"/>
  <c r="AD1020" i="6"/>
  <c r="AE1020" i="6"/>
  <c r="AF1020" i="6"/>
  <c r="AG1020" i="6"/>
  <c r="W1021" i="6"/>
  <c r="X1021" i="6"/>
  <c r="Y1021" i="6"/>
  <c r="Z1021" i="6"/>
  <c r="AA1021" i="6"/>
  <c r="AB1021" i="6"/>
  <c r="AC1021" i="6"/>
  <c r="AD1021" i="6"/>
  <c r="AE1021" i="6"/>
  <c r="AF1021" i="6"/>
  <c r="AG1021" i="6"/>
  <c r="W1022" i="6"/>
  <c r="X1022" i="6"/>
  <c r="Y1022" i="6"/>
  <c r="Z1022" i="6"/>
  <c r="AA1022" i="6"/>
  <c r="AB1022" i="6"/>
  <c r="AC1022" i="6"/>
  <c r="AD1022" i="6"/>
  <c r="AE1022" i="6"/>
  <c r="AF1022" i="6"/>
  <c r="AG1022" i="6"/>
  <c r="W1023" i="6"/>
  <c r="X1023" i="6"/>
  <c r="Y1023" i="6"/>
  <c r="Z1023" i="6"/>
  <c r="AA1023" i="6"/>
  <c r="AB1023" i="6"/>
  <c r="AC1023" i="6"/>
  <c r="AD1023" i="6"/>
  <c r="AE1023" i="6"/>
  <c r="AF1023" i="6"/>
  <c r="AG1023" i="6"/>
  <c r="W1024" i="6"/>
  <c r="X1024" i="6"/>
  <c r="Y1024" i="6"/>
  <c r="Z1024" i="6"/>
  <c r="AA1024" i="6"/>
  <c r="AB1024" i="6"/>
  <c r="AC1024" i="6"/>
  <c r="AD1024" i="6"/>
  <c r="AE1024" i="6"/>
  <c r="AF1024" i="6"/>
  <c r="AG1024" i="6"/>
  <c r="W1025" i="6"/>
  <c r="X1025" i="6"/>
  <c r="Y1025" i="6"/>
  <c r="Z1025" i="6"/>
  <c r="AA1025" i="6"/>
  <c r="AB1025" i="6"/>
  <c r="AC1025" i="6"/>
  <c r="AD1025" i="6"/>
  <c r="AE1025" i="6"/>
  <c r="AF1025" i="6"/>
  <c r="AG1025" i="6"/>
  <c r="W1026" i="6"/>
  <c r="X1026" i="6"/>
  <c r="Y1026" i="6"/>
  <c r="Z1026" i="6"/>
  <c r="AA1026" i="6"/>
  <c r="AB1026" i="6"/>
  <c r="AC1026" i="6"/>
  <c r="AD1026" i="6"/>
  <c r="AE1026" i="6"/>
  <c r="AF1026" i="6"/>
  <c r="AG1026" i="6"/>
  <c r="W1027" i="6"/>
  <c r="X1027" i="6"/>
  <c r="Y1027" i="6"/>
  <c r="Z1027" i="6"/>
  <c r="AA1027" i="6"/>
  <c r="AB1027" i="6"/>
  <c r="AC1027" i="6"/>
  <c r="AD1027" i="6"/>
  <c r="AE1027" i="6"/>
  <c r="AF1027" i="6"/>
  <c r="AG1027" i="6"/>
  <c r="W1028" i="6"/>
  <c r="X1028" i="6"/>
  <c r="Y1028" i="6"/>
  <c r="Z1028" i="6"/>
  <c r="AA1028" i="6"/>
  <c r="AB1028" i="6"/>
  <c r="AC1028" i="6"/>
  <c r="AD1028" i="6"/>
  <c r="AE1028" i="6"/>
  <c r="AF1028" i="6"/>
  <c r="AG1028" i="6"/>
  <c r="W1029" i="6"/>
  <c r="X1029" i="6"/>
  <c r="Y1029" i="6"/>
  <c r="Z1029" i="6"/>
  <c r="AA1029" i="6"/>
  <c r="AB1029" i="6"/>
  <c r="AC1029" i="6"/>
  <c r="AD1029" i="6"/>
  <c r="AE1029" i="6"/>
  <c r="AF1029" i="6"/>
  <c r="AG1029" i="6"/>
  <c r="W1030" i="6"/>
  <c r="X1030" i="6"/>
  <c r="Y1030" i="6"/>
  <c r="Z1030" i="6"/>
  <c r="AA1030" i="6"/>
  <c r="AB1030" i="6"/>
  <c r="AC1030" i="6"/>
  <c r="AD1030" i="6"/>
  <c r="AE1030" i="6"/>
  <c r="AF1030" i="6"/>
  <c r="AG1030" i="6"/>
  <c r="W1031" i="6"/>
  <c r="X1031" i="6"/>
  <c r="Y1031" i="6"/>
  <c r="Z1031" i="6"/>
  <c r="AA1031" i="6"/>
  <c r="AB1031" i="6"/>
  <c r="AC1031" i="6"/>
  <c r="AD1031" i="6"/>
  <c r="AE1031" i="6"/>
  <c r="AF1031" i="6"/>
  <c r="AG1031" i="6"/>
  <c r="W1032" i="6"/>
  <c r="X1032" i="6"/>
  <c r="Y1032" i="6"/>
  <c r="Z1032" i="6"/>
  <c r="AA1032" i="6"/>
  <c r="AB1032" i="6"/>
  <c r="AC1032" i="6"/>
  <c r="AD1032" i="6"/>
  <c r="AE1032" i="6"/>
  <c r="AF1032" i="6"/>
  <c r="AG1032" i="6"/>
  <c r="W1033" i="6"/>
  <c r="X1033" i="6"/>
  <c r="Y1033" i="6"/>
  <c r="Z1033" i="6"/>
  <c r="AA1033" i="6"/>
  <c r="AB1033" i="6"/>
  <c r="AC1033" i="6"/>
  <c r="AD1033" i="6"/>
  <c r="AE1033" i="6"/>
  <c r="AF1033" i="6"/>
  <c r="AG1033" i="6"/>
  <c r="W1034" i="6"/>
  <c r="X1034" i="6"/>
  <c r="Y1034" i="6"/>
  <c r="Z1034" i="6"/>
  <c r="AA1034" i="6"/>
  <c r="AB1034" i="6"/>
  <c r="AC1034" i="6"/>
  <c r="AD1034" i="6"/>
  <c r="AE1034" i="6"/>
  <c r="AF1034" i="6"/>
  <c r="AG1034" i="6"/>
  <c r="W1035" i="6"/>
  <c r="X1035" i="6"/>
  <c r="Y1035" i="6"/>
  <c r="Z1035" i="6"/>
  <c r="AA1035" i="6"/>
  <c r="AB1035" i="6"/>
  <c r="AC1035" i="6"/>
  <c r="AD1035" i="6"/>
  <c r="AE1035" i="6"/>
  <c r="AF1035" i="6"/>
  <c r="AG1035" i="6"/>
  <c r="W1036" i="6"/>
  <c r="X1036" i="6"/>
  <c r="Y1036" i="6"/>
  <c r="Z1036" i="6"/>
  <c r="AA1036" i="6"/>
  <c r="AB1036" i="6"/>
  <c r="AC1036" i="6"/>
  <c r="AD1036" i="6"/>
  <c r="AE1036" i="6"/>
  <c r="AF1036" i="6"/>
  <c r="AG1036" i="6"/>
  <c r="W1037" i="6"/>
  <c r="X1037" i="6"/>
  <c r="Y1037" i="6"/>
  <c r="Z1037" i="6"/>
  <c r="AA1037" i="6"/>
  <c r="AB1037" i="6"/>
  <c r="AC1037" i="6"/>
  <c r="AD1037" i="6"/>
  <c r="AE1037" i="6"/>
  <c r="AF1037" i="6"/>
  <c r="AG1037" i="6"/>
  <c r="W1038" i="6"/>
  <c r="X1038" i="6"/>
  <c r="Y1038" i="6"/>
  <c r="Z1038" i="6"/>
  <c r="AA1038" i="6"/>
  <c r="AB1038" i="6"/>
  <c r="AC1038" i="6"/>
  <c r="AD1038" i="6"/>
  <c r="AE1038" i="6"/>
  <c r="AF1038" i="6"/>
  <c r="AG1038" i="6"/>
  <c r="W1039" i="6"/>
  <c r="X1039" i="6"/>
  <c r="Y1039" i="6"/>
  <c r="Z1039" i="6"/>
  <c r="AA1039" i="6"/>
  <c r="AB1039" i="6"/>
  <c r="AC1039" i="6"/>
  <c r="AD1039" i="6"/>
  <c r="AE1039" i="6"/>
  <c r="AF1039" i="6"/>
  <c r="AG1039" i="6"/>
  <c r="W1040" i="6"/>
  <c r="X1040" i="6"/>
  <c r="Y1040" i="6"/>
  <c r="Z1040" i="6"/>
  <c r="AA1040" i="6"/>
  <c r="AB1040" i="6"/>
  <c r="AC1040" i="6"/>
  <c r="AD1040" i="6"/>
  <c r="AE1040" i="6"/>
  <c r="AF1040" i="6"/>
  <c r="AG1040" i="6"/>
  <c r="W1041" i="6"/>
  <c r="X1041" i="6"/>
  <c r="Y1041" i="6"/>
  <c r="Z1041" i="6"/>
  <c r="AA1041" i="6"/>
  <c r="AB1041" i="6"/>
  <c r="AC1041" i="6"/>
  <c r="AD1041" i="6"/>
  <c r="AE1041" i="6"/>
  <c r="AF1041" i="6"/>
  <c r="AG1041" i="6"/>
  <c r="W1042" i="6"/>
  <c r="X1042" i="6"/>
  <c r="Y1042" i="6"/>
  <c r="Z1042" i="6"/>
  <c r="AA1042" i="6"/>
  <c r="AB1042" i="6"/>
  <c r="AC1042" i="6"/>
  <c r="AD1042" i="6"/>
  <c r="AE1042" i="6"/>
  <c r="AF1042" i="6"/>
  <c r="AG1042" i="6"/>
  <c r="W1043" i="6"/>
  <c r="X1043" i="6"/>
  <c r="Y1043" i="6"/>
  <c r="Z1043" i="6"/>
  <c r="AA1043" i="6"/>
  <c r="AB1043" i="6"/>
  <c r="AC1043" i="6"/>
  <c r="AD1043" i="6"/>
  <c r="AE1043" i="6"/>
  <c r="AF1043" i="6"/>
  <c r="AG1043" i="6"/>
  <c r="W1044" i="6"/>
  <c r="X1044" i="6"/>
  <c r="Y1044" i="6"/>
  <c r="Z1044" i="6"/>
  <c r="AA1044" i="6"/>
  <c r="AB1044" i="6"/>
  <c r="AC1044" i="6"/>
  <c r="AD1044" i="6"/>
  <c r="AE1044" i="6"/>
  <c r="AF1044" i="6"/>
  <c r="AG1044" i="6"/>
  <c r="W1045" i="6"/>
  <c r="X1045" i="6"/>
  <c r="Y1045" i="6"/>
  <c r="Z1045" i="6"/>
  <c r="AA1045" i="6"/>
  <c r="AB1045" i="6"/>
  <c r="AC1045" i="6"/>
  <c r="AD1045" i="6"/>
  <c r="AE1045" i="6"/>
  <c r="AF1045" i="6"/>
  <c r="AG1045" i="6"/>
  <c r="W1046" i="6"/>
  <c r="X1046" i="6"/>
  <c r="Y1046" i="6"/>
  <c r="Z1046" i="6"/>
  <c r="AA1046" i="6"/>
  <c r="AB1046" i="6"/>
  <c r="AC1046" i="6"/>
  <c r="AD1046" i="6"/>
  <c r="AE1046" i="6"/>
  <c r="AF1046" i="6"/>
  <c r="AG1046" i="6"/>
  <c r="W1047" i="6"/>
  <c r="X1047" i="6"/>
  <c r="Y1047" i="6"/>
  <c r="Z1047" i="6"/>
  <c r="AA1047" i="6"/>
  <c r="AB1047" i="6"/>
  <c r="AC1047" i="6"/>
  <c r="AD1047" i="6"/>
  <c r="AE1047" i="6"/>
  <c r="AF1047" i="6"/>
  <c r="AG1047" i="6"/>
  <c r="W1048" i="6"/>
  <c r="X1048" i="6"/>
  <c r="Y1048" i="6"/>
  <c r="Z1048" i="6"/>
  <c r="AA1048" i="6"/>
  <c r="AB1048" i="6"/>
  <c r="AC1048" i="6"/>
  <c r="AD1048" i="6"/>
  <c r="AE1048" i="6"/>
  <c r="AF1048" i="6"/>
  <c r="AG1048" i="6"/>
  <c r="W1049" i="6"/>
  <c r="X1049" i="6"/>
  <c r="Y1049" i="6"/>
  <c r="Z1049" i="6"/>
  <c r="AA1049" i="6"/>
  <c r="AB1049" i="6"/>
  <c r="AC1049" i="6"/>
  <c r="AD1049" i="6"/>
  <c r="AE1049" i="6"/>
  <c r="AF1049" i="6"/>
  <c r="AG1049" i="6"/>
  <c r="W1050" i="6"/>
  <c r="X1050" i="6"/>
  <c r="Y1050" i="6"/>
  <c r="Z1050" i="6"/>
  <c r="AA1050" i="6"/>
  <c r="AB1050" i="6"/>
  <c r="AC1050" i="6"/>
  <c r="AD1050" i="6"/>
  <c r="AE1050" i="6"/>
  <c r="AF1050" i="6"/>
  <c r="AG1050" i="6"/>
  <c r="W1051" i="6"/>
  <c r="X1051" i="6"/>
  <c r="Y1051" i="6"/>
  <c r="Z1051" i="6"/>
  <c r="AA1051" i="6"/>
  <c r="AB1051" i="6"/>
  <c r="AC1051" i="6"/>
  <c r="AD1051" i="6"/>
  <c r="AE1051" i="6"/>
  <c r="AF1051" i="6"/>
  <c r="AG1051" i="6"/>
  <c r="W1052" i="6"/>
  <c r="X1052" i="6"/>
  <c r="Y1052" i="6"/>
  <c r="Z1052" i="6"/>
  <c r="AA1052" i="6"/>
  <c r="AB1052" i="6"/>
  <c r="AC1052" i="6"/>
  <c r="AD1052" i="6"/>
  <c r="AE1052" i="6"/>
  <c r="AF1052" i="6"/>
  <c r="AG1052" i="6"/>
  <c r="W1053" i="6"/>
  <c r="X1053" i="6"/>
  <c r="Y1053" i="6"/>
  <c r="Z1053" i="6"/>
  <c r="AA1053" i="6"/>
  <c r="AB1053" i="6"/>
  <c r="AC1053" i="6"/>
  <c r="AD1053" i="6"/>
  <c r="AE1053" i="6"/>
  <c r="AF1053" i="6"/>
  <c r="AG1053" i="6"/>
  <c r="W1054" i="6"/>
  <c r="X1054" i="6"/>
  <c r="Y1054" i="6"/>
  <c r="Z1054" i="6"/>
  <c r="AA1054" i="6"/>
  <c r="AB1054" i="6"/>
  <c r="AC1054" i="6"/>
  <c r="AD1054" i="6"/>
  <c r="AE1054" i="6"/>
  <c r="AF1054" i="6"/>
  <c r="AG1054" i="6"/>
  <c r="W1055" i="6"/>
  <c r="X1055" i="6"/>
  <c r="Y1055" i="6"/>
  <c r="Z1055" i="6"/>
  <c r="AA1055" i="6"/>
  <c r="AB1055" i="6"/>
  <c r="AC1055" i="6"/>
  <c r="AD1055" i="6"/>
  <c r="AE1055" i="6"/>
  <c r="AF1055" i="6"/>
  <c r="AG1055" i="6"/>
  <c r="W1056" i="6"/>
  <c r="X1056" i="6"/>
  <c r="Y1056" i="6"/>
  <c r="Z1056" i="6"/>
  <c r="AA1056" i="6"/>
  <c r="AB1056" i="6"/>
  <c r="AC1056" i="6"/>
  <c r="AD1056" i="6"/>
  <c r="AE1056" i="6"/>
  <c r="AF1056" i="6"/>
  <c r="AG1056" i="6"/>
  <c r="W1057" i="6"/>
  <c r="X1057" i="6"/>
  <c r="Y1057" i="6"/>
  <c r="Z1057" i="6"/>
  <c r="AA1057" i="6"/>
  <c r="AB1057" i="6"/>
  <c r="AC1057" i="6"/>
  <c r="AD1057" i="6"/>
  <c r="AE1057" i="6"/>
  <c r="AF1057" i="6"/>
  <c r="AG1057" i="6"/>
  <c r="W1058" i="6"/>
  <c r="X1058" i="6"/>
  <c r="Y1058" i="6"/>
  <c r="Z1058" i="6"/>
  <c r="AA1058" i="6"/>
  <c r="AB1058" i="6"/>
  <c r="AC1058" i="6"/>
  <c r="AD1058" i="6"/>
  <c r="AE1058" i="6"/>
  <c r="AF1058" i="6"/>
  <c r="AG1058" i="6"/>
  <c r="W1059" i="6"/>
  <c r="X1059" i="6"/>
  <c r="Y1059" i="6"/>
  <c r="Z1059" i="6"/>
  <c r="AA1059" i="6"/>
  <c r="AB1059" i="6"/>
  <c r="AC1059" i="6"/>
  <c r="AD1059" i="6"/>
  <c r="AE1059" i="6"/>
  <c r="AF1059" i="6"/>
  <c r="AG1059" i="6"/>
  <c r="W1060" i="6"/>
  <c r="X1060" i="6"/>
  <c r="Y1060" i="6"/>
  <c r="Z1060" i="6"/>
  <c r="AA1060" i="6"/>
  <c r="AB1060" i="6"/>
  <c r="AC1060" i="6"/>
  <c r="AD1060" i="6"/>
  <c r="AE1060" i="6"/>
  <c r="AF1060" i="6"/>
  <c r="AG1060" i="6"/>
  <c r="W1061" i="6"/>
  <c r="X1061" i="6"/>
  <c r="Y1061" i="6"/>
  <c r="Z1061" i="6"/>
  <c r="AA1061" i="6"/>
  <c r="AB1061" i="6"/>
  <c r="AC1061" i="6"/>
  <c r="AD1061" i="6"/>
  <c r="AE1061" i="6"/>
  <c r="AF1061" i="6"/>
  <c r="AG1061" i="6"/>
  <c r="W1062" i="6"/>
  <c r="X1062" i="6"/>
  <c r="Y1062" i="6"/>
  <c r="Z1062" i="6"/>
  <c r="AA1062" i="6"/>
  <c r="AB1062" i="6"/>
  <c r="AC1062" i="6"/>
  <c r="AD1062" i="6"/>
  <c r="AE1062" i="6"/>
  <c r="AF1062" i="6"/>
  <c r="AG1062" i="6"/>
  <c r="W1063" i="6"/>
  <c r="X1063" i="6"/>
  <c r="Y1063" i="6"/>
  <c r="Z1063" i="6"/>
  <c r="AA1063" i="6"/>
  <c r="AB1063" i="6"/>
  <c r="AC1063" i="6"/>
  <c r="AD1063" i="6"/>
  <c r="AE1063" i="6"/>
  <c r="AF1063" i="6"/>
  <c r="AG1063" i="6"/>
  <c r="W1064" i="6"/>
  <c r="X1064" i="6"/>
  <c r="Y1064" i="6"/>
  <c r="Z1064" i="6"/>
  <c r="AA1064" i="6"/>
  <c r="AB1064" i="6"/>
  <c r="AC1064" i="6"/>
  <c r="AD1064" i="6"/>
  <c r="AE1064" i="6"/>
  <c r="AF1064" i="6"/>
  <c r="AG1064" i="6"/>
  <c r="W1065" i="6"/>
  <c r="X1065" i="6"/>
  <c r="Y1065" i="6"/>
  <c r="Z1065" i="6"/>
  <c r="AA1065" i="6"/>
  <c r="AB1065" i="6"/>
  <c r="AC1065" i="6"/>
  <c r="AD1065" i="6"/>
  <c r="AE1065" i="6"/>
  <c r="AF1065" i="6"/>
  <c r="AG1065" i="6"/>
  <c r="W1066" i="6"/>
  <c r="X1066" i="6"/>
  <c r="Y1066" i="6"/>
  <c r="Z1066" i="6"/>
  <c r="AA1066" i="6"/>
  <c r="AB1066" i="6"/>
  <c r="AC1066" i="6"/>
  <c r="AD1066" i="6"/>
  <c r="AE1066" i="6"/>
  <c r="AF1066" i="6"/>
  <c r="AG1066" i="6"/>
  <c r="W1067" i="6"/>
  <c r="X1067" i="6"/>
  <c r="Y1067" i="6"/>
  <c r="Z1067" i="6"/>
  <c r="AA1067" i="6"/>
  <c r="AB1067" i="6"/>
  <c r="AC1067" i="6"/>
  <c r="AD1067" i="6"/>
  <c r="AE1067" i="6"/>
  <c r="AF1067" i="6"/>
  <c r="AG1067" i="6"/>
  <c r="W1068" i="6"/>
  <c r="X1068" i="6"/>
  <c r="Y1068" i="6"/>
  <c r="Z1068" i="6"/>
  <c r="AA1068" i="6"/>
  <c r="AB1068" i="6"/>
  <c r="AC1068" i="6"/>
  <c r="AD1068" i="6"/>
  <c r="AE1068" i="6"/>
  <c r="AF1068" i="6"/>
  <c r="AG1068" i="6"/>
  <c r="W1069" i="6"/>
  <c r="X1069" i="6"/>
  <c r="Y1069" i="6"/>
  <c r="Z1069" i="6"/>
  <c r="AA1069" i="6"/>
  <c r="AB1069" i="6"/>
  <c r="AC1069" i="6"/>
  <c r="AD1069" i="6"/>
  <c r="AE1069" i="6"/>
  <c r="AF1069" i="6"/>
  <c r="AG1069" i="6"/>
  <c r="W1070" i="6"/>
  <c r="X1070" i="6"/>
  <c r="Y1070" i="6"/>
  <c r="Z1070" i="6"/>
  <c r="AA1070" i="6"/>
  <c r="AB1070" i="6"/>
  <c r="AC1070" i="6"/>
  <c r="AD1070" i="6"/>
  <c r="AE1070" i="6"/>
  <c r="AF1070" i="6"/>
  <c r="AG1070" i="6"/>
  <c r="W1071" i="6"/>
  <c r="X1071" i="6"/>
  <c r="Y1071" i="6"/>
  <c r="Z1071" i="6"/>
  <c r="AA1071" i="6"/>
  <c r="AB1071" i="6"/>
  <c r="AC1071" i="6"/>
  <c r="AD1071" i="6"/>
  <c r="AE1071" i="6"/>
  <c r="AF1071" i="6"/>
  <c r="AG1071" i="6"/>
  <c r="W1072" i="6"/>
  <c r="X1072" i="6"/>
  <c r="Y1072" i="6"/>
  <c r="Z1072" i="6"/>
  <c r="AA1072" i="6"/>
  <c r="AB1072" i="6"/>
  <c r="AC1072" i="6"/>
  <c r="AD1072" i="6"/>
  <c r="AE1072" i="6"/>
  <c r="AF1072" i="6"/>
  <c r="AG1072" i="6"/>
  <c r="W1073" i="6"/>
  <c r="X1073" i="6"/>
  <c r="Y1073" i="6"/>
  <c r="Z1073" i="6"/>
  <c r="AA1073" i="6"/>
  <c r="AB1073" i="6"/>
  <c r="AC1073" i="6"/>
  <c r="AD1073" i="6"/>
  <c r="AE1073" i="6"/>
  <c r="AF1073" i="6"/>
  <c r="AG1073" i="6"/>
  <c r="W1074" i="6"/>
  <c r="X1074" i="6"/>
  <c r="Y1074" i="6"/>
  <c r="Z1074" i="6"/>
  <c r="AA1074" i="6"/>
  <c r="AB1074" i="6"/>
  <c r="AC1074" i="6"/>
  <c r="AD1074" i="6"/>
  <c r="AE1074" i="6"/>
  <c r="AF1074" i="6"/>
  <c r="AG1074" i="6"/>
  <c r="W1075" i="6"/>
  <c r="X1075" i="6"/>
  <c r="Y1075" i="6"/>
  <c r="Z1075" i="6"/>
  <c r="AA1075" i="6"/>
  <c r="AB1075" i="6"/>
  <c r="AC1075" i="6"/>
  <c r="AD1075" i="6"/>
  <c r="AE1075" i="6"/>
  <c r="AF1075" i="6"/>
  <c r="AG1075" i="6"/>
  <c r="W1076" i="6"/>
  <c r="X1076" i="6"/>
  <c r="Y1076" i="6"/>
  <c r="Z1076" i="6"/>
  <c r="AA1076" i="6"/>
  <c r="AB1076" i="6"/>
  <c r="AC1076" i="6"/>
  <c r="AD1076" i="6"/>
  <c r="AE1076" i="6"/>
  <c r="AF1076" i="6"/>
  <c r="AG1076" i="6"/>
  <c r="W1077" i="6"/>
  <c r="X1077" i="6"/>
  <c r="Y1077" i="6"/>
  <c r="Z1077" i="6"/>
  <c r="AA1077" i="6"/>
  <c r="AB1077" i="6"/>
  <c r="AC1077" i="6"/>
  <c r="AD1077" i="6"/>
  <c r="AE1077" i="6"/>
  <c r="AF1077" i="6"/>
  <c r="AG1077" i="6"/>
  <c r="W1078" i="6"/>
  <c r="X1078" i="6"/>
  <c r="Y1078" i="6"/>
  <c r="Z1078" i="6"/>
  <c r="AA1078" i="6"/>
  <c r="AB1078" i="6"/>
  <c r="AC1078" i="6"/>
  <c r="AD1078" i="6"/>
  <c r="AE1078" i="6"/>
  <c r="AF1078" i="6"/>
  <c r="AG1078" i="6"/>
  <c r="W1079" i="6"/>
  <c r="X1079" i="6"/>
  <c r="Y1079" i="6"/>
  <c r="Z1079" i="6"/>
  <c r="AA1079" i="6"/>
  <c r="AB1079" i="6"/>
  <c r="AC1079" i="6"/>
  <c r="AD1079" i="6"/>
  <c r="AE1079" i="6"/>
  <c r="AF1079" i="6"/>
  <c r="AG1079" i="6"/>
  <c r="W1080" i="6"/>
  <c r="X1080" i="6"/>
  <c r="Y1080" i="6"/>
  <c r="Z1080" i="6"/>
  <c r="AA1080" i="6"/>
  <c r="AB1080" i="6"/>
  <c r="AC1080" i="6"/>
  <c r="AD1080" i="6"/>
  <c r="AE1080" i="6"/>
  <c r="AF1080" i="6"/>
  <c r="AG1080" i="6"/>
  <c r="W1081" i="6"/>
  <c r="X1081" i="6"/>
  <c r="Y1081" i="6"/>
  <c r="Z1081" i="6"/>
  <c r="AA1081" i="6"/>
  <c r="AB1081" i="6"/>
  <c r="AC1081" i="6"/>
  <c r="AD1081" i="6"/>
  <c r="AE1081" i="6"/>
  <c r="AF1081" i="6"/>
  <c r="AG1081" i="6"/>
  <c r="W1082" i="6"/>
  <c r="X1082" i="6"/>
  <c r="Y1082" i="6"/>
  <c r="Z1082" i="6"/>
  <c r="AA1082" i="6"/>
  <c r="AB1082" i="6"/>
  <c r="AC1082" i="6"/>
  <c r="AD1082" i="6"/>
  <c r="AE1082" i="6"/>
  <c r="AF1082" i="6"/>
  <c r="AG1082" i="6"/>
  <c r="W1083" i="6"/>
  <c r="X1083" i="6"/>
  <c r="Y1083" i="6"/>
  <c r="Z1083" i="6"/>
  <c r="AA1083" i="6"/>
  <c r="AB1083" i="6"/>
  <c r="AC1083" i="6"/>
  <c r="AD1083" i="6"/>
  <c r="AE1083" i="6"/>
  <c r="AF1083" i="6"/>
  <c r="AG1083" i="6"/>
  <c r="W1084" i="6"/>
  <c r="X1084" i="6"/>
  <c r="Y1084" i="6"/>
  <c r="Z1084" i="6"/>
  <c r="AA1084" i="6"/>
  <c r="AB1084" i="6"/>
  <c r="AC1084" i="6"/>
  <c r="AD1084" i="6"/>
  <c r="AE1084" i="6"/>
  <c r="AF1084" i="6"/>
  <c r="AG1084" i="6"/>
  <c r="W1085" i="6"/>
  <c r="X1085" i="6"/>
  <c r="Y1085" i="6"/>
  <c r="Z1085" i="6"/>
  <c r="AA1085" i="6"/>
  <c r="AB1085" i="6"/>
  <c r="AC1085" i="6"/>
  <c r="AD1085" i="6"/>
  <c r="AE1085" i="6"/>
  <c r="AF1085" i="6"/>
  <c r="AG1085" i="6"/>
  <c r="W1086" i="6"/>
  <c r="X1086" i="6"/>
  <c r="Y1086" i="6"/>
  <c r="Z1086" i="6"/>
  <c r="AA1086" i="6"/>
  <c r="AB1086" i="6"/>
  <c r="AC1086" i="6"/>
  <c r="AD1086" i="6"/>
  <c r="AE1086" i="6"/>
  <c r="AF1086" i="6"/>
  <c r="AG1086" i="6"/>
  <c r="W1087" i="6"/>
  <c r="X1087" i="6"/>
  <c r="Y1087" i="6"/>
  <c r="Z1087" i="6"/>
  <c r="AA1087" i="6"/>
  <c r="AB1087" i="6"/>
  <c r="AC1087" i="6"/>
  <c r="AD1087" i="6"/>
  <c r="AE1087" i="6"/>
  <c r="AF1087" i="6"/>
  <c r="AG1087" i="6"/>
  <c r="W1088" i="6"/>
  <c r="X1088" i="6"/>
  <c r="Y1088" i="6"/>
  <c r="Z1088" i="6"/>
  <c r="AA1088" i="6"/>
  <c r="AB1088" i="6"/>
  <c r="AC1088" i="6"/>
  <c r="AD1088" i="6"/>
  <c r="AE1088" i="6"/>
  <c r="AF1088" i="6"/>
  <c r="AG1088" i="6"/>
  <c r="W1089" i="6"/>
  <c r="X1089" i="6"/>
  <c r="Y1089" i="6"/>
  <c r="Z1089" i="6"/>
  <c r="AA1089" i="6"/>
  <c r="AB1089" i="6"/>
  <c r="AC1089" i="6"/>
  <c r="AD1089" i="6"/>
  <c r="AE1089" i="6"/>
  <c r="AF1089" i="6"/>
  <c r="AG1089" i="6"/>
  <c r="W1090" i="6"/>
  <c r="X1090" i="6"/>
  <c r="Y1090" i="6"/>
  <c r="Z1090" i="6"/>
  <c r="AA1090" i="6"/>
  <c r="AB1090" i="6"/>
  <c r="AC1090" i="6"/>
  <c r="AD1090" i="6"/>
  <c r="AE1090" i="6"/>
  <c r="AF1090" i="6"/>
  <c r="AG1090" i="6"/>
  <c r="W1091" i="6"/>
  <c r="X1091" i="6"/>
  <c r="Y1091" i="6"/>
  <c r="Z1091" i="6"/>
  <c r="AA1091" i="6"/>
  <c r="AB1091" i="6"/>
  <c r="AC1091" i="6"/>
  <c r="AD1091" i="6"/>
  <c r="AE1091" i="6"/>
  <c r="AF1091" i="6"/>
  <c r="AG1091" i="6"/>
  <c r="W1092" i="6"/>
  <c r="X1092" i="6"/>
  <c r="Y1092" i="6"/>
  <c r="Z1092" i="6"/>
  <c r="AA1092" i="6"/>
  <c r="AB1092" i="6"/>
  <c r="AC1092" i="6"/>
  <c r="AD1092" i="6"/>
  <c r="AE1092" i="6"/>
  <c r="AF1092" i="6"/>
  <c r="AG1092" i="6"/>
  <c r="W1093" i="6"/>
  <c r="X1093" i="6"/>
  <c r="Y1093" i="6"/>
  <c r="Z1093" i="6"/>
  <c r="AA1093" i="6"/>
  <c r="AB1093" i="6"/>
  <c r="AC1093" i="6"/>
  <c r="AD1093" i="6"/>
  <c r="AE1093" i="6"/>
  <c r="AF1093" i="6"/>
  <c r="AG1093" i="6"/>
  <c r="W1094" i="6"/>
  <c r="X1094" i="6"/>
  <c r="Y1094" i="6"/>
  <c r="Z1094" i="6"/>
  <c r="AA1094" i="6"/>
  <c r="AB1094" i="6"/>
  <c r="AC1094" i="6"/>
  <c r="AD1094" i="6"/>
  <c r="AE1094" i="6"/>
  <c r="AF1094" i="6"/>
  <c r="AG1094" i="6"/>
  <c r="W1095" i="6"/>
  <c r="X1095" i="6"/>
  <c r="Y1095" i="6"/>
  <c r="Z1095" i="6"/>
  <c r="AA1095" i="6"/>
  <c r="AB1095" i="6"/>
  <c r="AC1095" i="6"/>
  <c r="AD1095" i="6"/>
  <c r="AE1095" i="6"/>
  <c r="AF1095" i="6"/>
  <c r="AG1095" i="6"/>
  <c r="W1096" i="6"/>
  <c r="X1096" i="6"/>
  <c r="Y1096" i="6"/>
  <c r="Z1096" i="6"/>
  <c r="AA1096" i="6"/>
  <c r="AB1096" i="6"/>
  <c r="AC1096" i="6"/>
  <c r="AD1096" i="6"/>
  <c r="AE1096" i="6"/>
  <c r="AF1096" i="6"/>
  <c r="AG1096" i="6"/>
  <c r="W1097" i="6"/>
  <c r="X1097" i="6"/>
  <c r="Y1097" i="6"/>
  <c r="Z1097" i="6"/>
  <c r="AA1097" i="6"/>
  <c r="AB1097" i="6"/>
  <c r="AC1097" i="6"/>
  <c r="AD1097" i="6"/>
  <c r="AE1097" i="6"/>
  <c r="AF1097" i="6"/>
  <c r="AG1097" i="6"/>
  <c r="W1098" i="6"/>
  <c r="X1098" i="6"/>
  <c r="Y1098" i="6"/>
  <c r="Z1098" i="6"/>
  <c r="AA1098" i="6"/>
  <c r="AB1098" i="6"/>
  <c r="AC1098" i="6"/>
  <c r="AD1098" i="6"/>
  <c r="AE1098" i="6"/>
  <c r="AF1098" i="6"/>
  <c r="AG1098" i="6"/>
  <c r="W1099" i="6"/>
  <c r="X1099" i="6"/>
  <c r="Y1099" i="6"/>
  <c r="Z1099" i="6"/>
  <c r="AA1099" i="6"/>
  <c r="AB1099" i="6"/>
  <c r="AC1099" i="6"/>
  <c r="AD1099" i="6"/>
  <c r="AE1099" i="6"/>
  <c r="AF1099" i="6"/>
  <c r="AG1099" i="6"/>
  <c r="W1100" i="6"/>
  <c r="X1100" i="6"/>
  <c r="Y1100" i="6"/>
  <c r="Z1100" i="6"/>
  <c r="AA1100" i="6"/>
  <c r="AB1100" i="6"/>
  <c r="AC1100" i="6"/>
  <c r="AD1100" i="6"/>
  <c r="AE1100" i="6"/>
  <c r="AF1100" i="6"/>
  <c r="AG1100" i="6"/>
  <c r="W1101" i="6"/>
  <c r="X1101" i="6"/>
  <c r="Y1101" i="6"/>
  <c r="Z1101" i="6"/>
  <c r="AA1101" i="6"/>
  <c r="AB1101" i="6"/>
  <c r="AC1101" i="6"/>
  <c r="AD1101" i="6"/>
  <c r="AE1101" i="6"/>
  <c r="AF1101" i="6"/>
  <c r="AG1101" i="6"/>
  <c r="W1102" i="6"/>
  <c r="X1102" i="6"/>
  <c r="Y1102" i="6"/>
  <c r="Z1102" i="6"/>
  <c r="AA1102" i="6"/>
  <c r="AB1102" i="6"/>
  <c r="AC1102" i="6"/>
  <c r="AD1102" i="6"/>
  <c r="AE1102" i="6"/>
  <c r="AF1102" i="6"/>
  <c r="AG1102" i="6"/>
  <c r="W1103" i="6"/>
  <c r="X1103" i="6"/>
  <c r="Y1103" i="6"/>
  <c r="Z1103" i="6"/>
  <c r="AA1103" i="6"/>
  <c r="AB1103" i="6"/>
  <c r="AC1103" i="6"/>
  <c r="AD1103" i="6"/>
  <c r="AE1103" i="6"/>
  <c r="AF1103" i="6"/>
  <c r="AG1103" i="6"/>
  <c r="W1104" i="6"/>
  <c r="X1104" i="6"/>
  <c r="Y1104" i="6"/>
  <c r="Z1104" i="6"/>
  <c r="AA1104" i="6"/>
  <c r="AB1104" i="6"/>
  <c r="AC1104" i="6"/>
  <c r="AD1104" i="6"/>
  <c r="AE1104" i="6"/>
  <c r="AF1104" i="6"/>
  <c r="AG1104" i="6"/>
  <c r="W1105" i="6"/>
  <c r="X1105" i="6"/>
  <c r="Y1105" i="6"/>
  <c r="Z1105" i="6"/>
  <c r="AA1105" i="6"/>
  <c r="AB1105" i="6"/>
  <c r="AC1105" i="6"/>
  <c r="AD1105" i="6"/>
  <c r="AE1105" i="6"/>
  <c r="AF1105" i="6"/>
  <c r="AG1105" i="6"/>
  <c r="W1106" i="6"/>
  <c r="X1106" i="6"/>
  <c r="Y1106" i="6"/>
  <c r="Z1106" i="6"/>
  <c r="AA1106" i="6"/>
  <c r="AB1106" i="6"/>
  <c r="AC1106" i="6"/>
  <c r="AD1106" i="6"/>
  <c r="AE1106" i="6"/>
  <c r="AF1106" i="6"/>
  <c r="AG1106" i="6"/>
  <c r="W1107" i="6"/>
  <c r="X1107" i="6"/>
  <c r="Y1107" i="6"/>
  <c r="Z1107" i="6"/>
  <c r="AA1107" i="6"/>
  <c r="AB1107" i="6"/>
  <c r="AC1107" i="6"/>
  <c r="AD1107" i="6"/>
  <c r="AE1107" i="6"/>
  <c r="AF1107" i="6"/>
  <c r="AG1107" i="6"/>
  <c r="W1108" i="6"/>
  <c r="X1108" i="6"/>
  <c r="Y1108" i="6"/>
  <c r="Z1108" i="6"/>
  <c r="AA1108" i="6"/>
  <c r="AB1108" i="6"/>
  <c r="AC1108" i="6"/>
  <c r="AD1108" i="6"/>
  <c r="AE1108" i="6"/>
  <c r="AF1108" i="6"/>
  <c r="AG1108" i="6"/>
  <c r="W1109" i="6"/>
  <c r="X1109" i="6"/>
  <c r="Y1109" i="6"/>
  <c r="Z1109" i="6"/>
  <c r="AA1109" i="6"/>
  <c r="AB1109" i="6"/>
  <c r="AC1109" i="6"/>
  <c r="AD1109" i="6"/>
  <c r="AE1109" i="6"/>
  <c r="AF1109" i="6"/>
  <c r="AG1109" i="6"/>
  <c r="W1110" i="6"/>
  <c r="X1110" i="6"/>
  <c r="Y1110" i="6"/>
  <c r="Z1110" i="6"/>
  <c r="AA1110" i="6"/>
  <c r="AB1110" i="6"/>
  <c r="AC1110" i="6"/>
  <c r="AD1110" i="6"/>
  <c r="AE1110" i="6"/>
  <c r="AF1110" i="6"/>
  <c r="AG1110" i="6"/>
  <c r="W1111" i="6"/>
  <c r="X1111" i="6"/>
  <c r="Y1111" i="6"/>
  <c r="Z1111" i="6"/>
  <c r="AA1111" i="6"/>
  <c r="AB1111" i="6"/>
  <c r="AC1111" i="6"/>
  <c r="AD1111" i="6"/>
  <c r="AE1111" i="6"/>
  <c r="AF1111" i="6"/>
  <c r="AG1111" i="6"/>
  <c r="W1112" i="6"/>
  <c r="X1112" i="6"/>
  <c r="Y1112" i="6"/>
  <c r="Z1112" i="6"/>
  <c r="AA1112" i="6"/>
  <c r="AB1112" i="6"/>
  <c r="AC1112" i="6"/>
  <c r="AD1112" i="6"/>
  <c r="AE1112" i="6"/>
  <c r="AF1112" i="6"/>
  <c r="AG1112" i="6"/>
  <c r="W1113" i="6"/>
  <c r="X1113" i="6"/>
  <c r="Y1113" i="6"/>
  <c r="Z1113" i="6"/>
  <c r="AA1113" i="6"/>
  <c r="AB1113" i="6"/>
  <c r="AC1113" i="6"/>
  <c r="AD1113" i="6"/>
  <c r="AE1113" i="6"/>
  <c r="AF1113" i="6"/>
  <c r="AG1113" i="6"/>
  <c r="W1114" i="6"/>
  <c r="X1114" i="6"/>
  <c r="Y1114" i="6"/>
  <c r="Z1114" i="6"/>
  <c r="AA1114" i="6"/>
  <c r="AB1114" i="6"/>
  <c r="AC1114" i="6"/>
  <c r="AD1114" i="6"/>
  <c r="AE1114" i="6"/>
  <c r="AF1114" i="6"/>
  <c r="AG1114" i="6"/>
  <c r="W1115" i="6"/>
  <c r="X1115" i="6"/>
  <c r="Y1115" i="6"/>
  <c r="Z1115" i="6"/>
  <c r="AA1115" i="6"/>
  <c r="AB1115" i="6"/>
  <c r="AC1115" i="6"/>
  <c r="AD1115" i="6"/>
  <c r="AE1115" i="6"/>
  <c r="AF1115" i="6"/>
  <c r="AG1115" i="6"/>
  <c r="W1116" i="6"/>
  <c r="X1116" i="6"/>
  <c r="Y1116" i="6"/>
  <c r="Z1116" i="6"/>
  <c r="AA1116" i="6"/>
  <c r="AB1116" i="6"/>
  <c r="AC1116" i="6"/>
  <c r="AD1116" i="6"/>
  <c r="AE1116" i="6"/>
  <c r="AF1116" i="6"/>
  <c r="AG1116" i="6"/>
  <c r="W1117" i="6"/>
  <c r="X1117" i="6"/>
  <c r="Y1117" i="6"/>
  <c r="Z1117" i="6"/>
  <c r="AA1117" i="6"/>
  <c r="AB1117" i="6"/>
  <c r="AC1117" i="6"/>
  <c r="AD1117" i="6"/>
  <c r="AE1117" i="6"/>
  <c r="AF1117" i="6"/>
  <c r="AG1117" i="6"/>
  <c r="W1118" i="6"/>
  <c r="X1118" i="6"/>
  <c r="Y1118" i="6"/>
  <c r="Z1118" i="6"/>
  <c r="AA1118" i="6"/>
  <c r="AB1118" i="6"/>
  <c r="AC1118" i="6"/>
  <c r="AD1118" i="6"/>
  <c r="AE1118" i="6"/>
  <c r="AF1118" i="6"/>
  <c r="AG1118" i="6"/>
  <c r="W1119" i="6"/>
  <c r="X1119" i="6"/>
  <c r="Y1119" i="6"/>
  <c r="Z1119" i="6"/>
  <c r="AA1119" i="6"/>
  <c r="AB1119" i="6"/>
  <c r="AC1119" i="6"/>
  <c r="AD1119" i="6"/>
  <c r="AE1119" i="6"/>
  <c r="AF1119" i="6"/>
  <c r="AG1119" i="6"/>
  <c r="W1120" i="6"/>
  <c r="X1120" i="6"/>
  <c r="Y1120" i="6"/>
  <c r="Z1120" i="6"/>
  <c r="AA1120" i="6"/>
  <c r="AB1120" i="6"/>
  <c r="AC1120" i="6"/>
  <c r="AD1120" i="6"/>
  <c r="AE1120" i="6"/>
  <c r="AF1120" i="6"/>
  <c r="AG1120" i="6"/>
  <c r="W1121" i="6"/>
  <c r="X1121" i="6"/>
  <c r="Y1121" i="6"/>
  <c r="Z1121" i="6"/>
  <c r="AA1121" i="6"/>
  <c r="AB1121" i="6"/>
  <c r="AC1121" i="6"/>
  <c r="AD1121" i="6"/>
  <c r="AE1121" i="6"/>
  <c r="AF1121" i="6"/>
  <c r="AG1121" i="6"/>
  <c r="W1122" i="6"/>
  <c r="X1122" i="6"/>
  <c r="Y1122" i="6"/>
  <c r="Z1122" i="6"/>
  <c r="AA1122" i="6"/>
  <c r="AB1122" i="6"/>
  <c r="AC1122" i="6"/>
  <c r="AD1122" i="6"/>
  <c r="AE1122" i="6"/>
  <c r="AF1122" i="6"/>
  <c r="AG1122" i="6"/>
  <c r="W1123" i="6"/>
  <c r="X1123" i="6"/>
  <c r="Y1123" i="6"/>
  <c r="Z1123" i="6"/>
  <c r="AA1123" i="6"/>
  <c r="AB1123" i="6"/>
  <c r="AC1123" i="6"/>
  <c r="AD1123" i="6"/>
  <c r="AE1123" i="6"/>
  <c r="AF1123" i="6"/>
  <c r="AG1123" i="6"/>
  <c r="W1124" i="6"/>
  <c r="X1124" i="6"/>
  <c r="Y1124" i="6"/>
  <c r="Z1124" i="6"/>
  <c r="AA1124" i="6"/>
  <c r="AB1124" i="6"/>
  <c r="AC1124" i="6"/>
  <c r="AD1124" i="6"/>
  <c r="AE1124" i="6"/>
  <c r="AF1124" i="6"/>
  <c r="AG1124" i="6"/>
  <c r="W1125" i="6"/>
  <c r="X1125" i="6"/>
  <c r="Y1125" i="6"/>
  <c r="Z1125" i="6"/>
  <c r="AA1125" i="6"/>
  <c r="AB1125" i="6"/>
  <c r="AC1125" i="6"/>
  <c r="AD1125" i="6"/>
  <c r="AE1125" i="6"/>
  <c r="AF1125" i="6"/>
  <c r="AG1125" i="6"/>
  <c r="W1126" i="6"/>
  <c r="X1126" i="6"/>
  <c r="Y1126" i="6"/>
  <c r="Z1126" i="6"/>
  <c r="AA1126" i="6"/>
  <c r="AB1126" i="6"/>
  <c r="AC1126" i="6"/>
  <c r="AD1126" i="6"/>
  <c r="AE1126" i="6"/>
  <c r="AF1126" i="6"/>
  <c r="AG1126" i="6"/>
  <c r="W1127" i="6"/>
  <c r="X1127" i="6"/>
  <c r="Y1127" i="6"/>
  <c r="Z1127" i="6"/>
  <c r="AA1127" i="6"/>
  <c r="AB1127" i="6"/>
  <c r="AC1127" i="6"/>
  <c r="AD1127" i="6"/>
  <c r="AE1127" i="6"/>
  <c r="AF1127" i="6"/>
  <c r="AG1127" i="6"/>
  <c r="W1128" i="6"/>
  <c r="X1128" i="6"/>
  <c r="Y1128" i="6"/>
  <c r="Z1128" i="6"/>
  <c r="AA1128" i="6"/>
  <c r="AB1128" i="6"/>
  <c r="AC1128" i="6"/>
  <c r="AD1128" i="6"/>
  <c r="AE1128" i="6"/>
  <c r="AF1128" i="6"/>
  <c r="AG1128" i="6"/>
  <c r="W1129" i="6"/>
  <c r="X1129" i="6"/>
  <c r="Y1129" i="6"/>
  <c r="Z1129" i="6"/>
  <c r="AA1129" i="6"/>
  <c r="AB1129" i="6"/>
  <c r="AC1129" i="6"/>
  <c r="AD1129" i="6"/>
  <c r="AE1129" i="6"/>
  <c r="AF1129" i="6"/>
  <c r="AG1129" i="6"/>
  <c r="X866" i="6"/>
  <c r="Y866" i="6"/>
  <c r="Z866" i="6"/>
  <c r="AA866" i="6"/>
  <c r="AB866" i="6"/>
  <c r="AC866" i="6"/>
  <c r="AD866" i="6"/>
  <c r="AE866" i="6"/>
  <c r="AF866" i="6"/>
  <c r="AG866" i="6"/>
  <c r="W866" i="6"/>
  <c r="B987" i="6"/>
  <c r="C987" i="6"/>
  <c r="D987" i="6"/>
  <c r="E987" i="6"/>
  <c r="F987" i="6"/>
  <c r="G987" i="6"/>
  <c r="H987" i="6"/>
  <c r="I987" i="6"/>
  <c r="J987" i="6"/>
  <c r="K987" i="6"/>
  <c r="L987" i="6"/>
  <c r="M987" i="6"/>
  <c r="N987" i="6"/>
  <c r="O987" i="6"/>
  <c r="P987" i="6"/>
  <c r="Q987" i="6"/>
  <c r="R987" i="6"/>
  <c r="S987" i="6"/>
  <c r="T987" i="6"/>
  <c r="U987" i="6"/>
  <c r="V987" i="6"/>
  <c r="B988" i="6"/>
  <c r="C988" i="6"/>
  <c r="D988" i="6"/>
  <c r="E988" i="6"/>
  <c r="F988" i="6"/>
  <c r="G988" i="6"/>
  <c r="H988" i="6"/>
  <c r="I988" i="6"/>
  <c r="J988" i="6"/>
  <c r="K988" i="6"/>
  <c r="L988" i="6"/>
  <c r="M988" i="6"/>
  <c r="N988" i="6"/>
  <c r="O988" i="6"/>
  <c r="P988" i="6"/>
  <c r="Q988" i="6"/>
  <c r="R988" i="6"/>
  <c r="S988" i="6"/>
  <c r="T988" i="6"/>
  <c r="U988" i="6"/>
  <c r="V988" i="6"/>
  <c r="B989" i="6"/>
  <c r="C989" i="6"/>
  <c r="D989" i="6"/>
  <c r="E989" i="6"/>
  <c r="F989" i="6"/>
  <c r="G989" i="6"/>
  <c r="H989" i="6"/>
  <c r="I989" i="6"/>
  <c r="J989" i="6"/>
  <c r="K989" i="6"/>
  <c r="L989" i="6"/>
  <c r="M989" i="6"/>
  <c r="N989" i="6"/>
  <c r="O989" i="6"/>
  <c r="P989" i="6"/>
  <c r="Q989" i="6"/>
  <c r="R989" i="6"/>
  <c r="S989" i="6"/>
  <c r="T989" i="6"/>
  <c r="U989" i="6"/>
  <c r="V989" i="6"/>
  <c r="B990" i="6"/>
  <c r="C990" i="6"/>
  <c r="D990" i="6"/>
  <c r="E990" i="6"/>
  <c r="F990" i="6"/>
  <c r="G990" i="6"/>
  <c r="H990" i="6"/>
  <c r="I990" i="6"/>
  <c r="J990" i="6"/>
  <c r="K990" i="6"/>
  <c r="L990" i="6"/>
  <c r="M990" i="6"/>
  <c r="N990" i="6"/>
  <c r="O990" i="6"/>
  <c r="P990" i="6"/>
  <c r="Q990" i="6"/>
  <c r="R990" i="6"/>
  <c r="S990" i="6"/>
  <c r="T990" i="6"/>
  <c r="U990" i="6"/>
  <c r="V990" i="6"/>
  <c r="B991" i="6"/>
  <c r="C991" i="6"/>
  <c r="D991" i="6"/>
  <c r="E991" i="6"/>
  <c r="F991" i="6"/>
  <c r="G991" i="6"/>
  <c r="H991" i="6"/>
  <c r="I991" i="6"/>
  <c r="J991" i="6"/>
  <c r="K991" i="6"/>
  <c r="L991" i="6"/>
  <c r="M991" i="6"/>
  <c r="N991" i="6"/>
  <c r="O991" i="6"/>
  <c r="P991" i="6"/>
  <c r="Q991" i="6"/>
  <c r="R991" i="6"/>
  <c r="S991" i="6"/>
  <c r="T991" i="6"/>
  <c r="U991" i="6"/>
  <c r="V991" i="6"/>
  <c r="B992" i="6"/>
  <c r="C992" i="6"/>
  <c r="D992" i="6"/>
  <c r="E992" i="6"/>
  <c r="F992" i="6"/>
  <c r="G992" i="6"/>
  <c r="H992" i="6"/>
  <c r="I992" i="6"/>
  <c r="J992" i="6"/>
  <c r="K992" i="6"/>
  <c r="L992" i="6"/>
  <c r="M992" i="6"/>
  <c r="N992" i="6"/>
  <c r="O992" i="6"/>
  <c r="P992" i="6"/>
  <c r="Q992" i="6"/>
  <c r="R992" i="6"/>
  <c r="S992" i="6"/>
  <c r="T992" i="6"/>
  <c r="U992" i="6"/>
  <c r="V992" i="6"/>
  <c r="B993" i="6"/>
  <c r="C993" i="6"/>
  <c r="D993" i="6"/>
  <c r="E993" i="6"/>
  <c r="F993" i="6"/>
  <c r="G993" i="6"/>
  <c r="H993" i="6"/>
  <c r="I993" i="6"/>
  <c r="J993" i="6"/>
  <c r="K993" i="6"/>
  <c r="L993" i="6"/>
  <c r="M993" i="6"/>
  <c r="N993" i="6"/>
  <c r="O993" i="6"/>
  <c r="P993" i="6"/>
  <c r="Q993" i="6"/>
  <c r="R993" i="6"/>
  <c r="S993" i="6"/>
  <c r="T993" i="6"/>
  <c r="U993" i="6"/>
  <c r="V993" i="6"/>
  <c r="B994" i="6"/>
  <c r="C994" i="6"/>
  <c r="D994" i="6"/>
  <c r="E994" i="6"/>
  <c r="F994" i="6"/>
  <c r="G994" i="6"/>
  <c r="H994" i="6"/>
  <c r="I994" i="6"/>
  <c r="J994" i="6"/>
  <c r="K994" i="6"/>
  <c r="L994" i="6"/>
  <c r="M994" i="6"/>
  <c r="N994" i="6"/>
  <c r="O994" i="6"/>
  <c r="P994" i="6"/>
  <c r="Q994" i="6"/>
  <c r="R994" i="6"/>
  <c r="S994" i="6"/>
  <c r="T994" i="6"/>
  <c r="U994" i="6"/>
  <c r="V994" i="6"/>
  <c r="B995" i="6"/>
  <c r="C995" i="6"/>
  <c r="D995" i="6"/>
  <c r="E995" i="6"/>
  <c r="F995" i="6"/>
  <c r="G995" i="6"/>
  <c r="H995" i="6"/>
  <c r="I995" i="6"/>
  <c r="J995" i="6"/>
  <c r="K995" i="6"/>
  <c r="L995" i="6"/>
  <c r="M995" i="6"/>
  <c r="N995" i="6"/>
  <c r="O995" i="6"/>
  <c r="P995" i="6"/>
  <c r="Q995" i="6"/>
  <c r="R995" i="6"/>
  <c r="S995" i="6"/>
  <c r="T995" i="6"/>
  <c r="U995" i="6"/>
  <c r="V995" i="6"/>
  <c r="B996" i="6"/>
  <c r="C996" i="6"/>
  <c r="D996" i="6"/>
  <c r="E996" i="6"/>
  <c r="F996" i="6"/>
  <c r="G996" i="6"/>
  <c r="H996" i="6"/>
  <c r="I996" i="6"/>
  <c r="J996" i="6"/>
  <c r="K996" i="6"/>
  <c r="L996" i="6"/>
  <c r="M996" i="6"/>
  <c r="N996" i="6"/>
  <c r="O996" i="6"/>
  <c r="P996" i="6"/>
  <c r="Q996" i="6"/>
  <c r="R996" i="6"/>
  <c r="S996" i="6"/>
  <c r="T996" i="6"/>
  <c r="U996" i="6"/>
  <c r="V996" i="6"/>
  <c r="B997" i="6"/>
  <c r="C997" i="6"/>
  <c r="D997" i="6"/>
  <c r="E997" i="6"/>
  <c r="F997" i="6"/>
  <c r="G997" i="6"/>
  <c r="H997" i="6"/>
  <c r="I997" i="6"/>
  <c r="J997" i="6"/>
  <c r="K997" i="6"/>
  <c r="L997" i="6"/>
  <c r="M997" i="6"/>
  <c r="N997" i="6"/>
  <c r="O997" i="6"/>
  <c r="P997" i="6"/>
  <c r="Q997" i="6"/>
  <c r="R997" i="6"/>
  <c r="S997" i="6"/>
  <c r="T997" i="6"/>
  <c r="U997" i="6"/>
  <c r="V997" i="6"/>
  <c r="B998" i="6"/>
  <c r="C998" i="6"/>
  <c r="D998" i="6"/>
  <c r="E998" i="6"/>
  <c r="F998" i="6"/>
  <c r="G998" i="6"/>
  <c r="H998" i="6"/>
  <c r="I998" i="6"/>
  <c r="J998" i="6"/>
  <c r="K998" i="6"/>
  <c r="L998" i="6"/>
  <c r="M998" i="6"/>
  <c r="N998" i="6"/>
  <c r="O998" i="6"/>
  <c r="P998" i="6"/>
  <c r="Q998" i="6"/>
  <c r="R998" i="6"/>
  <c r="S998" i="6"/>
  <c r="T998" i="6"/>
  <c r="U998" i="6"/>
  <c r="V998" i="6"/>
  <c r="B999" i="6"/>
  <c r="C999" i="6"/>
  <c r="D999" i="6"/>
  <c r="E999" i="6"/>
  <c r="F999" i="6"/>
  <c r="G999" i="6"/>
  <c r="H999" i="6"/>
  <c r="I999" i="6"/>
  <c r="J999" i="6"/>
  <c r="K999" i="6"/>
  <c r="L999" i="6"/>
  <c r="M999" i="6"/>
  <c r="N999" i="6"/>
  <c r="O999" i="6"/>
  <c r="P999" i="6"/>
  <c r="Q999" i="6"/>
  <c r="R999" i="6"/>
  <c r="S999" i="6"/>
  <c r="T999" i="6"/>
  <c r="U999" i="6"/>
  <c r="V999" i="6"/>
  <c r="B1000" i="6"/>
  <c r="C1000" i="6"/>
  <c r="D1000" i="6"/>
  <c r="E1000" i="6"/>
  <c r="F1000" i="6"/>
  <c r="G1000" i="6"/>
  <c r="H1000" i="6"/>
  <c r="I1000" i="6"/>
  <c r="J1000" i="6"/>
  <c r="K1000" i="6"/>
  <c r="L1000" i="6"/>
  <c r="M1000" i="6"/>
  <c r="N1000" i="6"/>
  <c r="O1000" i="6"/>
  <c r="P1000" i="6"/>
  <c r="Q1000" i="6"/>
  <c r="R1000" i="6"/>
  <c r="S1000" i="6"/>
  <c r="T1000" i="6"/>
  <c r="U1000" i="6"/>
  <c r="V1000" i="6"/>
  <c r="B1001" i="6"/>
  <c r="C1001" i="6"/>
  <c r="D1001" i="6"/>
  <c r="E1001" i="6"/>
  <c r="F1001" i="6"/>
  <c r="G1001" i="6"/>
  <c r="H1001" i="6"/>
  <c r="I1001" i="6"/>
  <c r="J1001" i="6"/>
  <c r="K1001" i="6"/>
  <c r="L1001" i="6"/>
  <c r="M1001" i="6"/>
  <c r="N1001" i="6"/>
  <c r="O1001" i="6"/>
  <c r="P1001" i="6"/>
  <c r="Q1001" i="6"/>
  <c r="R1001" i="6"/>
  <c r="S1001" i="6"/>
  <c r="T1001" i="6"/>
  <c r="U1001" i="6"/>
  <c r="V1001" i="6"/>
  <c r="B1002" i="6"/>
  <c r="C1002" i="6"/>
  <c r="D1002" i="6"/>
  <c r="E1002" i="6"/>
  <c r="F1002" i="6"/>
  <c r="G1002" i="6"/>
  <c r="H1002" i="6"/>
  <c r="I1002" i="6"/>
  <c r="J1002" i="6"/>
  <c r="K1002" i="6"/>
  <c r="L1002" i="6"/>
  <c r="M1002" i="6"/>
  <c r="N1002" i="6"/>
  <c r="O1002" i="6"/>
  <c r="P1002" i="6"/>
  <c r="Q1002" i="6"/>
  <c r="R1002" i="6"/>
  <c r="S1002" i="6"/>
  <c r="T1002" i="6"/>
  <c r="U1002" i="6"/>
  <c r="V1002" i="6"/>
  <c r="B1003" i="6"/>
  <c r="C1003" i="6"/>
  <c r="D1003" i="6"/>
  <c r="E1003" i="6"/>
  <c r="F1003" i="6"/>
  <c r="G1003" i="6"/>
  <c r="H1003" i="6"/>
  <c r="I1003" i="6"/>
  <c r="J1003" i="6"/>
  <c r="K1003" i="6"/>
  <c r="L1003" i="6"/>
  <c r="M1003" i="6"/>
  <c r="N1003" i="6"/>
  <c r="O1003" i="6"/>
  <c r="P1003" i="6"/>
  <c r="Q1003" i="6"/>
  <c r="R1003" i="6"/>
  <c r="S1003" i="6"/>
  <c r="T1003" i="6"/>
  <c r="U1003" i="6"/>
  <c r="V1003" i="6"/>
  <c r="B1004" i="6"/>
  <c r="C1004" i="6"/>
  <c r="D1004" i="6"/>
  <c r="E1004" i="6"/>
  <c r="F1004" i="6"/>
  <c r="G1004" i="6"/>
  <c r="H1004" i="6"/>
  <c r="I1004" i="6"/>
  <c r="J1004" i="6"/>
  <c r="K1004" i="6"/>
  <c r="L1004" i="6"/>
  <c r="M1004" i="6"/>
  <c r="N1004" i="6"/>
  <c r="O1004" i="6"/>
  <c r="P1004" i="6"/>
  <c r="Q1004" i="6"/>
  <c r="R1004" i="6"/>
  <c r="S1004" i="6"/>
  <c r="T1004" i="6"/>
  <c r="U1004" i="6"/>
  <c r="V1004" i="6"/>
  <c r="B1005" i="6"/>
  <c r="C1005" i="6"/>
  <c r="D1005" i="6"/>
  <c r="E1005" i="6"/>
  <c r="F1005" i="6"/>
  <c r="G1005" i="6"/>
  <c r="H1005" i="6"/>
  <c r="I1005" i="6"/>
  <c r="J1005" i="6"/>
  <c r="K1005" i="6"/>
  <c r="L1005" i="6"/>
  <c r="M1005" i="6"/>
  <c r="N1005" i="6"/>
  <c r="O1005" i="6"/>
  <c r="P1005" i="6"/>
  <c r="Q1005" i="6"/>
  <c r="R1005" i="6"/>
  <c r="S1005" i="6"/>
  <c r="T1005" i="6"/>
  <c r="U1005" i="6"/>
  <c r="V1005" i="6"/>
  <c r="B1006" i="6"/>
  <c r="C1006" i="6"/>
  <c r="D1006" i="6"/>
  <c r="E1006" i="6"/>
  <c r="F1006" i="6"/>
  <c r="G1006" i="6"/>
  <c r="H1006" i="6"/>
  <c r="I1006" i="6"/>
  <c r="J1006" i="6"/>
  <c r="K1006" i="6"/>
  <c r="L1006" i="6"/>
  <c r="M1006" i="6"/>
  <c r="N1006" i="6"/>
  <c r="O1006" i="6"/>
  <c r="P1006" i="6"/>
  <c r="Q1006" i="6"/>
  <c r="R1006" i="6"/>
  <c r="S1006" i="6"/>
  <c r="T1006" i="6"/>
  <c r="U1006" i="6"/>
  <c r="V1006" i="6"/>
  <c r="B1007" i="6"/>
  <c r="C1007" i="6"/>
  <c r="D1007" i="6"/>
  <c r="E1007" i="6"/>
  <c r="F1007" i="6"/>
  <c r="G1007" i="6"/>
  <c r="H1007" i="6"/>
  <c r="I1007" i="6"/>
  <c r="J1007" i="6"/>
  <c r="K1007" i="6"/>
  <c r="L1007" i="6"/>
  <c r="M1007" i="6"/>
  <c r="N1007" i="6"/>
  <c r="O1007" i="6"/>
  <c r="P1007" i="6"/>
  <c r="Q1007" i="6"/>
  <c r="R1007" i="6"/>
  <c r="S1007" i="6"/>
  <c r="T1007" i="6"/>
  <c r="U1007" i="6"/>
  <c r="V1007" i="6"/>
  <c r="B1008" i="6"/>
  <c r="C1008" i="6"/>
  <c r="D1008" i="6"/>
  <c r="E1008" i="6"/>
  <c r="F1008" i="6"/>
  <c r="G1008" i="6"/>
  <c r="H1008" i="6"/>
  <c r="I1008" i="6"/>
  <c r="J1008" i="6"/>
  <c r="K1008" i="6"/>
  <c r="L1008" i="6"/>
  <c r="M1008" i="6"/>
  <c r="N1008" i="6"/>
  <c r="O1008" i="6"/>
  <c r="P1008" i="6"/>
  <c r="Q1008" i="6"/>
  <c r="R1008" i="6"/>
  <c r="S1008" i="6"/>
  <c r="T1008" i="6"/>
  <c r="U1008" i="6"/>
  <c r="V1008" i="6"/>
  <c r="B1009" i="6"/>
  <c r="C1009" i="6"/>
  <c r="D1009" i="6"/>
  <c r="E1009" i="6"/>
  <c r="F1009" i="6"/>
  <c r="G1009" i="6"/>
  <c r="H1009" i="6"/>
  <c r="I1009" i="6"/>
  <c r="J1009" i="6"/>
  <c r="K1009" i="6"/>
  <c r="L1009" i="6"/>
  <c r="M1009" i="6"/>
  <c r="N1009" i="6"/>
  <c r="O1009" i="6"/>
  <c r="P1009" i="6"/>
  <c r="Q1009" i="6"/>
  <c r="R1009" i="6"/>
  <c r="S1009" i="6"/>
  <c r="T1009" i="6"/>
  <c r="U1009" i="6"/>
  <c r="V1009" i="6"/>
  <c r="B1010" i="6"/>
  <c r="C1010" i="6"/>
  <c r="D1010" i="6"/>
  <c r="E1010" i="6"/>
  <c r="F1010" i="6"/>
  <c r="G1010" i="6"/>
  <c r="H1010" i="6"/>
  <c r="I1010" i="6"/>
  <c r="J1010" i="6"/>
  <c r="K1010" i="6"/>
  <c r="L1010" i="6"/>
  <c r="M1010" i="6"/>
  <c r="N1010" i="6"/>
  <c r="O1010" i="6"/>
  <c r="P1010" i="6"/>
  <c r="Q1010" i="6"/>
  <c r="R1010" i="6"/>
  <c r="S1010" i="6"/>
  <c r="T1010" i="6"/>
  <c r="U1010" i="6"/>
  <c r="V1010" i="6"/>
  <c r="B1011" i="6"/>
  <c r="C1011" i="6"/>
  <c r="D1011" i="6"/>
  <c r="E1011" i="6"/>
  <c r="F1011" i="6"/>
  <c r="G1011" i="6"/>
  <c r="H1011" i="6"/>
  <c r="I1011" i="6"/>
  <c r="J1011" i="6"/>
  <c r="K1011" i="6"/>
  <c r="L1011" i="6"/>
  <c r="M1011" i="6"/>
  <c r="N1011" i="6"/>
  <c r="O1011" i="6"/>
  <c r="P1011" i="6"/>
  <c r="Q1011" i="6"/>
  <c r="R1011" i="6"/>
  <c r="S1011" i="6"/>
  <c r="T1011" i="6"/>
  <c r="U1011" i="6"/>
  <c r="V1011" i="6"/>
  <c r="B1012" i="6"/>
  <c r="C1012" i="6"/>
  <c r="D1012" i="6"/>
  <c r="E1012" i="6"/>
  <c r="F1012" i="6"/>
  <c r="G1012" i="6"/>
  <c r="H1012" i="6"/>
  <c r="I1012" i="6"/>
  <c r="J1012" i="6"/>
  <c r="K1012" i="6"/>
  <c r="L1012" i="6"/>
  <c r="M1012" i="6"/>
  <c r="N1012" i="6"/>
  <c r="O1012" i="6"/>
  <c r="P1012" i="6"/>
  <c r="Q1012" i="6"/>
  <c r="R1012" i="6"/>
  <c r="S1012" i="6"/>
  <c r="T1012" i="6"/>
  <c r="U1012" i="6"/>
  <c r="V1012" i="6"/>
  <c r="B1013" i="6"/>
  <c r="C1013" i="6"/>
  <c r="D1013" i="6"/>
  <c r="E1013" i="6"/>
  <c r="F1013" i="6"/>
  <c r="G1013" i="6"/>
  <c r="H1013" i="6"/>
  <c r="I1013" i="6"/>
  <c r="J1013" i="6"/>
  <c r="K1013" i="6"/>
  <c r="L1013" i="6"/>
  <c r="M1013" i="6"/>
  <c r="N1013" i="6"/>
  <c r="O1013" i="6"/>
  <c r="P1013" i="6"/>
  <c r="Q1013" i="6"/>
  <c r="R1013" i="6"/>
  <c r="S1013" i="6"/>
  <c r="T1013" i="6"/>
  <c r="U1013" i="6"/>
  <c r="V1013" i="6"/>
  <c r="B1014" i="6"/>
  <c r="C1014" i="6"/>
  <c r="D1014" i="6"/>
  <c r="E1014" i="6"/>
  <c r="F1014" i="6"/>
  <c r="G1014" i="6"/>
  <c r="H1014" i="6"/>
  <c r="I1014" i="6"/>
  <c r="J1014" i="6"/>
  <c r="K1014" i="6"/>
  <c r="L1014" i="6"/>
  <c r="M1014" i="6"/>
  <c r="N1014" i="6"/>
  <c r="O1014" i="6"/>
  <c r="P1014" i="6"/>
  <c r="Q1014" i="6"/>
  <c r="R1014" i="6"/>
  <c r="S1014" i="6"/>
  <c r="T1014" i="6"/>
  <c r="U1014" i="6"/>
  <c r="V1014" i="6"/>
  <c r="B1015" i="6"/>
  <c r="C1015" i="6"/>
  <c r="D1015" i="6"/>
  <c r="E1015" i="6"/>
  <c r="F1015" i="6"/>
  <c r="G1015" i="6"/>
  <c r="H1015" i="6"/>
  <c r="I1015" i="6"/>
  <c r="J1015" i="6"/>
  <c r="K1015" i="6"/>
  <c r="L1015" i="6"/>
  <c r="M1015" i="6"/>
  <c r="N1015" i="6"/>
  <c r="O1015" i="6"/>
  <c r="P1015" i="6"/>
  <c r="Q1015" i="6"/>
  <c r="R1015" i="6"/>
  <c r="S1015" i="6"/>
  <c r="T1015" i="6"/>
  <c r="U1015" i="6"/>
  <c r="V1015" i="6"/>
  <c r="B1016" i="6"/>
  <c r="C1016" i="6"/>
  <c r="D1016" i="6"/>
  <c r="E1016" i="6"/>
  <c r="F1016" i="6"/>
  <c r="G1016" i="6"/>
  <c r="H1016" i="6"/>
  <c r="I1016" i="6"/>
  <c r="J1016" i="6"/>
  <c r="K1016" i="6"/>
  <c r="L1016" i="6"/>
  <c r="M1016" i="6"/>
  <c r="N1016" i="6"/>
  <c r="O1016" i="6"/>
  <c r="P1016" i="6"/>
  <c r="Q1016" i="6"/>
  <c r="R1016" i="6"/>
  <c r="S1016" i="6"/>
  <c r="T1016" i="6"/>
  <c r="U1016" i="6"/>
  <c r="V1016" i="6"/>
  <c r="B1017" i="6"/>
  <c r="C1017" i="6"/>
  <c r="D1017" i="6"/>
  <c r="E1017" i="6"/>
  <c r="F1017" i="6"/>
  <c r="G1017" i="6"/>
  <c r="H1017" i="6"/>
  <c r="I1017" i="6"/>
  <c r="J1017" i="6"/>
  <c r="K1017" i="6"/>
  <c r="L1017" i="6"/>
  <c r="M1017" i="6"/>
  <c r="N1017" i="6"/>
  <c r="O1017" i="6"/>
  <c r="P1017" i="6"/>
  <c r="Q1017" i="6"/>
  <c r="R1017" i="6"/>
  <c r="S1017" i="6"/>
  <c r="T1017" i="6"/>
  <c r="U1017" i="6"/>
  <c r="V1017" i="6"/>
  <c r="B1018" i="6"/>
  <c r="C1018" i="6"/>
  <c r="D1018" i="6"/>
  <c r="E1018" i="6"/>
  <c r="F1018" i="6"/>
  <c r="G1018" i="6"/>
  <c r="H1018" i="6"/>
  <c r="I1018" i="6"/>
  <c r="J1018" i="6"/>
  <c r="K1018" i="6"/>
  <c r="L1018" i="6"/>
  <c r="M1018" i="6"/>
  <c r="N1018" i="6"/>
  <c r="O1018" i="6"/>
  <c r="P1018" i="6"/>
  <c r="Q1018" i="6"/>
  <c r="R1018" i="6"/>
  <c r="S1018" i="6"/>
  <c r="T1018" i="6"/>
  <c r="U1018" i="6"/>
  <c r="V1018" i="6"/>
  <c r="B1019" i="6"/>
  <c r="C1019" i="6"/>
  <c r="D1019" i="6"/>
  <c r="E1019" i="6"/>
  <c r="F1019" i="6"/>
  <c r="G1019" i="6"/>
  <c r="H1019" i="6"/>
  <c r="I1019" i="6"/>
  <c r="J1019" i="6"/>
  <c r="K1019" i="6"/>
  <c r="L1019" i="6"/>
  <c r="M1019" i="6"/>
  <c r="N1019" i="6"/>
  <c r="O1019" i="6"/>
  <c r="P1019" i="6"/>
  <c r="Q1019" i="6"/>
  <c r="R1019" i="6"/>
  <c r="S1019" i="6"/>
  <c r="T1019" i="6"/>
  <c r="U1019" i="6"/>
  <c r="V1019" i="6"/>
  <c r="B1020" i="6"/>
  <c r="C1020" i="6"/>
  <c r="D1020" i="6"/>
  <c r="E1020" i="6"/>
  <c r="F1020" i="6"/>
  <c r="G1020" i="6"/>
  <c r="H1020" i="6"/>
  <c r="I1020" i="6"/>
  <c r="J1020" i="6"/>
  <c r="K1020" i="6"/>
  <c r="L1020" i="6"/>
  <c r="M1020" i="6"/>
  <c r="N1020" i="6"/>
  <c r="O1020" i="6"/>
  <c r="P1020" i="6"/>
  <c r="Q1020" i="6"/>
  <c r="R1020" i="6"/>
  <c r="S1020" i="6"/>
  <c r="T1020" i="6"/>
  <c r="U1020" i="6"/>
  <c r="V1020" i="6"/>
  <c r="B1021" i="6"/>
  <c r="C1021" i="6"/>
  <c r="D1021" i="6"/>
  <c r="E1021" i="6"/>
  <c r="F1021" i="6"/>
  <c r="G1021" i="6"/>
  <c r="H1021" i="6"/>
  <c r="I1021" i="6"/>
  <c r="J1021" i="6"/>
  <c r="K1021" i="6"/>
  <c r="L1021" i="6"/>
  <c r="M1021" i="6"/>
  <c r="N1021" i="6"/>
  <c r="O1021" i="6"/>
  <c r="P1021" i="6"/>
  <c r="Q1021" i="6"/>
  <c r="R1021" i="6"/>
  <c r="S1021" i="6"/>
  <c r="T1021" i="6"/>
  <c r="U1021" i="6"/>
  <c r="V1021" i="6"/>
  <c r="B1022" i="6"/>
  <c r="C1022" i="6"/>
  <c r="D1022" i="6"/>
  <c r="E1022" i="6"/>
  <c r="F1022" i="6"/>
  <c r="G1022" i="6"/>
  <c r="H1022" i="6"/>
  <c r="I1022" i="6"/>
  <c r="J1022" i="6"/>
  <c r="K1022" i="6"/>
  <c r="L1022" i="6"/>
  <c r="M1022" i="6"/>
  <c r="N1022" i="6"/>
  <c r="O1022" i="6"/>
  <c r="P1022" i="6"/>
  <c r="Q1022" i="6"/>
  <c r="R1022" i="6"/>
  <c r="S1022" i="6"/>
  <c r="T1022" i="6"/>
  <c r="U1022" i="6"/>
  <c r="V1022" i="6"/>
  <c r="B1023" i="6"/>
  <c r="C1023" i="6"/>
  <c r="D1023" i="6"/>
  <c r="E1023" i="6"/>
  <c r="F1023" i="6"/>
  <c r="G1023" i="6"/>
  <c r="H1023" i="6"/>
  <c r="I1023" i="6"/>
  <c r="J1023" i="6"/>
  <c r="K1023" i="6"/>
  <c r="L1023" i="6"/>
  <c r="M1023" i="6"/>
  <c r="N1023" i="6"/>
  <c r="O1023" i="6"/>
  <c r="P1023" i="6"/>
  <c r="Q1023" i="6"/>
  <c r="R1023" i="6"/>
  <c r="S1023" i="6"/>
  <c r="T1023" i="6"/>
  <c r="U1023" i="6"/>
  <c r="V1023" i="6"/>
  <c r="B1024" i="6"/>
  <c r="C1024" i="6"/>
  <c r="D1024" i="6"/>
  <c r="E1024" i="6"/>
  <c r="F1024" i="6"/>
  <c r="G1024" i="6"/>
  <c r="H1024" i="6"/>
  <c r="I1024" i="6"/>
  <c r="J1024" i="6"/>
  <c r="K1024" i="6"/>
  <c r="L1024" i="6"/>
  <c r="M1024" i="6"/>
  <c r="N1024" i="6"/>
  <c r="O1024" i="6"/>
  <c r="P1024" i="6"/>
  <c r="Q1024" i="6"/>
  <c r="R1024" i="6"/>
  <c r="S1024" i="6"/>
  <c r="T1024" i="6"/>
  <c r="U1024" i="6"/>
  <c r="V1024" i="6"/>
  <c r="B1025" i="6"/>
  <c r="C1025" i="6"/>
  <c r="D1025" i="6"/>
  <c r="E1025" i="6"/>
  <c r="F1025" i="6"/>
  <c r="G1025" i="6"/>
  <c r="H1025" i="6"/>
  <c r="I1025" i="6"/>
  <c r="J1025" i="6"/>
  <c r="K1025" i="6"/>
  <c r="L1025" i="6"/>
  <c r="M1025" i="6"/>
  <c r="N1025" i="6"/>
  <c r="O1025" i="6"/>
  <c r="P1025" i="6"/>
  <c r="Q1025" i="6"/>
  <c r="R1025" i="6"/>
  <c r="S1025" i="6"/>
  <c r="T1025" i="6"/>
  <c r="U1025" i="6"/>
  <c r="V1025" i="6"/>
  <c r="B1026" i="6"/>
  <c r="C1026" i="6"/>
  <c r="D1026" i="6"/>
  <c r="E1026" i="6"/>
  <c r="F1026" i="6"/>
  <c r="G1026" i="6"/>
  <c r="H1026" i="6"/>
  <c r="I1026" i="6"/>
  <c r="J1026" i="6"/>
  <c r="K1026" i="6"/>
  <c r="L1026" i="6"/>
  <c r="M1026" i="6"/>
  <c r="N1026" i="6"/>
  <c r="O1026" i="6"/>
  <c r="P1026" i="6"/>
  <c r="Q1026" i="6"/>
  <c r="R1026" i="6"/>
  <c r="S1026" i="6"/>
  <c r="T1026" i="6"/>
  <c r="U1026" i="6"/>
  <c r="V1026" i="6"/>
  <c r="B1027" i="6"/>
  <c r="C1027" i="6"/>
  <c r="D1027" i="6"/>
  <c r="E1027" i="6"/>
  <c r="F1027" i="6"/>
  <c r="G1027" i="6"/>
  <c r="H1027" i="6"/>
  <c r="I1027" i="6"/>
  <c r="J1027" i="6"/>
  <c r="K1027" i="6"/>
  <c r="L1027" i="6"/>
  <c r="M1027" i="6"/>
  <c r="N1027" i="6"/>
  <c r="O1027" i="6"/>
  <c r="P1027" i="6"/>
  <c r="Q1027" i="6"/>
  <c r="R1027" i="6"/>
  <c r="S1027" i="6"/>
  <c r="T1027" i="6"/>
  <c r="U1027" i="6"/>
  <c r="V1027" i="6"/>
  <c r="B1028" i="6"/>
  <c r="C1028" i="6"/>
  <c r="D1028" i="6"/>
  <c r="E1028" i="6"/>
  <c r="F1028" i="6"/>
  <c r="G1028" i="6"/>
  <c r="H1028" i="6"/>
  <c r="I1028" i="6"/>
  <c r="J1028" i="6"/>
  <c r="K1028" i="6"/>
  <c r="L1028" i="6"/>
  <c r="M1028" i="6"/>
  <c r="N1028" i="6"/>
  <c r="O1028" i="6"/>
  <c r="P1028" i="6"/>
  <c r="Q1028" i="6"/>
  <c r="R1028" i="6"/>
  <c r="S1028" i="6"/>
  <c r="T1028" i="6"/>
  <c r="U1028" i="6"/>
  <c r="V1028" i="6"/>
  <c r="B1029" i="6"/>
  <c r="C1029" i="6"/>
  <c r="D1029" i="6"/>
  <c r="E1029" i="6"/>
  <c r="F1029" i="6"/>
  <c r="G1029" i="6"/>
  <c r="H1029" i="6"/>
  <c r="I1029" i="6"/>
  <c r="J1029" i="6"/>
  <c r="K1029" i="6"/>
  <c r="L1029" i="6"/>
  <c r="M1029" i="6"/>
  <c r="N1029" i="6"/>
  <c r="O1029" i="6"/>
  <c r="P1029" i="6"/>
  <c r="Q1029" i="6"/>
  <c r="R1029" i="6"/>
  <c r="S1029" i="6"/>
  <c r="T1029" i="6"/>
  <c r="U1029" i="6"/>
  <c r="V1029" i="6"/>
  <c r="B1030" i="6"/>
  <c r="C1030" i="6"/>
  <c r="D1030" i="6"/>
  <c r="E1030" i="6"/>
  <c r="F1030" i="6"/>
  <c r="G1030" i="6"/>
  <c r="H1030" i="6"/>
  <c r="I1030" i="6"/>
  <c r="J1030" i="6"/>
  <c r="K1030" i="6"/>
  <c r="L1030" i="6"/>
  <c r="M1030" i="6"/>
  <c r="N1030" i="6"/>
  <c r="O1030" i="6"/>
  <c r="P1030" i="6"/>
  <c r="Q1030" i="6"/>
  <c r="R1030" i="6"/>
  <c r="S1030" i="6"/>
  <c r="T1030" i="6"/>
  <c r="U1030" i="6"/>
  <c r="V1030" i="6"/>
  <c r="B1031" i="6"/>
  <c r="C1031" i="6"/>
  <c r="D1031" i="6"/>
  <c r="E1031" i="6"/>
  <c r="F1031" i="6"/>
  <c r="G1031" i="6"/>
  <c r="H1031" i="6"/>
  <c r="I1031" i="6"/>
  <c r="J1031" i="6"/>
  <c r="K1031" i="6"/>
  <c r="L1031" i="6"/>
  <c r="M1031" i="6"/>
  <c r="N1031" i="6"/>
  <c r="O1031" i="6"/>
  <c r="P1031" i="6"/>
  <c r="Q1031" i="6"/>
  <c r="R1031" i="6"/>
  <c r="S1031" i="6"/>
  <c r="T1031" i="6"/>
  <c r="U1031" i="6"/>
  <c r="V1031" i="6"/>
  <c r="B1032" i="6"/>
  <c r="C1032" i="6"/>
  <c r="D1032" i="6"/>
  <c r="E1032" i="6"/>
  <c r="F1032" i="6"/>
  <c r="G1032" i="6"/>
  <c r="H1032" i="6"/>
  <c r="I1032" i="6"/>
  <c r="J1032" i="6"/>
  <c r="K1032" i="6"/>
  <c r="L1032" i="6"/>
  <c r="M1032" i="6"/>
  <c r="N1032" i="6"/>
  <c r="O1032" i="6"/>
  <c r="P1032" i="6"/>
  <c r="Q1032" i="6"/>
  <c r="R1032" i="6"/>
  <c r="S1032" i="6"/>
  <c r="T1032" i="6"/>
  <c r="U1032" i="6"/>
  <c r="V1032" i="6"/>
  <c r="B1033" i="6"/>
  <c r="C1033" i="6"/>
  <c r="D1033" i="6"/>
  <c r="E1033" i="6"/>
  <c r="F1033" i="6"/>
  <c r="G1033" i="6"/>
  <c r="H1033" i="6"/>
  <c r="I1033" i="6"/>
  <c r="J1033" i="6"/>
  <c r="K1033" i="6"/>
  <c r="L1033" i="6"/>
  <c r="M1033" i="6"/>
  <c r="N1033" i="6"/>
  <c r="O1033" i="6"/>
  <c r="P1033" i="6"/>
  <c r="Q1033" i="6"/>
  <c r="R1033" i="6"/>
  <c r="S1033" i="6"/>
  <c r="T1033" i="6"/>
  <c r="U1033" i="6"/>
  <c r="V1033" i="6"/>
  <c r="B1034" i="6"/>
  <c r="C1034" i="6"/>
  <c r="D1034" i="6"/>
  <c r="E1034" i="6"/>
  <c r="F1034" i="6"/>
  <c r="G1034" i="6"/>
  <c r="H1034" i="6"/>
  <c r="I1034" i="6"/>
  <c r="J1034" i="6"/>
  <c r="K1034" i="6"/>
  <c r="L1034" i="6"/>
  <c r="M1034" i="6"/>
  <c r="N1034" i="6"/>
  <c r="O1034" i="6"/>
  <c r="P1034" i="6"/>
  <c r="Q1034" i="6"/>
  <c r="R1034" i="6"/>
  <c r="S1034" i="6"/>
  <c r="T1034" i="6"/>
  <c r="U1034" i="6"/>
  <c r="V1034" i="6"/>
  <c r="B1035" i="6"/>
  <c r="C1035" i="6"/>
  <c r="D1035" i="6"/>
  <c r="E1035" i="6"/>
  <c r="F1035" i="6"/>
  <c r="G1035" i="6"/>
  <c r="H1035" i="6"/>
  <c r="I1035" i="6"/>
  <c r="J1035" i="6"/>
  <c r="K1035" i="6"/>
  <c r="L1035" i="6"/>
  <c r="M1035" i="6"/>
  <c r="N1035" i="6"/>
  <c r="O1035" i="6"/>
  <c r="P1035" i="6"/>
  <c r="Q1035" i="6"/>
  <c r="R1035" i="6"/>
  <c r="S1035" i="6"/>
  <c r="T1035" i="6"/>
  <c r="U1035" i="6"/>
  <c r="V1035" i="6"/>
  <c r="B1036" i="6"/>
  <c r="C1036" i="6"/>
  <c r="D1036" i="6"/>
  <c r="E1036" i="6"/>
  <c r="F1036" i="6"/>
  <c r="G1036" i="6"/>
  <c r="H1036" i="6"/>
  <c r="I1036" i="6"/>
  <c r="J1036" i="6"/>
  <c r="K1036" i="6"/>
  <c r="L1036" i="6"/>
  <c r="M1036" i="6"/>
  <c r="N1036" i="6"/>
  <c r="O1036" i="6"/>
  <c r="P1036" i="6"/>
  <c r="Q1036" i="6"/>
  <c r="R1036" i="6"/>
  <c r="S1036" i="6"/>
  <c r="T1036" i="6"/>
  <c r="U1036" i="6"/>
  <c r="V1036" i="6"/>
  <c r="B1037" i="6"/>
  <c r="C1037" i="6"/>
  <c r="D1037" i="6"/>
  <c r="E1037" i="6"/>
  <c r="F1037" i="6"/>
  <c r="G1037" i="6"/>
  <c r="H1037" i="6"/>
  <c r="I1037" i="6"/>
  <c r="J1037" i="6"/>
  <c r="K1037" i="6"/>
  <c r="L1037" i="6"/>
  <c r="M1037" i="6"/>
  <c r="N1037" i="6"/>
  <c r="O1037" i="6"/>
  <c r="P1037" i="6"/>
  <c r="Q1037" i="6"/>
  <c r="R1037" i="6"/>
  <c r="S1037" i="6"/>
  <c r="T1037" i="6"/>
  <c r="U1037" i="6"/>
  <c r="V1037" i="6"/>
  <c r="B1038" i="6"/>
  <c r="C1038" i="6"/>
  <c r="D1038" i="6"/>
  <c r="E1038" i="6"/>
  <c r="F1038" i="6"/>
  <c r="G1038" i="6"/>
  <c r="H1038" i="6"/>
  <c r="I1038" i="6"/>
  <c r="J1038" i="6"/>
  <c r="K1038" i="6"/>
  <c r="L1038" i="6"/>
  <c r="M1038" i="6"/>
  <c r="N1038" i="6"/>
  <c r="O1038" i="6"/>
  <c r="P1038" i="6"/>
  <c r="Q1038" i="6"/>
  <c r="R1038" i="6"/>
  <c r="S1038" i="6"/>
  <c r="T1038" i="6"/>
  <c r="U1038" i="6"/>
  <c r="V1038" i="6"/>
  <c r="B1039" i="6"/>
  <c r="C1039" i="6"/>
  <c r="D1039" i="6"/>
  <c r="E1039" i="6"/>
  <c r="F1039" i="6"/>
  <c r="G1039" i="6"/>
  <c r="H1039" i="6"/>
  <c r="I1039" i="6"/>
  <c r="J1039" i="6"/>
  <c r="K1039" i="6"/>
  <c r="L1039" i="6"/>
  <c r="M1039" i="6"/>
  <c r="N1039" i="6"/>
  <c r="O1039" i="6"/>
  <c r="P1039" i="6"/>
  <c r="Q1039" i="6"/>
  <c r="R1039" i="6"/>
  <c r="S1039" i="6"/>
  <c r="T1039" i="6"/>
  <c r="U1039" i="6"/>
  <c r="V1039" i="6"/>
  <c r="B1040" i="6"/>
  <c r="C1040" i="6"/>
  <c r="D1040" i="6"/>
  <c r="E1040" i="6"/>
  <c r="F1040" i="6"/>
  <c r="G1040" i="6"/>
  <c r="H1040" i="6"/>
  <c r="I1040" i="6"/>
  <c r="J1040" i="6"/>
  <c r="K1040" i="6"/>
  <c r="L1040" i="6"/>
  <c r="M1040" i="6"/>
  <c r="N1040" i="6"/>
  <c r="O1040" i="6"/>
  <c r="P1040" i="6"/>
  <c r="Q1040" i="6"/>
  <c r="R1040" i="6"/>
  <c r="S1040" i="6"/>
  <c r="T1040" i="6"/>
  <c r="U1040" i="6"/>
  <c r="V1040" i="6"/>
  <c r="B1041" i="6"/>
  <c r="C1041" i="6"/>
  <c r="D1041" i="6"/>
  <c r="E1041" i="6"/>
  <c r="F1041" i="6"/>
  <c r="G1041" i="6"/>
  <c r="H1041" i="6"/>
  <c r="I1041" i="6"/>
  <c r="J1041" i="6"/>
  <c r="K1041" i="6"/>
  <c r="L1041" i="6"/>
  <c r="M1041" i="6"/>
  <c r="N1041" i="6"/>
  <c r="O1041" i="6"/>
  <c r="P1041" i="6"/>
  <c r="Q1041" i="6"/>
  <c r="R1041" i="6"/>
  <c r="S1041" i="6"/>
  <c r="T1041" i="6"/>
  <c r="U1041" i="6"/>
  <c r="V1041" i="6"/>
  <c r="B1042" i="6"/>
  <c r="C1042" i="6"/>
  <c r="D1042" i="6"/>
  <c r="E1042" i="6"/>
  <c r="F1042" i="6"/>
  <c r="G1042" i="6"/>
  <c r="H1042" i="6"/>
  <c r="I1042" i="6"/>
  <c r="J1042" i="6"/>
  <c r="K1042" i="6"/>
  <c r="L1042" i="6"/>
  <c r="M1042" i="6"/>
  <c r="N1042" i="6"/>
  <c r="O1042" i="6"/>
  <c r="P1042" i="6"/>
  <c r="Q1042" i="6"/>
  <c r="R1042" i="6"/>
  <c r="S1042" i="6"/>
  <c r="T1042" i="6"/>
  <c r="U1042" i="6"/>
  <c r="V1042" i="6"/>
  <c r="B1043" i="6"/>
  <c r="C1043" i="6"/>
  <c r="D1043" i="6"/>
  <c r="E1043" i="6"/>
  <c r="F1043" i="6"/>
  <c r="G1043" i="6"/>
  <c r="H1043" i="6"/>
  <c r="I1043" i="6"/>
  <c r="J1043" i="6"/>
  <c r="K1043" i="6"/>
  <c r="L1043" i="6"/>
  <c r="M1043" i="6"/>
  <c r="N1043" i="6"/>
  <c r="O1043" i="6"/>
  <c r="P1043" i="6"/>
  <c r="Q1043" i="6"/>
  <c r="R1043" i="6"/>
  <c r="S1043" i="6"/>
  <c r="T1043" i="6"/>
  <c r="U1043" i="6"/>
  <c r="V1043" i="6"/>
  <c r="B1044" i="6"/>
  <c r="C1044" i="6"/>
  <c r="D1044" i="6"/>
  <c r="E1044" i="6"/>
  <c r="F1044" i="6"/>
  <c r="G1044" i="6"/>
  <c r="H1044" i="6"/>
  <c r="I1044" i="6"/>
  <c r="J1044" i="6"/>
  <c r="K1044" i="6"/>
  <c r="L1044" i="6"/>
  <c r="M1044" i="6"/>
  <c r="N1044" i="6"/>
  <c r="O1044" i="6"/>
  <c r="P1044" i="6"/>
  <c r="Q1044" i="6"/>
  <c r="R1044" i="6"/>
  <c r="S1044" i="6"/>
  <c r="T1044" i="6"/>
  <c r="U1044" i="6"/>
  <c r="V1044" i="6"/>
  <c r="B1045" i="6"/>
  <c r="C1045" i="6"/>
  <c r="D1045" i="6"/>
  <c r="E1045" i="6"/>
  <c r="F1045" i="6"/>
  <c r="G1045" i="6"/>
  <c r="H1045" i="6"/>
  <c r="I1045" i="6"/>
  <c r="J1045" i="6"/>
  <c r="K1045" i="6"/>
  <c r="L1045" i="6"/>
  <c r="M1045" i="6"/>
  <c r="N1045" i="6"/>
  <c r="O1045" i="6"/>
  <c r="P1045" i="6"/>
  <c r="Q1045" i="6"/>
  <c r="R1045" i="6"/>
  <c r="S1045" i="6"/>
  <c r="T1045" i="6"/>
  <c r="U1045" i="6"/>
  <c r="V1045" i="6"/>
  <c r="B1046" i="6"/>
  <c r="C1046" i="6"/>
  <c r="D1046" i="6"/>
  <c r="E1046" i="6"/>
  <c r="F1046" i="6"/>
  <c r="G1046" i="6"/>
  <c r="H1046" i="6"/>
  <c r="I1046" i="6"/>
  <c r="J1046" i="6"/>
  <c r="K1046" i="6"/>
  <c r="L1046" i="6"/>
  <c r="M1046" i="6"/>
  <c r="N1046" i="6"/>
  <c r="O1046" i="6"/>
  <c r="P1046" i="6"/>
  <c r="Q1046" i="6"/>
  <c r="R1046" i="6"/>
  <c r="S1046" i="6"/>
  <c r="T1046" i="6"/>
  <c r="U1046" i="6"/>
  <c r="V1046" i="6"/>
  <c r="B1047" i="6"/>
  <c r="C1047" i="6"/>
  <c r="D1047" i="6"/>
  <c r="E1047" i="6"/>
  <c r="F1047" i="6"/>
  <c r="G1047" i="6"/>
  <c r="H1047" i="6"/>
  <c r="I1047" i="6"/>
  <c r="J1047" i="6"/>
  <c r="K1047" i="6"/>
  <c r="L1047" i="6"/>
  <c r="M1047" i="6"/>
  <c r="N1047" i="6"/>
  <c r="O1047" i="6"/>
  <c r="P1047" i="6"/>
  <c r="Q1047" i="6"/>
  <c r="R1047" i="6"/>
  <c r="S1047" i="6"/>
  <c r="T1047" i="6"/>
  <c r="U1047" i="6"/>
  <c r="V1047" i="6"/>
  <c r="B1048" i="6"/>
  <c r="C1048" i="6"/>
  <c r="D1048" i="6"/>
  <c r="E1048" i="6"/>
  <c r="F1048" i="6"/>
  <c r="G1048" i="6"/>
  <c r="H1048" i="6"/>
  <c r="I1048" i="6"/>
  <c r="J1048" i="6"/>
  <c r="K1048" i="6"/>
  <c r="L1048" i="6"/>
  <c r="M1048" i="6"/>
  <c r="N1048" i="6"/>
  <c r="O1048" i="6"/>
  <c r="P1048" i="6"/>
  <c r="Q1048" i="6"/>
  <c r="R1048" i="6"/>
  <c r="S1048" i="6"/>
  <c r="T1048" i="6"/>
  <c r="U1048" i="6"/>
  <c r="V1048" i="6"/>
  <c r="B1049" i="6"/>
  <c r="C1049" i="6"/>
  <c r="D1049" i="6"/>
  <c r="E1049" i="6"/>
  <c r="F1049" i="6"/>
  <c r="G1049" i="6"/>
  <c r="H1049" i="6"/>
  <c r="I1049" i="6"/>
  <c r="J1049" i="6"/>
  <c r="K1049" i="6"/>
  <c r="L1049" i="6"/>
  <c r="M1049" i="6"/>
  <c r="N1049" i="6"/>
  <c r="O1049" i="6"/>
  <c r="P1049" i="6"/>
  <c r="Q1049" i="6"/>
  <c r="R1049" i="6"/>
  <c r="S1049" i="6"/>
  <c r="T1049" i="6"/>
  <c r="U1049" i="6"/>
  <c r="V1049" i="6"/>
  <c r="B1050" i="6"/>
  <c r="C1050" i="6"/>
  <c r="D1050" i="6"/>
  <c r="E1050" i="6"/>
  <c r="F1050" i="6"/>
  <c r="G1050" i="6"/>
  <c r="H1050" i="6"/>
  <c r="I1050" i="6"/>
  <c r="J1050" i="6"/>
  <c r="K1050" i="6"/>
  <c r="L1050" i="6"/>
  <c r="M1050" i="6"/>
  <c r="N1050" i="6"/>
  <c r="O1050" i="6"/>
  <c r="P1050" i="6"/>
  <c r="Q1050" i="6"/>
  <c r="R1050" i="6"/>
  <c r="S1050" i="6"/>
  <c r="T1050" i="6"/>
  <c r="U1050" i="6"/>
  <c r="V1050" i="6"/>
  <c r="B1051" i="6"/>
  <c r="C1051" i="6"/>
  <c r="D1051" i="6"/>
  <c r="E1051" i="6"/>
  <c r="F1051" i="6"/>
  <c r="G1051" i="6"/>
  <c r="H1051" i="6"/>
  <c r="I1051" i="6"/>
  <c r="J1051" i="6"/>
  <c r="K1051" i="6"/>
  <c r="L1051" i="6"/>
  <c r="M1051" i="6"/>
  <c r="N1051" i="6"/>
  <c r="O1051" i="6"/>
  <c r="P1051" i="6"/>
  <c r="Q1051" i="6"/>
  <c r="R1051" i="6"/>
  <c r="S1051" i="6"/>
  <c r="T1051" i="6"/>
  <c r="U1051" i="6"/>
  <c r="V1051" i="6"/>
  <c r="B1052" i="6"/>
  <c r="C1052" i="6"/>
  <c r="D1052" i="6"/>
  <c r="E1052" i="6"/>
  <c r="F1052" i="6"/>
  <c r="G1052" i="6"/>
  <c r="H1052" i="6"/>
  <c r="I1052" i="6"/>
  <c r="J1052" i="6"/>
  <c r="K1052" i="6"/>
  <c r="L1052" i="6"/>
  <c r="M1052" i="6"/>
  <c r="N1052" i="6"/>
  <c r="O1052" i="6"/>
  <c r="P1052" i="6"/>
  <c r="Q1052" i="6"/>
  <c r="R1052" i="6"/>
  <c r="S1052" i="6"/>
  <c r="T1052" i="6"/>
  <c r="U1052" i="6"/>
  <c r="V1052" i="6"/>
  <c r="B1053" i="6"/>
  <c r="C1053" i="6"/>
  <c r="D1053" i="6"/>
  <c r="E1053" i="6"/>
  <c r="F1053" i="6"/>
  <c r="G1053" i="6"/>
  <c r="H1053" i="6"/>
  <c r="I1053" i="6"/>
  <c r="J1053" i="6"/>
  <c r="K1053" i="6"/>
  <c r="L1053" i="6"/>
  <c r="M1053" i="6"/>
  <c r="N1053" i="6"/>
  <c r="O1053" i="6"/>
  <c r="P1053" i="6"/>
  <c r="Q1053" i="6"/>
  <c r="R1053" i="6"/>
  <c r="S1053" i="6"/>
  <c r="T1053" i="6"/>
  <c r="U1053" i="6"/>
  <c r="V1053" i="6"/>
  <c r="B1054" i="6"/>
  <c r="C1054" i="6"/>
  <c r="D1054" i="6"/>
  <c r="E1054" i="6"/>
  <c r="F1054" i="6"/>
  <c r="G1054" i="6"/>
  <c r="H1054" i="6"/>
  <c r="I1054" i="6"/>
  <c r="J1054" i="6"/>
  <c r="K1054" i="6"/>
  <c r="L1054" i="6"/>
  <c r="M1054" i="6"/>
  <c r="N1054" i="6"/>
  <c r="O1054" i="6"/>
  <c r="P1054" i="6"/>
  <c r="Q1054" i="6"/>
  <c r="R1054" i="6"/>
  <c r="S1054" i="6"/>
  <c r="T1054" i="6"/>
  <c r="U1054" i="6"/>
  <c r="V1054" i="6"/>
  <c r="B1055" i="6"/>
  <c r="C1055" i="6"/>
  <c r="D1055" i="6"/>
  <c r="E1055" i="6"/>
  <c r="F1055" i="6"/>
  <c r="G1055" i="6"/>
  <c r="H1055" i="6"/>
  <c r="I1055" i="6"/>
  <c r="J1055" i="6"/>
  <c r="K1055" i="6"/>
  <c r="L1055" i="6"/>
  <c r="M1055" i="6"/>
  <c r="N1055" i="6"/>
  <c r="O1055" i="6"/>
  <c r="P1055" i="6"/>
  <c r="Q1055" i="6"/>
  <c r="R1055" i="6"/>
  <c r="S1055" i="6"/>
  <c r="T1055" i="6"/>
  <c r="U1055" i="6"/>
  <c r="V1055" i="6"/>
  <c r="B1056" i="6"/>
  <c r="C1056" i="6"/>
  <c r="D1056" i="6"/>
  <c r="E1056" i="6"/>
  <c r="F1056" i="6"/>
  <c r="G1056" i="6"/>
  <c r="H1056" i="6"/>
  <c r="I1056" i="6"/>
  <c r="J1056" i="6"/>
  <c r="K1056" i="6"/>
  <c r="L1056" i="6"/>
  <c r="M1056" i="6"/>
  <c r="N1056" i="6"/>
  <c r="O1056" i="6"/>
  <c r="P1056" i="6"/>
  <c r="Q1056" i="6"/>
  <c r="R1056" i="6"/>
  <c r="S1056" i="6"/>
  <c r="T1056" i="6"/>
  <c r="U1056" i="6"/>
  <c r="V1056" i="6"/>
  <c r="B1057" i="6"/>
  <c r="C1057" i="6"/>
  <c r="D1057" i="6"/>
  <c r="E1057" i="6"/>
  <c r="F1057" i="6"/>
  <c r="G1057" i="6"/>
  <c r="H1057" i="6"/>
  <c r="I1057" i="6"/>
  <c r="J1057" i="6"/>
  <c r="K1057" i="6"/>
  <c r="L1057" i="6"/>
  <c r="M1057" i="6"/>
  <c r="N1057" i="6"/>
  <c r="O1057" i="6"/>
  <c r="P1057" i="6"/>
  <c r="Q1057" i="6"/>
  <c r="R1057" i="6"/>
  <c r="S1057" i="6"/>
  <c r="T1057" i="6"/>
  <c r="U1057" i="6"/>
  <c r="V1057" i="6"/>
  <c r="B1058" i="6"/>
  <c r="C1058" i="6"/>
  <c r="D1058" i="6"/>
  <c r="E1058" i="6"/>
  <c r="F1058" i="6"/>
  <c r="G1058" i="6"/>
  <c r="H1058" i="6"/>
  <c r="I1058" i="6"/>
  <c r="J1058" i="6"/>
  <c r="K1058" i="6"/>
  <c r="L1058" i="6"/>
  <c r="M1058" i="6"/>
  <c r="N1058" i="6"/>
  <c r="O1058" i="6"/>
  <c r="P1058" i="6"/>
  <c r="Q1058" i="6"/>
  <c r="R1058" i="6"/>
  <c r="S1058" i="6"/>
  <c r="T1058" i="6"/>
  <c r="U1058" i="6"/>
  <c r="V1058" i="6"/>
  <c r="B1059" i="6"/>
  <c r="C1059" i="6"/>
  <c r="D1059" i="6"/>
  <c r="E1059" i="6"/>
  <c r="F1059" i="6"/>
  <c r="G1059" i="6"/>
  <c r="H1059" i="6"/>
  <c r="I1059" i="6"/>
  <c r="J1059" i="6"/>
  <c r="K1059" i="6"/>
  <c r="L1059" i="6"/>
  <c r="M1059" i="6"/>
  <c r="N1059" i="6"/>
  <c r="O1059" i="6"/>
  <c r="P1059" i="6"/>
  <c r="Q1059" i="6"/>
  <c r="R1059" i="6"/>
  <c r="S1059" i="6"/>
  <c r="T1059" i="6"/>
  <c r="U1059" i="6"/>
  <c r="V1059" i="6"/>
  <c r="B1060" i="6"/>
  <c r="C1060" i="6"/>
  <c r="D1060" i="6"/>
  <c r="E1060" i="6"/>
  <c r="F1060" i="6"/>
  <c r="G1060" i="6"/>
  <c r="H1060" i="6"/>
  <c r="I1060" i="6"/>
  <c r="J1060" i="6"/>
  <c r="K1060" i="6"/>
  <c r="L1060" i="6"/>
  <c r="M1060" i="6"/>
  <c r="N1060" i="6"/>
  <c r="O1060" i="6"/>
  <c r="P1060" i="6"/>
  <c r="Q1060" i="6"/>
  <c r="R1060" i="6"/>
  <c r="S1060" i="6"/>
  <c r="T1060" i="6"/>
  <c r="U1060" i="6"/>
  <c r="V1060" i="6"/>
  <c r="B1061" i="6"/>
  <c r="C1061" i="6"/>
  <c r="D1061" i="6"/>
  <c r="E1061" i="6"/>
  <c r="F1061" i="6"/>
  <c r="G1061" i="6"/>
  <c r="H1061" i="6"/>
  <c r="I1061" i="6"/>
  <c r="J1061" i="6"/>
  <c r="K1061" i="6"/>
  <c r="L1061" i="6"/>
  <c r="M1061" i="6"/>
  <c r="N1061" i="6"/>
  <c r="O1061" i="6"/>
  <c r="P1061" i="6"/>
  <c r="Q1061" i="6"/>
  <c r="R1061" i="6"/>
  <c r="S1061" i="6"/>
  <c r="T1061" i="6"/>
  <c r="U1061" i="6"/>
  <c r="V1061" i="6"/>
  <c r="B1062" i="6"/>
  <c r="C1062" i="6"/>
  <c r="D1062" i="6"/>
  <c r="E1062" i="6"/>
  <c r="F1062" i="6"/>
  <c r="G1062" i="6"/>
  <c r="H1062" i="6"/>
  <c r="I1062" i="6"/>
  <c r="J1062" i="6"/>
  <c r="K1062" i="6"/>
  <c r="L1062" i="6"/>
  <c r="M1062" i="6"/>
  <c r="N1062" i="6"/>
  <c r="O1062" i="6"/>
  <c r="P1062" i="6"/>
  <c r="Q1062" i="6"/>
  <c r="R1062" i="6"/>
  <c r="S1062" i="6"/>
  <c r="T1062" i="6"/>
  <c r="U1062" i="6"/>
  <c r="V1062" i="6"/>
  <c r="B1063" i="6"/>
  <c r="C1063" i="6"/>
  <c r="D1063" i="6"/>
  <c r="E1063" i="6"/>
  <c r="F1063" i="6"/>
  <c r="G1063" i="6"/>
  <c r="H1063" i="6"/>
  <c r="I1063" i="6"/>
  <c r="J1063" i="6"/>
  <c r="K1063" i="6"/>
  <c r="L1063" i="6"/>
  <c r="M1063" i="6"/>
  <c r="N1063" i="6"/>
  <c r="O1063" i="6"/>
  <c r="P1063" i="6"/>
  <c r="Q1063" i="6"/>
  <c r="R1063" i="6"/>
  <c r="S1063" i="6"/>
  <c r="T1063" i="6"/>
  <c r="U1063" i="6"/>
  <c r="V1063" i="6"/>
  <c r="B1064" i="6"/>
  <c r="C1064" i="6"/>
  <c r="D1064" i="6"/>
  <c r="E1064" i="6"/>
  <c r="F1064" i="6"/>
  <c r="G1064" i="6"/>
  <c r="H1064" i="6"/>
  <c r="I1064" i="6"/>
  <c r="J1064" i="6"/>
  <c r="K1064" i="6"/>
  <c r="L1064" i="6"/>
  <c r="M1064" i="6"/>
  <c r="N1064" i="6"/>
  <c r="O1064" i="6"/>
  <c r="P1064" i="6"/>
  <c r="Q1064" i="6"/>
  <c r="R1064" i="6"/>
  <c r="S1064" i="6"/>
  <c r="T1064" i="6"/>
  <c r="U1064" i="6"/>
  <c r="V1064" i="6"/>
  <c r="B1065" i="6"/>
  <c r="C1065" i="6"/>
  <c r="D1065" i="6"/>
  <c r="E1065" i="6"/>
  <c r="F1065" i="6"/>
  <c r="G1065" i="6"/>
  <c r="H1065" i="6"/>
  <c r="I1065" i="6"/>
  <c r="J1065" i="6"/>
  <c r="K1065" i="6"/>
  <c r="L1065" i="6"/>
  <c r="M1065" i="6"/>
  <c r="N1065" i="6"/>
  <c r="O1065" i="6"/>
  <c r="P1065" i="6"/>
  <c r="Q1065" i="6"/>
  <c r="R1065" i="6"/>
  <c r="S1065" i="6"/>
  <c r="T1065" i="6"/>
  <c r="U1065" i="6"/>
  <c r="V1065" i="6"/>
  <c r="B1066" i="6"/>
  <c r="C1066" i="6"/>
  <c r="D1066" i="6"/>
  <c r="E1066" i="6"/>
  <c r="F1066" i="6"/>
  <c r="G1066" i="6"/>
  <c r="H1066" i="6"/>
  <c r="I1066" i="6"/>
  <c r="J1066" i="6"/>
  <c r="K1066" i="6"/>
  <c r="L1066" i="6"/>
  <c r="M1066" i="6"/>
  <c r="N1066" i="6"/>
  <c r="O1066" i="6"/>
  <c r="P1066" i="6"/>
  <c r="Q1066" i="6"/>
  <c r="R1066" i="6"/>
  <c r="S1066" i="6"/>
  <c r="T1066" i="6"/>
  <c r="U1066" i="6"/>
  <c r="V1066" i="6"/>
  <c r="B1067" i="6"/>
  <c r="C1067" i="6"/>
  <c r="D1067" i="6"/>
  <c r="E1067" i="6"/>
  <c r="F1067" i="6"/>
  <c r="G1067" i="6"/>
  <c r="H1067" i="6"/>
  <c r="I1067" i="6"/>
  <c r="J1067" i="6"/>
  <c r="K1067" i="6"/>
  <c r="L1067" i="6"/>
  <c r="M1067" i="6"/>
  <c r="N1067" i="6"/>
  <c r="O1067" i="6"/>
  <c r="P1067" i="6"/>
  <c r="Q1067" i="6"/>
  <c r="R1067" i="6"/>
  <c r="S1067" i="6"/>
  <c r="T1067" i="6"/>
  <c r="U1067" i="6"/>
  <c r="V1067" i="6"/>
  <c r="B1068" i="6"/>
  <c r="C1068" i="6"/>
  <c r="D1068" i="6"/>
  <c r="E1068" i="6"/>
  <c r="F1068" i="6"/>
  <c r="G1068" i="6"/>
  <c r="H1068" i="6"/>
  <c r="I1068" i="6"/>
  <c r="J1068" i="6"/>
  <c r="K1068" i="6"/>
  <c r="L1068" i="6"/>
  <c r="M1068" i="6"/>
  <c r="N1068" i="6"/>
  <c r="O1068" i="6"/>
  <c r="P1068" i="6"/>
  <c r="Q1068" i="6"/>
  <c r="R1068" i="6"/>
  <c r="S1068" i="6"/>
  <c r="T1068" i="6"/>
  <c r="U1068" i="6"/>
  <c r="V1068" i="6"/>
  <c r="B1069" i="6"/>
  <c r="C1069" i="6"/>
  <c r="D1069" i="6"/>
  <c r="E1069" i="6"/>
  <c r="F1069" i="6"/>
  <c r="G1069" i="6"/>
  <c r="H1069" i="6"/>
  <c r="I1069" i="6"/>
  <c r="J1069" i="6"/>
  <c r="K1069" i="6"/>
  <c r="L1069" i="6"/>
  <c r="M1069" i="6"/>
  <c r="N1069" i="6"/>
  <c r="O1069" i="6"/>
  <c r="P1069" i="6"/>
  <c r="Q1069" i="6"/>
  <c r="R1069" i="6"/>
  <c r="S1069" i="6"/>
  <c r="T1069" i="6"/>
  <c r="U1069" i="6"/>
  <c r="V1069" i="6"/>
  <c r="B1070" i="6"/>
  <c r="C1070" i="6"/>
  <c r="D1070" i="6"/>
  <c r="E1070" i="6"/>
  <c r="F1070" i="6"/>
  <c r="G1070" i="6"/>
  <c r="H1070" i="6"/>
  <c r="I1070" i="6"/>
  <c r="J1070" i="6"/>
  <c r="K1070" i="6"/>
  <c r="L1070" i="6"/>
  <c r="M1070" i="6"/>
  <c r="N1070" i="6"/>
  <c r="O1070" i="6"/>
  <c r="P1070" i="6"/>
  <c r="Q1070" i="6"/>
  <c r="R1070" i="6"/>
  <c r="S1070" i="6"/>
  <c r="T1070" i="6"/>
  <c r="U1070" i="6"/>
  <c r="V1070" i="6"/>
  <c r="B1071" i="6"/>
  <c r="C1071" i="6"/>
  <c r="D1071" i="6"/>
  <c r="E1071" i="6"/>
  <c r="F1071" i="6"/>
  <c r="G1071" i="6"/>
  <c r="H1071" i="6"/>
  <c r="I1071" i="6"/>
  <c r="J1071" i="6"/>
  <c r="K1071" i="6"/>
  <c r="L1071" i="6"/>
  <c r="M1071" i="6"/>
  <c r="N1071" i="6"/>
  <c r="O1071" i="6"/>
  <c r="P1071" i="6"/>
  <c r="Q1071" i="6"/>
  <c r="R1071" i="6"/>
  <c r="S1071" i="6"/>
  <c r="T1071" i="6"/>
  <c r="U1071" i="6"/>
  <c r="V1071" i="6"/>
  <c r="B1072" i="6"/>
  <c r="C1072" i="6"/>
  <c r="D1072" i="6"/>
  <c r="E1072" i="6"/>
  <c r="F1072" i="6"/>
  <c r="G1072" i="6"/>
  <c r="H1072" i="6"/>
  <c r="I1072" i="6"/>
  <c r="J1072" i="6"/>
  <c r="K1072" i="6"/>
  <c r="L1072" i="6"/>
  <c r="M1072" i="6"/>
  <c r="N1072" i="6"/>
  <c r="O1072" i="6"/>
  <c r="P1072" i="6"/>
  <c r="Q1072" i="6"/>
  <c r="R1072" i="6"/>
  <c r="S1072" i="6"/>
  <c r="T1072" i="6"/>
  <c r="U1072" i="6"/>
  <c r="V1072" i="6"/>
  <c r="B1073" i="6"/>
  <c r="C1073" i="6"/>
  <c r="D1073" i="6"/>
  <c r="E1073" i="6"/>
  <c r="F1073" i="6"/>
  <c r="G1073" i="6"/>
  <c r="H1073" i="6"/>
  <c r="I1073" i="6"/>
  <c r="J1073" i="6"/>
  <c r="K1073" i="6"/>
  <c r="L1073" i="6"/>
  <c r="M1073" i="6"/>
  <c r="N1073" i="6"/>
  <c r="O1073" i="6"/>
  <c r="P1073" i="6"/>
  <c r="Q1073" i="6"/>
  <c r="R1073" i="6"/>
  <c r="S1073" i="6"/>
  <c r="T1073" i="6"/>
  <c r="U1073" i="6"/>
  <c r="V1073" i="6"/>
  <c r="B1074" i="6"/>
  <c r="C1074" i="6"/>
  <c r="D1074" i="6"/>
  <c r="E1074" i="6"/>
  <c r="F1074" i="6"/>
  <c r="G1074" i="6"/>
  <c r="H1074" i="6"/>
  <c r="I1074" i="6"/>
  <c r="J1074" i="6"/>
  <c r="K1074" i="6"/>
  <c r="L1074" i="6"/>
  <c r="M1074" i="6"/>
  <c r="N1074" i="6"/>
  <c r="O1074" i="6"/>
  <c r="P1074" i="6"/>
  <c r="Q1074" i="6"/>
  <c r="R1074" i="6"/>
  <c r="S1074" i="6"/>
  <c r="T1074" i="6"/>
  <c r="U1074" i="6"/>
  <c r="V1074" i="6"/>
  <c r="B1075" i="6"/>
  <c r="C1075" i="6"/>
  <c r="D1075" i="6"/>
  <c r="E1075" i="6"/>
  <c r="F1075" i="6"/>
  <c r="G1075" i="6"/>
  <c r="H1075" i="6"/>
  <c r="I1075" i="6"/>
  <c r="J1075" i="6"/>
  <c r="K1075" i="6"/>
  <c r="L1075" i="6"/>
  <c r="M1075" i="6"/>
  <c r="N1075" i="6"/>
  <c r="O1075" i="6"/>
  <c r="P1075" i="6"/>
  <c r="Q1075" i="6"/>
  <c r="R1075" i="6"/>
  <c r="S1075" i="6"/>
  <c r="T1075" i="6"/>
  <c r="U1075" i="6"/>
  <c r="V1075" i="6"/>
  <c r="B1076" i="6"/>
  <c r="C1076" i="6"/>
  <c r="D1076" i="6"/>
  <c r="E1076" i="6"/>
  <c r="F1076" i="6"/>
  <c r="G1076" i="6"/>
  <c r="H1076" i="6"/>
  <c r="I1076" i="6"/>
  <c r="J1076" i="6"/>
  <c r="K1076" i="6"/>
  <c r="L1076" i="6"/>
  <c r="M1076" i="6"/>
  <c r="N1076" i="6"/>
  <c r="O1076" i="6"/>
  <c r="P1076" i="6"/>
  <c r="Q1076" i="6"/>
  <c r="R1076" i="6"/>
  <c r="S1076" i="6"/>
  <c r="T1076" i="6"/>
  <c r="U1076" i="6"/>
  <c r="V1076" i="6"/>
  <c r="B1077" i="6"/>
  <c r="C1077" i="6"/>
  <c r="D1077" i="6"/>
  <c r="E1077" i="6"/>
  <c r="F1077" i="6"/>
  <c r="G1077" i="6"/>
  <c r="H1077" i="6"/>
  <c r="I1077" i="6"/>
  <c r="J1077" i="6"/>
  <c r="K1077" i="6"/>
  <c r="L1077" i="6"/>
  <c r="M1077" i="6"/>
  <c r="N1077" i="6"/>
  <c r="O1077" i="6"/>
  <c r="P1077" i="6"/>
  <c r="Q1077" i="6"/>
  <c r="R1077" i="6"/>
  <c r="S1077" i="6"/>
  <c r="T1077" i="6"/>
  <c r="U1077" i="6"/>
  <c r="V1077" i="6"/>
  <c r="B1078" i="6"/>
  <c r="C1078" i="6"/>
  <c r="D1078" i="6"/>
  <c r="E1078" i="6"/>
  <c r="F1078" i="6"/>
  <c r="G1078" i="6"/>
  <c r="H1078" i="6"/>
  <c r="I1078" i="6"/>
  <c r="J1078" i="6"/>
  <c r="K1078" i="6"/>
  <c r="L1078" i="6"/>
  <c r="M1078" i="6"/>
  <c r="N1078" i="6"/>
  <c r="O1078" i="6"/>
  <c r="P1078" i="6"/>
  <c r="Q1078" i="6"/>
  <c r="R1078" i="6"/>
  <c r="S1078" i="6"/>
  <c r="T1078" i="6"/>
  <c r="U1078" i="6"/>
  <c r="V1078" i="6"/>
  <c r="B1079" i="6"/>
  <c r="C1079" i="6"/>
  <c r="D1079" i="6"/>
  <c r="E1079" i="6"/>
  <c r="F1079" i="6"/>
  <c r="G1079" i="6"/>
  <c r="H1079" i="6"/>
  <c r="I1079" i="6"/>
  <c r="J1079" i="6"/>
  <c r="K1079" i="6"/>
  <c r="L1079" i="6"/>
  <c r="M1079" i="6"/>
  <c r="N1079" i="6"/>
  <c r="O1079" i="6"/>
  <c r="P1079" i="6"/>
  <c r="Q1079" i="6"/>
  <c r="R1079" i="6"/>
  <c r="S1079" i="6"/>
  <c r="T1079" i="6"/>
  <c r="U1079" i="6"/>
  <c r="V1079" i="6"/>
  <c r="B1080" i="6"/>
  <c r="C1080" i="6"/>
  <c r="D1080" i="6"/>
  <c r="E1080" i="6"/>
  <c r="F1080" i="6"/>
  <c r="G1080" i="6"/>
  <c r="H1080" i="6"/>
  <c r="I1080" i="6"/>
  <c r="J1080" i="6"/>
  <c r="K1080" i="6"/>
  <c r="L1080" i="6"/>
  <c r="M1080" i="6"/>
  <c r="N1080" i="6"/>
  <c r="O1080" i="6"/>
  <c r="P1080" i="6"/>
  <c r="Q1080" i="6"/>
  <c r="R1080" i="6"/>
  <c r="S1080" i="6"/>
  <c r="T1080" i="6"/>
  <c r="U1080" i="6"/>
  <c r="V1080" i="6"/>
  <c r="B1081" i="6"/>
  <c r="C1081" i="6"/>
  <c r="D1081" i="6"/>
  <c r="E1081" i="6"/>
  <c r="F1081" i="6"/>
  <c r="G1081" i="6"/>
  <c r="H1081" i="6"/>
  <c r="I1081" i="6"/>
  <c r="J1081" i="6"/>
  <c r="K1081" i="6"/>
  <c r="L1081" i="6"/>
  <c r="M1081" i="6"/>
  <c r="N1081" i="6"/>
  <c r="O1081" i="6"/>
  <c r="P1081" i="6"/>
  <c r="Q1081" i="6"/>
  <c r="R1081" i="6"/>
  <c r="S1081" i="6"/>
  <c r="T1081" i="6"/>
  <c r="U1081" i="6"/>
  <c r="V1081" i="6"/>
  <c r="B1082" i="6"/>
  <c r="C1082" i="6"/>
  <c r="D1082" i="6"/>
  <c r="E1082" i="6"/>
  <c r="F1082" i="6"/>
  <c r="G1082" i="6"/>
  <c r="H1082" i="6"/>
  <c r="I1082" i="6"/>
  <c r="J1082" i="6"/>
  <c r="K1082" i="6"/>
  <c r="L1082" i="6"/>
  <c r="M1082" i="6"/>
  <c r="N1082" i="6"/>
  <c r="O1082" i="6"/>
  <c r="P1082" i="6"/>
  <c r="Q1082" i="6"/>
  <c r="R1082" i="6"/>
  <c r="S1082" i="6"/>
  <c r="T1082" i="6"/>
  <c r="U1082" i="6"/>
  <c r="V1082" i="6"/>
  <c r="B1083" i="6"/>
  <c r="C1083" i="6"/>
  <c r="D1083" i="6"/>
  <c r="E1083" i="6"/>
  <c r="F1083" i="6"/>
  <c r="G1083" i="6"/>
  <c r="H1083" i="6"/>
  <c r="I1083" i="6"/>
  <c r="J1083" i="6"/>
  <c r="K1083" i="6"/>
  <c r="L1083" i="6"/>
  <c r="M1083" i="6"/>
  <c r="N1083" i="6"/>
  <c r="O1083" i="6"/>
  <c r="P1083" i="6"/>
  <c r="Q1083" i="6"/>
  <c r="R1083" i="6"/>
  <c r="S1083" i="6"/>
  <c r="T1083" i="6"/>
  <c r="U1083" i="6"/>
  <c r="V1083" i="6"/>
  <c r="B1084" i="6"/>
  <c r="C1084" i="6"/>
  <c r="D1084" i="6"/>
  <c r="E1084" i="6"/>
  <c r="F1084" i="6"/>
  <c r="G1084" i="6"/>
  <c r="H1084" i="6"/>
  <c r="I1084" i="6"/>
  <c r="J1084" i="6"/>
  <c r="K1084" i="6"/>
  <c r="L1084" i="6"/>
  <c r="M1084" i="6"/>
  <c r="N1084" i="6"/>
  <c r="O1084" i="6"/>
  <c r="P1084" i="6"/>
  <c r="Q1084" i="6"/>
  <c r="R1084" i="6"/>
  <c r="S1084" i="6"/>
  <c r="T1084" i="6"/>
  <c r="U1084" i="6"/>
  <c r="V1084" i="6"/>
  <c r="B1085" i="6"/>
  <c r="C1085" i="6"/>
  <c r="D1085" i="6"/>
  <c r="E1085" i="6"/>
  <c r="F1085" i="6"/>
  <c r="G1085" i="6"/>
  <c r="H1085" i="6"/>
  <c r="I1085" i="6"/>
  <c r="J1085" i="6"/>
  <c r="K1085" i="6"/>
  <c r="L1085" i="6"/>
  <c r="M1085" i="6"/>
  <c r="N1085" i="6"/>
  <c r="O1085" i="6"/>
  <c r="P1085" i="6"/>
  <c r="Q1085" i="6"/>
  <c r="R1085" i="6"/>
  <c r="S1085" i="6"/>
  <c r="T1085" i="6"/>
  <c r="U1085" i="6"/>
  <c r="V1085" i="6"/>
  <c r="B1086" i="6"/>
  <c r="C1086" i="6"/>
  <c r="D1086" i="6"/>
  <c r="E1086" i="6"/>
  <c r="F1086" i="6"/>
  <c r="G1086" i="6"/>
  <c r="H1086" i="6"/>
  <c r="I1086" i="6"/>
  <c r="J1086" i="6"/>
  <c r="K1086" i="6"/>
  <c r="L1086" i="6"/>
  <c r="M1086" i="6"/>
  <c r="N1086" i="6"/>
  <c r="O1086" i="6"/>
  <c r="P1086" i="6"/>
  <c r="Q1086" i="6"/>
  <c r="R1086" i="6"/>
  <c r="S1086" i="6"/>
  <c r="T1086" i="6"/>
  <c r="U1086" i="6"/>
  <c r="V1086" i="6"/>
  <c r="B1087" i="6"/>
  <c r="C1087" i="6"/>
  <c r="D1087" i="6"/>
  <c r="E1087" i="6"/>
  <c r="F1087" i="6"/>
  <c r="G1087" i="6"/>
  <c r="H1087" i="6"/>
  <c r="I1087" i="6"/>
  <c r="J1087" i="6"/>
  <c r="K1087" i="6"/>
  <c r="L1087" i="6"/>
  <c r="M1087" i="6"/>
  <c r="N1087" i="6"/>
  <c r="O1087" i="6"/>
  <c r="P1087" i="6"/>
  <c r="Q1087" i="6"/>
  <c r="R1087" i="6"/>
  <c r="S1087" i="6"/>
  <c r="T1087" i="6"/>
  <c r="U1087" i="6"/>
  <c r="V1087" i="6"/>
  <c r="B1088" i="6"/>
  <c r="C1088" i="6"/>
  <c r="D1088" i="6"/>
  <c r="E1088" i="6"/>
  <c r="F1088" i="6"/>
  <c r="G1088" i="6"/>
  <c r="H1088" i="6"/>
  <c r="I1088" i="6"/>
  <c r="J1088" i="6"/>
  <c r="K1088" i="6"/>
  <c r="L1088" i="6"/>
  <c r="M1088" i="6"/>
  <c r="N1088" i="6"/>
  <c r="O1088" i="6"/>
  <c r="P1088" i="6"/>
  <c r="Q1088" i="6"/>
  <c r="R1088" i="6"/>
  <c r="S1088" i="6"/>
  <c r="T1088" i="6"/>
  <c r="U1088" i="6"/>
  <c r="V1088" i="6"/>
  <c r="B1089" i="6"/>
  <c r="C1089" i="6"/>
  <c r="D1089" i="6"/>
  <c r="E1089" i="6"/>
  <c r="F1089" i="6"/>
  <c r="G1089" i="6"/>
  <c r="H1089" i="6"/>
  <c r="I1089" i="6"/>
  <c r="J1089" i="6"/>
  <c r="K1089" i="6"/>
  <c r="L1089" i="6"/>
  <c r="M1089" i="6"/>
  <c r="N1089" i="6"/>
  <c r="O1089" i="6"/>
  <c r="P1089" i="6"/>
  <c r="Q1089" i="6"/>
  <c r="R1089" i="6"/>
  <c r="S1089" i="6"/>
  <c r="T1089" i="6"/>
  <c r="U1089" i="6"/>
  <c r="V1089" i="6"/>
  <c r="B1090" i="6"/>
  <c r="C1090" i="6"/>
  <c r="D1090" i="6"/>
  <c r="E1090" i="6"/>
  <c r="F1090" i="6"/>
  <c r="G1090" i="6"/>
  <c r="H1090" i="6"/>
  <c r="I1090" i="6"/>
  <c r="J1090" i="6"/>
  <c r="K1090" i="6"/>
  <c r="L1090" i="6"/>
  <c r="M1090" i="6"/>
  <c r="N1090" i="6"/>
  <c r="O1090" i="6"/>
  <c r="P1090" i="6"/>
  <c r="Q1090" i="6"/>
  <c r="R1090" i="6"/>
  <c r="S1090" i="6"/>
  <c r="T1090" i="6"/>
  <c r="U1090" i="6"/>
  <c r="V1090" i="6"/>
  <c r="B1091" i="6"/>
  <c r="C1091" i="6"/>
  <c r="D1091" i="6"/>
  <c r="E1091" i="6"/>
  <c r="F1091" i="6"/>
  <c r="G1091" i="6"/>
  <c r="H1091" i="6"/>
  <c r="I1091" i="6"/>
  <c r="J1091" i="6"/>
  <c r="K1091" i="6"/>
  <c r="L1091" i="6"/>
  <c r="M1091" i="6"/>
  <c r="N1091" i="6"/>
  <c r="O1091" i="6"/>
  <c r="P1091" i="6"/>
  <c r="Q1091" i="6"/>
  <c r="R1091" i="6"/>
  <c r="S1091" i="6"/>
  <c r="T1091" i="6"/>
  <c r="U1091" i="6"/>
  <c r="V1091" i="6"/>
  <c r="B1092" i="6"/>
  <c r="C1092" i="6"/>
  <c r="D1092" i="6"/>
  <c r="E1092" i="6"/>
  <c r="F1092" i="6"/>
  <c r="G1092" i="6"/>
  <c r="H1092" i="6"/>
  <c r="I1092" i="6"/>
  <c r="J1092" i="6"/>
  <c r="K1092" i="6"/>
  <c r="L1092" i="6"/>
  <c r="M1092" i="6"/>
  <c r="N1092" i="6"/>
  <c r="O1092" i="6"/>
  <c r="P1092" i="6"/>
  <c r="Q1092" i="6"/>
  <c r="R1092" i="6"/>
  <c r="S1092" i="6"/>
  <c r="T1092" i="6"/>
  <c r="U1092" i="6"/>
  <c r="V1092" i="6"/>
  <c r="B1093" i="6"/>
  <c r="C1093" i="6"/>
  <c r="D1093" i="6"/>
  <c r="E1093" i="6"/>
  <c r="F1093" i="6"/>
  <c r="G1093" i="6"/>
  <c r="H1093" i="6"/>
  <c r="I1093" i="6"/>
  <c r="J1093" i="6"/>
  <c r="K1093" i="6"/>
  <c r="L1093" i="6"/>
  <c r="M1093" i="6"/>
  <c r="N1093" i="6"/>
  <c r="O1093" i="6"/>
  <c r="P1093" i="6"/>
  <c r="Q1093" i="6"/>
  <c r="R1093" i="6"/>
  <c r="S1093" i="6"/>
  <c r="T1093" i="6"/>
  <c r="U1093" i="6"/>
  <c r="V1093" i="6"/>
  <c r="B1094" i="6"/>
  <c r="C1094" i="6"/>
  <c r="D1094" i="6"/>
  <c r="E1094" i="6"/>
  <c r="F1094" i="6"/>
  <c r="G1094" i="6"/>
  <c r="H1094" i="6"/>
  <c r="I1094" i="6"/>
  <c r="J1094" i="6"/>
  <c r="K1094" i="6"/>
  <c r="L1094" i="6"/>
  <c r="M1094" i="6"/>
  <c r="N1094" i="6"/>
  <c r="O1094" i="6"/>
  <c r="P1094" i="6"/>
  <c r="Q1094" i="6"/>
  <c r="R1094" i="6"/>
  <c r="S1094" i="6"/>
  <c r="T1094" i="6"/>
  <c r="U1094" i="6"/>
  <c r="V1094" i="6"/>
  <c r="B1095" i="6"/>
  <c r="C1095" i="6"/>
  <c r="D1095" i="6"/>
  <c r="E1095" i="6"/>
  <c r="F1095" i="6"/>
  <c r="G1095" i="6"/>
  <c r="H1095" i="6"/>
  <c r="I1095" i="6"/>
  <c r="J1095" i="6"/>
  <c r="K1095" i="6"/>
  <c r="L1095" i="6"/>
  <c r="M1095" i="6"/>
  <c r="N1095" i="6"/>
  <c r="O1095" i="6"/>
  <c r="P1095" i="6"/>
  <c r="Q1095" i="6"/>
  <c r="R1095" i="6"/>
  <c r="S1095" i="6"/>
  <c r="T1095" i="6"/>
  <c r="U1095" i="6"/>
  <c r="V1095" i="6"/>
  <c r="B1096" i="6"/>
  <c r="C1096" i="6"/>
  <c r="D1096" i="6"/>
  <c r="E1096" i="6"/>
  <c r="F1096" i="6"/>
  <c r="G1096" i="6"/>
  <c r="H1096" i="6"/>
  <c r="I1096" i="6"/>
  <c r="J1096" i="6"/>
  <c r="K1096" i="6"/>
  <c r="L1096" i="6"/>
  <c r="M1096" i="6"/>
  <c r="N1096" i="6"/>
  <c r="O1096" i="6"/>
  <c r="P1096" i="6"/>
  <c r="Q1096" i="6"/>
  <c r="R1096" i="6"/>
  <c r="S1096" i="6"/>
  <c r="T1096" i="6"/>
  <c r="U1096" i="6"/>
  <c r="V1096" i="6"/>
  <c r="B1097" i="6"/>
  <c r="C1097" i="6"/>
  <c r="D1097" i="6"/>
  <c r="E1097" i="6"/>
  <c r="F1097" i="6"/>
  <c r="G1097" i="6"/>
  <c r="H1097" i="6"/>
  <c r="I1097" i="6"/>
  <c r="J1097" i="6"/>
  <c r="K1097" i="6"/>
  <c r="L1097" i="6"/>
  <c r="M1097" i="6"/>
  <c r="N1097" i="6"/>
  <c r="O1097" i="6"/>
  <c r="P1097" i="6"/>
  <c r="Q1097" i="6"/>
  <c r="R1097" i="6"/>
  <c r="S1097" i="6"/>
  <c r="T1097" i="6"/>
  <c r="U1097" i="6"/>
  <c r="V1097" i="6"/>
  <c r="B1098" i="6"/>
  <c r="C1098" i="6"/>
  <c r="D1098" i="6"/>
  <c r="E1098" i="6"/>
  <c r="F1098" i="6"/>
  <c r="G1098" i="6"/>
  <c r="H1098" i="6"/>
  <c r="I1098" i="6"/>
  <c r="J1098" i="6"/>
  <c r="K1098" i="6"/>
  <c r="L1098" i="6"/>
  <c r="M1098" i="6"/>
  <c r="N1098" i="6"/>
  <c r="O1098" i="6"/>
  <c r="P1098" i="6"/>
  <c r="Q1098" i="6"/>
  <c r="R1098" i="6"/>
  <c r="S1098" i="6"/>
  <c r="T1098" i="6"/>
  <c r="U1098" i="6"/>
  <c r="V1098" i="6"/>
  <c r="B1099" i="6"/>
  <c r="C1099" i="6"/>
  <c r="D1099" i="6"/>
  <c r="E1099" i="6"/>
  <c r="F1099" i="6"/>
  <c r="G1099" i="6"/>
  <c r="H1099" i="6"/>
  <c r="I1099" i="6"/>
  <c r="J1099" i="6"/>
  <c r="K1099" i="6"/>
  <c r="L1099" i="6"/>
  <c r="M1099" i="6"/>
  <c r="N1099" i="6"/>
  <c r="O1099" i="6"/>
  <c r="P1099" i="6"/>
  <c r="Q1099" i="6"/>
  <c r="R1099" i="6"/>
  <c r="S1099" i="6"/>
  <c r="T1099" i="6"/>
  <c r="U1099" i="6"/>
  <c r="V1099" i="6"/>
  <c r="B1100" i="6"/>
  <c r="C1100" i="6"/>
  <c r="D1100" i="6"/>
  <c r="E1100" i="6"/>
  <c r="F1100" i="6"/>
  <c r="G1100" i="6"/>
  <c r="H1100" i="6"/>
  <c r="I1100" i="6"/>
  <c r="J1100" i="6"/>
  <c r="K1100" i="6"/>
  <c r="L1100" i="6"/>
  <c r="M1100" i="6"/>
  <c r="N1100" i="6"/>
  <c r="O1100" i="6"/>
  <c r="P1100" i="6"/>
  <c r="Q1100" i="6"/>
  <c r="R1100" i="6"/>
  <c r="S1100" i="6"/>
  <c r="T1100" i="6"/>
  <c r="U1100" i="6"/>
  <c r="V1100" i="6"/>
  <c r="B1101" i="6"/>
  <c r="C1101" i="6"/>
  <c r="D1101" i="6"/>
  <c r="E1101" i="6"/>
  <c r="F1101" i="6"/>
  <c r="G1101" i="6"/>
  <c r="H1101" i="6"/>
  <c r="I1101" i="6"/>
  <c r="J1101" i="6"/>
  <c r="K1101" i="6"/>
  <c r="L1101" i="6"/>
  <c r="M1101" i="6"/>
  <c r="N1101" i="6"/>
  <c r="O1101" i="6"/>
  <c r="P1101" i="6"/>
  <c r="Q1101" i="6"/>
  <c r="R1101" i="6"/>
  <c r="S1101" i="6"/>
  <c r="T1101" i="6"/>
  <c r="U1101" i="6"/>
  <c r="V1101" i="6"/>
  <c r="B1102" i="6"/>
  <c r="C1102" i="6"/>
  <c r="D1102" i="6"/>
  <c r="E1102" i="6"/>
  <c r="F1102" i="6"/>
  <c r="G1102" i="6"/>
  <c r="H1102" i="6"/>
  <c r="I1102" i="6"/>
  <c r="J1102" i="6"/>
  <c r="K1102" i="6"/>
  <c r="L1102" i="6"/>
  <c r="M1102" i="6"/>
  <c r="N1102" i="6"/>
  <c r="O1102" i="6"/>
  <c r="P1102" i="6"/>
  <c r="Q1102" i="6"/>
  <c r="R1102" i="6"/>
  <c r="S1102" i="6"/>
  <c r="T1102" i="6"/>
  <c r="U1102" i="6"/>
  <c r="V1102" i="6"/>
  <c r="B1103" i="6"/>
  <c r="C1103" i="6"/>
  <c r="D1103" i="6"/>
  <c r="E1103" i="6"/>
  <c r="F1103" i="6"/>
  <c r="G1103" i="6"/>
  <c r="H1103" i="6"/>
  <c r="I1103" i="6"/>
  <c r="J1103" i="6"/>
  <c r="K1103" i="6"/>
  <c r="L1103" i="6"/>
  <c r="M1103" i="6"/>
  <c r="N1103" i="6"/>
  <c r="O1103" i="6"/>
  <c r="P1103" i="6"/>
  <c r="Q1103" i="6"/>
  <c r="R1103" i="6"/>
  <c r="S1103" i="6"/>
  <c r="T1103" i="6"/>
  <c r="U1103" i="6"/>
  <c r="V1103" i="6"/>
  <c r="B1104" i="6"/>
  <c r="C1104" i="6"/>
  <c r="D1104" i="6"/>
  <c r="E1104" i="6"/>
  <c r="F1104" i="6"/>
  <c r="G1104" i="6"/>
  <c r="H1104" i="6"/>
  <c r="I1104" i="6"/>
  <c r="J1104" i="6"/>
  <c r="K1104" i="6"/>
  <c r="L1104" i="6"/>
  <c r="M1104" i="6"/>
  <c r="N1104" i="6"/>
  <c r="O1104" i="6"/>
  <c r="P1104" i="6"/>
  <c r="Q1104" i="6"/>
  <c r="R1104" i="6"/>
  <c r="S1104" i="6"/>
  <c r="T1104" i="6"/>
  <c r="U1104" i="6"/>
  <c r="V1104" i="6"/>
  <c r="B1105" i="6"/>
  <c r="C1105" i="6"/>
  <c r="D1105" i="6"/>
  <c r="E1105" i="6"/>
  <c r="F1105" i="6"/>
  <c r="G1105" i="6"/>
  <c r="H1105" i="6"/>
  <c r="I1105" i="6"/>
  <c r="J1105" i="6"/>
  <c r="K1105" i="6"/>
  <c r="L1105" i="6"/>
  <c r="M1105" i="6"/>
  <c r="N1105" i="6"/>
  <c r="O1105" i="6"/>
  <c r="P1105" i="6"/>
  <c r="Q1105" i="6"/>
  <c r="R1105" i="6"/>
  <c r="S1105" i="6"/>
  <c r="T1105" i="6"/>
  <c r="U1105" i="6"/>
  <c r="V1105" i="6"/>
  <c r="B1106" i="6"/>
  <c r="C1106" i="6"/>
  <c r="D1106" i="6"/>
  <c r="E1106" i="6"/>
  <c r="F1106" i="6"/>
  <c r="G1106" i="6"/>
  <c r="H1106" i="6"/>
  <c r="I1106" i="6"/>
  <c r="J1106" i="6"/>
  <c r="K1106" i="6"/>
  <c r="L1106" i="6"/>
  <c r="M1106" i="6"/>
  <c r="N1106" i="6"/>
  <c r="O1106" i="6"/>
  <c r="P1106" i="6"/>
  <c r="Q1106" i="6"/>
  <c r="R1106" i="6"/>
  <c r="S1106" i="6"/>
  <c r="T1106" i="6"/>
  <c r="U1106" i="6"/>
  <c r="V1106" i="6"/>
  <c r="B1107" i="6"/>
  <c r="C1107" i="6"/>
  <c r="D1107" i="6"/>
  <c r="E1107" i="6"/>
  <c r="F1107" i="6"/>
  <c r="G1107" i="6"/>
  <c r="H1107" i="6"/>
  <c r="I1107" i="6"/>
  <c r="J1107" i="6"/>
  <c r="K1107" i="6"/>
  <c r="L1107" i="6"/>
  <c r="M1107" i="6"/>
  <c r="N1107" i="6"/>
  <c r="O1107" i="6"/>
  <c r="P1107" i="6"/>
  <c r="Q1107" i="6"/>
  <c r="R1107" i="6"/>
  <c r="S1107" i="6"/>
  <c r="T1107" i="6"/>
  <c r="U1107" i="6"/>
  <c r="V1107" i="6"/>
  <c r="B1108" i="6"/>
  <c r="C1108" i="6"/>
  <c r="D1108" i="6"/>
  <c r="E1108" i="6"/>
  <c r="F1108" i="6"/>
  <c r="G1108" i="6"/>
  <c r="H1108" i="6"/>
  <c r="I1108" i="6"/>
  <c r="J1108" i="6"/>
  <c r="K1108" i="6"/>
  <c r="L1108" i="6"/>
  <c r="M1108" i="6"/>
  <c r="N1108" i="6"/>
  <c r="O1108" i="6"/>
  <c r="P1108" i="6"/>
  <c r="Q1108" i="6"/>
  <c r="R1108" i="6"/>
  <c r="S1108" i="6"/>
  <c r="T1108" i="6"/>
  <c r="U1108" i="6"/>
  <c r="V1108" i="6"/>
  <c r="B1109" i="6"/>
  <c r="C1109" i="6"/>
  <c r="D1109" i="6"/>
  <c r="E1109" i="6"/>
  <c r="F1109" i="6"/>
  <c r="G1109" i="6"/>
  <c r="H1109" i="6"/>
  <c r="I1109" i="6"/>
  <c r="J1109" i="6"/>
  <c r="K1109" i="6"/>
  <c r="L1109" i="6"/>
  <c r="M1109" i="6"/>
  <c r="N1109" i="6"/>
  <c r="O1109" i="6"/>
  <c r="P1109" i="6"/>
  <c r="Q1109" i="6"/>
  <c r="R1109" i="6"/>
  <c r="S1109" i="6"/>
  <c r="T1109" i="6"/>
  <c r="U1109" i="6"/>
  <c r="V1109" i="6"/>
  <c r="B1110" i="6"/>
  <c r="C1110" i="6"/>
  <c r="D1110" i="6"/>
  <c r="E1110" i="6"/>
  <c r="F1110" i="6"/>
  <c r="G1110" i="6"/>
  <c r="H1110" i="6"/>
  <c r="I1110" i="6"/>
  <c r="J1110" i="6"/>
  <c r="K1110" i="6"/>
  <c r="L1110" i="6"/>
  <c r="M1110" i="6"/>
  <c r="N1110" i="6"/>
  <c r="O1110" i="6"/>
  <c r="P1110" i="6"/>
  <c r="Q1110" i="6"/>
  <c r="R1110" i="6"/>
  <c r="S1110" i="6"/>
  <c r="T1110" i="6"/>
  <c r="U1110" i="6"/>
  <c r="V1110" i="6"/>
  <c r="B1111" i="6"/>
  <c r="C1111" i="6"/>
  <c r="D1111" i="6"/>
  <c r="E1111" i="6"/>
  <c r="F1111" i="6"/>
  <c r="G1111" i="6"/>
  <c r="H1111" i="6"/>
  <c r="I1111" i="6"/>
  <c r="J1111" i="6"/>
  <c r="K1111" i="6"/>
  <c r="L1111" i="6"/>
  <c r="M1111" i="6"/>
  <c r="N1111" i="6"/>
  <c r="O1111" i="6"/>
  <c r="P1111" i="6"/>
  <c r="Q1111" i="6"/>
  <c r="R1111" i="6"/>
  <c r="S1111" i="6"/>
  <c r="T1111" i="6"/>
  <c r="U1111" i="6"/>
  <c r="V1111" i="6"/>
  <c r="B1112" i="6"/>
  <c r="C1112" i="6"/>
  <c r="D1112" i="6"/>
  <c r="E1112" i="6"/>
  <c r="F1112" i="6"/>
  <c r="G1112" i="6"/>
  <c r="H1112" i="6"/>
  <c r="I1112" i="6"/>
  <c r="J1112" i="6"/>
  <c r="K1112" i="6"/>
  <c r="L1112" i="6"/>
  <c r="M1112" i="6"/>
  <c r="N1112" i="6"/>
  <c r="O1112" i="6"/>
  <c r="P1112" i="6"/>
  <c r="Q1112" i="6"/>
  <c r="R1112" i="6"/>
  <c r="S1112" i="6"/>
  <c r="T1112" i="6"/>
  <c r="U1112" i="6"/>
  <c r="V1112" i="6"/>
  <c r="B1113" i="6"/>
  <c r="C1113" i="6"/>
  <c r="D1113" i="6"/>
  <c r="E1113" i="6"/>
  <c r="F1113" i="6"/>
  <c r="G1113" i="6"/>
  <c r="H1113" i="6"/>
  <c r="I1113" i="6"/>
  <c r="J1113" i="6"/>
  <c r="K1113" i="6"/>
  <c r="L1113" i="6"/>
  <c r="M1113" i="6"/>
  <c r="N1113" i="6"/>
  <c r="O1113" i="6"/>
  <c r="P1113" i="6"/>
  <c r="Q1113" i="6"/>
  <c r="R1113" i="6"/>
  <c r="S1113" i="6"/>
  <c r="T1113" i="6"/>
  <c r="U1113" i="6"/>
  <c r="V1113" i="6"/>
  <c r="B1114" i="6"/>
  <c r="C1114" i="6"/>
  <c r="D1114" i="6"/>
  <c r="E1114" i="6"/>
  <c r="F1114" i="6"/>
  <c r="G1114" i="6"/>
  <c r="H1114" i="6"/>
  <c r="I1114" i="6"/>
  <c r="J1114" i="6"/>
  <c r="K1114" i="6"/>
  <c r="L1114" i="6"/>
  <c r="M1114" i="6"/>
  <c r="N1114" i="6"/>
  <c r="O1114" i="6"/>
  <c r="P1114" i="6"/>
  <c r="Q1114" i="6"/>
  <c r="R1114" i="6"/>
  <c r="S1114" i="6"/>
  <c r="T1114" i="6"/>
  <c r="U1114" i="6"/>
  <c r="V1114" i="6"/>
  <c r="B1115" i="6"/>
  <c r="C1115" i="6"/>
  <c r="D1115" i="6"/>
  <c r="E1115" i="6"/>
  <c r="F1115" i="6"/>
  <c r="G1115" i="6"/>
  <c r="H1115" i="6"/>
  <c r="I1115" i="6"/>
  <c r="J1115" i="6"/>
  <c r="K1115" i="6"/>
  <c r="L1115" i="6"/>
  <c r="M1115" i="6"/>
  <c r="N1115" i="6"/>
  <c r="O1115" i="6"/>
  <c r="P1115" i="6"/>
  <c r="Q1115" i="6"/>
  <c r="R1115" i="6"/>
  <c r="S1115" i="6"/>
  <c r="T1115" i="6"/>
  <c r="U1115" i="6"/>
  <c r="V1115" i="6"/>
  <c r="B1116" i="6"/>
  <c r="C1116" i="6"/>
  <c r="D1116" i="6"/>
  <c r="E1116" i="6"/>
  <c r="F1116" i="6"/>
  <c r="G1116" i="6"/>
  <c r="H1116" i="6"/>
  <c r="I1116" i="6"/>
  <c r="J1116" i="6"/>
  <c r="K1116" i="6"/>
  <c r="L1116" i="6"/>
  <c r="M1116" i="6"/>
  <c r="N1116" i="6"/>
  <c r="O1116" i="6"/>
  <c r="P1116" i="6"/>
  <c r="Q1116" i="6"/>
  <c r="R1116" i="6"/>
  <c r="S1116" i="6"/>
  <c r="T1116" i="6"/>
  <c r="U1116" i="6"/>
  <c r="V1116" i="6"/>
  <c r="B1117" i="6"/>
  <c r="C1117" i="6"/>
  <c r="D1117" i="6"/>
  <c r="E1117" i="6"/>
  <c r="F1117" i="6"/>
  <c r="G1117" i="6"/>
  <c r="H1117" i="6"/>
  <c r="I1117" i="6"/>
  <c r="J1117" i="6"/>
  <c r="K1117" i="6"/>
  <c r="L1117" i="6"/>
  <c r="M1117" i="6"/>
  <c r="N1117" i="6"/>
  <c r="O1117" i="6"/>
  <c r="P1117" i="6"/>
  <c r="Q1117" i="6"/>
  <c r="R1117" i="6"/>
  <c r="S1117" i="6"/>
  <c r="T1117" i="6"/>
  <c r="U1117" i="6"/>
  <c r="V1117" i="6"/>
  <c r="B1118" i="6"/>
  <c r="C1118" i="6"/>
  <c r="D1118" i="6"/>
  <c r="E1118" i="6"/>
  <c r="F1118" i="6"/>
  <c r="G1118" i="6"/>
  <c r="H1118" i="6"/>
  <c r="I1118" i="6"/>
  <c r="J1118" i="6"/>
  <c r="K1118" i="6"/>
  <c r="L1118" i="6"/>
  <c r="M1118" i="6"/>
  <c r="N1118" i="6"/>
  <c r="O1118" i="6"/>
  <c r="P1118" i="6"/>
  <c r="Q1118" i="6"/>
  <c r="R1118" i="6"/>
  <c r="S1118" i="6"/>
  <c r="T1118" i="6"/>
  <c r="U1118" i="6"/>
  <c r="V1118" i="6"/>
  <c r="B1119" i="6"/>
  <c r="C1119" i="6"/>
  <c r="D1119" i="6"/>
  <c r="E1119" i="6"/>
  <c r="F1119" i="6"/>
  <c r="G1119" i="6"/>
  <c r="H1119" i="6"/>
  <c r="I1119" i="6"/>
  <c r="J1119" i="6"/>
  <c r="K1119" i="6"/>
  <c r="L1119" i="6"/>
  <c r="M1119" i="6"/>
  <c r="N1119" i="6"/>
  <c r="O1119" i="6"/>
  <c r="P1119" i="6"/>
  <c r="Q1119" i="6"/>
  <c r="R1119" i="6"/>
  <c r="S1119" i="6"/>
  <c r="T1119" i="6"/>
  <c r="U1119" i="6"/>
  <c r="V1119" i="6"/>
  <c r="B1120" i="6"/>
  <c r="C1120" i="6"/>
  <c r="D1120" i="6"/>
  <c r="E1120" i="6"/>
  <c r="F1120" i="6"/>
  <c r="G1120" i="6"/>
  <c r="H1120" i="6"/>
  <c r="I1120" i="6"/>
  <c r="J1120" i="6"/>
  <c r="K1120" i="6"/>
  <c r="L1120" i="6"/>
  <c r="M1120" i="6"/>
  <c r="N1120" i="6"/>
  <c r="O1120" i="6"/>
  <c r="P1120" i="6"/>
  <c r="Q1120" i="6"/>
  <c r="R1120" i="6"/>
  <c r="S1120" i="6"/>
  <c r="T1120" i="6"/>
  <c r="U1120" i="6"/>
  <c r="V1120" i="6"/>
  <c r="B1121" i="6"/>
  <c r="C1121" i="6"/>
  <c r="D1121" i="6"/>
  <c r="E1121" i="6"/>
  <c r="F1121" i="6"/>
  <c r="G1121" i="6"/>
  <c r="H1121" i="6"/>
  <c r="I1121" i="6"/>
  <c r="J1121" i="6"/>
  <c r="K1121" i="6"/>
  <c r="L1121" i="6"/>
  <c r="M1121" i="6"/>
  <c r="N1121" i="6"/>
  <c r="O1121" i="6"/>
  <c r="P1121" i="6"/>
  <c r="Q1121" i="6"/>
  <c r="R1121" i="6"/>
  <c r="S1121" i="6"/>
  <c r="T1121" i="6"/>
  <c r="U1121" i="6"/>
  <c r="V1121" i="6"/>
  <c r="B1122" i="6"/>
  <c r="C1122" i="6"/>
  <c r="D1122" i="6"/>
  <c r="E1122" i="6"/>
  <c r="F1122" i="6"/>
  <c r="G1122" i="6"/>
  <c r="H1122" i="6"/>
  <c r="I1122" i="6"/>
  <c r="J1122" i="6"/>
  <c r="K1122" i="6"/>
  <c r="L1122" i="6"/>
  <c r="M1122" i="6"/>
  <c r="N1122" i="6"/>
  <c r="O1122" i="6"/>
  <c r="P1122" i="6"/>
  <c r="Q1122" i="6"/>
  <c r="R1122" i="6"/>
  <c r="S1122" i="6"/>
  <c r="T1122" i="6"/>
  <c r="U1122" i="6"/>
  <c r="V1122" i="6"/>
  <c r="B1123" i="6"/>
  <c r="C1123" i="6"/>
  <c r="D1123" i="6"/>
  <c r="E1123" i="6"/>
  <c r="F1123" i="6"/>
  <c r="G1123" i="6"/>
  <c r="H1123" i="6"/>
  <c r="I1123" i="6"/>
  <c r="J1123" i="6"/>
  <c r="K1123" i="6"/>
  <c r="L1123" i="6"/>
  <c r="M1123" i="6"/>
  <c r="N1123" i="6"/>
  <c r="O1123" i="6"/>
  <c r="P1123" i="6"/>
  <c r="Q1123" i="6"/>
  <c r="R1123" i="6"/>
  <c r="S1123" i="6"/>
  <c r="T1123" i="6"/>
  <c r="U1123" i="6"/>
  <c r="V1123" i="6"/>
  <c r="B1124" i="6"/>
  <c r="C1124" i="6"/>
  <c r="D1124" i="6"/>
  <c r="E1124" i="6"/>
  <c r="F1124" i="6"/>
  <c r="G1124" i="6"/>
  <c r="H1124" i="6"/>
  <c r="I1124" i="6"/>
  <c r="J1124" i="6"/>
  <c r="K1124" i="6"/>
  <c r="L1124" i="6"/>
  <c r="M1124" i="6"/>
  <c r="N1124" i="6"/>
  <c r="O1124" i="6"/>
  <c r="P1124" i="6"/>
  <c r="Q1124" i="6"/>
  <c r="R1124" i="6"/>
  <c r="S1124" i="6"/>
  <c r="T1124" i="6"/>
  <c r="U1124" i="6"/>
  <c r="V1124" i="6"/>
  <c r="B1125" i="6"/>
  <c r="C1125" i="6"/>
  <c r="D1125" i="6"/>
  <c r="E1125" i="6"/>
  <c r="F1125" i="6"/>
  <c r="G1125" i="6"/>
  <c r="H1125" i="6"/>
  <c r="I1125" i="6"/>
  <c r="J1125" i="6"/>
  <c r="K1125" i="6"/>
  <c r="L1125" i="6"/>
  <c r="M1125" i="6"/>
  <c r="N1125" i="6"/>
  <c r="O1125" i="6"/>
  <c r="P1125" i="6"/>
  <c r="Q1125" i="6"/>
  <c r="R1125" i="6"/>
  <c r="S1125" i="6"/>
  <c r="T1125" i="6"/>
  <c r="U1125" i="6"/>
  <c r="V1125" i="6"/>
  <c r="B1126" i="6"/>
  <c r="C1126" i="6"/>
  <c r="D1126" i="6"/>
  <c r="E1126" i="6"/>
  <c r="F1126" i="6"/>
  <c r="G1126" i="6"/>
  <c r="H1126" i="6"/>
  <c r="I1126" i="6"/>
  <c r="J1126" i="6"/>
  <c r="K1126" i="6"/>
  <c r="L1126" i="6"/>
  <c r="M1126" i="6"/>
  <c r="N1126" i="6"/>
  <c r="O1126" i="6"/>
  <c r="P1126" i="6"/>
  <c r="Q1126" i="6"/>
  <c r="R1126" i="6"/>
  <c r="S1126" i="6"/>
  <c r="T1126" i="6"/>
  <c r="U1126" i="6"/>
  <c r="V1126" i="6"/>
  <c r="B1127" i="6"/>
  <c r="C1127" i="6"/>
  <c r="D1127" i="6"/>
  <c r="E1127" i="6"/>
  <c r="F1127" i="6"/>
  <c r="G1127" i="6"/>
  <c r="H1127" i="6"/>
  <c r="I1127" i="6"/>
  <c r="J1127" i="6"/>
  <c r="K1127" i="6"/>
  <c r="L1127" i="6"/>
  <c r="M1127" i="6"/>
  <c r="N1127" i="6"/>
  <c r="O1127" i="6"/>
  <c r="P1127" i="6"/>
  <c r="Q1127" i="6"/>
  <c r="R1127" i="6"/>
  <c r="S1127" i="6"/>
  <c r="T1127" i="6"/>
  <c r="U1127" i="6"/>
  <c r="V1127" i="6"/>
  <c r="B1128" i="6"/>
  <c r="C1128" i="6"/>
  <c r="D1128" i="6"/>
  <c r="E1128" i="6"/>
  <c r="F1128" i="6"/>
  <c r="G1128" i="6"/>
  <c r="H1128" i="6"/>
  <c r="I1128" i="6"/>
  <c r="J1128" i="6"/>
  <c r="K1128" i="6"/>
  <c r="L1128" i="6"/>
  <c r="M1128" i="6"/>
  <c r="N1128" i="6"/>
  <c r="O1128" i="6"/>
  <c r="P1128" i="6"/>
  <c r="Q1128" i="6"/>
  <c r="R1128" i="6"/>
  <c r="S1128" i="6"/>
  <c r="T1128" i="6"/>
  <c r="U1128" i="6"/>
  <c r="V1128" i="6"/>
  <c r="B1129" i="6"/>
  <c r="C1129" i="6"/>
  <c r="D1129" i="6"/>
  <c r="E1129" i="6"/>
  <c r="F1129" i="6"/>
  <c r="G1129" i="6"/>
  <c r="H1129" i="6"/>
  <c r="I1129" i="6"/>
  <c r="J1129" i="6"/>
  <c r="K1129" i="6"/>
  <c r="L1129" i="6"/>
  <c r="M1129" i="6"/>
  <c r="N1129" i="6"/>
  <c r="O1129" i="6"/>
  <c r="P1129" i="6"/>
  <c r="Q1129" i="6"/>
  <c r="R1129" i="6"/>
  <c r="S1129" i="6"/>
  <c r="T1129" i="6"/>
  <c r="U1129" i="6"/>
  <c r="V1129" i="6"/>
  <c r="C986" i="6"/>
  <c r="D986" i="6"/>
  <c r="E986" i="6"/>
  <c r="F986" i="6"/>
  <c r="G986" i="6"/>
  <c r="H986" i="6"/>
  <c r="I986" i="6"/>
  <c r="J986" i="6"/>
  <c r="K986" i="6"/>
  <c r="L986" i="6"/>
  <c r="M986" i="6"/>
  <c r="N986" i="6"/>
  <c r="O986" i="6"/>
  <c r="P986" i="6"/>
  <c r="Q986" i="6"/>
  <c r="R986" i="6"/>
  <c r="S986" i="6"/>
  <c r="T986" i="6"/>
  <c r="U986" i="6"/>
  <c r="V986" i="6"/>
  <c r="B986" i="6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2" i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" i="5"/>
  <c r="B2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C986" i="5" s="1"/>
  <c r="AH123" i="2"/>
  <c r="C987" i="5" s="1"/>
  <c r="AH124" i="2"/>
  <c r="C988" i="5" s="1"/>
  <c r="AH125" i="2"/>
  <c r="C989" i="5" s="1"/>
  <c r="AH126" i="2"/>
  <c r="C990" i="5" s="1"/>
  <c r="AH127" i="2"/>
  <c r="C991" i="5" s="1"/>
  <c r="AH128" i="2"/>
  <c r="C992" i="5" s="1"/>
  <c r="AH129" i="2"/>
  <c r="C993" i="5" s="1"/>
  <c r="AH130" i="2"/>
  <c r="C994" i="5" s="1"/>
  <c r="AH131" i="2"/>
  <c r="C995" i="5" s="1"/>
  <c r="AH132" i="2"/>
  <c r="C996" i="5" s="1"/>
  <c r="AH133" i="2"/>
  <c r="C997" i="5" s="1"/>
  <c r="AH134" i="2"/>
  <c r="C998" i="5" s="1"/>
  <c r="AH135" i="2"/>
  <c r="C999" i="5" s="1"/>
  <c r="AH136" i="2"/>
  <c r="C1000" i="5" s="1"/>
  <c r="AH137" i="2"/>
  <c r="C1001" i="5" s="1"/>
  <c r="AH138" i="2"/>
  <c r="C1002" i="5" s="1"/>
  <c r="AH139" i="2"/>
  <c r="C1003" i="5" s="1"/>
  <c r="AH140" i="2"/>
  <c r="C1004" i="5" s="1"/>
  <c r="AH141" i="2"/>
  <c r="C1005" i="5" s="1"/>
  <c r="AH142" i="2"/>
  <c r="C1006" i="5" s="1"/>
  <c r="AH143" i="2"/>
  <c r="C1007" i="5" s="1"/>
  <c r="AH144" i="2"/>
  <c r="C1008" i="5" s="1"/>
  <c r="AH145" i="2"/>
  <c r="C1009" i="5" s="1"/>
  <c r="AH146" i="2"/>
  <c r="C1010" i="5" s="1"/>
  <c r="AH147" i="2"/>
  <c r="C1011" i="5" s="1"/>
  <c r="AH148" i="2"/>
  <c r="C1012" i="5" s="1"/>
  <c r="AH149" i="2"/>
  <c r="C1013" i="5" s="1"/>
  <c r="AH150" i="2"/>
  <c r="C1014" i="5" s="1"/>
  <c r="AH151" i="2"/>
  <c r="C1015" i="5" s="1"/>
  <c r="AH152" i="2"/>
  <c r="C1016" i="5" s="1"/>
  <c r="AH153" i="2"/>
  <c r="C1017" i="5" s="1"/>
  <c r="AH154" i="2"/>
  <c r="C1018" i="5" s="1"/>
  <c r="AH155" i="2"/>
  <c r="C1019" i="5" s="1"/>
  <c r="AH156" i="2"/>
  <c r="C1020" i="5" s="1"/>
  <c r="AH157" i="2"/>
  <c r="C1021" i="5" s="1"/>
  <c r="AH158" i="2"/>
  <c r="C1022" i="5" s="1"/>
  <c r="AH159" i="2"/>
  <c r="C1023" i="5" s="1"/>
  <c r="AH160" i="2"/>
  <c r="C1024" i="5" s="1"/>
  <c r="AH161" i="2"/>
  <c r="C1025" i="5" s="1"/>
  <c r="AH162" i="2"/>
  <c r="C1026" i="5" s="1"/>
  <c r="AH163" i="2"/>
  <c r="C1027" i="5" s="1"/>
  <c r="AH164" i="2"/>
  <c r="C1028" i="5" s="1"/>
  <c r="AH165" i="2"/>
  <c r="C1029" i="5" s="1"/>
  <c r="AH166" i="2"/>
  <c r="C1030" i="5" s="1"/>
  <c r="AH167" i="2"/>
  <c r="C1031" i="5" s="1"/>
  <c r="AH168" i="2"/>
  <c r="C1032" i="5" s="1"/>
  <c r="AH169" i="2"/>
  <c r="C1033" i="5" s="1"/>
  <c r="AH170" i="2"/>
  <c r="C1034" i="5" s="1"/>
  <c r="AH171" i="2"/>
  <c r="C1035" i="5" s="1"/>
  <c r="AH172" i="2"/>
  <c r="C1036" i="5" s="1"/>
  <c r="AH173" i="2"/>
  <c r="C1037" i="5" s="1"/>
  <c r="AH174" i="2"/>
  <c r="C1038" i="5" s="1"/>
  <c r="AH175" i="2"/>
  <c r="C1039" i="5" s="1"/>
  <c r="AH176" i="2"/>
  <c r="C1040" i="5" s="1"/>
  <c r="AH177" i="2"/>
  <c r="C1041" i="5" s="1"/>
  <c r="AH178" i="2"/>
  <c r="C1042" i="5" s="1"/>
  <c r="AH179" i="2"/>
  <c r="C1043" i="5" s="1"/>
  <c r="AH180" i="2"/>
  <c r="C1044" i="5" s="1"/>
  <c r="AH181" i="2"/>
  <c r="C1045" i="5" s="1"/>
  <c r="AH182" i="2"/>
  <c r="C1046" i="5" s="1"/>
  <c r="AH183" i="2"/>
  <c r="C1047" i="5" s="1"/>
  <c r="AH184" i="2"/>
  <c r="C1048" i="5" s="1"/>
  <c r="AH185" i="2"/>
  <c r="C1049" i="5" s="1"/>
  <c r="AH186" i="2"/>
  <c r="C1050" i="5" s="1"/>
  <c r="AH187" i="2"/>
  <c r="C1051" i="5" s="1"/>
  <c r="AH188" i="2"/>
  <c r="C1052" i="5" s="1"/>
  <c r="AH189" i="2"/>
  <c r="C1053" i="5" s="1"/>
  <c r="AH190" i="2"/>
  <c r="C1054" i="5" s="1"/>
  <c r="AH191" i="2"/>
  <c r="C1055" i="5" s="1"/>
  <c r="AH192" i="2"/>
  <c r="C1056" i="5" s="1"/>
  <c r="AH193" i="2"/>
  <c r="C1057" i="5" s="1"/>
  <c r="AH194" i="2"/>
  <c r="C1058" i="5" s="1"/>
  <c r="AH195" i="2"/>
  <c r="C1059" i="5" s="1"/>
  <c r="AH196" i="2"/>
  <c r="C1060" i="5" s="1"/>
  <c r="AH197" i="2"/>
  <c r="C1061" i="5" s="1"/>
  <c r="AH198" i="2"/>
  <c r="C1062" i="5" s="1"/>
  <c r="AH199" i="2"/>
  <c r="C1063" i="5" s="1"/>
  <c r="AH200" i="2"/>
  <c r="C1064" i="5" s="1"/>
  <c r="AH201" i="2"/>
  <c r="C1065" i="5" s="1"/>
  <c r="AH202" i="2"/>
  <c r="C1066" i="5" s="1"/>
  <c r="AH203" i="2"/>
  <c r="C1067" i="5" s="1"/>
  <c r="AH204" i="2"/>
  <c r="C1068" i="5" s="1"/>
  <c r="AH205" i="2"/>
  <c r="C1069" i="5" s="1"/>
  <c r="AH206" i="2"/>
  <c r="C1070" i="5" s="1"/>
  <c r="AH207" i="2"/>
  <c r="C1071" i="5" s="1"/>
  <c r="AH208" i="2"/>
  <c r="C1072" i="5" s="1"/>
  <c r="AH209" i="2"/>
  <c r="C1073" i="5" s="1"/>
  <c r="AH210" i="2"/>
  <c r="C1074" i="5" s="1"/>
  <c r="AH211" i="2"/>
  <c r="C1075" i="5" s="1"/>
  <c r="AH212" i="2"/>
  <c r="C1076" i="5" s="1"/>
  <c r="AH213" i="2"/>
  <c r="C1077" i="5" s="1"/>
  <c r="AH214" i="2"/>
  <c r="C1078" i="5" s="1"/>
  <c r="AH215" i="2"/>
  <c r="C1079" i="5" s="1"/>
  <c r="AH216" i="2"/>
  <c r="C1080" i="5" s="1"/>
  <c r="AH217" i="2"/>
  <c r="C1081" i="5" s="1"/>
  <c r="AH218" i="2"/>
  <c r="C1082" i="5" s="1"/>
  <c r="AH219" i="2"/>
  <c r="C1083" i="5" s="1"/>
  <c r="AH220" i="2"/>
  <c r="C1084" i="5" s="1"/>
  <c r="AH221" i="2"/>
  <c r="C1085" i="5" s="1"/>
  <c r="AH222" i="2"/>
  <c r="C1086" i="5" s="1"/>
  <c r="AH223" i="2"/>
  <c r="C1087" i="5" s="1"/>
  <c r="AH224" i="2"/>
  <c r="C1088" i="5" s="1"/>
  <c r="AH225" i="2"/>
  <c r="C1089" i="5" s="1"/>
  <c r="AH226" i="2"/>
  <c r="C1090" i="5" s="1"/>
  <c r="AH227" i="2"/>
  <c r="C1091" i="5" s="1"/>
  <c r="AH228" i="2"/>
  <c r="C1092" i="5" s="1"/>
  <c r="AH229" i="2"/>
  <c r="C1093" i="5" s="1"/>
  <c r="AH230" i="2"/>
  <c r="C1094" i="5" s="1"/>
  <c r="AH231" i="2"/>
  <c r="C1095" i="5" s="1"/>
  <c r="AH232" i="2"/>
  <c r="C1096" i="5" s="1"/>
  <c r="AH233" i="2"/>
  <c r="C1097" i="5" s="1"/>
  <c r="AH234" i="2"/>
  <c r="C1098" i="5" s="1"/>
  <c r="AH235" i="2"/>
  <c r="C1099" i="5" s="1"/>
  <c r="AH236" i="2"/>
  <c r="C1100" i="5" s="1"/>
  <c r="AH237" i="2"/>
  <c r="C1101" i="5" s="1"/>
  <c r="AH238" i="2"/>
  <c r="C1102" i="5" s="1"/>
  <c r="AH239" i="2"/>
  <c r="C1103" i="5" s="1"/>
  <c r="AH240" i="2"/>
  <c r="C1104" i="5" s="1"/>
  <c r="AH241" i="2"/>
  <c r="C1105" i="5" s="1"/>
  <c r="AH242" i="2"/>
  <c r="C1106" i="5" s="1"/>
  <c r="AH243" i="2"/>
  <c r="C1107" i="5" s="1"/>
  <c r="AH244" i="2"/>
  <c r="C1108" i="5" s="1"/>
  <c r="AH245" i="2"/>
  <c r="C1109" i="5" s="1"/>
  <c r="AH246" i="2"/>
  <c r="C1110" i="5" s="1"/>
  <c r="AH247" i="2"/>
  <c r="C1111" i="5" s="1"/>
  <c r="AH248" i="2"/>
  <c r="C1112" i="5" s="1"/>
  <c r="AH249" i="2"/>
  <c r="C1113" i="5" s="1"/>
  <c r="AH250" i="2"/>
  <c r="C1114" i="5" s="1"/>
  <c r="AH251" i="2"/>
  <c r="C1115" i="5" s="1"/>
  <c r="AH252" i="2"/>
  <c r="C1116" i="5" s="1"/>
  <c r="AH253" i="2"/>
  <c r="C1117" i="5" s="1"/>
  <c r="AH254" i="2"/>
  <c r="C1118" i="5" s="1"/>
  <c r="AH255" i="2"/>
  <c r="C1119" i="5" s="1"/>
  <c r="AH256" i="2"/>
  <c r="C1120" i="5" s="1"/>
  <c r="AH257" i="2"/>
  <c r="C1121" i="5" s="1"/>
  <c r="AH258" i="2"/>
  <c r="C1122" i="5" s="1"/>
  <c r="AH259" i="2"/>
  <c r="C1123" i="5" s="1"/>
  <c r="AH260" i="2"/>
  <c r="C1124" i="5" s="1"/>
  <c r="AH261" i="2"/>
  <c r="C1125" i="5" s="1"/>
  <c r="AH262" i="2"/>
  <c r="C1126" i="5" s="1"/>
  <c r="AH263" i="2"/>
  <c r="C1127" i="5" s="1"/>
  <c r="AH264" i="2"/>
  <c r="C1128" i="5" s="1"/>
  <c r="AH265" i="2"/>
  <c r="C1129" i="5" s="1"/>
  <c r="C2" i="5"/>
  <c r="F35" i="7" l="1"/>
  <c r="G35" i="7" s="1"/>
  <c r="I2" i="5"/>
  <c r="I3" i="5"/>
</calcChain>
</file>

<file path=xl/sharedStrings.xml><?xml version="1.0" encoding="utf-8"?>
<sst xmlns="http://schemas.openxmlformats.org/spreadsheetml/2006/main" count="146" uniqueCount="44">
  <si>
    <t>date</t>
  </si>
  <si>
    <t>gw_01</t>
  </si>
  <si>
    <t>gw_02</t>
  </si>
  <si>
    <t>gw_03</t>
  </si>
  <si>
    <t>gw_04</t>
  </si>
  <si>
    <t>gw_05</t>
  </si>
  <si>
    <t>gw_06</t>
  </si>
  <si>
    <t>gw_07</t>
  </si>
  <si>
    <t>gw_08</t>
  </si>
  <si>
    <t>gw_09</t>
  </si>
  <si>
    <t>gw_10</t>
  </si>
  <si>
    <t>gw_11</t>
  </si>
  <si>
    <t>gw_12</t>
  </si>
  <si>
    <t>gw_13</t>
  </si>
  <si>
    <t>gw_14</t>
  </si>
  <si>
    <t>gw_15</t>
  </si>
  <si>
    <t>gw_16</t>
  </si>
  <si>
    <t>gw_17</t>
  </si>
  <si>
    <t>gw_18</t>
  </si>
  <si>
    <t>gw_19</t>
  </si>
  <si>
    <t>gw_20</t>
  </si>
  <si>
    <t>gw_21</t>
  </si>
  <si>
    <t>gw_vc</t>
  </si>
  <si>
    <t>gw_sd</t>
  </si>
  <si>
    <t>gw_ew</t>
  </si>
  <si>
    <t>gw_av</t>
  </si>
  <si>
    <t>gw_ch</t>
  </si>
  <si>
    <t>gw_im</t>
  </si>
  <si>
    <t>gw_mj</t>
  </si>
  <si>
    <t>gw_ow</t>
  </si>
  <si>
    <t>gw_sc</t>
  </si>
  <si>
    <t>gw_mwd</t>
  </si>
  <si>
    <t>gw_sbv</t>
  </si>
  <si>
    <t>Scroll to change basin</t>
  </si>
  <si>
    <t>central valley</t>
  </si>
  <si>
    <t>extension</t>
  </si>
  <si>
    <t>basin</t>
  </si>
  <si>
    <t>old CALVIN</t>
  </si>
  <si>
    <t>new CALVIN</t>
  </si>
  <si>
    <t>initial storage (1921)</t>
  </si>
  <si>
    <t>ending storage (2003)</t>
  </si>
  <si>
    <t>ending storage (2015)</t>
  </si>
  <si>
    <t>overdraft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</si>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</sst>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4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theme="1"/>
      <name val="Helvetica"/>
      <family val="2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0"/>
      <color theme="1"/>
      <name val="Helvetic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2" fillId="0" borderId="0" xfId="0" applyFont="1"/>
    <xf numFmtId="164" fontId="3" fillId="0" borderId="0" xfId="0" applyNumberFormat="1" applyFon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0" fillId="0" borderId="0" xfId="0" applyNumberFormat="1"/>
    <xf numFmtId="1" fontId="8" fillId="0" borderId="0" xfId="0" applyNumberFormat="1" applyFont="1"/>
    <xf numFmtId="0" fontId="9" fillId="0" borderId="0" xfId="0" applyFont="1"/>
    <xf numFmtId="0" fontId="7" fillId="0" borderId="0" xfId="0" applyFont="1"/>
    <xf numFmtId="2" fontId="10" fillId="2" borderId="1" xfId="0" applyNumberFormat="1" applyFont="1" applyFill="1" applyBorder="1"/>
    <xf numFmtId="2" fontId="10" fillId="2" borderId="2" xfId="0" applyNumberFormat="1" applyFont="1" applyFill="1" applyBorder="1"/>
    <xf numFmtId="2" fontId="2" fillId="2" borderId="1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2170829639672E-2"/>
          <c:y val="0.14488281250000001"/>
          <c:w val="0.88759573099720146"/>
          <c:h val="0.61606145423228342"/>
        </c:manualLayout>
      </c:layout>
      <c:scatterChart>
        <c:scatterStyle val="lineMarker"/>
        <c:varyColors val="0"/>
        <c:ser>
          <c:idx val="0"/>
          <c:order val="0"/>
          <c:tx>
            <c:strRef>
              <c:f>plots!$B$1</c:f>
              <c:strCache>
                <c:ptCount val="1"/>
                <c:pt idx="0">
                  <c:v>central valley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plots!$A$2:$A$1129</c:f>
              <c:numCache>
                <c:formatCode>yyyy\-mm\-dd;@</c:formatCode>
                <c:ptCount val="1128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</c:numCache>
            </c:numRef>
          </c:xVal>
          <c:yVal>
            <c:numRef>
              <c:f>plots!$B$2:$B$1129</c:f>
              <c:numCache>
                <c:formatCode>0.00</c:formatCode>
                <c:ptCount val="1128"/>
                <c:pt idx="0">
                  <c:v>411.2999999999999</c:v>
                </c:pt>
                <c:pt idx="1">
                  <c:v>654.61</c:v>
                </c:pt>
                <c:pt idx="2">
                  <c:v>1182.9700000000003</c:v>
                </c:pt>
                <c:pt idx="3">
                  <c:v>554.92999999999995</c:v>
                </c:pt>
                <c:pt idx="4">
                  <c:v>1212.58</c:v>
                </c:pt>
                <c:pt idx="5">
                  <c:v>455.95</c:v>
                </c:pt>
                <c:pt idx="6">
                  <c:v>523.79</c:v>
                </c:pt>
                <c:pt idx="7">
                  <c:v>1205.78</c:v>
                </c:pt>
                <c:pt idx="8">
                  <c:v>561.33000000000004</c:v>
                </c:pt>
                <c:pt idx="9">
                  <c:v>-259.28999999999996</c:v>
                </c:pt>
                <c:pt idx="10">
                  <c:v>-82.28000000000003</c:v>
                </c:pt>
                <c:pt idx="11">
                  <c:v>22.019999999999996</c:v>
                </c:pt>
                <c:pt idx="12">
                  <c:v>167.56000000000003</c:v>
                </c:pt>
                <c:pt idx="13">
                  <c:v>334.87</c:v>
                </c:pt>
                <c:pt idx="14">
                  <c:v>957.25</c:v>
                </c:pt>
                <c:pt idx="15">
                  <c:v>323.11000000000007</c:v>
                </c:pt>
                <c:pt idx="16">
                  <c:v>89.27000000000001</c:v>
                </c:pt>
                <c:pt idx="17">
                  <c:v>202.55</c:v>
                </c:pt>
                <c:pt idx="18">
                  <c:v>753.2299999999999</c:v>
                </c:pt>
                <c:pt idx="19">
                  <c:v>434.26000000000005</c:v>
                </c:pt>
                <c:pt idx="20">
                  <c:v>79.940000000000012</c:v>
                </c:pt>
                <c:pt idx="21">
                  <c:v>44.869999999999955</c:v>
                </c:pt>
                <c:pt idx="22">
                  <c:v>-8.5600000000000023</c:v>
                </c:pt>
                <c:pt idx="23">
                  <c:v>75.16</c:v>
                </c:pt>
                <c:pt idx="24">
                  <c:v>163.26</c:v>
                </c:pt>
                <c:pt idx="25">
                  <c:v>73.540000000000006</c:v>
                </c:pt>
                <c:pt idx="26">
                  <c:v>108.28999999999999</c:v>
                </c:pt>
                <c:pt idx="27">
                  <c:v>175.85000000000002</c:v>
                </c:pt>
                <c:pt idx="28">
                  <c:v>238.01999999999992</c:v>
                </c:pt>
                <c:pt idx="29">
                  <c:v>132.47999999999999</c:v>
                </c:pt>
                <c:pt idx="30">
                  <c:v>185.33999999999997</c:v>
                </c:pt>
                <c:pt idx="31">
                  <c:v>205.28</c:v>
                </c:pt>
                <c:pt idx="32">
                  <c:v>96.57</c:v>
                </c:pt>
                <c:pt idx="33">
                  <c:v>181.96</c:v>
                </c:pt>
                <c:pt idx="34">
                  <c:v>199.86</c:v>
                </c:pt>
                <c:pt idx="35">
                  <c:v>131.89000000000001</c:v>
                </c:pt>
                <c:pt idx="36">
                  <c:v>279.67999999999995</c:v>
                </c:pt>
                <c:pt idx="37">
                  <c:v>261.63</c:v>
                </c:pt>
                <c:pt idx="38">
                  <c:v>454.21999999999991</c:v>
                </c:pt>
                <c:pt idx="39">
                  <c:v>137.06</c:v>
                </c:pt>
                <c:pt idx="40">
                  <c:v>1137.6500000000001</c:v>
                </c:pt>
                <c:pt idx="41">
                  <c:v>79.21999999999997</c:v>
                </c:pt>
                <c:pt idx="42">
                  <c:v>514.52</c:v>
                </c:pt>
                <c:pt idx="43">
                  <c:v>429.90000000000003</c:v>
                </c:pt>
                <c:pt idx="44">
                  <c:v>-24.180000000000035</c:v>
                </c:pt>
                <c:pt idx="45">
                  <c:v>-115.47999999999995</c:v>
                </c:pt>
                <c:pt idx="46">
                  <c:v>-4.8500000000000156</c:v>
                </c:pt>
                <c:pt idx="47">
                  <c:v>33.46</c:v>
                </c:pt>
                <c:pt idx="48">
                  <c:v>135.85999999999999</c:v>
                </c:pt>
                <c:pt idx="49">
                  <c:v>150.76000000000002</c:v>
                </c:pt>
                <c:pt idx="50">
                  <c:v>184.68</c:v>
                </c:pt>
                <c:pt idx="51">
                  <c:v>286.92000000000007</c:v>
                </c:pt>
                <c:pt idx="52">
                  <c:v>798.04999999999984</c:v>
                </c:pt>
                <c:pt idx="53">
                  <c:v>21.420000000000027</c:v>
                </c:pt>
                <c:pt idx="54">
                  <c:v>843.37999999999988</c:v>
                </c:pt>
                <c:pt idx="55">
                  <c:v>5.3000000000000149</c:v>
                </c:pt>
                <c:pt idx="56">
                  <c:v>-105.69</c:v>
                </c:pt>
                <c:pt idx="57">
                  <c:v>0.96000000000002217</c:v>
                </c:pt>
                <c:pt idx="58">
                  <c:v>100.95999999999998</c:v>
                </c:pt>
                <c:pt idx="59">
                  <c:v>91.81</c:v>
                </c:pt>
                <c:pt idx="60">
                  <c:v>149.98000000000002</c:v>
                </c:pt>
                <c:pt idx="61">
                  <c:v>954.80999999999983</c:v>
                </c:pt>
                <c:pt idx="62">
                  <c:v>173.45</c:v>
                </c:pt>
                <c:pt idx="63">
                  <c:v>361.30000000000013</c:v>
                </c:pt>
                <c:pt idx="64">
                  <c:v>1389.6900000000003</c:v>
                </c:pt>
                <c:pt idx="65">
                  <c:v>26.33000000000003</c:v>
                </c:pt>
                <c:pt idx="66">
                  <c:v>387.37</c:v>
                </c:pt>
                <c:pt idx="67">
                  <c:v>339.04999999999995</c:v>
                </c:pt>
                <c:pt idx="68">
                  <c:v>143.79999999999998</c:v>
                </c:pt>
                <c:pt idx="69">
                  <c:v>-239.06000000000006</c:v>
                </c:pt>
                <c:pt idx="70">
                  <c:v>-85.050000000000011</c:v>
                </c:pt>
                <c:pt idx="71">
                  <c:v>-18.54</c:v>
                </c:pt>
                <c:pt idx="72">
                  <c:v>139.19</c:v>
                </c:pt>
                <c:pt idx="73">
                  <c:v>390.67999999999995</c:v>
                </c:pt>
                <c:pt idx="74">
                  <c:v>236.23999999999998</c:v>
                </c:pt>
                <c:pt idx="75">
                  <c:v>202.14</c:v>
                </c:pt>
                <c:pt idx="76">
                  <c:v>309.85000000000002</c:v>
                </c:pt>
                <c:pt idx="77">
                  <c:v>911.23000000000013</c:v>
                </c:pt>
                <c:pt idx="78">
                  <c:v>65.200000000000017</c:v>
                </c:pt>
                <c:pt idx="79">
                  <c:v>135.36000000000001</c:v>
                </c:pt>
                <c:pt idx="80">
                  <c:v>-56.380000000000024</c:v>
                </c:pt>
                <c:pt idx="81">
                  <c:v>-1.6800000000000068</c:v>
                </c:pt>
                <c:pt idx="82">
                  <c:v>101.69</c:v>
                </c:pt>
                <c:pt idx="83">
                  <c:v>98.42</c:v>
                </c:pt>
                <c:pt idx="84">
                  <c:v>143.11000000000001</c:v>
                </c:pt>
                <c:pt idx="85">
                  <c:v>258.42999999999995</c:v>
                </c:pt>
                <c:pt idx="86">
                  <c:v>243.98000000000008</c:v>
                </c:pt>
                <c:pt idx="87">
                  <c:v>70.14</c:v>
                </c:pt>
                <c:pt idx="88">
                  <c:v>192.04</c:v>
                </c:pt>
                <c:pt idx="89">
                  <c:v>208.93</c:v>
                </c:pt>
                <c:pt idx="90">
                  <c:v>152.55000000000001</c:v>
                </c:pt>
                <c:pt idx="91">
                  <c:v>296.66000000000003</c:v>
                </c:pt>
                <c:pt idx="92">
                  <c:v>138.73999999999998</c:v>
                </c:pt>
                <c:pt idx="93">
                  <c:v>142.20999999999998</c:v>
                </c:pt>
                <c:pt idx="94">
                  <c:v>194.99</c:v>
                </c:pt>
                <c:pt idx="95">
                  <c:v>98.690000000000012</c:v>
                </c:pt>
                <c:pt idx="96">
                  <c:v>105.11</c:v>
                </c:pt>
                <c:pt idx="97">
                  <c:v>99.289999999999992</c:v>
                </c:pt>
                <c:pt idx="98">
                  <c:v>630.67999999999984</c:v>
                </c:pt>
                <c:pt idx="99">
                  <c:v>273.68</c:v>
                </c:pt>
                <c:pt idx="100">
                  <c:v>197.05000000000004</c:v>
                </c:pt>
                <c:pt idx="101">
                  <c:v>383.13</c:v>
                </c:pt>
                <c:pt idx="102">
                  <c:v>145.87</c:v>
                </c:pt>
                <c:pt idx="103">
                  <c:v>87.52000000000001</c:v>
                </c:pt>
                <c:pt idx="104">
                  <c:v>128.69000000000003</c:v>
                </c:pt>
                <c:pt idx="105">
                  <c:v>81.800000000000026</c:v>
                </c:pt>
                <c:pt idx="106">
                  <c:v>152.54</c:v>
                </c:pt>
                <c:pt idx="107">
                  <c:v>97.699999999999989</c:v>
                </c:pt>
                <c:pt idx="108">
                  <c:v>72.960000000000008</c:v>
                </c:pt>
                <c:pt idx="109">
                  <c:v>134.79999999999998</c:v>
                </c:pt>
                <c:pt idx="110">
                  <c:v>80.84</c:v>
                </c:pt>
                <c:pt idx="111">
                  <c:v>359.70000000000005</c:v>
                </c:pt>
                <c:pt idx="112">
                  <c:v>49.95</c:v>
                </c:pt>
                <c:pt idx="113">
                  <c:v>141.73000000000002</c:v>
                </c:pt>
                <c:pt idx="114">
                  <c:v>77.66</c:v>
                </c:pt>
                <c:pt idx="115">
                  <c:v>126</c:v>
                </c:pt>
                <c:pt idx="116">
                  <c:v>95.22</c:v>
                </c:pt>
                <c:pt idx="117">
                  <c:v>211.75</c:v>
                </c:pt>
                <c:pt idx="118">
                  <c:v>207.34</c:v>
                </c:pt>
                <c:pt idx="119">
                  <c:v>102.92999999999999</c:v>
                </c:pt>
                <c:pt idx="120">
                  <c:v>128.43</c:v>
                </c:pt>
                <c:pt idx="121">
                  <c:v>199.49000000000004</c:v>
                </c:pt>
                <c:pt idx="122">
                  <c:v>1114.81</c:v>
                </c:pt>
                <c:pt idx="123">
                  <c:v>211.28</c:v>
                </c:pt>
                <c:pt idx="124">
                  <c:v>505.96</c:v>
                </c:pt>
                <c:pt idx="125">
                  <c:v>262.26</c:v>
                </c:pt>
                <c:pt idx="126">
                  <c:v>282.45000000000005</c:v>
                </c:pt>
                <c:pt idx="127">
                  <c:v>615.1400000000001</c:v>
                </c:pt>
                <c:pt idx="128">
                  <c:v>360.17</c:v>
                </c:pt>
                <c:pt idx="129">
                  <c:v>-32.460000000000029</c:v>
                </c:pt>
                <c:pt idx="130">
                  <c:v>-18.820000000000004</c:v>
                </c:pt>
                <c:pt idx="131">
                  <c:v>40.489999999999995</c:v>
                </c:pt>
                <c:pt idx="132">
                  <c:v>109.64</c:v>
                </c:pt>
                <c:pt idx="133">
                  <c:v>103.13999999999999</c:v>
                </c:pt>
                <c:pt idx="134">
                  <c:v>202.63</c:v>
                </c:pt>
                <c:pt idx="135">
                  <c:v>655.46999999999991</c:v>
                </c:pt>
                <c:pt idx="136">
                  <c:v>46.080000000000005</c:v>
                </c:pt>
                <c:pt idx="137">
                  <c:v>334.68</c:v>
                </c:pt>
                <c:pt idx="138">
                  <c:v>195.96</c:v>
                </c:pt>
                <c:pt idx="139">
                  <c:v>249.59</c:v>
                </c:pt>
                <c:pt idx="140">
                  <c:v>339.13</c:v>
                </c:pt>
                <c:pt idx="141">
                  <c:v>2.4499999999999993</c:v>
                </c:pt>
                <c:pt idx="142">
                  <c:v>108.30000000000001</c:v>
                </c:pt>
                <c:pt idx="143">
                  <c:v>109.87</c:v>
                </c:pt>
                <c:pt idx="144">
                  <c:v>127.67</c:v>
                </c:pt>
                <c:pt idx="145">
                  <c:v>107.38</c:v>
                </c:pt>
                <c:pt idx="146">
                  <c:v>596.13000000000011</c:v>
                </c:pt>
                <c:pt idx="147">
                  <c:v>161.27000000000001</c:v>
                </c:pt>
                <c:pt idx="148">
                  <c:v>280.16000000000003</c:v>
                </c:pt>
                <c:pt idx="149">
                  <c:v>142.68</c:v>
                </c:pt>
                <c:pt idx="150">
                  <c:v>107.8</c:v>
                </c:pt>
                <c:pt idx="151">
                  <c:v>49.23</c:v>
                </c:pt>
                <c:pt idx="152">
                  <c:v>84.990000000000009</c:v>
                </c:pt>
                <c:pt idx="153">
                  <c:v>208.31</c:v>
                </c:pt>
                <c:pt idx="154">
                  <c:v>201.43999999999997</c:v>
                </c:pt>
                <c:pt idx="155">
                  <c:v>108.63</c:v>
                </c:pt>
                <c:pt idx="156">
                  <c:v>152.18</c:v>
                </c:pt>
                <c:pt idx="157">
                  <c:v>388.1699999999999</c:v>
                </c:pt>
                <c:pt idx="158">
                  <c:v>256.68</c:v>
                </c:pt>
                <c:pt idx="159">
                  <c:v>797.51</c:v>
                </c:pt>
                <c:pt idx="160">
                  <c:v>170.98999999999998</c:v>
                </c:pt>
                <c:pt idx="161">
                  <c:v>520.79</c:v>
                </c:pt>
                <c:pt idx="162">
                  <c:v>1073.8000000000002</c:v>
                </c:pt>
                <c:pt idx="163">
                  <c:v>168.50999999999993</c:v>
                </c:pt>
                <c:pt idx="164">
                  <c:v>23.849999999999994</c:v>
                </c:pt>
                <c:pt idx="165">
                  <c:v>-224.18</c:v>
                </c:pt>
                <c:pt idx="166">
                  <c:v>-18.379999999999992</c:v>
                </c:pt>
                <c:pt idx="167">
                  <c:v>56.93</c:v>
                </c:pt>
                <c:pt idx="168">
                  <c:v>124.24999999999997</c:v>
                </c:pt>
                <c:pt idx="169">
                  <c:v>112.77</c:v>
                </c:pt>
                <c:pt idx="170">
                  <c:v>208.95999999999998</c:v>
                </c:pt>
                <c:pt idx="171">
                  <c:v>686.69000000000017</c:v>
                </c:pt>
                <c:pt idx="172">
                  <c:v>1789.7199999999996</c:v>
                </c:pt>
                <c:pt idx="173">
                  <c:v>-107.49</c:v>
                </c:pt>
                <c:pt idx="174">
                  <c:v>270.25</c:v>
                </c:pt>
                <c:pt idx="175">
                  <c:v>218.27999999999997</c:v>
                </c:pt>
                <c:pt idx="176">
                  <c:v>-8.1199999999999974</c:v>
                </c:pt>
                <c:pt idx="177">
                  <c:v>-94.259999999999991</c:v>
                </c:pt>
                <c:pt idx="178">
                  <c:v>12.720000000000027</c:v>
                </c:pt>
                <c:pt idx="179">
                  <c:v>76.209999999999994</c:v>
                </c:pt>
                <c:pt idx="180">
                  <c:v>125.55</c:v>
                </c:pt>
                <c:pt idx="181">
                  <c:v>110.89</c:v>
                </c:pt>
                <c:pt idx="182">
                  <c:v>434.26999999999992</c:v>
                </c:pt>
                <c:pt idx="183">
                  <c:v>263.22000000000003</c:v>
                </c:pt>
                <c:pt idx="184">
                  <c:v>1206.7099999999998</c:v>
                </c:pt>
                <c:pt idx="185">
                  <c:v>790.62</c:v>
                </c:pt>
                <c:pt idx="186">
                  <c:v>267.45999999999998</c:v>
                </c:pt>
                <c:pt idx="187">
                  <c:v>619.98</c:v>
                </c:pt>
                <c:pt idx="188">
                  <c:v>-68.709999999999994</c:v>
                </c:pt>
                <c:pt idx="189">
                  <c:v>-169.91000000000008</c:v>
                </c:pt>
                <c:pt idx="190">
                  <c:v>-31.320000000000032</c:v>
                </c:pt>
                <c:pt idx="191">
                  <c:v>41.53</c:v>
                </c:pt>
                <c:pt idx="192">
                  <c:v>128.43999999999997</c:v>
                </c:pt>
                <c:pt idx="193">
                  <c:v>503.15999999999997</c:v>
                </c:pt>
                <c:pt idx="194">
                  <c:v>1097.22</c:v>
                </c:pt>
                <c:pt idx="195">
                  <c:v>156.88999999999999</c:v>
                </c:pt>
                <c:pt idx="196">
                  <c:v>1884.2899999999997</c:v>
                </c:pt>
                <c:pt idx="197">
                  <c:v>1558.74</c:v>
                </c:pt>
                <c:pt idx="198">
                  <c:v>133</c:v>
                </c:pt>
                <c:pt idx="199">
                  <c:v>497.25</c:v>
                </c:pt>
                <c:pt idx="200">
                  <c:v>320.76000000000005</c:v>
                </c:pt>
                <c:pt idx="201">
                  <c:v>-420.47</c:v>
                </c:pt>
                <c:pt idx="202">
                  <c:v>-239.15999999999997</c:v>
                </c:pt>
                <c:pt idx="203">
                  <c:v>-57.70999999999998</c:v>
                </c:pt>
                <c:pt idx="204">
                  <c:v>25.050000000000004</c:v>
                </c:pt>
                <c:pt idx="205">
                  <c:v>118.50999999999999</c:v>
                </c:pt>
                <c:pt idx="206">
                  <c:v>149.70999999999998</c:v>
                </c:pt>
                <c:pt idx="207">
                  <c:v>179.04</c:v>
                </c:pt>
                <c:pt idx="208">
                  <c:v>121.36</c:v>
                </c:pt>
                <c:pt idx="209">
                  <c:v>333.08000000000004</c:v>
                </c:pt>
                <c:pt idx="210">
                  <c:v>138.80000000000001</c:v>
                </c:pt>
                <c:pt idx="211">
                  <c:v>50.389999999999979</c:v>
                </c:pt>
                <c:pt idx="212">
                  <c:v>23.000000000000039</c:v>
                </c:pt>
                <c:pt idx="213">
                  <c:v>115.68</c:v>
                </c:pt>
                <c:pt idx="214">
                  <c:v>149.07</c:v>
                </c:pt>
                <c:pt idx="215">
                  <c:v>145.95999999999998</c:v>
                </c:pt>
                <c:pt idx="216">
                  <c:v>155.25999999999996</c:v>
                </c:pt>
                <c:pt idx="217">
                  <c:v>133.44</c:v>
                </c:pt>
                <c:pt idx="218">
                  <c:v>222.63999999999996</c:v>
                </c:pt>
                <c:pt idx="219">
                  <c:v>1544.54</c:v>
                </c:pt>
                <c:pt idx="220">
                  <c:v>1361.1299999999999</c:v>
                </c:pt>
                <c:pt idx="221">
                  <c:v>565.19999999999982</c:v>
                </c:pt>
                <c:pt idx="222">
                  <c:v>4.5700000000000216</c:v>
                </c:pt>
                <c:pt idx="223">
                  <c:v>100.77000000000007</c:v>
                </c:pt>
                <c:pt idx="224">
                  <c:v>-127.77000000000007</c:v>
                </c:pt>
                <c:pt idx="225">
                  <c:v>-176.12</c:v>
                </c:pt>
                <c:pt idx="226">
                  <c:v>6.1100000000000172</c:v>
                </c:pt>
                <c:pt idx="227">
                  <c:v>85.259999999999991</c:v>
                </c:pt>
                <c:pt idx="228">
                  <c:v>164.79999999999998</c:v>
                </c:pt>
                <c:pt idx="229">
                  <c:v>158.33999999999997</c:v>
                </c:pt>
                <c:pt idx="230">
                  <c:v>1500.67</c:v>
                </c:pt>
                <c:pt idx="231">
                  <c:v>1013.5799999999998</c:v>
                </c:pt>
                <c:pt idx="232">
                  <c:v>1475.15</c:v>
                </c:pt>
                <c:pt idx="233">
                  <c:v>538.03</c:v>
                </c:pt>
                <c:pt idx="234">
                  <c:v>361.2</c:v>
                </c:pt>
                <c:pt idx="235">
                  <c:v>499.24000000000007</c:v>
                </c:pt>
                <c:pt idx="236">
                  <c:v>35.260000000000041</c:v>
                </c:pt>
                <c:pt idx="237">
                  <c:v>-266.05</c:v>
                </c:pt>
                <c:pt idx="238">
                  <c:v>-170.02000000000004</c:v>
                </c:pt>
                <c:pt idx="239">
                  <c:v>-49.359999999999978</c:v>
                </c:pt>
                <c:pt idx="240">
                  <c:v>77.61</c:v>
                </c:pt>
                <c:pt idx="241">
                  <c:v>116.28000000000002</c:v>
                </c:pt>
                <c:pt idx="242">
                  <c:v>1274.3699999999999</c:v>
                </c:pt>
                <c:pt idx="243">
                  <c:v>744.87</c:v>
                </c:pt>
                <c:pt idx="244">
                  <c:v>758.67</c:v>
                </c:pt>
                <c:pt idx="245">
                  <c:v>-150.10999999999996</c:v>
                </c:pt>
                <c:pt idx="246">
                  <c:v>532.37000000000012</c:v>
                </c:pt>
                <c:pt idx="247">
                  <c:v>290.78999999999996</c:v>
                </c:pt>
                <c:pt idx="248">
                  <c:v>238.16000000000003</c:v>
                </c:pt>
                <c:pt idx="249">
                  <c:v>-242.23000000000002</c:v>
                </c:pt>
                <c:pt idx="250">
                  <c:v>-165.51000000000005</c:v>
                </c:pt>
                <c:pt idx="251">
                  <c:v>-31.040000000000035</c:v>
                </c:pt>
                <c:pt idx="252">
                  <c:v>66.44</c:v>
                </c:pt>
                <c:pt idx="253">
                  <c:v>240.08</c:v>
                </c:pt>
                <c:pt idx="254">
                  <c:v>411.9</c:v>
                </c:pt>
                <c:pt idx="255">
                  <c:v>1345.0300000000002</c:v>
                </c:pt>
                <c:pt idx="256">
                  <c:v>132.78</c:v>
                </c:pt>
                <c:pt idx="257">
                  <c:v>1172.5500000000002</c:v>
                </c:pt>
                <c:pt idx="258">
                  <c:v>112.74000000000002</c:v>
                </c:pt>
                <c:pt idx="259">
                  <c:v>127.31999999999996</c:v>
                </c:pt>
                <c:pt idx="260">
                  <c:v>-85.57000000000005</c:v>
                </c:pt>
                <c:pt idx="261">
                  <c:v>-104.16000000000003</c:v>
                </c:pt>
                <c:pt idx="262">
                  <c:v>-4.0399999999999849</c:v>
                </c:pt>
                <c:pt idx="263">
                  <c:v>35.149999999999991</c:v>
                </c:pt>
                <c:pt idx="264">
                  <c:v>129.37</c:v>
                </c:pt>
                <c:pt idx="265">
                  <c:v>115.18999999999998</c:v>
                </c:pt>
                <c:pt idx="266">
                  <c:v>153.61000000000001</c:v>
                </c:pt>
                <c:pt idx="267">
                  <c:v>220.13999999999996</c:v>
                </c:pt>
                <c:pt idx="268">
                  <c:v>617.96000000000015</c:v>
                </c:pt>
                <c:pt idx="269">
                  <c:v>177.16000000000003</c:v>
                </c:pt>
                <c:pt idx="270">
                  <c:v>146.49</c:v>
                </c:pt>
                <c:pt idx="271">
                  <c:v>273.08</c:v>
                </c:pt>
                <c:pt idx="272">
                  <c:v>86.07</c:v>
                </c:pt>
                <c:pt idx="273">
                  <c:v>137.32</c:v>
                </c:pt>
                <c:pt idx="274">
                  <c:v>146.34999999999997</c:v>
                </c:pt>
                <c:pt idx="275">
                  <c:v>96.39</c:v>
                </c:pt>
                <c:pt idx="276">
                  <c:v>130.81</c:v>
                </c:pt>
                <c:pt idx="277">
                  <c:v>410.16999999999996</c:v>
                </c:pt>
                <c:pt idx="278">
                  <c:v>249.63000000000008</c:v>
                </c:pt>
                <c:pt idx="279">
                  <c:v>109.94000000000003</c:v>
                </c:pt>
                <c:pt idx="280">
                  <c:v>959.15000000000009</c:v>
                </c:pt>
                <c:pt idx="281">
                  <c:v>305.13</c:v>
                </c:pt>
                <c:pt idx="282">
                  <c:v>152.94</c:v>
                </c:pt>
                <c:pt idx="283">
                  <c:v>353.22</c:v>
                </c:pt>
                <c:pt idx="284">
                  <c:v>205.28</c:v>
                </c:pt>
                <c:pt idx="285">
                  <c:v>60.249999999999972</c:v>
                </c:pt>
                <c:pt idx="286">
                  <c:v>65.430000000000007</c:v>
                </c:pt>
                <c:pt idx="287">
                  <c:v>35.989999999999995</c:v>
                </c:pt>
                <c:pt idx="288">
                  <c:v>216.08</c:v>
                </c:pt>
                <c:pt idx="289">
                  <c:v>213.85999999999996</c:v>
                </c:pt>
                <c:pt idx="290">
                  <c:v>995.14</c:v>
                </c:pt>
                <c:pt idx="291">
                  <c:v>205.87000000000003</c:v>
                </c:pt>
                <c:pt idx="292">
                  <c:v>-151.46000000000006</c:v>
                </c:pt>
                <c:pt idx="293">
                  <c:v>187.08</c:v>
                </c:pt>
                <c:pt idx="294">
                  <c:v>285.51</c:v>
                </c:pt>
                <c:pt idx="295">
                  <c:v>359.78999999999996</c:v>
                </c:pt>
                <c:pt idx="296">
                  <c:v>20.269999999999985</c:v>
                </c:pt>
                <c:pt idx="297">
                  <c:v>97.25</c:v>
                </c:pt>
                <c:pt idx="298">
                  <c:v>154.44</c:v>
                </c:pt>
                <c:pt idx="299">
                  <c:v>55.320000000000007</c:v>
                </c:pt>
                <c:pt idx="300">
                  <c:v>117.33999999999999</c:v>
                </c:pt>
                <c:pt idx="301">
                  <c:v>303.52</c:v>
                </c:pt>
                <c:pt idx="302">
                  <c:v>294.23999999999995</c:v>
                </c:pt>
                <c:pt idx="303">
                  <c:v>4.2899999999999938</c:v>
                </c:pt>
                <c:pt idx="304">
                  <c:v>194.94000000000003</c:v>
                </c:pt>
                <c:pt idx="305">
                  <c:v>338.41</c:v>
                </c:pt>
                <c:pt idx="306">
                  <c:v>149.02000000000001</c:v>
                </c:pt>
                <c:pt idx="307">
                  <c:v>181.53</c:v>
                </c:pt>
                <c:pt idx="308">
                  <c:v>205.53</c:v>
                </c:pt>
                <c:pt idx="309">
                  <c:v>319.50000000000006</c:v>
                </c:pt>
                <c:pt idx="310">
                  <c:v>293.33</c:v>
                </c:pt>
                <c:pt idx="311">
                  <c:v>121.46999999999998</c:v>
                </c:pt>
                <c:pt idx="312">
                  <c:v>239.16000000000005</c:v>
                </c:pt>
                <c:pt idx="313">
                  <c:v>72.58</c:v>
                </c:pt>
                <c:pt idx="314">
                  <c:v>83.77000000000001</c:v>
                </c:pt>
                <c:pt idx="315">
                  <c:v>228.58</c:v>
                </c:pt>
                <c:pt idx="316">
                  <c:v>24.239999999999991</c:v>
                </c:pt>
                <c:pt idx="317">
                  <c:v>405.57000000000005</c:v>
                </c:pt>
                <c:pt idx="318">
                  <c:v>695.08</c:v>
                </c:pt>
                <c:pt idx="319">
                  <c:v>416.42</c:v>
                </c:pt>
                <c:pt idx="320">
                  <c:v>294.90000000000003</c:v>
                </c:pt>
                <c:pt idx="321">
                  <c:v>160.21</c:v>
                </c:pt>
                <c:pt idx="322">
                  <c:v>256.19999999999993</c:v>
                </c:pt>
                <c:pt idx="323">
                  <c:v>96.390000000000015</c:v>
                </c:pt>
                <c:pt idx="324">
                  <c:v>97.29</c:v>
                </c:pt>
                <c:pt idx="325">
                  <c:v>80.92</c:v>
                </c:pt>
                <c:pt idx="326">
                  <c:v>252.87000000000003</c:v>
                </c:pt>
                <c:pt idx="327">
                  <c:v>56.26</c:v>
                </c:pt>
                <c:pt idx="328">
                  <c:v>138.28</c:v>
                </c:pt>
                <c:pt idx="329">
                  <c:v>817.73</c:v>
                </c:pt>
                <c:pt idx="330">
                  <c:v>153.91999999999999</c:v>
                </c:pt>
                <c:pt idx="331">
                  <c:v>206.59999999999997</c:v>
                </c:pt>
                <c:pt idx="332">
                  <c:v>236.16</c:v>
                </c:pt>
                <c:pt idx="333">
                  <c:v>374.37</c:v>
                </c:pt>
                <c:pt idx="334">
                  <c:v>337.06000000000006</c:v>
                </c:pt>
                <c:pt idx="335">
                  <c:v>126.22</c:v>
                </c:pt>
                <c:pt idx="336">
                  <c:v>110.21000000000001</c:v>
                </c:pt>
                <c:pt idx="337">
                  <c:v>128.56000000000003</c:v>
                </c:pt>
                <c:pt idx="338">
                  <c:v>126.32999999999997</c:v>
                </c:pt>
                <c:pt idx="339">
                  <c:v>546.11999999999989</c:v>
                </c:pt>
                <c:pt idx="340">
                  <c:v>364.9</c:v>
                </c:pt>
                <c:pt idx="341">
                  <c:v>202.39</c:v>
                </c:pt>
                <c:pt idx="342">
                  <c:v>305.98000000000008</c:v>
                </c:pt>
                <c:pt idx="343">
                  <c:v>255.75000000000006</c:v>
                </c:pt>
                <c:pt idx="344">
                  <c:v>240.23</c:v>
                </c:pt>
                <c:pt idx="345">
                  <c:v>284.65999999999997</c:v>
                </c:pt>
                <c:pt idx="346">
                  <c:v>305.64999999999998</c:v>
                </c:pt>
                <c:pt idx="347">
                  <c:v>138.94999999999999</c:v>
                </c:pt>
                <c:pt idx="348">
                  <c:v>165.29999999999998</c:v>
                </c:pt>
                <c:pt idx="349">
                  <c:v>967.51</c:v>
                </c:pt>
                <c:pt idx="350">
                  <c:v>991.44999999999993</c:v>
                </c:pt>
                <c:pt idx="351">
                  <c:v>74.759999999999991</c:v>
                </c:pt>
                <c:pt idx="352">
                  <c:v>169.37999999999997</c:v>
                </c:pt>
                <c:pt idx="353">
                  <c:v>-80.389999999999986</c:v>
                </c:pt>
                <c:pt idx="354">
                  <c:v>-105.08999999999996</c:v>
                </c:pt>
                <c:pt idx="355">
                  <c:v>133.52000000000001</c:v>
                </c:pt>
                <c:pt idx="356">
                  <c:v>111.04000000000005</c:v>
                </c:pt>
                <c:pt idx="357">
                  <c:v>264.95999999999998</c:v>
                </c:pt>
                <c:pt idx="358">
                  <c:v>260.71999999999997</c:v>
                </c:pt>
                <c:pt idx="359">
                  <c:v>6.5000000000000071</c:v>
                </c:pt>
                <c:pt idx="360">
                  <c:v>128.59</c:v>
                </c:pt>
                <c:pt idx="361">
                  <c:v>184.57000000000002</c:v>
                </c:pt>
                <c:pt idx="362">
                  <c:v>933.49999999999989</c:v>
                </c:pt>
                <c:pt idx="363">
                  <c:v>1217.3499999999999</c:v>
                </c:pt>
                <c:pt idx="364">
                  <c:v>359.57</c:v>
                </c:pt>
                <c:pt idx="365">
                  <c:v>543.54000000000008</c:v>
                </c:pt>
                <c:pt idx="366">
                  <c:v>419.73</c:v>
                </c:pt>
                <c:pt idx="367">
                  <c:v>506.21</c:v>
                </c:pt>
                <c:pt idx="368">
                  <c:v>-3.0700000000000287</c:v>
                </c:pt>
                <c:pt idx="369">
                  <c:v>-188.76000000000002</c:v>
                </c:pt>
                <c:pt idx="370">
                  <c:v>48.800000000000004</c:v>
                </c:pt>
                <c:pt idx="371">
                  <c:v>-5.2600000000000033</c:v>
                </c:pt>
                <c:pt idx="372">
                  <c:v>31.53</c:v>
                </c:pt>
                <c:pt idx="373">
                  <c:v>92.25</c:v>
                </c:pt>
                <c:pt idx="374">
                  <c:v>984.31</c:v>
                </c:pt>
                <c:pt idx="375">
                  <c:v>937.07</c:v>
                </c:pt>
                <c:pt idx="376">
                  <c:v>-403.59000000000003</c:v>
                </c:pt>
                <c:pt idx="377">
                  <c:v>-5.7500000000000213</c:v>
                </c:pt>
                <c:pt idx="378">
                  <c:v>182.33</c:v>
                </c:pt>
                <c:pt idx="379">
                  <c:v>149.88999999999999</c:v>
                </c:pt>
                <c:pt idx="380">
                  <c:v>334.67</c:v>
                </c:pt>
                <c:pt idx="381">
                  <c:v>168.51000000000005</c:v>
                </c:pt>
                <c:pt idx="382">
                  <c:v>217.73000000000002</c:v>
                </c:pt>
                <c:pt idx="383">
                  <c:v>106.67</c:v>
                </c:pt>
                <c:pt idx="384">
                  <c:v>107.74999999999997</c:v>
                </c:pt>
                <c:pt idx="385">
                  <c:v>160.26000000000005</c:v>
                </c:pt>
                <c:pt idx="386">
                  <c:v>35.700000000000003</c:v>
                </c:pt>
                <c:pt idx="387">
                  <c:v>545.06000000000006</c:v>
                </c:pt>
                <c:pt idx="388">
                  <c:v>374.2399999999999</c:v>
                </c:pt>
                <c:pt idx="389">
                  <c:v>404.40000000000003</c:v>
                </c:pt>
                <c:pt idx="390">
                  <c:v>192.7</c:v>
                </c:pt>
                <c:pt idx="391">
                  <c:v>26.29000000000002</c:v>
                </c:pt>
                <c:pt idx="392">
                  <c:v>26.419999999999991</c:v>
                </c:pt>
                <c:pt idx="393">
                  <c:v>267.11</c:v>
                </c:pt>
                <c:pt idx="394">
                  <c:v>269.30999999999995</c:v>
                </c:pt>
                <c:pt idx="395">
                  <c:v>53.309999999999995</c:v>
                </c:pt>
                <c:pt idx="396">
                  <c:v>65.889999999999986</c:v>
                </c:pt>
                <c:pt idx="397">
                  <c:v>236.88</c:v>
                </c:pt>
                <c:pt idx="398">
                  <c:v>353.95</c:v>
                </c:pt>
                <c:pt idx="399">
                  <c:v>392.43</c:v>
                </c:pt>
                <c:pt idx="400">
                  <c:v>4.0899999999999945</c:v>
                </c:pt>
                <c:pt idx="401">
                  <c:v>79.549999999999983</c:v>
                </c:pt>
                <c:pt idx="402">
                  <c:v>196.58</c:v>
                </c:pt>
                <c:pt idx="403">
                  <c:v>205.14000000000004</c:v>
                </c:pt>
                <c:pt idx="404">
                  <c:v>323.63999999999993</c:v>
                </c:pt>
                <c:pt idx="405">
                  <c:v>414.65999999999997</c:v>
                </c:pt>
                <c:pt idx="406">
                  <c:v>343.07000000000005</c:v>
                </c:pt>
                <c:pt idx="407">
                  <c:v>140.55000000000001</c:v>
                </c:pt>
                <c:pt idx="408">
                  <c:v>98.429999999999993</c:v>
                </c:pt>
                <c:pt idx="409">
                  <c:v>171.96999999999997</c:v>
                </c:pt>
                <c:pt idx="410">
                  <c:v>2647.7100000000009</c:v>
                </c:pt>
                <c:pt idx="411">
                  <c:v>1293.5500000000002</c:v>
                </c:pt>
                <c:pt idx="412">
                  <c:v>-96.63</c:v>
                </c:pt>
                <c:pt idx="413">
                  <c:v>-243.11</c:v>
                </c:pt>
                <c:pt idx="414">
                  <c:v>-8.0699999999999754</c:v>
                </c:pt>
                <c:pt idx="415">
                  <c:v>416.62</c:v>
                </c:pt>
                <c:pt idx="416">
                  <c:v>203.41</c:v>
                </c:pt>
                <c:pt idx="417">
                  <c:v>115.63000000000002</c:v>
                </c:pt>
                <c:pt idx="418">
                  <c:v>212.54000000000002</c:v>
                </c:pt>
                <c:pt idx="419">
                  <c:v>110.89000000000003</c:v>
                </c:pt>
                <c:pt idx="420">
                  <c:v>138.96</c:v>
                </c:pt>
                <c:pt idx="421">
                  <c:v>83.220000000000013</c:v>
                </c:pt>
                <c:pt idx="422">
                  <c:v>49.959999999999994</c:v>
                </c:pt>
                <c:pt idx="423">
                  <c:v>170.69</c:v>
                </c:pt>
                <c:pt idx="424">
                  <c:v>344.15</c:v>
                </c:pt>
                <c:pt idx="425">
                  <c:v>384.8</c:v>
                </c:pt>
                <c:pt idx="426">
                  <c:v>-50.230000000000054</c:v>
                </c:pt>
                <c:pt idx="427">
                  <c:v>330.47999999999996</c:v>
                </c:pt>
                <c:pt idx="428">
                  <c:v>313.98</c:v>
                </c:pt>
                <c:pt idx="429">
                  <c:v>346.51</c:v>
                </c:pt>
                <c:pt idx="430">
                  <c:v>337.84</c:v>
                </c:pt>
                <c:pt idx="431">
                  <c:v>189.9</c:v>
                </c:pt>
                <c:pt idx="432">
                  <c:v>244.48</c:v>
                </c:pt>
                <c:pt idx="433">
                  <c:v>115.26000000000002</c:v>
                </c:pt>
                <c:pt idx="434">
                  <c:v>306.52999999999997</c:v>
                </c:pt>
                <c:pt idx="435">
                  <c:v>592</c:v>
                </c:pt>
                <c:pt idx="436">
                  <c:v>1764.0599999999997</c:v>
                </c:pt>
                <c:pt idx="437">
                  <c:v>764.25999999999988</c:v>
                </c:pt>
                <c:pt idx="438">
                  <c:v>712.96999999999991</c:v>
                </c:pt>
                <c:pt idx="439">
                  <c:v>100.89000000000004</c:v>
                </c:pt>
                <c:pt idx="440">
                  <c:v>15.009999999999998</c:v>
                </c:pt>
                <c:pt idx="441">
                  <c:v>-96.78000000000003</c:v>
                </c:pt>
                <c:pt idx="442">
                  <c:v>111.08000000000001</c:v>
                </c:pt>
                <c:pt idx="443">
                  <c:v>99.97999999999999</c:v>
                </c:pt>
                <c:pt idx="444">
                  <c:v>92.439999999999984</c:v>
                </c:pt>
                <c:pt idx="445">
                  <c:v>94.44</c:v>
                </c:pt>
                <c:pt idx="446">
                  <c:v>64.42</c:v>
                </c:pt>
                <c:pt idx="447">
                  <c:v>476.63</c:v>
                </c:pt>
                <c:pt idx="448">
                  <c:v>561.07999999999993</c:v>
                </c:pt>
                <c:pt idx="449">
                  <c:v>-61.790000000000063</c:v>
                </c:pt>
                <c:pt idx="450">
                  <c:v>-31.99000000000002</c:v>
                </c:pt>
                <c:pt idx="451">
                  <c:v>120.85999999999997</c:v>
                </c:pt>
                <c:pt idx="452">
                  <c:v>421.73999999999995</c:v>
                </c:pt>
                <c:pt idx="453">
                  <c:v>541.85</c:v>
                </c:pt>
                <c:pt idx="454">
                  <c:v>442.5</c:v>
                </c:pt>
                <c:pt idx="455">
                  <c:v>186.97</c:v>
                </c:pt>
                <c:pt idx="456">
                  <c:v>92.63000000000001</c:v>
                </c:pt>
                <c:pt idx="457">
                  <c:v>60.719999999999992</c:v>
                </c:pt>
                <c:pt idx="458">
                  <c:v>89.670000000000016</c:v>
                </c:pt>
                <c:pt idx="459">
                  <c:v>314.07000000000005</c:v>
                </c:pt>
                <c:pt idx="460">
                  <c:v>588.14</c:v>
                </c:pt>
                <c:pt idx="461">
                  <c:v>151.35</c:v>
                </c:pt>
                <c:pt idx="462">
                  <c:v>9.6299999999999759</c:v>
                </c:pt>
                <c:pt idx="463">
                  <c:v>140.10000000000002</c:v>
                </c:pt>
                <c:pt idx="464">
                  <c:v>475.02000000000004</c:v>
                </c:pt>
                <c:pt idx="465">
                  <c:v>543.15000000000009</c:v>
                </c:pt>
                <c:pt idx="466">
                  <c:v>417.71</c:v>
                </c:pt>
                <c:pt idx="467">
                  <c:v>137.35000000000002</c:v>
                </c:pt>
                <c:pt idx="468">
                  <c:v>115.89</c:v>
                </c:pt>
                <c:pt idx="469">
                  <c:v>443.79</c:v>
                </c:pt>
                <c:pt idx="470">
                  <c:v>176.18</c:v>
                </c:pt>
                <c:pt idx="471">
                  <c:v>223.21000000000004</c:v>
                </c:pt>
                <c:pt idx="472">
                  <c:v>266.53000000000003</c:v>
                </c:pt>
                <c:pt idx="473">
                  <c:v>236.64999999999998</c:v>
                </c:pt>
                <c:pt idx="474">
                  <c:v>32.610000000000014</c:v>
                </c:pt>
                <c:pt idx="475">
                  <c:v>166.01000000000002</c:v>
                </c:pt>
                <c:pt idx="476">
                  <c:v>496.97</c:v>
                </c:pt>
                <c:pt idx="477">
                  <c:v>586.64</c:v>
                </c:pt>
                <c:pt idx="478">
                  <c:v>445.33000000000004</c:v>
                </c:pt>
                <c:pt idx="479">
                  <c:v>123.24999999999999</c:v>
                </c:pt>
                <c:pt idx="480">
                  <c:v>111.44999999999999</c:v>
                </c:pt>
                <c:pt idx="481">
                  <c:v>229.12</c:v>
                </c:pt>
                <c:pt idx="482">
                  <c:v>227.27999999999997</c:v>
                </c:pt>
                <c:pt idx="483">
                  <c:v>88.22</c:v>
                </c:pt>
                <c:pt idx="484">
                  <c:v>1781.8300000000002</c:v>
                </c:pt>
                <c:pt idx="485">
                  <c:v>101.19999999999999</c:v>
                </c:pt>
                <c:pt idx="486">
                  <c:v>24.589999999999989</c:v>
                </c:pt>
                <c:pt idx="487">
                  <c:v>100.22999999999999</c:v>
                </c:pt>
                <c:pt idx="488">
                  <c:v>409.40000000000003</c:v>
                </c:pt>
                <c:pt idx="489">
                  <c:v>407.31</c:v>
                </c:pt>
                <c:pt idx="490">
                  <c:v>397.46999999999997</c:v>
                </c:pt>
                <c:pt idx="491">
                  <c:v>201.52999999999997</c:v>
                </c:pt>
                <c:pt idx="492">
                  <c:v>651.66000000000008</c:v>
                </c:pt>
                <c:pt idx="493">
                  <c:v>-61.450000000000017</c:v>
                </c:pt>
                <c:pt idx="494">
                  <c:v>308.47999999999996</c:v>
                </c:pt>
                <c:pt idx="495">
                  <c:v>268.70999999999998</c:v>
                </c:pt>
                <c:pt idx="496">
                  <c:v>729.13000000000011</c:v>
                </c:pt>
                <c:pt idx="497">
                  <c:v>42.899999999999963</c:v>
                </c:pt>
                <c:pt idx="498">
                  <c:v>757.79000000000008</c:v>
                </c:pt>
                <c:pt idx="499">
                  <c:v>86.080000000000041</c:v>
                </c:pt>
                <c:pt idx="500">
                  <c:v>107.54999999999998</c:v>
                </c:pt>
                <c:pt idx="501">
                  <c:v>296.11999999999995</c:v>
                </c:pt>
                <c:pt idx="502">
                  <c:v>292.66999999999996</c:v>
                </c:pt>
                <c:pt idx="503">
                  <c:v>198.31</c:v>
                </c:pt>
                <c:pt idx="504">
                  <c:v>203.04</c:v>
                </c:pt>
                <c:pt idx="505">
                  <c:v>412.88</c:v>
                </c:pt>
                <c:pt idx="506">
                  <c:v>52.169999999999987</c:v>
                </c:pt>
                <c:pt idx="507">
                  <c:v>245.8</c:v>
                </c:pt>
                <c:pt idx="508">
                  <c:v>-4.4499999999999993</c:v>
                </c:pt>
                <c:pt idx="509">
                  <c:v>120.15000000000003</c:v>
                </c:pt>
                <c:pt idx="510">
                  <c:v>129.41999999999999</c:v>
                </c:pt>
                <c:pt idx="511">
                  <c:v>206.71999999999997</c:v>
                </c:pt>
                <c:pt idx="512">
                  <c:v>479.22999999999996</c:v>
                </c:pt>
                <c:pt idx="513">
                  <c:v>595.53</c:v>
                </c:pt>
                <c:pt idx="514">
                  <c:v>467.45</c:v>
                </c:pt>
                <c:pt idx="515">
                  <c:v>239.34999999999997</c:v>
                </c:pt>
                <c:pt idx="516">
                  <c:v>171.59</c:v>
                </c:pt>
                <c:pt idx="517">
                  <c:v>369.07</c:v>
                </c:pt>
                <c:pt idx="518">
                  <c:v>1467.2599999999998</c:v>
                </c:pt>
                <c:pt idx="519">
                  <c:v>692.03</c:v>
                </c:pt>
                <c:pt idx="520">
                  <c:v>-338.49</c:v>
                </c:pt>
                <c:pt idx="521">
                  <c:v>-77.009999999999977</c:v>
                </c:pt>
                <c:pt idx="522">
                  <c:v>483.74000000000007</c:v>
                </c:pt>
                <c:pt idx="523">
                  <c:v>51.520000000000046</c:v>
                </c:pt>
                <c:pt idx="524">
                  <c:v>307.06</c:v>
                </c:pt>
                <c:pt idx="525">
                  <c:v>389.06</c:v>
                </c:pt>
                <c:pt idx="526">
                  <c:v>397.02</c:v>
                </c:pt>
                <c:pt idx="527">
                  <c:v>221.89000000000001</c:v>
                </c:pt>
                <c:pt idx="528">
                  <c:v>220.51</c:v>
                </c:pt>
                <c:pt idx="529">
                  <c:v>687.15000000000009</c:v>
                </c:pt>
                <c:pt idx="530">
                  <c:v>279.03000000000003</c:v>
                </c:pt>
                <c:pt idx="531">
                  <c:v>349.73999999999995</c:v>
                </c:pt>
                <c:pt idx="532">
                  <c:v>100.91000000000001</c:v>
                </c:pt>
                <c:pt idx="533">
                  <c:v>133.67999999999998</c:v>
                </c:pt>
                <c:pt idx="534">
                  <c:v>149.60999999999999</c:v>
                </c:pt>
                <c:pt idx="535">
                  <c:v>152.96</c:v>
                </c:pt>
                <c:pt idx="536">
                  <c:v>399.96999999999997</c:v>
                </c:pt>
                <c:pt idx="537">
                  <c:v>597.84999999999991</c:v>
                </c:pt>
                <c:pt idx="538">
                  <c:v>524.55999999999995</c:v>
                </c:pt>
                <c:pt idx="539">
                  <c:v>241.45999999999998</c:v>
                </c:pt>
                <c:pt idx="540">
                  <c:v>197.26</c:v>
                </c:pt>
                <c:pt idx="541">
                  <c:v>515.49999999999989</c:v>
                </c:pt>
                <c:pt idx="542">
                  <c:v>1058.3299999999997</c:v>
                </c:pt>
                <c:pt idx="543">
                  <c:v>922.99</c:v>
                </c:pt>
                <c:pt idx="544">
                  <c:v>142.27000000000001</c:v>
                </c:pt>
                <c:pt idx="545">
                  <c:v>403.06000000000012</c:v>
                </c:pt>
                <c:pt idx="546">
                  <c:v>888.33</c:v>
                </c:pt>
                <c:pt idx="547">
                  <c:v>602.93000000000006</c:v>
                </c:pt>
                <c:pt idx="548">
                  <c:v>477.1</c:v>
                </c:pt>
                <c:pt idx="549">
                  <c:v>191.3</c:v>
                </c:pt>
                <c:pt idx="550">
                  <c:v>192.52</c:v>
                </c:pt>
                <c:pt idx="551">
                  <c:v>167.76</c:v>
                </c:pt>
                <c:pt idx="552">
                  <c:v>190.02999999999997</c:v>
                </c:pt>
                <c:pt idx="553">
                  <c:v>224.68999999999997</c:v>
                </c:pt>
                <c:pt idx="554">
                  <c:v>198.70000000000002</c:v>
                </c:pt>
                <c:pt idx="555">
                  <c:v>394.92</c:v>
                </c:pt>
                <c:pt idx="556">
                  <c:v>447.58</c:v>
                </c:pt>
                <c:pt idx="557">
                  <c:v>162.28</c:v>
                </c:pt>
                <c:pt idx="558">
                  <c:v>0.24000000000000199</c:v>
                </c:pt>
                <c:pt idx="559">
                  <c:v>139.6</c:v>
                </c:pt>
                <c:pt idx="560">
                  <c:v>423.27</c:v>
                </c:pt>
                <c:pt idx="561">
                  <c:v>596.03</c:v>
                </c:pt>
                <c:pt idx="562">
                  <c:v>521.18000000000006</c:v>
                </c:pt>
                <c:pt idx="563">
                  <c:v>269.76</c:v>
                </c:pt>
                <c:pt idx="564">
                  <c:v>196.45000000000002</c:v>
                </c:pt>
                <c:pt idx="565">
                  <c:v>285.3</c:v>
                </c:pt>
                <c:pt idx="566">
                  <c:v>566.34999999999991</c:v>
                </c:pt>
                <c:pt idx="567">
                  <c:v>2714.98</c:v>
                </c:pt>
                <c:pt idx="568">
                  <c:v>1890.3799999999999</c:v>
                </c:pt>
                <c:pt idx="569">
                  <c:v>197.67000000000002</c:v>
                </c:pt>
                <c:pt idx="570">
                  <c:v>585.67000000000007</c:v>
                </c:pt>
                <c:pt idx="571">
                  <c:v>733.69</c:v>
                </c:pt>
                <c:pt idx="572">
                  <c:v>805.63</c:v>
                </c:pt>
                <c:pt idx="573">
                  <c:v>220.49999999999997</c:v>
                </c:pt>
                <c:pt idx="574">
                  <c:v>382.14</c:v>
                </c:pt>
                <c:pt idx="575">
                  <c:v>301.28999999999996</c:v>
                </c:pt>
                <c:pt idx="576">
                  <c:v>254.65000000000003</c:v>
                </c:pt>
                <c:pt idx="577">
                  <c:v>188.61</c:v>
                </c:pt>
                <c:pt idx="578">
                  <c:v>760.42</c:v>
                </c:pt>
                <c:pt idx="579">
                  <c:v>1904.3999999999996</c:v>
                </c:pt>
                <c:pt idx="580">
                  <c:v>-188.10000000000002</c:v>
                </c:pt>
                <c:pt idx="581">
                  <c:v>-69.569999999999922</c:v>
                </c:pt>
                <c:pt idx="582">
                  <c:v>-226.34999999999994</c:v>
                </c:pt>
                <c:pt idx="583">
                  <c:v>96.84</c:v>
                </c:pt>
                <c:pt idx="584">
                  <c:v>404.05999999999995</c:v>
                </c:pt>
                <c:pt idx="585">
                  <c:v>420.84000000000003</c:v>
                </c:pt>
                <c:pt idx="586">
                  <c:v>419.66</c:v>
                </c:pt>
                <c:pt idx="587">
                  <c:v>249.18</c:v>
                </c:pt>
                <c:pt idx="588">
                  <c:v>201.93</c:v>
                </c:pt>
                <c:pt idx="589">
                  <c:v>799.39000000000021</c:v>
                </c:pt>
                <c:pt idx="590">
                  <c:v>834.19999999999982</c:v>
                </c:pt>
                <c:pt idx="591">
                  <c:v>279.47000000000003</c:v>
                </c:pt>
                <c:pt idx="592">
                  <c:v>-74.289999999999992</c:v>
                </c:pt>
                <c:pt idx="593">
                  <c:v>322.44</c:v>
                </c:pt>
                <c:pt idx="594">
                  <c:v>165.58</c:v>
                </c:pt>
                <c:pt idx="595">
                  <c:v>171.8</c:v>
                </c:pt>
                <c:pt idx="596">
                  <c:v>443.61</c:v>
                </c:pt>
                <c:pt idx="597">
                  <c:v>406.2</c:v>
                </c:pt>
                <c:pt idx="598">
                  <c:v>427.18</c:v>
                </c:pt>
                <c:pt idx="599">
                  <c:v>254.59999999999997</c:v>
                </c:pt>
                <c:pt idx="600">
                  <c:v>163.46999999999997</c:v>
                </c:pt>
                <c:pt idx="601">
                  <c:v>174.79</c:v>
                </c:pt>
                <c:pt idx="602">
                  <c:v>530.99</c:v>
                </c:pt>
                <c:pt idx="603">
                  <c:v>116.25</c:v>
                </c:pt>
                <c:pt idx="604">
                  <c:v>173.60999999999999</c:v>
                </c:pt>
                <c:pt idx="605">
                  <c:v>317.99</c:v>
                </c:pt>
                <c:pt idx="606">
                  <c:v>142.80000000000001</c:v>
                </c:pt>
                <c:pt idx="607">
                  <c:v>218.79</c:v>
                </c:pt>
                <c:pt idx="608">
                  <c:v>511.11</c:v>
                </c:pt>
                <c:pt idx="609">
                  <c:v>563.65</c:v>
                </c:pt>
                <c:pt idx="610">
                  <c:v>477.74000000000007</c:v>
                </c:pt>
                <c:pt idx="611">
                  <c:v>260.58</c:v>
                </c:pt>
                <c:pt idx="612">
                  <c:v>231.59999999999994</c:v>
                </c:pt>
                <c:pt idx="613">
                  <c:v>698.41999999999985</c:v>
                </c:pt>
                <c:pt idx="614">
                  <c:v>249.82000000000008</c:v>
                </c:pt>
                <c:pt idx="615">
                  <c:v>1477.4699999999998</c:v>
                </c:pt>
                <c:pt idx="616">
                  <c:v>958.4</c:v>
                </c:pt>
                <c:pt idx="617">
                  <c:v>337.12</c:v>
                </c:pt>
                <c:pt idx="618">
                  <c:v>-2.259999999999998</c:v>
                </c:pt>
                <c:pt idx="619">
                  <c:v>161.59</c:v>
                </c:pt>
                <c:pt idx="620">
                  <c:v>402.56</c:v>
                </c:pt>
                <c:pt idx="621">
                  <c:v>504.41</c:v>
                </c:pt>
                <c:pt idx="622">
                  <c:v>459.78000000000009</c:v>
                </c:pt>
                <c:pt idx="623">
                  <c:v>283.09999999999997</c:v>
                </c:pt>
                <c:pt idx="624">
                  <c:v>289.39999999999998</c:v>
                </c:pt>
                <c:pt idx="625">
                  <c:v>977.40999999999985</c:v>
                </c:pt>
                <c:pt idx="626">
                  <c:v>681.86000000000013</c:v>
                </c:pt>
                <c:pt idx="627">
                  <c:v>1157.3200000000002</c:v>
                </c:pt>
                <c:pt idx="628">
                  <c:v>-259.13</c:v>
                </c:pt>
                <c:pt idx="629">
                  <c:v>790.79</c:v>
                </c:pt>
                <c:pt idx="630">
                  <c:v>293.77999999999997</c:v>
                </c:pt>
                <c:pt idx="631">
                  <c:v>-93.620000000000033</c:v>
                </c:pt>
                <c:pt idx="632">
                  <c:v>322.07000000000005</c:v>
                </c:pt>
                <c:pt idx="633">
                  <c:v>427.83</c:v>
                </c:pt>
                <c:pt idx="634">
                  <c:v>424.48</c:v>
                </c:pt>
                <c:pt idx="635">
                  <c:v>287.12000000000006</c:v>
                </c:pt>
                <c:pt idx="636">
                  <c:v>221.04</c:v>
                </c:pt>
                <c:pt idx="637">
                  <c:v>194.99</c:v>
                </c:pt>
                <c:pt idx="638">
                  <c:v>378.62</c:v>
                </c:pt>
                <c:pt idx="639">
                  <c:v>118.11000000000001</c:v>
                </c:pt>
                <c:pt idx="640">
                  <c:v>803.49</c:v>
                </c:pt>
                <c:pt idx="641">
                  <c:v>784.01999999999987</c:v>
                </c:pt>
                <c:pt idx="642">
                  <c:v>-64.240000000000009</c:v>
                </c:pt>
                <c:pt idx="643">
                  <c:v>244.80999999999997</c:v>
                </c:pt>
                <c:pt idx="644">
                  <c:v>426.23</c:v>
                </c:pt>
                <c:pt idx="645">
                  <c:v>370.73</c:v>
                </c:pt>
                <c:pt idx="646">
                  <c:v>431.90999999999997</c:v>
                </c:pt>
                <c:pt idx="647">
                  <c:v>277.71999999999997</c:v>
                </c:pt>
                <c:pt idx="648">
                  <c:v>303</c:v>
                </c:pt>
                <c:pt idx="649">
                  <c:v>184.22999999999996</c:v>
                </c:pt>
                <c:pt idx="650">
                  <c:v>208.85</c:v>
                </c:pt>
                <c:pt idx="651">
                  <c:v>108.11</c:v>
                </c:pt>
                <c:pt idx="652">
                  <c:v>308.03000000000003</c:v>
                </c:pt>
                <c:pt idx="653">
                  <c:v>225.48999999999998</c:v>
                </c:pt>
                <c:pt idx="654">
                  <c:v>179.07</c:v>
                </c:pt>
                <c:pt idx="655">
                  <c:v>209.53999999999996</c:v>
                </c:pt>
                <c:pt idx="656">
                  <c:v>474.48000000000008</c:v>
                </c:pt>
                <c:pt idx="657">
                  <c:v>543.47</c:v>
                </c:pt>
                <c:pt idx="658">
                  <c:v>496.08</c:v>
                </c:pt>
                <c:pt idx="659">
                  <c:v>282.18</c:v>
                </c:pt>
                <c:pt idx="660">
                  <c:v>107.42999999999998</c:v>
                </c:pt>
                <c:pt idx="661">
                  <c:v>135.62</c:v>
                </c:pt>
                <c:pt idx="662">
                  <c:v>155.87000000000003</c:v>
                </c:pt>
                <c:pt idx="663">
                  <c:v>217.58</c:v>
                </c:pt>
                <c:pt idx="664">
                  <c:v>121.12</c:v>
                </c:pt>
                <c:pt idx="665">
                  <c:v>298.9799999999999</c:v>
                </c:pt>
                <c:pt idx="666">
                  <c:v>242.08</c:v>
                </c:pt>
                <c:pt idx="667">
                  <c:v>282.28000000000003</c:v>
                </c:pt>
                <c:pt idx="668">
                  <c:v>538.35</c:v>
                </c:pt>
                <c:pt idx="669">
                  <c:v>737.34</c:v>
                </c:pt>
                <c:pt idx="670">
                  <c:v>607.56000000000006</c:v>
                </c:pt>
                <c:pt idx="671">
                  <c:v>193.35</c:v>
                </c:pt>
                <c:pt idx="672">
                  <c:v>188.59999999999997</c:v>
                </c:pt>
                <c:pt idx="673">
                  <c:v>229.01</c:v>
                </c:pt>
                <c:pt idx="674">
                  <c:v>615.45000000000005</c:v>
                </c:pt>
                <c:pt idx="675">
                  <c:v>1287.1099999999999</c:v>
                </c:pt>
                <c:pt idx="676">
                  <c:v>1100.7800000000002</c:v>
                </c:pt>
                <c:pt idx="677">
                  <c:v>1309.03</c:v>
                </c:pt>
                <c:pt idx="678">
                  <c:v>563.41999999999996</c:v>
                </c:pt>
                <c:pt idx="679">
                  <c:v>502.06999999999988</c:v>
                </c:pt>
                <c:pt idx="680">
                  <c:v>307.58000000000004</c:v>
                </c:pt>
                <c:pt idx="681">
                  <c:v>400.61</c:v>
                </c:pt>
                <c:pt idx="682">
                  <c:v>488.21000000000009</c:v>
                </c:pt>
                <c:pt idx="683">
                  <c:v>319.53999999999996</c:v>
                </c:pt>
                <c:pt idx="684">
                  <c:v>240.44000000000003</c:v>
                </c:pt>
                <c:pt idx="685">
                  <c:v>283.03000000000003</c:v>
                </c:pt>
                <c:pt idx="686">
                  <c:v>217.75000000000003</c:v>
                </c:pt>
                <c:pt idx="687">
                  <c:v>782.69</c:v>
                </c:pt>
                <c:pt idx="688">
                  <c:v>587.52</c:v>
                </c:pt>
                <c:pt idx="689">
                  <c:v>394.81</c:v>
                </c:pt>
                <c:pt idx="690">
                  <c:v>59.369999999999976</c:v>
                </c:pt>
                <c:pt idx="691">
                  <c:v>348.46000000000009</c:v>
                </c:pt>
                <c:pt idx="692">
                  <c:v>430.14</c:v>
                </c:pt>
                <c:pt idx="693">
                  <c:v>512.75</c:v>
                </c:pt>
                <c:pt idx="694">
                  <c:v>451.61000000000007</c:v>
                </c:pt>
                <c:pt idx="695">
                  <c:v>270.21999999999997</c:v>
                </c:pt>
                <c:pt idx="696">
                  <c:v>332.03</c:v>
                </c:pt>
                <c:pt idx="697">
                  <c:v>316.60000000000002</c:v>
                </c:pt>
                <c:pt idx="698">
                  <c:v>507.65000000000015</c:v>
                </c:pt>
                <c:pt idx="699">
                  <c:v>1700.5900000000006</c:v>
                </c:pt>
                <c:pt idx="700">
                  <c:v>1266.96</c:v>
                </c:pt>
                <c:pt idx="701">
                  <c:v>381.23999999999995</c:v>
                </c:pt>
                <c:pt idx="702">
                  <c:v>-32.920000000000016</c:v>
                </c:pt>
                <c:pt idx="703">
                  <c:v>225.97000000000003</c:v>
                </c:pt>
                <c:pt idx="704">
                  <c:v>343.99</c:v>
                </c:pt>
                <c:pt idx="705">
                  <c:v>558.63999999999987</c:v>
                </c:pt>
                <c:pt idx="706">
                  <c:v>429.1</c:v>
                </c:pt>
                <c:pt idx="707">
                  <c:v>319.34999999999997</c:v>
                </c:pt>
                <c:pt idx="708">
                  <c:v>215.83999999999997</c:v>
                </c:pt>
                <c:pt idx="709">
                  <c:v>213.22</c:v>
                </c:pt>
                <c:pt idx="710">
                  <c:v>379.22999999999996</c:v>
                </c:pt>
                <c:pt idx="711">
                  <c:v>663.17</c:v>
                </c:pt>
                <c:pt idx="712">
                  <c:v>86.39</c:v>
                </c:pt>
                <c:pt idx="713">
                  <c:v>577.62000000000012</c:v>
                </c:pt>
                <c:pt idx="714">
                  <c:v>123.59000000000002</c:v>
                </c:pt>
                <c:pt idx="715">
                  <c:v>249.26999999999998</c:v>
                </c:pt>
                <c:pt idx="716">
                  <c:v>394.55999999999995</c:v>
                </c:pt>
                <c:pt idx="717">
                  <c:v>521.44000000000005</c:v>
                </c:pt>
                <c:pt idx="718">
                  <c:v>470.28</c:v>
                </c:pt>
                <c:pt idx="719">
                  <c:v>215.25000000000003</c:v>
                </c:pt>
                <c:pt idx="720">
                  <c:v>234.76000000000002</c:v>
                </c:pt>
                <c:pt idx="721">
                  <c:v>829.0400000000003</c:v>
                </c:pt>
                <c:pt idx="722">
                  <c:v>795.0899999999998</c:v>
                </c:pt>
                <c:pt idx="723">
                  <c:v>546.6099999999999</c:v>
                </c:pt>
                <c:pt idx="724">
                  <c:v>458.12000000000006</c:v>
                </c:pt>
                <c:pt idx="725">
                  <c:v>866.47000000000014</c:v>
                </c:pt>
                <c:pt idx="726">
                  <c:v>994.05000000000007</c:v>
                </c:pt>
                <c:pt idx="727">
                  <c:v>58.869999999999926</c:v>
                </c:pt>
                <c:pt idx="728">
                  <c:v>41.030000000000044</c:v>
                </c:pt>
                <c:pt idx="729">
                  <c:v>314.39999999999998</c:v>
                </c:pt>
                <c:pt idx="730">
                  <c:v>425.15</c:v>
                </c:pt>
                <c:pt idx="731">
                  <c:v>347.09000000000003</c:v>
                </c:pt>
                <c:pt idx="732">
                  <c:v>306.07</c:v>
                </c:pt>
                <c:pt idx="733">
                  <c:v>757.32999999999993</c:v>
                </c:pt>
                <c:pt idx="734">
                  <c:v>948.5200000000001</c:v>
                </c:pt>
                <c:pt idx="735">
                  <c:v>1310.9899999999998</c:v>
                </c:pt>
                <c:pt idx="736">
                  <c:v>1566.4</c:v>
                </c:pt>
                <c:pt idx="737">
                  <c:v>2339.94</c:v>
                </c:pt>
                <c:pt idx="738">
                  <c:v>121.69999999999997</c:v>
                </c:pt>
                <c:pt idx="739">
                  <c:v>475.34</c:v>
                </c:pt>
                <c:pt idx="740">
                  <c:v>657.68999999999994</c:v>
                </c:pt>
                <c:pt idx="741">
                  <c:v>486.87</c:v>
                </c:pt>
                <c:pt idx="742">
                  <c:v>225.93000000000004</c:v>
                </c:pt>
                <c:pt idx="743">
                  <c:v>338.42000000000007</c:v>
                </c:pt>
                <c:pt idx="744">
                  <c:v>276.08</c:v>
                </c:pt>
                <c:pt idx="745">
                  <c:v>890.90999999999985</c:v>
                </c:pt>
                <c:pt idx="746">
                  <c:v>1629.65</c:v>
                </c:pt>
                <c:pt idx="747">
                  <c:v>8.719999999999942</c:v>
                </c:pt>
                <c:pt idx="748">
                  <c:v>-242.74</c:v>
                </c:pt>
                <c:pt idx="749">
                  <c:v>152.57</c:v>
                </c:pt>
                <c:pt idx="750">
                  <c:v>9.8899999999999793</c:v>
                </c:pt>
                <c:pt idx="751">
                  <c:v>164.25</c:v>
                </c:pt>
                <c:pt idx="752">
                  <c:v>298.75</c:v>
                </c:pt>
                <c:pt idx="753">
                  <c:v>465.63</c:v>
                </c:pt>
                <c:pt idx="754">
                  <c:v>431.69</c:v>
                </c:pt>
                <c:pt idx="755">
                  <c:v>249.89</c:v>
                </c:pt>
                <c:pt idx="756">
                  <c:v>216.76999999999998</c:v>
                </c:pt>
                <c:pt idx="757">
                  <c:v>688.63000000000022</c:v>
                </c:pt>
                <c:pt idx="758">
                  <c:v>341.84</c:v>
                </c:pt>
                <c:pt idx="759">
                  <c:v>30.920000000000016</c:v>
                </c:pt>
                <c:pt idx="760">
                  <c:v>138.35000000000002</c:v>
                </c:pt>
                <c:pt idx="761">
                  <c:v>336.06</c:v>
                </c:pt>
                <c:pt idx="762">
                  <c:v>134.11000000000001</c:v>
                </c:pt>
                <c:pt idx="763">
                  <c:v>242.18000000000004</c:v>
                </c:pt>
                <c:pt idx="764">
                  <c:v>377.59</c:v>
                </c:pt>
                <c:pt idx="765">
                  <c:v>522.09</c:v>
                </c:pt>
                <c:pt idx="766">
                  <c:v>407.9</c:v>
                </c:pt>
                <c:pt idx="767">
                  <c:v>177.75</c:v>
                </c:pt>
                <c:pt idx="768">
                  <c:v>123.99000000000002</c:v>
                </c:pt>
                <c:pt idx="769">
                  <c:v>450.73000000000008</c:v>
                </c:pt>
                <c:pt idx="770">
                  <c:v>210.25000000000003</c:v>
                </c:pt>
                <c:pt idx="771">
                  <c:v>408.90999999999997</c:v>
                </c:pt>
                <c:pt idx="772">
                  <c:v>2163.5500000000002</c:v>
                </c:pt>
                <c:pt idx="773">
                  <c:v>1131.94</c:v>
                </c:pt>
                <c:pt idx="774">
                  <c:v>-326.23999999999995</c:v>
                </c:pt>
                <c:pt idx="775">
                  <c:v>-51.139999999999972</c:v>
                </c:pt>
                <c:pt idx="776">
                  <c:v>220.28</c:v>
                </c:pt>
                <c:pt idx="777">
                  <c:v>347.09</c:v>
                </c:pt>
                <c:pt idx="778">
                  <c:v>362.43</c:v>
                </c:pt>
                <c:pt idx="779">
                  <c:v>289.51000000000005</c:v>
                </c:pt>
                <c:pt idx="780">
                  <c:v>184.40999999999997</c:v>
                </c:pt>
                <c:pt idx="781">
                  <c:v>153.89000000000001</c:v>
                </c:pt>
                <c:pt idx="782">
                  <c:v>233.17</c:v>
                </c:pt>
                <c:pt idx="783">
                  <c:v>253.63000000000002</c:v>
                </c:pt>
                <c:pt idx="784">
                  <c:v>286.61</c:v>
                </c:pt>
                <c:pt idx="785">
                  <c:v>436.16999999999996</c:v>
                </c:pt>
                <c:pt idx="786">
                  <c:v>89.710000000000008</c:v>
                </c:pt>
                <c:pt idx="787">
                  <c:v>193.59000000000003</c:v>
                </c:pt>
                <c:pt idx="788">
                  <c:v>364.03</c:v>
                </c:pt>
                <c:pt idx="789">
                  <c:v>464.38000000000005</c:v>
                </c:pt>
                <c:pt idx="790">
                  <c:v>394.30000000000007</c:v>
                </c:pt>
                <c:pt idx="791">
                  <c:v>177.97999999999996</c:v>
                </c:pt>
                <c:pt idx="792">
                  <c:v>140.27999999999997</c:v>
                </c:pt>
                <c:pt idx="793">
                  <c:v>207.56000000000003</c:v>
                </c:pt>
                <c:pt idx="794">
                  <c:v>509.33999999999992</c:v>
                </c:pt>
                <c:pt idx="795">
                  <c:v>410.13</c:v>
                </c:pt>
                <c:pt idx="796">
                  <c:v>71.289999999999992</c:v>
                </c:pt>
                <c:pt idx="797">
                  <c:v>242.70999999999998</c:v>
                </c:pt>
                <c:pt idx="798">
                  <c:v>364.29</c:v>
                </c:pt>
                <c:pt idx="799">
                  <c:v>180.04</c:v>
                </c:pt>
                <c:pt idx="800">
                  <c:v>339.18000000000006</c:v>
                </c:pt>
                <c:pt idx="801">
                  <c:v>497.86</c:v>
                </c:pt>
                <c:pt idx="802">
                  <c:v>435.59000000000003</c:v>
                </c:pt>
                <c:pt idx="803">
                  <c:v>196.94000000000003</c:v>
                </c:pt>
                <c:pt idx="804">
                  <c:v>156.51000000000002</c:v>
                </c:pt>
                <c:pt idx="805">
                  <c:v>328.65000000000003</c:v>
                </c:pt>
                <c:pt idx="806">
                  <c:v>301.52000000000004</c:v>
                </c:pt>
                <c:pt idx="807">
                  <c:v>88.990000000000009</c:v>
                </c:pt>
                <c:pt idx="808">
                  <c:v>212.98999999999995</c:v>
                </c:pt>
                <c:pt idx="809">
                  <c:v>722.22000000000014</c:v>
                </c:pt>
                <c:pt idx="810">
                  <c:v>53.019999999999982</c:v>
                </c:pt>
                <c:pt idx="811">
                  <c:v>252.64000000000001</c:v>
                </c:pt>
                <c:pt idx="812">
                  <c:v>396.23</c:v>
                </c:pt>
                <c:pt idx="813">
                  <c:v>467.38</c:v>
                </c:pt>
                <c:pt idx="814">
                  <c:v>401.11</c:v>
                </c:pt>
                <c:pt idx="815">
                  <c:v>226.42</c:v>
                </c:pt>
                <c:pt idx="816">
                  <c:v>198.28999999999996</c:v>
                </c:pt>
                <c:pt idx="817">
                  <c:v>159.37999999999997</c:v>
                </c:pt>
                <c:pt idx="818">
                  <c:v>137.28</c:v>
                </c:pt>
                <c:pt idx="819">
                  <c:v>327.41999999999996</c:v>
                </c:pt>
                <c:pt idx="820">
                  <c:v>110.45</c:v>
                </c:pt>
                <c:pt idx="821">
                  <c:v>307.72999999999996</c:v>
                </c:pt>
                <c:pt idx="822">
                  <c:v>263.99000000000007</c:v>
                </c:pt>
                <c:pt idx="823">
                  <c:v>327.67</c:v>
                </c:pt>
                <c:pt idx="824">
                  <c:v>375.24</c:v>
                </c:pt>
                <c:pt idx="825">
                  <c:v>493.63</c:v>
                </c:pt>
                <c:pt idx="826">
                  <c:v>488.39000000000004</c:v>
                </c:pt>
                <c:pt idx="827">
                  <c:v>166.23999999999998</c:v>
                </c:pt>
                <c:pt idx="828">
                  <c:v>130.15999999999997</c:v>
                </c:pt>
                <c:pt idx="829">
                  <c:v>140.37</c:v>
                </c:pt>
                <c:pt idx="830">
                  <c:v>179.93</c:v>
                </c:pt>
                <c:pt idx="831">
                  <c:v>144.51</c:v>
                </c:pt>
                <c:pt idx="832">
                  <c:v>177.52999999999997</c:v>
                </c:pt>
                <c:pt idx="833">
                  <c:v>1497.14</c:v>
                </c:pt>
                <c:pt idx="834">
                  <c:v>-97.749999999999957</c:v>
                </c:pt>
                <c:pt idx="835">
                  <c:v>217.67000000000002</c:v>
                </c:pt>
                <c:pt idx="836">
                  <c:v>475.43</c:v>
                </c:pt>
                <c:pt idx="837">
                  <c:v>580.63999999999987</c:v>
                </c:pt>
                <c:pt idx="838">
                  <c:v>508.89000000000004</c:v>
                </c:pt>
                <c:pt idx="839">
                  <c:v>218.77</c:v>
                </c:pt>
                <c:pt idx="840">
                  <c:v>229.83</c:v>
                </c:pt>
                <c:pt idx="841">
                  <c:v>162.75</c:v>
                </c:pt>
                <c:pt idx="842">
                  <c:v>271.18999999999994</c:v>
                </c:pt>
                <c:pt idx="843">
                  <c:v>162.61000000000001</c:v>
                </c:pt>
                <c:pt idx="844">
                  <c:v>780.51</c:v>
                </c:pt>
                <c:pt idx="845">
                  <c:v>174.69000000000003</c:v>
                </c:pt>
                <c:pt idx="846">
                  <c:v>118.17999999999999</c:v>
                </c:pt>
                <c:pt idx="847">
                  <c:v>270.68</c:v>
                </c:pt>
                <c:pt idx="848">
                  <c:v>433.61999999999995</c:v>
                </c:pt>
                <c:pt idx="849">
                  <c:v>570.76999999999987</c:v>
                </c:pt>
                <c:pt idx="850">
                  <c:v>584.62</c:v>
                </c:pt>
                <c:pt idx="851">
                  <c:v>241.36</c:v>
                </c:pt>
                <c:pt idx="852">
                  <c:v>239.61</c:v>
                </c:pt>
                <c:pt idx="853">
                  <c:v>151.13000000000002</c:v>
                </c:pt>
                <c:pt idx="854">
                  <c:v>624.63</c:v>
                </c:pt>
                <c:pt idx="855">
                  <c:v>1340.1899999999998</c:v>
                </c:pt>
                <c:pt idx="856">
                  <c:v>524.15999999999985</c:v>
                </c:pt>
                <c:pt idx="857">
                  <c:v>559.36</c:v>
                </c:pt>
                <c:pt idx="858">
                  <c:v>209.29</c:v>
                </c:pt>
                <c:pt idx="859">
                  <c:v>336.47999999999996</c:v>
                </c:pt>
                <c:pt idx="860">
                  <c:v>475.91999999999996</c:v>
                </c:pt>
                <c:pt idx="861">
                  <c:v>534.3900000000001</c:v>
                </c:pt>
                <c:pt idx="862">
                  <c:v>507.23</c:v>
                </c:pt>
                <c:pt idx="863">
                  <c:v>343.1</c:v>
                </c:pt>
                <c:pt idx="864">
                  <c:v>303.07</c:v>
                </c:pt>
                <c:pt idx="865">
                  <c:v>225.26</c:v>
                </c:pt>
                <c:pt idx="866">
                  <c:v>360.01</c:v>
                </c:pt>
                <c:pt idx="867">
                  <c:v>237.42</c:v>
                </c:pt>
                <c:pt idx="868">
                  <c:v>459.85</c:v>
                </c:pt>
                <c:pt idx="869">
                  <c:v>191.43</c:v>
                </c:pt>
                <c:pt idx="870">
                  <c:v>305.23999999999995</c:v>
                </c:pt>
                <c:pt idx="871">
                  <c:v>326.44</c:v>
                </c:pt>
                <c:pt idx="872">
                  <c:v>499.5499999999999</c:v>
                </c:pt>
                <c:pt idx="873">
                  <c:v>638.61999999999989</c:v>
                </c:pt>
                <c:pt idx="874">
                  <c:v>589.72</c:v>
                </c:pt>
                <c:pt idx="875">
                  <c:v>308.31000000000006</c:v>
                </c:pt>
                <c:pt idx="876">
                  <c:v>205.88</c:v>
                </c:pt>
                <c:pt idx="877">
                  <c:v>343.91000000000008</c:v>
                </c:pt>
                <c:pt idx="878">
                  <c:v>346.06</c:v>
                </c:pt>
                <c:pt idx="879">
                  <c:v>2417.8599999999997</c:v>
                </c:pt>
                <c:pt idx="880">
                  <c:v>-49.460000000000008</c:v>
                </c:pt>
                <c:pt idx="881">
                  <c:v>2232.2599999999998</c:v>
                </c:pt>
                <c:pt idx="882">
                  <c:v>45.250000000000057</c:v>
                </c:pt>
                <c:pt idx="883">
                  <c:v>607.09</c:v>
                </c:pt>
                <c:pt idx="884">
                  <c:v>129.12000000000003</c:v>
                </c:pt>
                <c:pt idx="885">
                  <c:v>408.5</c:v>
                </c:pt>
                <c:pt idx="886">
                  <c:v>214.02999999999997</c:v>
                </c:pt>
                <c:pt idx="887">
                  <c:v>322.71000000000004</c:v>
                </c:pt>
                <c:pt idx="888">
                  <c:v>247.09000000000003</c:v>
                </c:pt>
                <c:pt idx="889">
                  <c:v>165.30999999999997</c:v>
                </c:pt>
                <c:pt idx="890">
                  <c:v>693.76</c:v>
                </c:pt>
                <c:pt idx="891">
                  <c:v>648.90999999999985</c:v>
                </c:pt>
                <c:pt idx="892">
                  <c:v>1425.1300000000003</c:v>
                </c:pt>
                <c:pt idx="893">
                  <c:v>287.79999999999995</c:v>
                </c:pt>
                <c:pt idx="894">
                  <c:v>130.25</c:v>
                </c:pt>
                <c:pt idx="895">
                  <c:v>543.09999999999991</c:v>
                </c:pt>
                <c:pt idx="896">
                  <c:v>179.59</c:v>
                </c:pt>
                <c:pt idx="897">
                  <c:v>415.67999999999995</c:v>
                </c:pt>
                <c:pt idx="898">
                  <c:v>523.82999999999993</c:v>
                </c:pt>
                <c:pt idx="899">
                  <c:v>334.39</c:v>
                </c:pt>
                <c:pt idx="900">
                  <c:v>287.53000000000003</c:v>
                </c:pt>
                <c:pt idx="901">
                  <c:v>355.75999999999993</c:v>
                </c:pt>
                <c:pt idx="902">
                  <c:v>1722.9299999999996</c:v>
                </c:pt>
                <c:pt idx="903">
                  <c:v>2643.7000000000003</c:v>
                </c:pt>
                <c:pt idx="904">
                  <c:v>-111.11000000000001</c:v>
                </c:pt>
                <c:pt idx="905">
                  <c:v>-312.63999999999987</c:v>
                </c:pt>
                <c:pt idx="906">
                  <c:v>26.780000000000012</c:v>
                </c:pt>
                <c:pt idx="907">
                  <c:v>291.78000000000003</c:v>
                </c:pt>
                <c:pt idx="908">
                  <c:v>429.03</c:v>
                </c:pt>
                <c:pt idx="909">
                  <c:v>547.56999999999994</c:v>
                </c:pt>
                <c:pt idx="910">
                  <c:v>541.40000000000009</c:v>
                </c:pt>
                <c:pt idx="911">
                  <c:v>357.39000000000004</c:v>
                </c:pt>
                <c:pt idx="912">
                  <c:v>271.00000000000006</c:v>
                </c:pt>
                <c:pt idx="913">
                  <c:v>534.52</c:v>
                </c:pt>
                <c:pt idx="914">
                  <c:v>393.68</c:v>
                </c:pt>
                <c:pt idx="915">
                  <c:v>1449.0299999999995</c:v>
                </c:pt>
                <c:pt idx="916">
                  <c:v>3098.0699999999997</c:v>
                </c:pt>
                <c:pt idx="917">
                  <c:v>355.72999999999996</c:v>
                </c:pt>
                <c:pt idx="918">
                  <c:v>304.25000000000006</c:v>
                </c:pt>
                <c:pt idx="919">
                  <c:v>663.02</c:v>
                </c:pt>
                <c:pt idx="920">
                  <c:v>652.98</c:v>
                </c:pt>
                <c:pt idx="921">
                  <c:v>379.00000000000006</c:v>
                </c:pt>
                <c:pt idx="922">
                  <c:v>237.26</c:v>
                </c:pt>
                <c:pt idx="923">
                  <c:v>274.48</c:v>
                </c:pt>
                <c:pt idx="924">
                  <c:v>232.74</c:v>
                </c:pt>
                <c:pt idx="925">
                  <c:v>433.13000000000005</c:v>
                </c:pt>
                <c:pt idx="926">
                  <c:v>509.76999999999992</c:v>
                </c:pt>
                <c:pt idx="927">
                  <c:v>595.6400000000001</c:v>
                </c:pt>
                <c:pt idx="928">
                  <c:v>878.59</c:v>
                </c:pt>
                <c:pt idx="929">
                  <c:v>310.27</c:v>
                </c:pt>
                <c:pt idx="930">
                  <c:v>51.990000000000009</c:v>
                </c:pt>
                <c:pt idx="931">
                  <c:v>199.48000000000002</c:v>
                </c:pt>
                <c:pt idx="932">
                  <c:v>304.77</c:v>
                </c:pt>
                <c:pt idx="933">
                  <c:v>503.69999999999993</c:v>
                </c:pt>
                <c:pt idx="934">
                  <c:v>418.35000000000008</c:v>
                </c:pt>
                <c:pt idx="935">
                  <c:v>293.64999999999998</c:v>
                </c:pt>
                <c:pt idx="936">
                  <c:v>273.67</c:v>
                </c:pt>
                <c:pt idx="937">
                  <c:v>284.29999999999995</c:v>
                </c:pt>
                <c:pt idx="938">
                  <c:v>205.33999999999997</c:v>
                </c:pt>
                <c:pt idx="939">
                  <c:v>587.49999999999989</c:v>
                </c:pt>
                <c:pt idx="940">
                  <c:v>1353.3599999999997</c:v>
                </c:pt>
                <c:pt idx="941">
                  <c:v>431.17</c:v>
                </c:pt>
                <c:pt idx="942">
                  <c:v>-57.539999999999978</c:v>
                </c:pt>
                <c:pt idx="943">
                  <c:v>191.19</c:v>
                </c:pt>
                <c:pt idx="944">
                  <c:v>344.27</c:v>
                </c:pt>
                <c:pt idx="945">
                  <c:v>502.18999999999994</c:v>
                </c:pt>
                <c:pt idx="946">
                  <c:v>439.63</c:v>
                </c:pt>
                <c:pt idx="947">
                  <c:v>276.74999999999994</c:v>
                </c:pt>
                <c:pt idx="948">
                  <c:v>289.51</c:v>
                </c:pt>
                <c:pt idx="949">
                  <c:v>158.45999999999998</c:v>
                </c:pt>
                <c:pt idx="950">
                  <c:v>196.40000000000003</c:v>
                </c:pt>
                <c:pt idx="951">
                  <c:v>455.93999999999988</c:v>
                </c:pt>
                <c:pt idx="952">
                  <c:v>409.51999999999992</c:v>
                </c:pt>
                <c:pt idx="953">
                  <c:v>259.32000000000005</c:v>
                </c:pt>
                <c:pt idx="954">
                  <c:v>196.9</c:v>
                </c:pt>
                <c:pt idx="955">
                  <c:v>307.24</c:v>
                </c:pt>
                <c:pt idx="956">
                  <c:v>412.89000000000004</c:v>
                </c:pt>
                <c:pt idx="957">
                  <c:v>487.89</c:v>
                </c:pt>
                <c:pt idx="958">
                  <c:v>428.56000000000006</c:v>
                </c:pt>
                <c:pt idx="959">
                  <c:v>283.85999999999996</c:v>
                </c:pt>
                <c:pt idx="960">
                  <c:v>239.48</c:v>
                </c:pt>
                <c:pt idx="961">
                  <c:v>425.83</c:v>
                </c:pt>
                <c:pt idx="962">
                  <c:v>794.54</c:v>
                </c:pt>
                <c:pt idx="963">
                  <c:v>326.25</c:v>
                </c:pt>
                <c:pt idx="964">
                  <c:v>69.629999999999967</c:v>
                </c:pt>
                <c:pt idx="965">
                  <c:v>317.20999999999998</c:v>
                </c:pt>
                <c:pt idx="966">
                  <c:v>292.33999999999997</c:v>
                </c:pt>
                <c:pt idx="967">
                  <c:v>372.46</c:v>
                </c:pt>
                <c:pt idx="968">
                  <c:v>458.36999999999995</c:v>
                </c:pt>
                <c:pt idx="969">
                  <c:v>560.30999999999995</c:v>
                </c:pt>
                <c:pt idx="970">
                  <c:v>453.3</c:v>
                </c:pt>
                <c:pt idx="971">
                  <c:v>265.81</c:v>
                </c:pt>
                <c:pt idx="972">
                  <c:v>265.27</c:v>
                </c:pt>
                <c:pt idx="973">
                  <c:v>351.03000000000003</c:v>
                </c:pt>
                <c:pt idx="974">
                  <c:v>1030.1299999999999</c:v>
                </c:pt>
                <c:pt idx="975">
                  <c:v>322.5</c:v>
                </c:pt>
                <c:pt idx="976">
                  <c:v>98.199999999999989</c:v>
                </c:pt>
                <c:pt idx="977">
                  <c:v>184.52</c:v>
                </c:pt>
                <c:pt idx="978">
                  <c:v>401.83000000000004</c:v>
                </c:pt>
                <c:pt idx="979">
                  <c:v>479.72999999999996</c:v>
                </c:pt>
                <c:pt idx="980">
                  <c:v>429.01000000000005</c:v>
                </c:pt>
                <c:pt idx="981">
                  <c:v>530.65</c:v>
                </c:pt>
                <c:pt idx="982">
                  <c:v>451.05</c:v>
                </c:pt>
                <c:pt idx="983">
                  <c:v>271.73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7-394A-805D-9181C0D2BF1A}"/>
            </c:ext>
          </c:extLst>
        </c:ser>
        <c:ser>
          <c:idx val="1"/>
          <c:order val="1"/>
          <c:tx>
            <c:v>extension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plots!$A$2:$A$1129</c:f>
              <c:numCache>
                <c:formatCode>yyyy\-mm\-dd;@</c:formatCode>
                <c:ptCount val="1128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  <c:pt idx="984">
                  <c:v>37925</c:v>
                </c:pt>
                <c:pt idx="985">
                  <c:v>37955</c:v>
                </c:pt>
                <c:pt idx="986">
                  <c:v>37986</c:v>
                </c:pt>
                <c:pt idx="987">
                  <c:v>38017</c:v>
                </c:pt>
                <c:pt idx="988">
                  <c:v>38046</c:v>
                </c:pt>
                <c:pt idx="989">
                  <c:v>38077</c:v>
                </c:pt>
                <c:pt idx="990">
                  <c:v>38107</c:v>
                </c:pt>
                <c:pt idx="991">
                  <c:v>38138</c:v>
                </c:pt>
                <c:pt idx="992">
                  <c:v>38168</c:v>
                </c:pt>
                <c:pt idx="993">
                  <c:v>38199</c:v>
                </c:pt>
                <c:pt idx="994">
                  <c:v>38230</c:v>
                </c:pt>
                <c:pt idx="995">
                  <c:v>38260</c:v>
                </c:pt>
                <c:pt idx="996">
                  <c:v>38291</c:v>
                </c:pt>
                <c:pt idx="997">
                  <c:v>38321</c:v>
                </c:pt>
                <c:pt idx="998">
                  <c:v>38352</c:v>
                </c:pt>
                <c:pt idx="999">
                  <c:v>38383</c:v>
                </c:pt>
                <c:pt idx="1000">
                  <c:v>38411</c:v>
                </c:pt>
                <c:pt idx="1001">
                  <c:v>38442</c:v>
                </c:pt>
                <c:pt idx="1002">
                  <c:v>38472</c:v>
                </c:pt>
                <c:pt idx="1003">
                  <c:v>38503</c:v>
                </c:pt>
                <c:pt idx="1004">
                  <c:v>38533</c:v>
                </c:pt>
                <c:pt idx="1005">
                  <c:v>38564</c:v>
                </c:pt>
                <c:pt idx="1006">
                  <c:v>38595</c:v>
                </c:pt>
                <c:pt idx="1007">
                  <c:v>38625</c:v>
                </c:pt>
                <c:pt idx="1008">
                  <c:v>38656</c:v>
                </c:pt>
                <c:pt idx="1009">
                  <c:v>38686</c:v>
                </c:pt>
                <c:pt idx="1010">
                  <c:v>38717</c:v>
                </c:pt>
                <c:pt idx="1011">
                  <c:v>38748</c:v>
                </c:pt>
                <c:pt idx="1012">
                  <c:v>38776</c:v>
                </c:pt>
                <c:pt idx="1013">
                  <c:v>38807</c:v>
                </c:pt>
                <c:pt idx="1014">
                  <c:v>38837</c:v>
                </c:pt>
                <c:pt idx="1015">
                  <c:v>38868</c:v>
                </c:pt>
                <c:pt idx="1016">
                  <c:v>38898</c:v>
                </c:pt>
                <c:pt idx="1017">
                  <c:v>38929</c:v>
                </c:pt>
                <c:pt idx="1018">
                  <c:v>38960</c:v>
                </c:pt>
                <c:pt idx="1019">
                  <c:v>38990</c:v>
                </c:pt>
                <c:pt idx="1020">
                  <c:v>39021</c:v>
                </c:pt>
                <c:pt idx="1021">
                  <c:v>39051</c:v>
                </c:pt>
                <c:pt idx="1022">
                  <c:v>39082</c:v>
                </c:pt>
                <c:pt idx="1023">
                  <c:v>39113</c:v>
                </c:pt>
                <c:pt idx="1024">
                  <c:v>39141</c:v>
                </c:pt>
                <c:pt idx="1025">
                  <c:v>39172</c:v>
                </c:pt>
                <c:pt idx="1026">
                  <c:v>39202</c:v>
                </c:pt>
                <c:pt idx="1027">
                  <c:v>39233</c:v>
                </c:pt>
                <c:pt idx="1028">
                  <c:v>39263</c:v>
                </c:pt>
                <c:pt idx="1029">
                  <c:v>39294</c:v>
                </c:pt>
                <c:pt idx="1030">
                  <c:v>39325</c:v>
                </c:pt>
                <c:pt idx="1031">
                  <c:v>39355</c:v>
                </c:pt>
                <c:pt idx="1032">
                  <c:v>39386</c:v>
                </c:pt>
                <c:pt idx="1033">
                  <c:v>39416</c:v>
                </c:pt>
                <c:pt idx="1034">
                  <c:v>39447</c:v>
                </c:pt>
                <c:pt idx="1035">
                  <c:v>39478</c:v>
                </c:pt>
                <c:pt idx="1036">
                  <c:v>39507</c:v>
                </c:pt>
                <c:pt idx="1037">
                  <c:v>39538</c:v>
                </c:pt>
                <c:pt idx="1038">
                  <c:v>39568</c:v>
                </c:pt>
                <c:pt idx="1039">
                  <c:v>39599</c:v>
                </c:pt>
                <c:pt idx="1040">
                  <c:v>39629</c:v>
                </c:pt>
                <c:pt idx="1041">
                  <c:v>39660</c:v>
                </c:pt>
                <c:pt idx="1042">
                  <c:v>39691</c:v>
                </c:pt>
                <c:pt idx="1043">
                  <c:v>39721</c:v>
                </c:pt>
                <c:pt idx="1044">
                  <c:v>39752</c:v>
                </c:pt>
                <c:pt idx="1045">
                  <c:v>39782</c:v>
                </c:pt>
                <c:pt idx="1046">
                  <c:v>39813</c:v>
                </c:pt>
                <c:pt idx="1047">
                  <c:v>39844</c:v>
                </c:pt>
                <c:pt idx="1048">
                  <c:v>39872</c:v>
                </c:pt>
                <c:pt idx="1049">
                  <c:v>39903</c:v>
                </c:pt>
                <c:pt idx="1050">
                  <c:v>39933</c:v>
                </c:pt>
                <c:pt idx="1051">
                  <c:v>39964</c:v>
                </c:pt>
                <c:pt idx="1052">
                  <c:v>39994</c:v>
                </c:pt>
                <c:pt idx="1053">
                  <c:v>40025</c:v>
                </c:pt>
                <c:pt idx="1054">
                  <c:v>40056</c:v>
                </c:pt>
                <c:pt idx="1055">
                  <c:v>40086</c:v>
                </c:pt>
                <c:pt idx="1056">
                  <c:v>40117</c:v>
                </c:pt>
                <c:pt idx="1057">
                  <c:v>40147</c:v>
                </c:pt>
                <c:pt idx="1058">
                  <c:v>40178</c:v>
                </c:pt>
                <c:pt idx="1059">
                  <c:v>40209</c:v>
                </c:pt>
                <c:pt idx="1060">
                  <c:v>40237</c:v>
                </c:pt>
                <c:pt idx="1061">
                  <c:v>40268</c:v>
                </c:pt>
                <c:pt idx="1062">
                  <c:v>40298</c:v>
                </c:pt>
                <c:pt idx="1063">
                  <c:v>40329</c:v>
                </c:pt>
                <c:pt idx="1064">
                  <c:v>40359</c:v>
                </c:pt>
                <c:pt idx="1065">
                  <c:v>40390</c:v>
                </c:pt>
                <c:pt idx="1066">
                  <c:v>40421</c:v>
                </c:pt>
                <c:pt idx="1067">
                  <c:v>40451</c:v>
                </c:pt>
                <c:pt idx="1068">
                  <c:v>40482</c:v>
                </c:pt>
                <c:pt idx="1069">
                  <c:v>40512</c:v>
                </c:pt>
                <c:pt idx="1070">
                  <c:v>40543</c:v>
                </c:pt>
                <c:pt idx="1071">
                  <c:v>40574</c:v>
                </c:pt>
                <c:pt idx="1072">
                  <c:v>40602</c:v>
                </c:pt>
                <c:pt idx="1073">
                  <c:v>40633</c:v>
                </c:pt>
                <c:pt idx="1074">
                  <c:v>40663</c:v>
                </c:pt>
                <c:pt idx="1075">
                  <c:v>40694</c:v>
                </c:pt>
                <c:pt idx="1076">
                  <c:v>40724</c:v>
                </c:pt>
                <c:pt idx="1077">
                  <c:v>40755</c:v>
                </c:pt>
                <c:pt idx="1078">
                  <c:v>40786</c:v>
                </c:pt>
                <c:pt idx="1079">
                  <c:v>40816</c:v>
                </c:pt>
                <c:pt idx="1080">
                  <c:v>40847</c:v>
                </c:pt>
                <c:pt idx="1081">
                  <c:v>40877</c:v>
                </c:pt>
                <c:pt idx="1082">
                  <c:v>40908</c:v>
                </c:pt>
                <c:pt idx="1083">
                  <c:v>40939</c:v>
                </c:pt>
                <c:pt idx="1084">
                  <c:v>40968</c:v>
                </c:pt>
                <c:pt idx="1085">
                  <c:v>40999</c:v>
                </c:pt>
                <c:pt idx="1086">
                  <c:v>41029</c:v>
                </c:pt>
                <c:pt idx="1087">
                  <c:v>41060</c:v>
                </c:pt>
                <c:pt idx="1088">
                  <c:v>41090</c:v>
                </c:pt>
                <c:pt idx="1089">
                  <c:v>41121</c:v>
                </c:pt>
                <c:pt idx="1090">
                  <c:v>41152</c:v>
                </c:pt>
                <c:pt idx="1091">
                  <c:v>41182</c:v>
                </c:pt>
                <c:pt idx="1092">
                  <c:v>41213</c:v>
                </c:pt>
                <c:pt idx="1093">
                  <c:v>41243</c:v>
                </c:pt>
                <c:pt idx="1094">
                  <c:v>41274</c:v>
                </c:pt>
                <c:pt idx="1095">
                  <c:v>41305</c:v>
                </c:pt>
                <c:pt idx="1096">
                  <c:v>41333</c:v>
                </c:pt>
                <c:pt idx="1097">
                  <c:v>41364</c:v>
                </c:pt>
                <c:pt idx="1098">
                  <c:v>41394</c:v>
                </c:pt>
                <c:pt idx="1099">
                  <c:v>41425</c:v>
                </c:pt>
                <c:pt idx="1100">
                  <c:v>41455</c:v>
                </c:pt>
                <c:pt idx="1101">
                  <c:v>41486</c:v>
                </c:pt>
                <c:pt idx="1102">
                  <c:v>41517</c:v>
                </c:pt>
                <c:pt idx="1103">
                  <c:v>41547</c:v>
                </c:pt>
                <c:pt idx="1104">
                  <c:v>41578</c:v>
                </c:pt>
                <c:pt idx="1105">
                  <c:v>41608</c:v>
                </c:pt>
                <c:pt idx="1106">
                  <c:v>41639</c:v>
                </c:pt>
                <c:pt idx="1107">
                  <c:v>41670</c:v>
                </c:pt>
                <c:pt idx="1108">
                  <c:v>41698</c:v>
                </c:pt>
                <c:pt idx="1109">
                  <c:v>41729</c:v>
                </c:pt>
                <c:pt idx="1110">
                  <c:v>41759</c:v>
                </c:pt>
                <c:pt idx="1111">
                  <c:v>41790</c:v>
                </c:pt>
                <c:pt idx="1112">
                  <c:v>41820</c:v>
                </c:pt>
                <c:pt idx="1113">
                  <c:v>41851</c:v>
                </c:pt>
                <c:pt idx="1114">
                  <c:v>41882</c:v>
                </c:pt>
                <c:pt idx="1115">
                  <c:v>41912</c:v>
                </c:pt>
                <c:pt idx="1116">
                  <c:v>41943</c:v>
                </c:pt>
                <c:pt idx="1117">
                  <c:v>41973</c:v>
                </c:pt>
                <c:pt idx="1118">
                  <c:v>42004</c:v>
                </c:pt>
                <c:pt idx="1119">
                  <c:v>42035</c:v>
                </c:pt>
                <c:pt idx="1120">
                  <c:v>42063</c:v>
                </c:pt>
                <c:pt idx="1121">
                  <c:v>42094</c:v>
                </c:pt>
                <c:pt idx="1122">
                  <c:v>42124</c:v>
                </c:pt>
                <c:pt idx="1123">
                  <c:v>42155</c:v>
                </c:pt>
                <c:pt idx="1124">
                  <c:v>42185</c:v>
                </c:pt>
                <c:pt idx="1125">
                  <c:v>42216</c:v>
                </c:pt>
                <c:pt idx="1126">
                  <c:v>42247</c:v>
                </c:pt>
                <c:pt idx="1127">
                  <c:v>42277</c:v>
                </c:pt>
              </c:numCache>
            </c:numRef>
          </c:xVal>
          <c:yVal>
            <c:numRef>
              <c:f>plots!$C$2:$C$1129</c:f>
              <c:numCache>
                <c:formatCode>0.00</c:formatCode>
                <c:ptCount val="112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451.4349211</c:v>
                </c:pt>
                <c:pt idx="985">
                  <c:v>530.33447479000006</c:v>
                </c:pt>
                <c:pt idx="986">
                  <c:v>531.68579472999988</c:v>
                </c:pt>
                <c:pt idx="987">
                  <c:v>346.81208053000006</c:v>
                </c:pt>
                <c:pt idx="988">
                  <c:v>151.38785046999999</c:v>
                </c:pt>
                <c:pt idx="989">
                  <c:v>217.91189423000003</c:v>
                </c:pt>
                <c:pt idx="990">
                  <c:v>318.45148565000005</c:v>
                </c:pt>
                <c:pt idx="991">
                  <c:v>358.52453492999996</c:v>
                </c:pt>
                <c:pt idx="992">
                  <c:v>435.43102574</c:v>
                </c:pt>
                <c:pt idx="993">
                  <c:v>278.45566698699997</c:v>
                </c:pt>
                <c:pt idx="994">
                  <c:v>295.83666046999997</c:v>
                </c:pt>
                <c:pt idx="995">
                  <c:v>417.90564559999996</c:v>
                </c:pt>
                <c:pt idx="996">
                  <c:v>365.69411340000005</c:v>
                </c:pt>
                <c:pt idx="997">
                  <c:v>354.44540140999987</c:v>
                </c:pt>
                <c:pt idx="998">
                  <c:v>315.41827764999999</c:v>
                </c:pt>
                <c:pt idx="999">
                  <c:v>329.27339926999997</c:v>
                </c:pt>
                <c:pt idx="1000">
                  <c:v>149.68365460000001</c:v>
                </c:pt>
                <c:pt idx="1001">
                  <c:v>223.72179579000002</c:v>
                </c:pt>
                <c:pt idx="1002">
                  <c:v>454.63509719999996</c:v>
                </c:pt>
                <c:pt idx="1003">
                  <c:v>500.69189150000011</c:v>
                </c:pt>
                <c:pt idx="1004">
                  <c:v>329.56286130000001</c:v>
                </c:pt>
                <c:pt idx="1005">
                  <c:v>359.20946789999994</c:v>
                </c:pt>
                <c:pt idx="1006">
                  <c:v>203.61560649999996</c:v>
                </c:pt>
                <c:pt idx="1007">
                  <c:v>199.99229160000002</c:v>
                </c:pt>
                <c:pt idx="1008">
                  <c:v>346.53688093000005</c:v>
                </c:pt>
                <c:pt idx="1009">
                  <c:v>369.09058991999996</c:v>
                </c:pt>
                <c:pt idx="1010">
                  <c:v>340.16741384999989</c:v>
                </c:pt>
                <c:pt idx="1011">
                  <c:v>402.21435840000009</c:v>
                </c:pt>
                <c:pt idx="1012">
                  <c:v>306.52333522000004</c:v>
                </c:pt>
                <c:pt idx="1013">
                  <c:v>310.58228873000002</c:v>
                </c:pt>
                <c:pt idx="1014">
                  <c:v>555.05328029999998</c:v>
                </c:pt>
                <c:pt idx="1015">
                  <c:v>370.20212829999997</c:v>
                </c:pt>
                <c:pt idx="1016">
                  <c:v>372.37732041600009</c:v>
                </c:pt>
                <c:pt idx="1017">
                  <c:v>282.95990695</c:v>
                </c:pt>
                <c:pt idx="1018">
                  <c:v>232.91698529999999</c:v>
                </c:pt>
                <c:pt idx="1019">
                  <c:v>334.90985469999998</c:v>
                </c:pt>
                <c:pt idx="1020">
                  <c:v>322.89823702000007</c:v>
                </c:pt>
                <c:pt idx="1021">
                  <c:v>357.60256330599998</c:v>
                </c:pt>
                <c:pt idx="1022">
                  <c:v>481.27586010000005</c:v>
                </c:pt>
                <c:pt idx="1023">
                  <c:v>385.40244309999997</c:v>
                </c:pt>
                <c:pt idx="1024">
                  <c:v>418.15459519999996</c:v>
                </c:pt>
                <c:pt idx="1025">
                  <c:v>428.2528390999999</c:v>
                </c:pt>
                <c:pt idx="1026">
                  <c:v>395.25883979999992</c:v>
                </c:pt>
                <c:pt idx="1027">
                  <c:v>307.01909848000003</c:v>
                </c:pt>
                <c:pt idx="1028">
                  <c:v>331.69300609999999</c:v>
                </c:pt>
                <c:pt idx="1029">
                  <c:v>244.57496040000001</c:v>
                </c:pt>
                <c:pt idx="1030">
                  <c:v>242.56250775999996</c:v>
                </c:pt>
                <c:pt idx="1031">
                  <c:v>353.81540310000003</c:v>
                </c:pt>
                <c:pt idx="1032">
                  <c:v>329.82274320000005</c:v>
                </c:pt>
                <c:pt idx="1033">
                  <c:v>314.23808192000001</c:v>
                </c:pt>
                <c:pt idx="1034">
                  <c:v>365.59579083999995</c:v>
                </c:pt>
                <c:pt idx="1035">
                  <c:v>329.28850259999996</c:v>
                </c:pt>
                <c:pt idx="1036">
                  <c:v>368.70759860000004</c:v>
                </c:pt>
                <c:pt idx="1037">
                  <c:v>221.92982979999994</c:v>
                </c:pt>
                <c:pt idx="1038">
                  <c:v>225.91430627999998</c:v>
                </c:pt>
                <c:pt idx="1039">
                  <c:v>323.06058810000002</c:v>
                </c:pt>
                <c:pt idx="1040">
                  <c:v>315.31994601999997</c:v>
                </c:pt>
                <c:pt idx="1041">
                  <c:v>329.33039130000003</c:v>
                </c:pt>
                <c:pt idx="1042">
                  <c:v>334.16808579999997</c:v>
                </c:pt>
                <c:pt idx="1043">
                  <c:v>445.20725764000014</c:v>
                </c:pt>
                <c:pt idx="1044">
                  <c:v>398.59409927000002</c:v>
                </c:pt>
                <c:pt idx="1045">
                  <c:v>313.61029081999993</c:v>
                </c:pt>
                <c:pt idx="1046">
                  <c:v>334.09071940000001</c:v>
                </c:pt>
                <c:pt idx="1047">
                  <c:v>326.31176840000006</c:v>
                </c:pt>
                <c:pt idx="1048">
                  <c:v>335.77006699999998</c:v>
                </c:pt>
                <c:pt idx="1049">
                  <c:v>315.58185794999997</c:v>
                </c:pt>
                <c:pt idx="1050">
                  <c:v>352.66689879999996</c:v>
                </c:pt>
                <c:pt idx="1051">
                  <c:v>274.8194618</c:v>
                </c:pt>
                <c:pt idx="1052">
                  <c:v>268.23955340000003</c:v>
                </c:pt>
                <c:pt idx="1053">
                  <c:v>276.21258669999997</c:v>
                </c:pt>
                <c:pt idx="1054">
                  <c:v>394.90357409999996</c:v>
                </c:pt>
                <c:pt idx="1055">
                  <c:v>459.3044731</c:v>
                </c:pt>
                <c:pt idx="1056">
                  <c:v>519.73953960000006</c:v>
                </c:pt>
                <c:pt idx="1057">
                  <c:v>487.14565043000005</c:v>
                </c:pt>
                <c:pt idx="1058">
                  <c:v>375.09849214999997</c:v>
                </c:pt>
                <c:pt idx="1059">
                  <c:v>271.80061645000001</c:v>
                </c:pt>
                <c:pt idx="1060">
                  <c:v>358.79519870000001</c:v>
                </c:pt>
                <c:pt idx="1061">
                  <c:v>416.78310097000008</c:v>
                </c:pt>
                <c:pt idx="1062">
                  <c:v>245.92767453000005</c:v>
                </c:pt>
                <c:pt idx="1063">
                  <c:v>364.73563715999995</c:v>
                </c:pt>
                <c:pt idx="1064">
                  <c:v>304.08004614000004</c:v>
                </c:pt>
                <c:pt idx="1065">
                  <c:v>361.25998780000003</c:v>
                </c:pt>
                <c:pt idx="1066">
                  <c:v>350.25258579999996</c:v>
                </c:pt>
                <c:pt idx="1067">
                  <c:v>416.43423970000003</c:v>
                </c:pt>
                <c:pt idx="1068">
                  <c:v>520.30865400000005</c:v>
                </c:pt>
                <c:pt idx="1069">
                  <c:v>405.73326681999998</c:v>
                </c:pt>
                <c:pt idx="1070">
                  <c:v>316.04686290000001</c:v>
                </c:pt>
                <c:pt idx="1071">
                  <c:v>260.32095377999997</c:v>
                </c:pt>
                <c:pt idx="1072">
                  <c:v>379.09901025000005</c:v>
                </c:pt>
                <c:pt idx="1073">
                  <c:v>291.19400620000005</c:v>
                </c:pt>
                <c:pt idx="1074">
                  <c:v>344.49713400000007</c:v>
                </c:pt>
                <c:pt idx="1075">
                  <c:v>346.73630430000003</c:v>
                </c:pt>
                <c:pt idx="1076">
                  <c:v>245.91032831999999</c:v>
                </c:pt>
                <c:pt idx="1077">
                  <c:v>263.23200915000001</c:v>
                </c:pt>
                <c:pt idx="1078">
                  <c:v>471.70466884000001</c:v>
                </c:pt>
                <c:pt idx="1079">
                  <c:v>437.97434870000001</c:v>
                </c:pt>
                <c:pt idx="1080">
                  <c:v>464.69720150000001</c:v>
                </c:pt>
                <c:pt idx="1081">
                  <c:v>372.26875289999998</c:v>
                </c:pt>
                <c:pt idx="1082">
                  <c:v>345.35376173999998</c:v>
                </c:pt>
                <c:pt idx="1083">
                  <c:v>307.1549402</c:v>
                </c:pt>
                <c:pt idx="1084">
                  <c:v>315.48752909999996</c:v>
                </c:pt>
                <c:pt idx="1085">
                  <c:v>300.24117990000002</c:v>
                </c:pt>
                <c:pt idx="1086">
                  <c:v>337.74417340000008</c:v>
                </c:pt>
                <c:pt idx="1087">
                  <c:v>255.08807175999996</c:v>
                </c:pt>
                <c:pt idx="1088">
                  <c:v>239.25373069859998</c:v>
                </c:pt>
                <c:pt idx="1089">
                  <c:v>262.56178281200005</c:v>
                </c:pt>
                <c:pt idx="1090">
                  <c:v>384.02976649999999</c:v>
                </c:pt>
                <c:pt idx="1091">
                  <c:v>370.93172238000005</c:v>
                </c:pt>
                <c:pt idx="1092">
                  <c:v>552.92389439999988</c:v>
                </c:pt>
                <c:pt idx="1093">
                  <c:v>341.86266542999999</c:v>
                </c:pt>
                <c:pt idx="1094">
                  <c:v>370.36000861000002</c:v>
                </c:pt>
                <c:pt idx="1095">
                  <c:v>289.02268446000005</c:v>
                </c:pt>
                <c:pt idx="1096">
                  <c:v>397.42217159999996</c:v>
                </c:pt>
                <c:pt idx="1097">
                  <c:v>395.03710331999997</c:v>
                </c:pt>
                <c:pt idx="1098">
                  <c:v>330.65692109999998</c:v>
                </c:pt>
                <c:pt idx="1099">
                  <c:v>271.04160740000003</c:v>
                </c:pt>
                <c:pt idx="1100">
                  <c:v>258.46493140000001</c:v>
                </c:pt>
                <c:pt idx="1101">
                  <c:v>314.37745039999999</c:v>
                </c:pt>
                <c:pt idx="1102">
                  <c:v>325.74107300000009</c:v>
                </c:pt>
                <c:pt idx="1103">
                  <c:v>355.8241946</c:v>
                </c:pt>
                <c:pt idx="1104">
                  <c:v>340.2060032</c:v>
                </c:pt>
                <c:pt idx="1105">
                  <c:v>466.16383810000008</c:v>
                </c:pt>
                <c:pt idx="1106">
                  <c:v>454.96631229999991</c:v>
                </c:pt>
                <c:pt idx="1107">
                  <c:v>350.56522651999995</c:v>
                </c:pt>
                <c:pt idx="1108">
                  <c:v>267.98517462999996</c:v>
                </c:pt>
                <c:pt idx="1109">
                  <c:v>379.33306640000012</c:v>
                </c:pt>
                <c:pt idx="1110">
                  <c:v>328.82529763000002</c:v>
                </c:pt>
                <c:pt idx="1111">
                  <c:v>281.06955849999997</c:v>
                </c:pt>
                <c:pt idx="1112">
                  <c:v>268.22701810000001</c:v>
                </c:pt>
                <c:pt idx="1113">
                  <c:v>368.21013360000006</c:v>
                </c:pt>
                <c:pt idx="1114">
                  <c:v>418.57521020000001</c:v>
                </c:pt>
                <c:pt idx="1115">
                  <c:v>466.06504319999999</c:v>
                </c:pt>
                <c:pt idx="1116">
                  <c:v>468.60145040000003</c:v>
                </c:pt>
                <c:pt idx="1117">
                  <c:v>396.75373059999998</c:v>
                </c:pt>
                <c:pt idx="1118">
                  <c:v>342.87513842999999</c:v>
                </c:pt>
                <c:pt idx="1119">
                  <c:v>369.02740163999994</c:v>
                </c:pt>
                <c:pt idx="1120">
                  <c:v>479.65234700000008</c:v>
                </c:pt>
                <c:pt idx="1121">
                  <c:v>338.40363012999995</c:v>
                </c:pt>
                <c:pt idx="1122">
                  <c:v>331.23217170000004</c:v>
                </c:pt>
                <c:pt idx="1123">
                  <c:v>240.58301420000004</c:v>
                </c:pt>
                <c:pt idx="1124">
                  <c:v>333.44290169999999</c:v>
                </c:pt>
                <c:pt idx="1125">
                  <c:v>412.19238853900009</c:v>
                </c:pt>
                <c:pt idx="1126">
                  <c:v>278.00802898000001</c:v>
                </c:pt>
                <c:pt idx="1127">
                  <c:v>335.54248890000002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7-394A-805D-9181C0D2BF1A}"/>
            </c:ext>
          </c:extLst>
        </c:ser>
        <c:ser>
          <c:idx val="2"/>
          <c:order val="2"/>
          <c:tx>
            <c:strRef>
              <c:f>plots!$I$2</c:f>
              <c:strCache>
                <c:ptCount val="1"/>
                <c:pt idx="0">
                  <c:v>1921-2003 mean: 375.20 taf/m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plots!$A$2:$A$985</c:f>
              <c:numCache>
                <c:formatCode>yyyy\-mm\-dd;@</c:formatCode>
                <c:ptCount val="984"/>
                <c:pt idx="0">
                  <c:v>7975</c:v>
                </c:pt>
                <c:pt idx="1">
                  <c:v>8005</c:v>
                </c:pt>
                <c:pt idx="2">
                  <c:v>8036</c:v>
                </c:pt>
                <c:pt idx="3">
                  <c:v>8067</c:v>
                </c:pt>
                <c:pt idx="4">
                  <c:v>8095</c:v>
                </c:pt>
                <c:pt idx="5">
                  <c:v>8126</c:v>
                </c:pt>
                <c:pt idx="6">
                  <c:v>8156</c:v>
                </c:pt>
                <c:pt idx="7">
                  <c:v>8187</c:v>
                </c:pt>
                <c:pt idx="8">
                  <c:v>8217</c:v>
                </c:pt>
                <c:pt idx="9">
                  <c:v>8248</c:v>
                </c:pt>
                <c:pt idx="10">
                  <c:v>8279</c:v>
                </c:pt>
                <c:pt idx="11">
                  <c:v>8309</c:v>
                </c:pt>
                <c:pt idx="12">
                  <c:v>8340</c:v>
                </c:pt>
                <c:pt idx="13">
                  <c:v>8370</c:v>
                </c:pt>
                <c:pt idx="14">
                  <c:v>8401</c:v>
                </c:pt>
                <c:pt idx="15">
                  <c:v>8432</c:v>
                </c:pt>
                <c:pt idx="16">
                  <c:v>8460</c:v>
                </c:pt>
                <c:pt idx="17">
                  <c:v>8491</c:v>
                </c:pt>
                <c:pt idx="18">
                  <c:v>8521</c:v>
                </c:pt>
                <c:pt idx="19">
                  <c:v>8552</c:v>
                </c:pt>
                <c:pt idx="20">
                  <c:v>8582</c:v>
                </c:pt>
                <c:pt idx="21">
                  <c:v>8613</c:v>
                </c:pt>
                <c:pt idx="22">
                  <c:v>8644</c:v>
                </c:pt>
                <c:pt idx="23">
                  <c:v>8674</c:v>
                </c:pt>
                <c:pt idx="24">
                  <c:v>8705</c:v>
                </c:pt>
                <c:pt idx="25">
                  <c:v>8735</c:v>
                </c:pt>
                <c:pt idx="26">
                  <c:v>8766</c:v>
                </c:pt>
                <c:pt idx="27">
                  <c:v>8797</c:v>
                </c:pt>
                <c:pt idx="28">
                  <c:v>8826</c:v>
                </c:pt>
                <c:pt idx="29">
                  <c:v>8857</c:v>
                </c:pt>
                <c:pt idx="30">
                  <c:v>8887</c:v>
                </c:pt>
                <c:pt idx="31">
                  <c:v>8918</c:v>
                </c:pt>
                <c:pt idx="32">
                  <c:v>8948</c:v>
                </c:pt>
                <c:pt idx="33">
                  <c:v>8979</c:v>
                </c:pt>
                <c:pt idx="34">
                  <c:v>9010</c:v>
                </c:pt>
                <c:pt idx="35">
                  <c:v>9040</c:v>
                </c:pt>
                <c:pt idx="36">
                  <c:v>9071</c:v>
                </c:pt>
                <c:pt idx="37">
                  <c:v>9101</c:v>
                </c:pt>
                <c:pt idx="38">
                  <c:v>9132</c:v>
                </c:pt>
                <c:pt idx="39">
                  <c:v>9163</c:v>
                </c:pt>
                <c:pt idx="40">
                  <c:v>9191</c:v>
                </c:pt>
                <c:pt idx="41">
                  <c:v>9222</c:v>
                </c:pt>
                <c:pt idx="42">
                  <c:v>9252</c:v>
                </c:pt>
                <c:pt idx="43">
                  <c:v>9283</c:v>
                </c:pt>
                <c:pt idx="44">
                  <c:v>9313</c:v>
                </c:pt>
                <c:pt idx="45">
                  <c:v>9344</c:v>
                </c:pt>
                <c:pt idx="46">
                  <c:v>9375</c:v>
                </c:pt>
                <c:pt idx="47">
                  <c:v>9405</c:v>
                </c:pt>
                <c:pt idx="48">
                  <c:v>9436</c:v>
                </c:pt>
                <c:pt idx="49">
                  <c:v>9466</c:v>
                </c:pt>
                <c:pt idx="50">
                  <c:v>9497</c:v>
                </c:pt>
                <c:pt idx="51">
                  <c:v>9528</c:v>
                </c:pt>
                <c:pt idx="52">
                  <c:v>9556</c:v>
                </c:pt>
                <c:pt idx="53">
                  <c:v>9587</c:v>
                </c:pt>
                <c:pt idx="54">
                  <c:v>9617</c:v>
                </c:pt>
                <c:pt idx="55">
                  <c:v>9648</c:v>
                </c:pt>
                <c:pt idx="56">
                  <c:v>9678</c:v>
                </c:pt>
                <c:pt idx="57">
                  <c:v>9709</c:v>
                </c:pt>
                <c:pt idx="58">
                  <c:v>9740</c:v>
                </c:pt>
                <c:pt idx="59">
                  <c:v>9770</c:v>
                </c:pt>
                <c:pt idx="60">
                  <c:v>9801</c:v>
                </c:pt>
                <c:pt idx="61">
                  <c:v>9831</c:v>
                </c:pt>
                <c:pt idx="62">
                  <c:v>9862</c:v>
                </c:pt>
                <c:pt idx="63">
                  <c:v>9893</c:v>
                </c:pt>
                <c:pt idx="64">
                  <c:v>9921</c:v>
                </c:pt>
                <c:pt idx="65">
                  <c:v>9952</c:v>
                </c:pt>
                <c:pt idx="66">
                  <c:v>9982</c:v>
                </c:pt>
                <c:pt idx="67">
                  <c:v>10013</c:v>
                </c:pt>
                <c:pt idx="68">
                  <c:v>10043</c:v>
                </c:pt>
                <c:pt idx="69">
                  <c:v>10074</c:v>
                </c:pt>
                <c:pt idx="70">
                  <c:v>10105</c:v>
                </c:pt>
                <c:pt idx="71">
                  <c:v>10135</c:v>
                </c:pt>
                <c:pt idx="72">
                  <c:v>10166</c:v>
                </c:pt>
                <c:pt idx="73">
                  <c:v>10196</c:v>
                </c:pt>
                <c:pt idx="74">
                  <c:v>10227</c:v>
                </c:pt>
                <c:pt idx="75">
                  <c:v>10258</c:v>
                </c:pt>
                <c:pt idx="76">
                  <c:v>10287</c:v>
                </c:pt>
                <c:pt idx="77">
                  <c:v>10318</c:v>
                </c:pt>
                <c:pt idx="78">
                  <c:v>10348</c:v>
                </c:pt>
                <c:pt idx="79">
                  <c:v>10379</c:v>
                </c:pt>
                <c:pt idx="80">
                  <c:v>10409</c:v>
                </c:pt>
                <c:pt idx="81">
                  <c:v>10440</c:v>
                </c:pt>
                <c:pt idx="82">
                  <c:v>10471</c:v>
                </c:pt>
                <c:pt idx="83">
                  <c:v>10501</c:v>
                </c:pt>
                <c:pt idx="84">
                  <c:v>10532</c:v>
                </c:pt>
                <c:pt idx="85">
                  <c:v>10562</c:v>
                </c:pt>
                <c:pt idx="86">
                  <c:v>10593</c:v>
                </c:pt>
                <c:pt idx="87">
                  <c:v>10624</c:v>
                </c:pt>
                <c:pt idx="88">
                  <c:v>10652</c:v>
                </c:pt>
                <c:pt idx="89">
                  <c:v>10683</c:v>
                </c:pt>
                <c:pt idx="90">
                  <c:v>10713</c:v>
                </c:pt>
                <c:pt idx="91">
                  <c:v>10744</c:v>
                </c:pt>
                <c:pt idx="92">
                  <c:v>10774</c:v>
                </c:pt>
                <c:pt idx="93">
                  <c:v>10805</c:v>
                </c:pt>
                <c:pt idx="94">
                  <c:v>10836</c:v>
                </c:pt>
                <c:pt idx="95">
                  <c:v>10866</c:v>
                </c:pt>
                <c:pt idx="96">
                  <c:v>10897</c:v>
                </c:pt>
                <c:pt idx="97">
                  <c:v>10927</c:v>
                </c:pt>
                <c:pt idx="98">
                  <c:v>10958</c:v>
                </c:pt>
                <c:pt idx="99">
                  <c:v>10989</c:v>
                </c:pt>
                <c:pt idx="100">
                  <c:v>11017</c:v>
                </c:pt>
                <c:pt idx="101">
                  <c:v>11048</c:v>
                </c:pt>
                <c:pt idx="102">
                  <c:v>11078</c:v>
                </c:pt>
                <c:pt idx="103">
                  <c:v>11109</c:v>
                </c:pt>
                <c:pt idx="104">
                  <c:v>11139</c:v>
                </c:pt>
                <c:pt idx="105">
                  <c:v>11170</c:v>
                </c:pt>
                <c:pt idx="106">
                  <c:v>11201</c:v>
                </c:pt>
                <c:pt idx="107">
                  <c:v>11231</c:v>
                </c:pt>
                <c:pt idx="108">
                  <c:v>11262</c:v>
                </c:pt>
                <c:pt idx="109">
                  <c:v>11292</c:v>
                </c:pt>
                <c:pt idx="110">
                  <c:v>11323</c:v>
                </c:pt>
                <c:pt idx="111">
                  <c:v>11354</c:v>
                </c:pt>
                <c:pt idx="112">
                  <c:v>11382</c:v>
                </c:pt>
                <c:pt idx="113">
                  <c:v>11413</c:v>
                </c:pt>
                <c:pt idx="114">
                  <c:v>11443</c:v>
                </c:pt>
                <c:pt idx="115">
                  <c:v>11474</c:v>
                </c:pt>
                <c:pt idx="116">
                  <c:v>11504</c:v>
                </c:pt>
                <c:pt idx="117">
                  <c:v>11535</c:v>
                </c:pt>
                <c:pt idx="118">
                  <c:v>11566</c:v>
                </c:pt>
                <c:pt idx="119">
                  <c:v>11596</c:v>
                </c:pt>
                <c:pt idx="120">
                  <c:v>11627</c:v>
                </c:pt>
                <c:pt idx="121">
                  <c:v>11657</c:v>
                </c:pt>
                <c:pt idx="122">
                  <c:v>11688</c:v>
                </c:pt>
                <c:pt idx="123">
                  <c:v>11719</c:v>
                </c:pt>
                <c:pt idx="124">
                  <c:v>11748</c:v>
                </c:pt>
                <c:pt idx="125">
                  <c:v>11779</c:v>
                </c:pt>
                <c:pt idx="126">
                  <c:v>11809</c:v>
                </c:pt>
                <c:pt idx="127">
                  <c:v>11840</c:v>
                </c:pt>
                <c:pt idx="128">
                  <c:v>11870</c:v>
                </c:pt>
                <c:pt idx="129">
                  <c:v>11901</c:v>
                </c:pt>
                <c:pt idx="130">
                  <c:v>11932</c:v>
                </c:pt>
                <c:pt idx="131">
                  <c:v>11962</c:v>
                </c:pt>
                <c:pt idx="132">
                  <c:v>11993</c:v>
                </c:pt>
                <c:pt idx="133">
                  <c:v>12023</c:v>
                </c:pt>
                <c:pt idx="134">
                  <c:v>12054</c:v>
                </c:pt>
                <c:pt idx="135">
                  <c:v>12085</c:v>
                </c:pt>
                <c:pt idx="136">
                  <c:v>12113</c:v>
                </c:pt>
                <c:pt idx="137">
                  <c:v>12144</c:v>
                </c:pt>
                <c:pt idx="138">
                  <c:v>12174</c:v>
                </c:pt>
                <c:pt idx="139">
                  <c:v>12205</c:v>
                </c:pt>
                <c:pt idx="140">
                  <c:v>12235</c:v>
                </c:pt>
                <c:pt idx="141">
                  <c:v>12266</c:v>
                </c:pt>
                <c:pt idx="142">
                  <c:v>12297</c:v>
                </c:pt>
                <c:pt idx="143">
                  <c:v>12327</c:v>
                </c:pt>
                <c:pt idx="144">
                  <c:v>12358</c:v>
                </c:pt>
                <c:pt idx="145">
                  <c:v>12388</c:v>
                </c:pt>
                <c:pt idx="146">
                  <c:v>12419</c:v>
                </c:pt>
                <c:pt idx="147">
                  <c:v>12450</c:v>
                </c:pt>
                <c:pt idx="148">
                  <c:v>12478</c:v>
                </c:pt>
                <c:pt idx="149">
                  <c:v>12509</c:v>
                </c:pt>
                <c:pt idx="150">
                  <c:v>12539</c:v>
                </c:pt>
                <c:pt idx="151">
                  <c:v>12570</c:v>
                </c:pt>
                <c:pt idx="152">
                  <c:v>12600</c:v>
                </c:pt>
                <c:pt idx="153">
                  <c:v>12631</c:v>
                </c:pt>
                <c:pt idx="154">
                  <c:v>12662</c:v>
                </c:pt>
                <c:pt idx="155">
                  <c:v>12692</c:v>
                </c:pt>
                <c:pt idx="156">
                  <c:v>12723</c:v>
                </c:pt>
                <c:pt idx="157">
                  <c:v>12753</c:v>
                </c:pt>
                <c:pt idx="158">
                  <c:v>12784</c:v>
                </c:pt>
                <c:pt idx="159">
                  <c:v>12815</c:v>
                </c:pt>
                <c:pt idx="160">
                  <c:v>12843</c:v>
                </c:pt>
                <c:pt idx="161">
                  <c:v>12874</c:v>
                </c:pt>
                <c:pt idx="162">
                  <c:v>12904</c:v>
                </c:pt>
                <c:pt idx="163">
                  <c:v>12935</c:v>
                </c:pt>
                <c:pt idx="164">
                  <c:v>12965</c:v>
                </c:pt>
                <c:pt idx="165">
                  <c:v>12996</c:v>
                </c:pt>
                <c:pt idx="166">
                  <c:v>13027</c:v>
                </c:pt>
                <c:pt idx="167">
                  <c:v>13057</c:v>
                </c:pt>
                <c:pt idx="168">
                  <c:v>13088</c:v>
                </c:pt>
                <c:pt idx="169">
                  <c:v>13118</c:v>
                </c:pt>
                <c:pt idx="170">
                  <c:v>13149</c:v>
                </c:pt>
                <c:pt idx="171">
                  <c:v>13180</c:v>
                </c:pt>
                <c:pt idx="172">
                  <c:v>13209</c:v>
                </c:pt>
                <c:pt idx="173">
                  <c:v>13240</c:v>
                </c:pt>
                <c:pt idx="174">
                  <c:v>13270</c:v>
                </c:pt>
                <c:pt idx="175">
                  <c:v>13301</c:v>
                </c:pt>
                <c:pt idx="176">
                  <c:v>13331</c:v>
                </c:pt>
                <c:pt idx="177">
                  <c:v>13362</c:v>
                </c:pt>
                <c:pt idx="178">
                  <c:v>13393</c:v>
                </c:pt>
                <c:pt idx="179">
                  <c:v>13423</c:v>
                </c:pt>
                <c:pt idx="180">
                  <c:v>13454</c:v>
                </c:pt>
                <c:pt idx="181">
                  <c:v>13484</c:v>
                </c:pt>
                <c:pt idx="182">
                  <c:v>13515</c:v>
                </c:pt>
                <c:pt idx="183">
                  <c:v>13546</c:v>
                </c:pt>
                <c:pt idx="184">
                  <c:v>13574</c:v>
                </c:pt>
                <c:pt idx="185">
                  <c:v>13605</c:v>
                </c:pt>
                <c:pt idx="186">
                  <c:v>13635</c:v>
                </c:pt>
                <c:pt idx="187">
                  <c:v>13666</c:v>
                </c:pt>
                <c:pt idx="188">
                  <c:v>13696</c:v>
                </c:pt>
                <c:pt idx="189">
                  <c:v>13727</c:v>
                </c:pt>
                <c:pt idx="190">
                  <c:v>13758</c:v>
                </c:pt>
                <c:pt idx="191">
                  <c:v>13788</c:v>
                </c:pt>
                <c:pt idx="192">
                  <c:v>13819</c:v>
                </c:pt>
                <c:pt idx="193">
                  <c:v>13849</c:v>
                </c:pt>
                <c:pt idx="194">
                  <c:v>13880</c:v>
                </c:pt>
                <c:pt idx="195">
                  <c:v>13911</c:v>
                </c:pt>
                <c:pt idx="196">
                  <c:v>13939</c:v>
                </c:pt>
                <c:pt idx="197">
                  <c:v>13970</c:v>
                </c:pt>
                <c:pt idx="198">
                  <c:v>14000</c:v>
                </c:pt>
                <c:pt idx="199">
                  <c:v>14031</c:v>
                </c:pt>
                <c:pt idx="200">
                  <c:v>14061</c:v>
                </c:pt>
                <c:pt idx="201">
                  <c:v>14092</c:v>
                </c:pt>
                <c:pt idx="202">
                  <c:v>14123</c:v>
                </c:pt>
                <c:pt idx="203">
                  <c:v>14153</c:v>
                </c:pt>
                <c:pt idx="204">
                  <c:v>14184</c:v>
                </c:pt>
                <c:pt idx="205">
                  <c:v>14214</c:v>
                </c:pt>
                <c:pt idx="206">
                  <c:v>14245</c:v>
                </c:pt>
                <c:pt idx="207">
                  <c:v>14276</c:v>
                </c:pt>
                <c:pt idx="208">
                  <c:v>14304</c:v>
                </c:pt>
                <c:pt idx="209">
                  <c:v>14335</c:v>
                </c:pt>
                <c:pt idx="210">
                  <c:v>14365</c:v>
                </c:pt>
                <c:pt idx="211">
                  <c:v>14396</c:v>
                </c:pt>
                <c:pt idx="212">
                  <c:v>14426</c:v>
                </c:pt>
                <c:pt idx="213">
                  <c:v>14457</c:v>
                </c:pt>
                <c:pt idx="214">
                  <c:v>14488</c:v>
                </c:pt>
                <c:pt idx="215">
                  <c:v>14518</c:v>
                </c:pt>
                <c:pt idx="216">
                  <c:v>14549</c:v>
                </c:pt>
                <c:pt idx="217">
                  <c:v>14579</c:v>
                </c:pt>
                <c:pt idx="218">
                  <c:v>14610</c:v>
                </c:pt>
                <c:pt idx="219">
                  <c:v>14641</c:v>
                </c:pt>
                <c:pt idx="220">
                  <c:v>14670</c:v>
                </c:pt>
                <c:pt idx="221">
                  <c:v>14701</c:v>
                </c:pt>
                <c:pt idx="222">
                  <c:v>14731</c:v>
                </c:pt>
                <c:pt idx="223">
                  <c:v>14762</c:v>
                </c:pt>
                <c:pt idx="224">
                  <c:v>14792</c:v>
                </c:pt>
                <c:pt idx="225">
                  <c:v>14823</c:v>
                </c:pt>
                <c:pt idx="226">
                  <c:v>14854</c:v>
                </c:pt>
                <c:pt idx="227">
                  <c:v>14884</c:v>
                </c:pt>
                <c:pt idx="228">
                  <c:v>14915</c:v>
                </c:pt>
                <c:pt idx="229">
                  <c:v>14945</c:v>
                </c:pt>
                <c:pt idx="230">
                  <c:v>14976</c:v>
                </c:pt>
                <c:pt idx="231">
                  <c:v>15007</c:v>
                </c:pt>
                <c:pt idx="232">
                  <c:v>15035</c:v>
                </c:pt>
                <c:pt idx="233">
                  <c:v>15066</c:v>
                </c:pt>
                <c:pt idx="234">
                  <c:v>15096</c:v>
                </c:pt>
                <c:pt idx="235">
                  <c:v>15127</c:v>
                </c:pt>
                <c:pt idx="236">
                  <c:v>15157</c:v>
                </c:pt>
                <c:pt idx="237">
                  <c:v>15188</c:v>
                </c:pt>
                <c:pt idx="238">
                  <c:v>15219</c:v>
                </c:pt>
                <c:pt idx="239">
                  <c:v>15249</c:v>
                </c:pt>
                <c:pt idx="240">
                  <c:v>15280</c:v>
                </c:pt>
                <c:pt idx="241">
                  <c:v>15310</c:v>
                </c:pt>
                <c:pt idx="242">
                  <c:v>15341</c:v>
                </c:pt>
                <c:pt idx="243">
                  <c:v>15372</c:v>
                </c:pt>
                <c:pt idx="244">
                  <c:v>15400</c:v>
                </c:pt>
                <c:pt idx="245">
                  <c:v>15431</c:v>
                </c:pt>
                <c:pt idx="246">
                  <c:v>15461</c:v>
                </c:pt>
                <c:pt idx="247">
                  <c:v>15492</c:v>
                </c:pt>
                <c:pt idx="248">
                  <c:v>15522</c:v>
                </c:pt>
                <c:pt idx="249">
                  <c:v>15553</c:v>
                </c:pt>
                <c:pt idx="250">
                  <c:v>15584</c:v>
                </c:pt>
                <c:pt idx="251">
                  <c:v>15614</c:v>
                </c:pt>
                <c:pt idx="252">
                  <c:v>15645</c:v>
                </c:pt>
                <c:pt idx="253">
                  <c:v>15675</c:v>
                </c:pt>
                <c:pt idx="254">
                  <c:v>15706</c:v>
                </c:pt>
                <c:pt idx="255">
                  <c:v>15737</c:v>
                </c:pt>
                <c:pt idx="256">
                  <c:v>15765</c:v>
                </c:pt>
                <c:pt idx="257">
                  <c:v>15796</c:v>
                </c:pt>
                <c:pt idx="258">
                  <c:v>15826</c:v>
                </c:pt>
                <c:pt idx="259">
                  <c:v>15857</c:v>
                </c:pt>
                <c:pt idx="260">
                  <c:v>15887</c:v>
                </c:pt>
                <c:pt idx="261">
                  <c:v>15918</c:v>
                </c:pt>
                <c:pt idx="262">
                  <c:v>15949</c:v>
                </c:pt>
                <c:pt idx="263">
                  <c:v>15979</c:v>
                </c:pt>
                <c:pt idx="264">
                  <c:v>16010</c:v>
                </c:pt>
                <c:pt idx="265">
                  <c:v>16040</c:v>
                </c:pt>
                <c:pt idx="266">
                  <c:v>16071</c:v>
                </c:pt>
                <c:pt idx="267">
                  <c:v>16102</c:v>
                </c:pt>
                <c:pt idx="268">
                  <c:v>16131</c:v>
                </c:pt>
                <c:pt idx="269">
                  <c:v>16162</c:v>
                </c:pt>
                <c:pt idx="270">
                  <c:v>16192</c:v>
                </c:pt>
                <c:pt idx="271">
                  <c:v>16223</c:v>
                </c:pt>
                <c:pt idx="272">
                  <c:v>16253</c:v>
                </c:pt>
                <c:pt idx="273">
                  <c:v>16284</c:v>
                </c:pt>
                <c:pt idx="274">
                  <c:v>16315</c:v>
                </c:pt>
                <c:pt idx="275">
                  <c:v>16345</c:v>
                </c:pt>
                <c:pt idx="276">
                  <c:v>16376</c:v>
                </c:pt>
                <c:pt idx="277">
                  <c:v>16406</c:v>
                </c:pt>
                <c:pt idx="278">
                  <c:v>16437</c:v>
                </c:pt>
                <c:pt idx="279">
                  <c:v>16468</c:v>
                </c:pt>
                <c:pt idx="280">
                  <c:v>16496</c:v>
                </c:pt>
                <c:pt idx="281">
                  <c:v>16527</c:v>
                </c:pt>
                <c:pt idx="282">
                  <c:v>16557</c:v>
                </c:pt>
                <c:pt idx="283">
                  <c:v>16588</c:v>
                </c:pt>
                <c:pt idx="284">
                  <c:v>16618</c:v>
                </c:pt>
                <c:pt idx="285">
                  <c:v>16649</c:v>
                </c:pt>
                <c:pt idx="286">
                  <c:v>16680</c:v>
                </c:pt>
                <c:pt idx="287">
                  <c:v>16710</c:v>
                </c:pt>
                <c:pt idx="288">
                  <c:v>16741</c:v>
                </c:pt>
                <c:pt idx="289">
                  <c:v>16771</c:v>
                </c:pt>
                <c:pt idx="290">
                  <c:v>16802</c:v>
                </c:pt>
                <c:pt idx="291">
                  <c:v>16833</c:v>
                </c:pt>
                <c:pt idx="292">
                  <c:v>16861</c:v>
                </c:pt>
                <c:pt idx="293">
                  <c:v>16892</c:v>
                </c:pt>
                <c:pt idx="294">
                  <c:v>16922</c:v>
                </c:pt>
                <c:pt idx="295">
                  <c:v>16953</c:v>
                </c:pt>
                <c:pt idx="296">
                  <c:v>16983</c:v>
                </c:pt>
                <c:pt idx="297">
                  <c:v>17014</c:v>
                </c:pt>
                <c:pt idx="298">
                  <c:v>17045</c:v>
                </c:pt>
                <c:pt idx="299">
                  <c:v>17075</c:v>
                </c:pt>
                <c:pt idx="300">
                  <c:v>17106</c:v>
                </c:pt>
                <c:pt idx="301">
                  <c:v>17136</c:v>
                </c:pt>
                <c:pt idx="302">
                  <c:v>17167</c:v>
                </c:pt>
                <c:pt idx="303">
                  <c:v>17198</c:v>
                </c:pt>
                <c:pt idx="304">
                  <c:v>17226</c:v>
                </c:pt>
                <c:pt idx="305">
                  <c:v>17257</c:v>
                </c:pt>
                <c:pt idx="306">
                  <c:v>17287</c:v>
                </c:pt>
                <c:pt idx="307">
                  <c:v>17318</c:v>
                </c:pt>
                <c:pt idx="308">
                  <c:v>17348</c:v>
                </c:pt>
                <c:pt idx="309">
                  <c:v>17379</c:v>
                </c:pt>
                <c:pt idx="310">
                  <c:v>17410</c:v>
                </c:pt>
                <c:pt idx="311">
                  <c:v>17440</c:v>
                </c:pt>
                <c:pt idx="312">
                  <c:v>17471</c:v>
                </c:pt>
                <c:pt idx="313">
                  <c:v>17501</c:v>
                </c:pt>
                <c:pt idx="314">
                  <c:v>17532</c:v>
                </c:pt>
                <c:pt idx="315">
                  <c:v>17563</c:v>
                </c:pt>
                <c:pt idx="316">
                  <c:v>17592</c:v>
                </c:pt>
                <c:pt idx="317">
                  <c:v>17623</c:v>
                </c:pt>
                <c:pt idx="318">
                  <c:v>17653</c:v>
                </c:pt>
                <c:pt idx="319">
                  <c:v>17684</c:v>
                </c:pt>
                <c:pt idx="320">
                  <c:v>17714</c:v>
                </c:pt>
                <c:pt idx="321">
                  <c:v>17745</c:v>
                </c:pt>
                <c:pt idx="322">
                  <c:v>17776</c:v>
                </c:pt>
                <c:pt idx="323">
                  <c:v>17806</c:v>
                </c:pt>
                <c:pt idx="324">
                  <c:v>17837</c:v>
                </c:pt>
                <c:pt idx="325">
                  <c:v>17867</c:v>
                </c:pt>
                <c:pt idx="326">
                  <c:v>17898</c:v>
                </c:pt>
                <c:pt idx="327">
                  <c:v>17929</c:v>
                </c:pt>
                <c:pt idx="328">
                  <c:v>17957</c:v>
                </c:pt>
                <c:pt idx="329">
                  <c:v>17988</c:v>
                </c:pt>
                <c:pt idx="330">
                  <c:v>18018</c:v>
                </c:pt>
                <c:pt idx="331">
                  <c:v>18049</c:v>
                </c:pt>
                <c:pt idx="332">
                  <c:v>18079</c:v>
                </c:pt>
                <c:pt idx="333">
                  <c:v>18110</c:v>
                </c:pt>
                <c:pt idx="334">
                  <c:v>18141</c:v>
                </c:pt>
                <c:pt idx="335">
                  <c:v>18171</c:v>
                </c:pt>
                <c:pt idx="336">
                  <c:v>18202</c:v>
                </c:pt>
                <c:pt idx="337">
                  <c:v>18232</c:v>
                </c:pt>
                <c:pt idx="338">
                  <c:v>18263</c:v>
                </c:pt>
                <c:pt idx="339">
                  <c:v>18294</c:v>
                </c:pt>
                <c:pt idx="340">
                  <c:v>18322</c:v>
                </c:pt>
                <c:pt idx="341">
                  <c:v>18353</c:v>
                </c:pt>
                <c:pt idx="342">
                  <c:v>18383</c:v>
                </c:pt>
                <c:pt idx="343">
                  <c:v>18414</c:v>
                </c:pt>
                <c:pt idx="344">
                  <c:v>18444</c:v>
                </c:pt>
                <c:pt idx="345">
                  <c:v>18475</c:v>
                </c:pt>
                <c:pt idx="346">
                  <c:v>18506</c:v>
                </c:pt>
                <c:pt idx="347">
                  <c:v>18536</c:v>
                </c:pt>
                <c:pt idx="348">
                  <c:v>18567</c:v>
                </c:pt>
                <c:pt idx="349">
                  <c:v>18597</c:v>
                </c:pt>
                <c:pt idx="350">
                  <c:v>18628</c:v>
                </c:pt>
                <c:pt idx="351">
                  <c:v>18659</c:v>
                </c:pt>
                <c:pt idx="352">
                  <c:v>18687</c:v>
                </c:pt>
                <c:pt idx="353">
                  <c:v>18718</c:v>
                </c:pt>
                <c:pt idx="354">
                  <c:v>18748</c:v>
                </c:pt>
                <c:pt idx="355">
                  <c:v>18779</c:v>
                </c:pt>
                <c:pt idx="356">
                  <c:v>18809</c:v>
                </c:pt>
                <c:pt idx="357">
                  <c:v>18840</c:v>
                </c:pt>
                <c:pt idx="358">
                  <c:v>18871</c:v>
                </c:pt>
                <c:pt idx="359">
                  <c:v>18901</c:v>
                </c:pt>
                <c:pt idx="360">
                  <c:v>18932</c:v>
                </c:pt>
                <c:pt idx="361">
                  <c:v>18962</c:v>
                </c:pt>
                <c:pt idx="362">
                  <c:v>18993</c:v>
                </c:pt>
                <c:pt idx="363">
                  <c:v>19024</c:v>
                </c:pt>
                <c:pt idx="364">
                  <c:v>19053</c:v>
                </c:pt>
                <c:pt idx="365">
                  <c:v>19084</c:v>
                </c:pt>
                <c:pt idx="366">
                  <c:v>19114</c:v>
                </c:pt>
                <c:pt idx="367">
                  <c:v>19145</c:v>
                </c:pt>
                <c:pt idx="368">
                  <c:v>19175</c:v>
                </c:pt>
                <c:pt idx="369">
                  <c:v>19206</c:v>
                </c:pt>
                <c:pt idx="370">
                  <c:v>19237</c:v>
                </c:pt>
                <c:pt idx="371">
                  <c:v>19267</c:v>
                </c:pt>
                <c:pt idx="372">
                  <c:v>19298</c:v>
                </c:pt>
                <c:pt idx="373">
                  <c:v>19328</c:v>
                </c:pt>
                <c:pt idx="374">
                  <c:v>19359</c:v>
                </c:pt>
                <c:pt idx="375">
                  <c:v>19390</c:v>
                </c:pt>
                <c:pt idx="376">
                  <c:v>19418</c:v>
                </c:pt>
                <c:pt idx="377">
                  <c:v>19449</c:v>
                </c:pt>
                <c:pt idx="378">
                  <c:v>19479</c:v>
                </c:pt>
                <c:pt idx="379">
                  <c:v>19510</c:v>
                </c:pt>
                <c:pt idx="380">
                  <c:v>19540</c:v>
                </c:pt>
                <c:pt idx="381">
                  <c:v>19571</c:v>
                </c:pt>
                <c:pt idx="382">
                  <c:v>19602</c:v>
                </c:pt>
                <c:pt idx="383">
                  <c:v>19632</c:v>
                </c:pt>
                <c:pt idx="384">
                  <c:v>19663</c:v>
                </c:pt>
                <c:pt idx="385">
                  <c:v>19693</c:v>
                </c:pt>
                <c:pt idx="386">
                  <c:v>19724</c:v>
                </c:pt>
                <c:pt idx="387">
                  <c:v>19755</c:v>
                </c:pt>
                <c:pt idx="388">
                  <c:v>19783</c:v>
                </c:pt>
                <c:pt idx="389">
                  <c:v>19814</c:v>
                </c:pt>
                <c:pt idx="390">
                  <c:v>19844</c:v>
                </c:pt>
                <c:pt idx="391">
                  <c:v>19875</c:v>
                </c:pt>
                <c:pt idx="392">
                  <c:v>19905</c:v>
                </c:pt>
                <c:pt idx="393">
                  <c:v>19936</c:v>
                </c:pt>
                <c:pt idx="394">
                  <c:v>19967</c:v>
                </c:pt>
                <c:pt idx="395">
                  <c:v>19997</c:v>
                </c:pt>
                <c:pt idx="396">
                  <c:v>20028</c:v>
                </c:pt>
                <c:pt idx="397">
                  <c:v>20058</c:v>
                </c:pt>
                <c:pt idx="398">
                  <c:v>20089</c:v>
                </c:pt>
                <c:pt idx="399">
                  <c:v>20120</c:v>
                </c:pt>
                <c:pt idx="400">
                  <c:v>20148</c:v>
                </c:pt>
                <c:pt idx="401">
                  <c:v>20179</c:v>
                </c:pt>
                <c:pt idx="402">
                  <c:v>20209</c:v>
                </c:pt>
                <c:pt idx="403">
                  <c:v>20240</c:v>
                </c:pt>
                <c:pt idx="404">
                  <c:v>20270</c:v>
                </c:pt>
                <c:pt idx="405">
                  <c:v>20301</c:v>
                </c:pt>
                <c:pt idx="406">
                  <c:v>20332</c:v>
                </c:pt>
                <c:pt idx="407">
                  <c:v>20362</c:v>
                </c:pt>
                <c:pt idx="408">
                  <c:v>20393</c:v>
                </c:pt>
                <c:pt idx="409">
                  <c:v>20423</c:v>
                </c:pt>
                <c:pt idx="410">
                  <c:v>20454</c:v>
                </c:pt>
                <c:pt idx="411">
                  <c:v>20485</c:v>
                </c:pt>
                <c:pt idx="412">
                  <c:v>20514</c:v>
                </c:pt>
                <c:pt idx="413">
                  <c:v>20545</c:v>
                </c:pt>
                <c:pt idx="414">
                  <c:v>20575</c:v>
                </c:pt>
                <c:pt idx="415">
                  <c:v>20606</c:v>
                </c:pt>
                <c:pt idx="416">
                  <c:v>20636</c:v>
                </c:pt>
                <c:pt idx="417">
                  <c:v>20667</c:v>
                </c:pt>
                <c:pt idx="418">
                  <c:v>20698</c:v>
                </c:pt>
                <c:pt idx="419">
                  <c:v>20728</c:v>
                </c:pt>
                <c:pt idx="420">
                  <c:v>20759</c:v>
                </c:pt>
                <c:pt idx="421">
                  <c:v>20789</c:v>
                </c:pt>
                <c:pt idx="422">
                  <c:v>20820</c:v>
                </c:pt>
                <c:pt idx="423">
                  <c:v>20851</c:v>
                </c:pt>
                <c:pt idx="424">
                  <c:v>20879</c:v>
                </c:pt>
                <c:pt idx="425">
                  <c:v>20910</c:v>
                </c:pt>
                <c:pt idx="426">
                  <c:v>20940</c:v>
                </c:pt>
                <c:pt idx="427">
                  <c:v>20971</c:v>
                </c:pt>
                <c:pt idx="428">
                  <c:v>21001</c:v>
                </c:pt>
                <c:pt idx="429">
                  <c:v>21032</c:v>
                </c:pt>
                <c:pt idx="430">
                  <c:v>21063</c:v>
                </c:pt>
                <c:pt idx="431">
                  <c:v>21093</c:v>
                </c:pt>
                <c:pt idx="432">
                  <c:v>21124</c:v>
                </c:pt>
                <c:pt idx="433">
                  <c:v>21154</c:v>
                </c:pt>
                <c:pt idx="434">
                  <c:v>21185</c:v>
                </c:pt>
                <c:pt idx="435">
                  <c:v>21216</c:v>
                </c:pt>
                <c:pt idx="436">
                  <c:v>21244</c:v>
                </c:pt>
                <c:pt idx="437">
                  <c:v>21275</c:v>
                </c:pt>
                <c:pt idx="438">
                  <c:v>21305</c:v>
                </c:pt>
                <c:pt idx="439">
                  <c:v>21336</c:v>
                </c:pt>
                <c:pt idx="440">
                  <c:v>21366</c:v>
                </c:pt>
                <c:pt idx="441">
                  <c:v>21397</c:v>
                </c:pt>
                <c:pt idx="442">
                  <c:v>21428</c:v>
                </c:pt>
                <c:pt idx="443">
                  <c:v>21458</c:v>
                </c:pt>
                <c:pt idx="444">
                  <c:v>21489</c:v>
                </c:pt>
                <c:pt idx="445">
                  <c:v>21519</c:v>
                </c:pt>
                <c:pt idx="446">
                  <c:v>21550</c:v>
                </c:pt>
                <c:pt idx="447">
                  <c:v>21581</c:v>
                </c:pt>
                <c:pt idx="448">
                  <c:v>21609</c:v>
                </c:pt>
                <c:pt idx="449">
                  <c:v>21640</c:v>
                </c:pt>
                <c:pt idx="450">
                  <c:v>21670</c:v>
                </c:pt>
                <c:pt idx="451">
                  <c:v>21701</c:v>
                </c:pt>
                <c:pt idx="452">
                  <c:v>21731</c:v>
                </c:pt>
                <c:pt idx="453">
                  <c:v>21762</c:v>
                </c:pt>
                <c:pt idx="454">
                  <c:v>21793</c:v>
                </c:pt>
                <c:pt idx="455">
                  <c:v>21823</c:v>
                </c:pt>
                <c:pt idx="456">
                  <c:v>21854</c:v>
                </c:pt>
                <c:pt idx="457">
                  <c:v>21884</c:v>
                </c:pt>
                <c:pt idx="458">
                  <c:v>21915</c:v>
                </c:pt>
                <c:pt idx="459">
                  <c:v>21946</c:v>
                </c:pt>
                <c:pt idx="460">
                  <c:v>21975</c:v>
                </c:pt>
                <c:pt idx="461">
                  <c:v>22006</c:v>
                </c:pt>
                <c:pt idx="462">
                  <c:v>22036</c:v>
                </c:pt>
                <c:pt idx="463">
                  <c:v>22067</c:v>
                </c:pt>
                <c:pt idx="464">
                  <c:v>22097</c:v>
                </c:pt>
                <c:pt idx="465">
                  <c:v>22128</c:v>
                </c:pt>
                <c:pt idx="466">
                  <c:v>22159</c:v>
                </c:pt>
                <c:pt idx="467">
                  <c:v>22189</c:v>
                </c:pt>
                <c:pt idx="468">
                  <c:v>22220</c:v>
                </c:pt>
                <c:pt idx="469">
                  <c:v>22250</c:v>
                </c:pt>
                <c:pt idx="470">
                  <c:v>22281</c:v>
                </c:pt>
                <c:pt idx="471">
                  <c:v>22312</c:v>
                </c:pt>
                <c:pt idx="472">
                  <c:v>22340</c:v>
                </c:pt>
                <c:pt idx="473">
                  <c:v>22371</c:v>
                </c:pt>
                <c:pt idx="474">
                  <c:v>22401</c:v>
                </c:pt>
                <c:pt idx="475">
                  <c:v>22432</c:v>
                </c:pt>
                <c:pt idx="476">
                  <c:v>22462</c:v>
                </c:pt>
                <c:pt idx="477">
                  <c:v>22493</c:v>
                </c:pt>
                <c:pt idx="478">
                  <c:v>22524</c:v>
                </c:pt>
                <c:pt idx="479">
                  <c:v>22554</c:v>
                </c:pt>
                <c:pt idx="480">
                  <c:v>22585</c:v>
                </c:pt>
                <c:pt idx="481">
                  <c:v>22615</c:v>
                </c:pt>
                <c:pt idx="482">
                  <c:v>22646</c:v>
                </c:pt>
                <c:pt idx="483">
                  <c:v>22677</c:v>
                </c:pt>
                <c:pt idx="484">
                  <c:v>22705</c:v>
                </c:pt>
                <c:pt idx="485">
                  <c:v>22736</c:v>
                </c:pt>
                <c:pt idx="486">
                  <c:v>22766</c:v>
                </c:pt>
                <c:pt idx="487">
                  <c:v>22797</c:v>
                </c:pt>
                <c:pt idx="488">
                  <c:v>22827</c:v>
                </c:pt>
                <c:pt idx="489">
                  <c:v>22858</c:v>
                </c:pt>
                <c:pt idx="490">
                  <c:v>22889</c:v>
                </c:pt>
                <c:pt idx="491">
                  <c:v>22919</c:v>
                </c:pt>
                <c:pt idx="492">
                  <c:v>22950</c:v>
                </c:pt>
                <c:pt idx="493">
                  <c:v>22980</c:v>
                </c:pt>
                <c:pt idx="494">
                  <c:v>23011</c:v>
                </c:pt>
                <c:pt idx="495">
                  <c:v>23042</c:v>
                </c:pt>
                <c:pt idx="496">
                  <c:v>23070</c:v>
                </c:pt>
                <c:pt idx="497">
                  <c:v>23101</c:v>
                </c:pt>
                <c:pt idx="498">
                  <c:v>23131</c:v>
                </c:pt>
                <c:pt idx="499">
                  <c:v>23162</c:v>
                </c:pt>
                <c:pt idx="500">
                  <c:v>23192</c:v>
                </c:pt>
                <c:pt idx="501">
                  <c:v>23223</c:v>
                </c:pt>
                <c:pt idx="502">
                  <c:v>23254</c:v>
                </c:pt>
                <c:pt idx="503">
                  <c:v>23284</c:v>
                </c:pt>
                <c:pt idx="504">
                  <c:v>23315</c:v>
                </c:pt>
                <c:pt idx="505">
                  <c:v>23345</c:v>
                </c:pt>
                <c:pt idx="506">
                  <c:v>23376</c:v>
                </c:pt>
                <c:pt idx="507">
                  <c:v>23407</c:v>
                </c:pt>
                <c:pt idx="508">
                  <c:v>23436</c:v>
                </c:pt>
                <c:pt idx="509">
                  <c:v>23467</c:v>
                </c:pt>
                <c:pt idx="510">
                  <c:v>23497</c:v>
                </c:pt>
                <c:pt idx="511">
                  <c:v>23528</c:v>
                </c:pt>
                <c:pt idx="512">
                  <c:v>23558</c:v>
                </c:pt>
                <c:pt idx="513">
                  <c:v>23589</c:v>
                </c:pt>
                <c:pt idx="514">
                  <c:v>23620</c:v>
                </c:pt>
                <c:pt idx="515">
                  <c:v>23650</c:v>
                </c:pt>
                <c:pt idx="516">
                  <c:v>23681</c:v>
                </c:pt>
                <c:pt idx="517">
                  <c:v>23711</c:v>
                </c:pt>
                <c:pt idx="518">
                  <c:v>23742</c:v>
                </c:pt>
                <c:pt idx="519">
                  <c:v>23773</c:v>
                </c:pt>
                <c:pt idx="520">
                  <c:v>23801</c:v>
                </c:pt>
                <c:pt idx="521">
                  <c:v>23832</c:v>
                </c:pt>
                <c:pt idx="522">
                  <c:v>23862</c:v>
                </c:pt>
                <c:pt idx="523">
                  <c:v>23893</c:v>
                </c:pt>
                <c:pt idx="524">
                  <c:v>23923</c:v>
                </c:pt>
                <c:pt idx="525">
                  <c:v>23954</c:v>
                </c:pt>
                <c:pt idx="526">
                  <c:v>23985</c:v>
                </c:pt>
                <c:pt idx="527">
                  <c:v>24015</c:v>
                </c:pt>
                <c:pt idx="528">
                  <c:v>24046</c:v>
                </c:pt>
                <c:pt idx="529">
                  <c:v>24076</c:v>
                </c:pt>
                <c:pt idx="530">
                  <c:v>24107</c:v>
                </c:pt>
                <c:pt idx="531">
                  <c:v>24138</c:v>
                </c:pt>
                <c:pt idx="532">
                  <c:v>24166</c:v>
                </c:pt>
                <c:pt idx="533">
                  <c:v>24197</c:v>
                </c:pt>
                <c:pt idx="534">
                  <c:v>24227</c:v>
                </c:pt>
                <c:pt idx="535">
                  <c:v>24258</c:v>
                </c:pt>
                <c:pt idx="536">
                  <c:v>24288</c:v>
                </c:pt>
                <c:pt idx="537">
                  <c:v>24319</c:v>
                </c:pt>
                <c:pt idx="538">
                  <c:v>24350</c:v>
                </c:pt>
                <c:pt idx="539">
                  <c:v>24380</c:v>
                </c:pt>
                <c:pt idx="540">
                  <c:v>24411</c:v>
                </c:pt>
                <c:pt idx="541">
                  <c:v>24441</c:v>
                </c:pt>
                <c:pt idx="542">
                  <c:v>24472</c:v>
                </c:pt>
                <c:pt idx="543">
                  <c:v>24503</c:v>
                </c:pt>
                <c:pt idx="544">
                  <c:v>24531</c:v>
                </c:pt>
                <c:pt idx="545">
                  <c:v>24562</c:v>
                </c:pt>
                <c:pt idx="546">
                  <c:v>24592</c:v>
                </c:pt>
                <c:pt idx="547">
                  <c:v>24623</c:v>
                </c:pt>
                <c:pt idx="548">
                  <c:v>24653</c:v>
                </c:pt>
                <c:pt idx="549">
                  <c:v>24684</c:v>
                </c:pt>
                <c:pt idx="550">
                  <c:v>24715</c:v>
                </c:pt>
                <c:pt idx="551">
                  <c:v>24745</c:v>
                </c:pt>
                <c:pt idx="552">
                  <c:v>24776</c:v>
                </c:pt>
                <c:pt idx="553">
                  <c:v>24806</c:v>
                </c:pt>
                <c:pt idx="554">
                  <c:v>24837</c:v>
                </c:pt>
                <c:pt idx="555">
                  <c:v>24868</c:v>
                </c:pt>
                <c:pt idx="556">
                  <c:v>24897</c:v>
                </c:pt>
                <c:pt idx="557">
                  <c:v>24928</c:v>
                </c:pt>
                <c:pt idx="558">
                  <c:v>24958</c:v>
                </c:pt>
                <c:pt idx="559">
                  <c:v>24989</c:v>
                </c:pt>
                <c:pt idx="560">
                  <c:v>25019</c:v>
                </c:pt>
                <c:pt idx="561">
                  <c:v>25050</c:v>
                </c:pt>
                <c:pt idx="562">
                  <c:v>25081</c:v>
                </c:pt>
                <c:pt idx="563">
                  <c:v>25111</c:v>
                </c:pt>
                <c:pt idx="564">
                  <c:v>25142</c:v>
                </c:pt>
                <c:pt idx="565">
                  <c:v>25172</c:v>
                </c:pt>
                <c:pt idx="566">
                  <c:v>25203</c:v>
                </c:pt>
                <c:pt idx="567">
                  <c:v>25234</c:v>
                </c:pt>
                <c:pt idx="568">
                  <c:v>25262</c:v>
                </c:pt>
                <c:pt idx="569">
                  <c:v>25293</c:v>
                </c:pt>
                <c:pt idx="570">
                  <c:v>25323</c:v>
                </c:pt>
                <c:pt idx="571">
                  <c:v>25354</c:v>
                </c:pt>
                <c:pt idx="572">
                  <c:v>25384</c:v>
                </c:pt>
                <c:pt idx="573">
                  <c:v>25415</c:v>
                </c:pt>
                <c:pt idx="574">
                  <c:v>25446</c:v>
                </c:pt>
                <c:pt idx="575">
                  <c:v>25476</c:v>
                </c:pt>
                <c:pt idx="576">
                  <c:v>25507</c:v>
                </c:pt>
                <c:pt idx="577">
                  <c:v>25537</c:v>
                </c:pt>
                <c:pt idx="578">
                  <c:v>25568</c:v>
                </c:pt>
                <c:pt idx="579">
                  <c:v>25599</c:v>
                </c:pt>
                <c:pt idx="580">
                  <c:v>25627</c:v>
                </c:pt>
                <c:pt idx="581">
                  <c:v>25658</c:v>
                </c:pt>
                <c:pt idx="582">
                  <c:v>25688</c:v>
                </c:pt>
                <c:pt idx="583">
                  <c:v>25719</c:v>
                </c:pt>
                <c:pt idx="584">
                  <c:v>25749</c:v>
                </c:pt>
                <c:pt idx="585">
                  <c:v>25780</c:v>
                </c:pt>
                <c:pt idx="586">
                  <c:v>25811</c:v>
                </c:pt>
                <c:pt idx="587">
                  <c:v>25841</c:v>
                </c:pt>
                <c:pt idx="588">
                  <c:v>25872</c:v>
                </c:pt>
                <c:pt idx="589">
                  <c:v>25902</c:v>
                </c:pt>
                <c:pt idx="590">
                  <c:v>25933</c:v>
                </c:pt>
                <c:pt idx="591">
                  <c:v>25964</c:v>
                </c:pt>
                <c:pt idx="592">
                  <c:v>25992</c:v>
                </c:pt>
                <c:pt idx="593">
                  <c:v>26023</c:v>
                </c:pt>
                <c:pt idx="594">
                  <c:v>26053</c:v>
                </c:pt>
                <c:pt idx="595">
                  <c:v>26084</c:v>
                </c:pt>
                <c:pt idx="596">
                  <c:v>26114</c:v>
                </c:pt>
                <c:pt idx="597">
                  <c:v>26145</c:v>
                </c:pt>
                <c:pt idx="598">
                  <c:v>26176</c:v>
                </c:pt>
                <c:pt idx="599">
                  <c:v>26206</c:v>
                </c:pt>
                <c:pt idx="600">
                  <c:v>26237</c:v>
                </c:pt>
                <c:pt idx="601">
                  <c:v>26267</c:v>
                </c:pt>
                <c:pt idx="602">
                  <c:v>26298</c:v>
                </c:pt>
                <c:pt idx="603">
                  <c:v>26329</c:v>
                </c:pt>
                <c:pt idx="604">
                  <c:v>26358</c:v>
                </c:pt>
                <c:pt idx="605">
                  <c:v>26389</c:v>
                </c:pt>
                <c:pt idx="606">
                  <c:v>26419</c:v>
                </c:pt>
                <c:pt idx="607">
                  <c:v>26450</c:v>
                </c:pt>
                <c:pt idx="608">
                  <c:v>26480</c:v>
                </c:pt>
                <c:pt idx="609">
                  <c:v>26511</c:v>
                </c:pt>
                <c:pt idx="610">
                  <c:v>26542</c:v>
                </c:pt>
                <c:pt idx="611">
                  <c:v>26572</c:v>
                </c:pt>
                <c:pt idx="612">
                  <c:v>26603</c:v>
                </c:pt>
                <c:pt idx="613">
                  <c:v>26633</c:v>
                </c:pt>
                <c:pt idx="614">
                  <c:v>26664</c:v>
                </c:pt>
                <c:pt idx="615">
                  <c:v>26695</c:v>
                </c:pt>
                <c:pt idx="616">
                  <c:v>26723</c:v>
                </c:pt>
                <c:pt idx="617">
                  <c:v>26754</c:v>
                </c:pt>
                <c:pt idx="618">
                  <c:v>26784</c:v>
                </c:pt>
                <c:pt idx="619">
                  <c:v>26815</c:v>
                </c:pt>
                <c:pt idx="620">
                  <c:v>26845</c:v>
                </c:pt>
                <c:pt idx="621">
                  <c:v>26876</c:v>
                </c:pt>
                <c:pt idx="622">
                  <c:v>26907</c:v>
                </c:pt>
                <c:pt idx="623">
                  <c:v>26937</c:v>
                </c:pt>
                <c:pt idx="624">
                  <c:v>26968</c:v>
                </c:pt>
                <c:pt idx="625">
                  <c:v>26998</c:v>
                </c:pt>
                <c:pt idx="626">
                  <c:v>27029</c:v>
                </c:pt>
                <c:pt idx="627">
                  <c:v>27060</c:v>
                </c:pt>
                <c:pt idx="628">
                  <c:v>27088</c:v>
                </c:pt>
                <c:pt idx="629">
                  <c:v>27119</c:v>
                </c:pt>
                <c:pt idx="630">
                  <c:v>27149</c:v>
                </c:pt>
                <c:pt idx="631">
                  <c:v>27180</c:v>
                </c:pt>
                <c:pt idx="632">
                  <c:v>27210</c:v>
                </c:pt>
                <c:pt idx="633">
                  <c:v>27241</c:v>
                </c:pt>
                <c:pt idx="634">
                  <c:v>27272</c:v>
                </c:pt>
                <c:pt idx="635">
                  <c:v>27302</c:v>
                </c:pt>
                <c:pt idx="636">
                  <c:v>27333</c:v>
                </c:pt>
                <c:pt idx="637">
                  <c:v>27363</c:v>
                </c:pt>
                <c:pt idx="638">
                  <c:v>27394</c:v>
                </c:pt>
                <c:pt idx="639">
                  <c:v>27425</c:v>
                </c:pt>
                <c:pt idx="640">
                  <c:v>27453</c:v>
                </c:pt>
                <c:pt idx="641">
                  <c:v>27484</c:v>
                </c:pt>
                <c:pt idx="642">
                  <c:v>27514</c:v>
                </c:pt>
                <c:pt idx="643">
                  <c:v>27545</c:v>
                </c:pt>
                <c:pt idx="644">
                  <c:v>27575</c:v>
                </c:pt>
                <c:pt idx="645">
                  <c:v>27606</c:v>
                </c:pt>
                <c:pt idx="646">
                  <c:v>27637</c:v>
                </c:pt>
                <c:pt idx="647">
                  <c:v>27667</c:v>
                </c:pt>
                <c:pt idx="648">
                  <c:v>27698</c:v>
                </c:pt>
                <c:pt idx="649">
                  <c:v>27728</c:v>
                </c:pt>
                <c:pt idx="650">
                  <c:v>27759</c:v>
                </c:pt>
                <c:pt idx="651">
                  <c:v>27790</c:v>
                </c:pt>
                <c:pt idx="652">
                  <c:v>27819</c:v>
                </c:pt>
                <c:pt idx="653">
                  <c:v>27850</c:v>
                </c:pt>
                <c:pt idx="654">
                  <c:v>27880</c:v>
                </c:pt>
                <c:pt idx="655">
                  <c:v>27911</c:v>
                </c:pt>
                <c:pt idx="656">
                  <c:v>27941</c:v>
                </c:pt>
                <c:pt idx="657">
                  <c:v>27972</c:v>
                </c:pt>
                <c:pt idx="658">
                  <c:v>28003</c:v>
                </c:pt>
                <c:pt idx="659">
                  <c:v>28033</c:v>
                </c:pt>
                <c:pt idx="660">
                  <c:v>28064</c:v>
                </c:pt>
                <c:pt idx="661">
                  <c:v>28094</c:v>
                </c:pt>
                <c:pt idx="662">
                  <c:v>28125</c:v>
                </c:pt>
                <c:pt idx="663">
                  <c:v>28156</c:v>
                </c:pt>
                <c:pt idx="664">
                  <c:v>28184</c:v>
                </c:pt>
                <c:pt idx="665">
                  <c:v>28215</c:v>
                </c:pt>
                <c:pt idx="666">
                  <c:v>28245</c:v>
                </c:pt>
                <c:pt idx="667">
                  <c:v>28276</c:v>
                </c:pt>
                <c:pt idx="668">
                  <c:v>28306</c:v>
                </c:pt>
                <c:pt idx="669">
                  <c:v>28337</c:v>
                </c:pt>
                <c:pt idx="670">
                  <c:v>28368</c:v>
                </c:pt>
                <c:pt idx="671">
                  <c:v>28398</c:v>
                </c:pt>
                <c:pt idx="672">
                  <c:v>28429</c:v>
                </c:pt>
                <c:pt idx="673">
                  <c:v>28459</c:v>
                </c:pt>
                <c:pt idx="674">
                  <c:v>28490</c:v>
                </c:pt>
                <c:pt idx="675">
                  <c:v>28521</c:v>
                </c:pt>
                <c:pt idx="676">
                  <c:v>28549</c:v>
                </c:pt>
                <c:pt idx="677">
                  <c:v>28580</c:v>
                </c:pt>
                <c:pt idx="678">
                  <c:v>28610</c:v>
                </c:pt>
                <c:pt idx="679">
                  <c:v>28641</c:v>
                </c:pt>
                <c:pt idx="680">
                  <c:v>28671</c:v>
                </c:pt>
                <c:pt idx="681">
                  <c:v>28702</c:v>
                </c:pt>
                <c:pt idx="682">
                  <c:v>28733</c:v>
                </c:pt>
                <c:pt idx="683">
                  <c:v>28763</c:v>
                </c:pt>
                <c:pt idx="684">
                  <c:v>28794</c:v>
                </c:pt>
                <c:pt idx="685">
                  <c:v>28824</c:v>
                </c:pt>
                <c:pt idx="686">
                  <c:v>28855</c:v>
                </c:pt>
                <c:pt idx="687">
                  <c:v>28886</c:v>
                </c:pt>
                <c:pt idx="688">
                  <c:v>28914</c:v>
                </c:pt>
                <c:pt idx="689">
                  <c:v>28945</c:v>
                </c:pt>
                <c:pt idx="690">
                  <c:v>28975</c:v>
                </c:pt>
                <c:pt idx="691">
                  <c:v>29006</c:v>
                </c:pt>
                <c:pt idx="692">
                  <c:v>29036</c:v>
                </c:pt>
                <c:pt idx="693">
                  <c:v>29067</c:v>
                </c:pt>
                <c:pt idx="694">
                  <c:v>29098</c:v>
                </c:pt>
                <c:pt idx="695">
                  <c:v>29128</c:v>
                </c:pt>
                <c:pt idx="696">
                  <c:v>29159</c:v>
                </c:pt>
                <c:pt idx="697">
                  <c:v>29189</c:v>
                </c:pt>
                <c:pt idx="698">
                  <c:v>29220</c:v>
                </c:pt>
                <c:pt idx="699">
                  <c:v>29251</c:v>
                </c:pt>
                <c:pt idx="700">
                  <c:v>29280</c:v>
                </c:pt>
                <c:pt idx="701">
                  <c:v>29311</c:v>
                </c:pt>
                <c:pt idx="702">
                  <c:v>29341</c:v>
                </c:pt>
                <c:pt idx="703">
                  <c:v>29372</c:v>
                </c:pt>
                <c:pt idx="704">
                  <c:v>29402</c:v>
                </c:pt>
                <c:pt idx="705">
                  <c:v>29433</c:v>
                </c:pt>
                <c:pt idx="706">
                  <c:v>29464</c:v>
                </c:pt>
                <c:pt idx="707">
                  <c:v>29494</c:v>
                </c:pt>
                <c:pt idx="708">
                  <c:v>29525</c:v>
                </c:pt>
                <c:pt idx="709">
                  <c:v>29555</c:v>
                </c:pt>
                <c:pt idx="710">
                  <c:v>29586</c:v>
                </c:pt>
                <c:pt idx="711">
                  <c:v>29617</c:v>
                </c:pt>
                <c:pt idx="712">
                  <c:v>29645</c:v>
                </c:pt>
                <c:pt idx="713">
                  <c:v>29676</c:v>
                </c:pt>
                <c:pt idx="714">
                  <c:v>29706</c:v>
                </c:pt>
                <c:pt idx="715">
                  <c:v>29737</c:v>
                </c:pt>
                <c:pt idx="716">
                  <c:v>29767</c:v>
                </c:pt>
                <c:pt idx="717">
                  <c:v>29798</c:v>
                </c:pt>
                <c:pt idx="718">
                  <c:v>29829</c:v>
                </c:pt>
                <c:pt idx="719">
                  <c:v>29859</c:v>
                </c:pt>
                <c:pt idx="720">
                  <c:v>29890</c:v>
                </c:pt>
                <c:pt idx="721">
                  <c:v>29920</c:v>
                </c:pt>
                <c:pt idx="722">
                  <c:v>29951</c:v>
                </c:pt>
                <c:pt idx="723">
                  <c:v>29982</c:v>
                </c:pt>
                <c:pt idx="724">
                  <c:v>30010</c:v>
                </c:pt>
                <c:pt idx="725">
                  <c:v>30041</c:v>
                </c:pt>
                <c:pt idx="726">
                  <c:v>30071</c:v>
                </c:pt>
                <c:pt idx="727">
                  <c:v>30102</c:v>
                </c:pt>
                <c:pt idx="728">
                  <c:v>30132</c:v>
                </c:pt>
                <c:pt idx="729">
                  <c:v>30163</c:v>
                </c:pt>
                <c:pt idx="730">
                  <c:v>30194</c:v>
                </c:pt>
                <c:pt idx="731">
                  <c:v>30224</c:v>
                </c:pt>
                <c:pt idx="732">
                  <c:v>30255</c:v>
                </c:pt>
                <c:pt idx="733">
                  <c:v>30285</c:v>
                </c:pt>
                <c:pt idx="734">
                  <c:v>30316</c:v>
                </c:pt>
                <c:pt idx="735">
                  <c:v>30347</c:v>
                </c:pt>
                <c:pt idx="736">
                  <c:v>30375</c:v>
                </c:pt>
                <c:pt idx="737">
                  <c:v>30406</c:v>
                </c:pt>
                <c:pt idx="738">
                  <c:v>30436</c:v>
                </c:pt>
                <c:pt idx="739">
                  <c:v>30467</c:v>
                </c:pt>
                <c:pt idx="740">
                  <c:v>30497</c:v>
                </c:pt>
                <c:pt idx="741">
                  <c:v>30528</c:v>
                </c:pt>
                <c:pt idx="742">
                  <c:v>30559</c:v>
                </c:pt>
                <c:pt idx="743">
                  <c:v>30589</c:v>
                </c:pt>
                <c:pt idx="744">
                  <c:v>30620</c:v>
                </c:pt>
                <c:pt idx="745">
                  <c:v>30650</c:v>
                </c:pt>
                <c:pt idx="746">
                  <c:v>30681</c:v>
                </c:pt>
                <c:pt idx="747">
                  <c:v>30712</c:v>
                </c:pt>
                <c:pt idx="748">
                  <c:v>30741</c:v>
                </c:pt>
                <c:pt idx="749">
                  <c:v>30772</c:v>
                </c:pt>
                <c:pt idx="750">
                  <c:v>30802</c:v>
                </c:pt>
                <c:pt idx="751">
                  <c:v>30833</c:v>
                </c:pt>
                <c:pt idx="752">
                  <c:v>30863</c:v>
                </c:pt>
                <c:pt idx="753">
                  <c:v>30894</c:v>
                </c:pt>
                <c:pt idx="754">
                  <c:v>30925</c:v>
                </c:pt>
                <c:pt idx="755">
                  <c:v>30955</c:v>
                </c:pt>
                <c:pt idx="756">
                  <c:v>30986</c:v>
                </c:pt>
                <c:pt idx="757">
                  <c:v>31016</c:v>
                </c:pt>
                <c:pt idx="758">
                  <c:v>31047</c:v>
                </c:pt>
                <c:pt idx="759">
                  <c:v>31078</c:v>
                </c:pt>
                <c:pt idx="760">
                  <c:v>31106</c:v>
                </c:pt>
                <c:pt idx="761">
                  <c:v>31137</c:v>
                </c:pt>
                <c:pt idx="762">
                  <c:v>31167</c:v>
                </c:pt>
                <c:pt idx="763">
                  <c:v>31198</c:v>
                </c:pt>
                <c:pt idx="764">
                  <c:v>31228</c:v>
                </c:pt>
                <c:pt idx="765">
                  <c:v>31259</c:v>
                </c:pt>
                <c:pt idx="766">
                  <c:v>31290</c:v>
                </c:pt>
                <c:pt idx="767">
                  <c:v>31320</c:v>
                </c:pt>
                <c:pt idx="768">
                  <c:v>31351</c:v>
                </c:pt>
                <c:pt idx="769">
                  <c:v>31381</c:v>
                </c:pt>
                <c:pt idx="770">
                  <c:v>31412</c:v>
                </c:pt>
                <c:pt idx="771">
                  <c:v>31443</c:v>
                </c:pt>
                <c:pt idx="772">
                  <c:v>31471</c:v>
                </c:pt>
                <c:pt idx="773">
                  <c:v>31502</c:v>
                </c:pt>
                <c:pt idx="774">
                  <c:v>31532</c:v>
                </c:pt>
                <c:pt idx="775">
                  <c:v>31563</c:v>
                </c:pt>
                <c:pt idx="776">
                  <c:v>31593</c:v>
                </c:pt>
                <c:pt idx="777">
                  <c:v>31624</c:v>
                </c:pt>
                <c:pt idx="778">
                  <c:v>31655</c:v>
                </c:pt>
                <c:pt idx="779">
                  <c:v>31685</c:v>
                </c:pt>
                <c:pt idx="780">
                  <c:v>31716</c:v>
                </c:pt>
                <c:pt idx="781">
                  <c:v>31746</c:v>
                </c:pt>
                <c:pt idx="782">
                  <c:v>31777</c:v>
                </c:pt>
                <c:pt idx="783">
                  <c:v>31808</c:v>
                </c:pt>
                <c:pt idx="784">
                  <c:v>31836</c:v>
                </c:pt>
                <c:pt idx="785">
                  <c:v>31867</c:v>
                </c:pt>
                <c:pt idx="786">
                  <c:v>31897</c:v>
                </c:pt>
                <c:pt idx="787">
                  <c:v>31928</c:v>
                </c:pt>
                <c:pt idx="788">
                  <c:v>31958</c:v>
                </c:pt>
                <c:pt idx="789">
                  <c:v>31989</c:v>
                </c:pt>
                <c:pt idx="790">
                  <c:v>32020</c:v>
                </c:pt>
                <c:pt idx="791">
                  <c:v>32050</c:v>
                </c:pt>
                <c:pt idx="792">
                  <c:v>32081</c:v>
                </c:pt>
                <c:pt idx="793">
                  <c:v>32111</c:v>
                </c:pt>
                <c:pt idx="794">
                  <c:v>32142</c:v>
                </c:pt>
                <c:pt idx="795">
                  <c:v>32173</c:v>
                </c:pt>
                <c:pt idx="796">
                  <c:v>32202</c:v>
                </c:pt>
                <c:pt idx="797">
                  <c:v>32233</c:v>
                </c:pt>
                <c:pt idx="798">
                  <c:v>32263</c:v>
                </c:pt>
                <c:pt idx="799">
                  <c:v>32294</c:v>
                </c:pt>
                <c:pt idx="800">
                  <c:v>32324</c:v>
                </c:pt>
                <c:pt idx="801">
                  <c:v>32355</c:v>
                </c:pt>
                <c:pt idx="802">
                  <c:v>32386</c:v>
                </c:pt>
                <c:pt idx="803">
                  <c:v>32416</c:v>
                </c:pt>
                <c:pt idx="804">
                  <c:v>32447</c:v>
                </c:pt>
                <c:pt idx="805">
                  <c:v>32477</c:v>
                </c:pt>
                <c:pt idx="806">
                  <c:v>32508</c:v>
                </c:pt>
                <c:pt idx="807">
                  <c:v>32539</c:v>
                </c:pt>
                <c:pt idx="808">
                  <c:v>32567</c:v>
                </c:pt>
                <c:pt idx="809">
                  <c:v>32598</c:v>
                </c:pt>
                <c:pt idx="810">
                  <c:v>32628</c:v>
                </c:pt>
                <c:pt idx="811">
                  <c:v>32659</c:v>
                </c:pt>
                <c:pt idx="812">
                  <c:v>32689</c:v>
                </c:pt>
                <c:pt idx="813">
                  <c:v>32720</c:v>
                </c:pt>
                <c:pt idx="814">
                  <c:v>32751</c:v>
                </c:pt>
                <c:pt idx="815">
                  <c:v>32781</c:v>
                </c:pt>
                <c:pt idx="816">
                  <c:v>32812</c:v>
                </c:pt>
                <c:pt idx="817">
                  <c:v>32842</c:v>
                </c:pt>
                <c:pt idx="818">
                  <c:v>32873</c:v>
                </c:pt>
                <c:pt idx="819">
                  <c:v>32904</c:v>
                </c:pt>
                <c:pt idx="820">
                  <c:v>32932</c:v>
                </c:pt>
                <c:pt idx="821">
                  <c:v>32963</c:v>
                </c:pt>
                <c:pt idx="822">
                  <c:v>32993</c:v>
                </c:pt>
                <c:pt idx="823">
                  <c:v>33024</c:v>
                </c:pt>
                <c:pt idx="824">
                  <c:v>33054</c:v>
                </c:pt>
                <c:pt idx="825">
                  <c:v>33085</c:v>
                </c:pt>
                <c:pt idx="826">
                  <c:v>33116</c:v>
                </c:pt>
                <c:pt idx="827">
                  <c:v>33146</c:v>
                </c:pt>
                <c:pt idx="828">
                  <c:v>33177</c:v>
                </c:pt>
                <c:pt idx="829">
                  <c:v>33207</c:v>
                </c:pt>
                <c:pt idx="830">
                  <c:v>33238</c:v>
                </c:pt>
                <c:pt idx="831">
                  <c:v>33269</c:v>
                </c:pt>
                <c:pt idx="832">
                  <c:v>33297</c:v>
                </c:pt>
                <c:pt idx="833">
                  <c:v>33328</c:v>
                </c:pt>
                <c:pt idx="834">
                  <c:v>33358</c:v>
                </c:pt>
                <c:pt idx="835">
                  <c:v>33389</c:v>
                </c:pt>
                <c:pt idx="836">
                  <c:v>33419</c:v>
                </c:pt>
                <c:pt idx="837">
                  <c:v>33450</c:v>
                </c:pt>
                <c:pt idx="838">
                  <c:v>33481</c:v>
                </c:pt>
                <c:pt idx="839">
                  <c:v>33511</c:v>
                </c:pt>
                <c:pt idx="840">
                  <c:v>33542</c:v>
                </c:pt>
                <c:pt idx="841">
                  <c:v>33572</c:v>
                </c:pt>
                <c:pt idx="842">
                  <c:v>33603</c:v>
                </c:pt>
                <c:pt idx="843">
                  <c:v>33634</c:v>
                </c:pt>
                <c:pt idx="844">
                  <c:v>33663</c:v>
                </c:pt>
                <c:pt idx="845">
                  <c:v>33694</c:v>
                </c:pt>
                <c:pt idx="846">
                  <c:v>33724</c:v>
                </c:pt>
                <c:pt idx="847">
                  <c:v>33755</c:v>
                </c:pt>
                <c:pt idx="848">
                  <c:v>33785</c:v>
                </c:pt>
                <c:pt idx="849">
                  <c:v>33816</c:v>
                </c:pt>
                <c:pt idx="850">
                  <c:v>33847</c:v>
                </c:pt>
                <c:pt idx="851">
                  <c:v>33877</c:v>
                </c:pt>
                <c:pt idx="852">
                  <c:v>33908</c:v>
                </c:pt>
                <c:pt idx="853">
                  <c:v>33938</c:v>
                </c:pt>
                <c:pt idx="854">
                  <c:v>33969</c:v>
                </c:pt>
                <c:pt idx="855">
                  <c:v>34000</c:v>
                </c:pt>
                <c:pt idx="856">
                  <c:v>34028</c:v>
                </c:pt>
                <c:pt idx="857">
                  <c:v>34059</c:v>
                </c:pt>
                <c:pt idx="858">
                  <c:v>34089</c:v>
                </c:pt>
                <c:pt idx="859">
                  <c:v>34120</c:v>
                </c:pt>
                <c:pt idx="860">
                  <c:v>34150</c:v>
                </c:pt>
                <c:pt idx="861">
                  <c:v>34181</c:v>
                </c:pt>
                <c:pt idx="862">
                  <c:v>34212</c:v>
                </c:pt>
                <c:pt idx="863">
                  <c:v>34242</c:v>
                </c:pt>
                <c:pt idx="864">
                  <c:v>34273</c:v>
                </c:pt>
                <c:pt idx="865">
                  <c:v>34303</c:v>
                </c:pt>
                <c:pt idx="866">
                  <c:v>34334</c:v>
                </c:pt>
                <c:pt idx="867">
                  <c:v>34365</c:v>
                </c:pt>
                <c:pt idx="868">
                  <c:v>34393</c:v>
                </c:pt>
                <c:pt idx="869">
                  <c:v>34424</c:v>
                </c:pt>
                <c:pt idx="870">
                  <c:v>34454</c:v>
                </c:pt>
                <c:pt idx="871">
                  <c:v>34485</c:v>
                </c:pt>
                <c:pt idx="872">
                  <c:v>34515</c:v>
                </c:pt>
                <c:pt idx="873">
                  <c:v>34546</c:v>
                </c:pt>
                <c:pt idx="874">
                  <c:v>34577</c:v>
                </c:pt>
                <c:pt idx="875">
                  <c:v>34607</c:v>
                </c:pt>
                <c:pt idx="876">
                  <c:v>34638</c:v>
                </c:pt>
                <c:pt idx="877">
                  <c:v>34668</c:v>
                </c:pt>
                <c:pt idx="878">
                  <c:v>34699</c:v>
                </c:pt>
                <c:pt idx="879">
                  <c:v>34730</c:v>
                </c:pt>
                <c:pt idx="880">
                  <c:v>34758</c:v>
                </c:pt>
                <c:pt idx="881">
                  <c:v>34789</c:v>
                </c:pt>
                <c:pt idx="882">
                  <c:v>34819</c:v>
                </c:pt>
                <c:pt idx="883">
                  <c:v>34850</c:v>
                </c:pt>
                <c:pt idx="884">
                  <c:v>34880</c:v>
                </c:pt>
                <c:pt idx="885">
                  <c:v>34911</c:v>
                </c:pt>
                <c:pt idx="886">
                  <c:v>34942</c:v>
                </c:pt>
                <c:pt idx="887">
                  <c:v>34972</c:v>
                </c:pt>
                <c:pt idx="888">
                  <c:v>35003</c:v>
                </c:pt>
                <c:pt idx="889">
                  <c:v>35033</c:v>
                </c:pt>
                <c:pt idx="890">
                  <c:v>35064</c:v>
                </c:pt>
                <c:pt idx="891">
                  <c:v>35095</c:v>
                </c:pt>
                <c:pt idx="892">
                  <c:v>35124</c:v>
                </c:pt>
                <c:pt idx="893">
                  <c:v>35155</c:v>
                </c:pt>
                <c:pt idx="894">
                  <c:v>35185</c:v>
                </c:pt>
                <c:pt idx="895">
                  <c:v>35216</c:v>
                </c:pt>
                <c:pt idx="896">
                  <c:v>35246</c:v>
                </c:pt>
                <c:pt idx="897">
                  <c:v>35277</c:v>
                </c:pt>
                <c:pt idx="898">
                  <c:v>35308</c:v>
                </c:pt>
                <c:pt idx="899">
                  <c:v>35338</c:v>
                </c:pt>
                <c:pt idx="900">
                  <c:v>35369</c:v>
                </c:pt>
                <c:pt idx="901">
                  <c:v>35399</c:v>
                </c:pt>
                <c:pt idx="902">
                  <c:v>35430</c:v>
                </c:pt>
                <c:pt idx="903">
                  <c:v>35461</c:v>
                </c:pt>
                <c:pt idx="904">
                  <c:v>35489</c:v>
                </c:pt>
                <c:pt idx="905">
                  <c:v>35520</c:v>
                </c:pt>
                <c:pt idx="906">
                  <c:v>35550</c:v>
                </c:pt>
                <c:pt idx="907">
                  <c:v>35581</c:v>
                </c:pt>
                <c:pt idx="908">
                  <c:v>35611</c:v>
                </c:pt>
                <c:pt idx="909">
                  <c:v>35642</c:v>
                </c:pt>
                <c:pt idx="910">
                  <c:v>35673</c:v>
                </c:pt>
                <c:pt idx="911">
                  <c:v>35703</c:v>
                </c:pt>
                <c:pt idx="912">
                  <c:v>35734</c:v>
                </c:pt>
                <c:pt idx="913">
                  <c:v>35764</c:v>
                </c:pt>
                <c:pt idx="914">
                  <c:v>35795</c:v>
                </c:pt>
                <c:pt idx="915">
                  <c:v>35826</c:v>
                </c:pt>
                <c:pt idx="916">
                  <c:v>35854</c:v>
                </c:pt>
                <c:pt idx="917">
                  <c:v>35885</c:v>
                </c:pt>
                <c:pt idx="918">
                  <c:v>35915</c:v>
                </c:pt>
                <c:pt idx="919">
                  <c:v>35946</c:v>
                </c:pt>
                <c:pt idx="920">
                  <c:v>35976</c:v>
                </c:pt>
                <c:pt idx="921">
                  <c:v>36007</c:v>
                </c:pt>
                <c:pt idx="922">
                  <c:v>36038</c:v>
                </c:pt>
                <c:pt idx="923">
                  <c:v>36068</c:v>
                </c:pt>
                <c:pt idx="924">
                  <c:v>36099</c:v>
                </c:pt>
                <c:pt idx="925">
                  <c:v>36129</c:v>
                </c:pt>
                <c:pt idx="926">
                  <c:v>36160</c:v>
                </c:pt>
                <c:pt idx="927">
                  <c:v>36191</c:v>
                </c:pt>
                <c:pt idx="928">
                  <c:v>36219</c:v>
                </c:pt>
                <c:pt idx="929">
                  <c:v>36250</c:v>
                </c:pt>
                <c:pt idx="930">
                  <c:v>36280</c:v>
                </c:pt>
                <c:pt idx="931">
                  <c:v>36311</c:v>
                </c:pt>
                <c:pt idx="932">
                  <c:v>36341</c:v>
                </c:pt>
                <c:pt idx="933">
                  <c:v>36372</c:v>
                </c:pt>
                <c:pt idx="934">
                  <c:v>36403</c:v>
                </c:pt>
                <c:pt idx="935">
                  <c:v>36433</c:v>
                </c:pt>
                <c:pt idx="936">
                  <c:v>36464</c:v>
                </c:pt>
                <c:pt idx="937">
                  <c:v>36494</c:v>
                </c:pt>
                <c:pt idx="938">
                  <c:v>36525</c:v>
                </c:pt>
                <c:pt idx="939">
                  <c:v>36556</c:v>
                </c:pt>
                <c:pt idx="940">
                  <c:v>36585</c:v>
                </c:pt>
                <c:pt idx="941">
                  <c:v>36616</c:v>
                </c:pt>
                <c:pt idx="942">
                  <c:v>36646</c:v>
                </c:pt>
                <c:pt idx="943">
                  <c:v>36677</c:v>
                </c:pt>
                <c:pt idx="944">
                  <c:v>36707</c:v>
                </c:pt>
                <c:pt idx="945">
                  <c:v>36738</c:v>
                </c:pt>
                <c:pt idx="946">
                  <c:v>36769</c:v>
                </c:pt>
                <c:pt idx="947">
                  <c:v>36799</c:v>
                </c:pt>
                <c:pt idx="948">
                  <c:v>36830</c:v>
                </c:pt>
                <c:pt idx="949">
                  <c:v>36860</c:v>
                </c:pt>
                <c:pt idx="950">
                  <c:v>36891</c:v>
                </c:pt>
                <c:pt idx="951">
                  <c:v>36922</c:v>
                </c:pt>
                <c:pt idx="952">
                  <c:v>36950</c:v>
                </c:pt>
                <c:pt idx="953">
                  <c:v>36981</c:v>
                </c:pt>
                <c:pt idx="954">
                  <c:v>37011</c:v>
                </c:pt>
                <c:pt idx="955">
                  <c:v>37042</c:v>
                </c:pt>
                <c:pt idx="956">
                  <c:v>37072</c:v>
                </c:pt>
                <c:pt idx="957">
                  <c:v>37103</c:v>
                </c:pt>
                <c:pt idx="958">
                  <c:v>37134</c:v>
                </c:pt>
                <c:pt idx="959">
                  <c:v>37164</c:v>
                </c:pt>
                <c:pt idx="960">
                  <c:v>37195</c:v>
                </c:pt>
                <c:pt idx="961">
                  <c:v>37225</c:v>
                </c:pt>
                <c:pt idx="962">
                  <c:v>37256</c:v>
                </c:pt>
                <c:pt idx="963">
                  <c:v>37287</c:v>
                </c:pt>
                <c:pt idx="964">
                  <c:v>37315</c:v>
                </c:pt>
                <c:pt idx="965">
                  <c:v>37346</c:v>
                </c:pt>
                <c:pt idx="966">
                  <c:v>37376</c:v>
                </c:pt>
                <c:pt idx="967">
                  <c:v>37407</c:v>
                </c:pt>
                <c:pt idx="968">
                  <c:v>37437</c:v>
                </c:pt>
                <c:pt idx="969">
                  <c:v>37468</c:v>
                </c:pt>
                <c:pt idx="970">
                  <c:v>37499</c:v>
                </c:pt>
                <c:pt idx="971">
                  <c:v>37529</c:v>
                </c:pt>
                <c:pt idx="972">
                  <c:v>37560</c:v>
                </c:pt>
                <c:pt idx="973">
                  <c:v>37590</c:v>
                </c:pt>
                <c:pt idx="974">
                  <c:v>37621</c:v>
                </c:pt>
                <c:pt idx="975">
                  <c:v>37652</c:v>
                </c:pt>
                <c:pt idx="976">
                  <c:v>37680</c:v>
                </c:pt>
                <c:pt idx="977">
                  <c:v>37711</c:v>
                </c:pt>
                <c:pt idx="978">
                  <c:v>37741</c:v>
                </c:pt>
                <c:pt idx="979">
                  <c:v>37772</c:v>
                </c:pt>
                <c:pt idx="980">
                  <c:v>37802</c:v>
                </c:pt>
                <c:pt idx="981">
                  <c:v>37833</c:v>
                </c:pt>
                <c:pt idx="982">
                  <c:v>37864</c:v>
                </c:pt>
                <c:pt idx="983">
                  <c:v>37894</c:v>
                </c:pt>
              </c:numCache>
            </c:numRef>
          </c:xVal>
          <c:yVal>
            <c:numRef>
              <c:f>plots!$G$2:$G$985</c:f>
              <c:numCache>
                <c:formatCode>0.00</c:formatCode>
                <c:ptCount val="98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7-394A-805D-9181C0D2BF1A}"/>
            </c:ext>
          </c:extLst>
        </c:ser>
        <c:ser>
          <c:idx val="3"/>
          <c:order val="3"/>
          <c:tx>
            <c:strRef>
              <c:f>plots!$I$3</c:f>
              <c:strCache>
                <c:ptCount val="1"/>
                <c:pt idx="0">
                  <c:v>2003-2015 mean: 348.57 taf/m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plots!$A$986:$A$1129</c:f>
              <c:numCache>
                <c:formatCode>yyyy\-mm\-dd;@</c:formatCode>
                <c:ptCount val="144"/>
                <c:pt idx="0">
                  <c:v>37925</c:v>
                </c:pt>
                <c:pt idx="1">
                  <c:v>37955</c:v>
                </c:pt>
                <c:pt idx="2">
                  <c:v>37986</c:v>
                </c:pt>
                <c:pt idx="3">
                  <c:v>38017</c:v>
                </c:pt>
                <c:pt idx="4">
                  <c:v>38046</c:v>
                </c:pt>
                <c:pt idx="5">
                  <c:v>38077</c:v>
                </c:pt>
                <c:pt idx="6">
                  <c:v>38107</c:v>
                </c:pt>
                <c:pt idx="7">
                  <c:v>38138</c:v>
                </c:pt>
                <c:pt idx="8">
                  <c:v>38168</c:v>
                </c:pt>
                <c:pt idx="9">
                  <c:v>38199</c:v>
                </c:pt>
                <c:pt idx="10">
                  <c:v>38230</c:v>
                </c:pt>
                <c:pt idx="11">
                  <c:v>38260</c:v>
                </c:pt>
                <c:pt idx="12">
                  <c:v>38291</c:v>
                </c:pt>
                <c:pt idx="13">
                  <c:v>38321</c:v>
                </c:pt>
                <c:pt idx="14">
                  <c:v>38352</c:v>
                </c:pt>
                <c:pt idx="15">
                  <c:v>38383</c:v>
                </c:pt>
                <c:pt idx="16">
                  <c:v>38411</c:v>
                </c:pt>
                <c:pt idx="17">
                  <c:v>38442</c:v>
                </c:pt>
                <c:pt idx="18">
                  <c:v>38472</c:v>
                </c:pt>
                <c:pt idx="19">
                  <c:v>38503</c:v>
                </c:pt>
                <c:pt idx="20">
                  <c:v>38533</c:v>
                </c:pt>
                <c:pt idx="21">
                  <c:v>38564</c:v>
                </c:pt>
                <c:pt idx="22">
                  <c:v>38595</c:v>
                </c:pt>
                <c:pt idx="23">
                  <c:v>38625</c:v>
                </c:pt>
                <c:pt idx="24">
                  <c:v>38656</c:v>
                </c:pt>
                <c:pt idx="25">
                  <c:v>38686</c:v>
                </c:pt>
                <c:pt idx="26">
                  <c:v>38717</c:v>
                </c:pt>
                <c:pt idx="27">
                  <c:v>38748</c:v>
                </c:pt>
                <c:pt idx="28">
                  <c:v>38776</c:v>
                </c:pt>
                <c:pt idx="29">
                  <c:v>38807</c:v>
                </c:pt>
                <c:pt idx="30">
                  <c:v>38837</c:v>
                </c:pt>
                <c:pt idx="31">
                  <c:v>38868</c:v>
                </c:pt>
                <c:pt idx="32">
                  <c:v>38898</c:v>
                </c:pt>
                <c:pt idx="33">
                  <c:v>38929</c:v>
                </c:pt>
                <c:pt idx="34">
                  <c:v>38960</c:v>
                </c:pt>
                <c:pt idx="35">
                  <c:v>38990</c:v>
                </c:pt>
                <c:pt idx="36">
                  <c:v>39021</c:v>
                </c:pt>
                <c:pt idx="37">
                  <c:v>39051</c:v>
                </c:pt>
                <c:pt idx="38">
                  <c:v>39082</c:v>
                </c:pt>
                <c:pt idx="39">
                  <c:v>39113</c:v>
                </c:pt>
                <c:pt idx="40">
                  <c:v>39141</c:v>
                </c:pt>
                <c:pt idx="41">
                  <c:v>39172</c:v>
                </c:pt>
                <c:pt idx="42">
                  <c:v>39202</c:v>
                </c:pt>
                <c:pt idx="43">
                  <c:v>39233</c:v>
                </c:pt>
                <c:pt idx="44">
                  <c:v>39263</c:v>
                </c:pt>
                <c:pt idx="45">
                  <c:v>39294</c:v>
                </c:pt>
                <c:pt idx="46">
                  <c:v>39325</c:v>
                </c:pt>
                <c:pt idx="47">
                  <c:v>39355</c:v>
                </c:pt>
                <c:pt idx="48">
                  <c:v>39386</c:v>
                </c:pt>
                <c:pt idx="49">
                  <c:v>39416</c:v>
                </c:pt>
                <c:pt idx="50">
                  <c:v>39447</c:v>
                </c:pt>
                <c:pt idx="51">
                  <c:v>39478</c:v>
                </c:pt>
                <c:pt idx="52">
                  <c:v>39507</c:v>
                </c:pt>
                <c:pt idx="53">
                  <c:v>39538</c:v>
                </c:pt>
                <c:pt idx="54">
                  <c:v>39568</c:v>
                </c:pt>
                <c:pt idx="55">
                  <c:v>39599</c:v>
                </c:pt>
                <c:pt idx="56">
                  <c:v>39629</c:v>
                </c:pt>
                <c:pt idx="57">
                  <c:v>39660</c:v>
                </c:pt>
                <c:pt idx="58">
                  <c:v>39691</c:v>
                </c:pt>
                <c:pt idx="59">
                  <c:v>39721</c:v>
                </c:pt>
                <c:pt idx="60">
                  <c:v>39752</c:v>
                </c:pt>
                <c:pt idx="61">
                  <c:v>39782</c:v>
                </c:pt>
                <c:pt idx="62">
                  <c:v>39813</c:v>
                </c:pt>
                <c:pt idx="63">
                  <c:v>39844</c:v>
                </c:pt>
                <c:pt idx="64">
                  <c:v>39872</c:v>
                </c:pt>
                <c:pt idx="65">
                  <c:v>39903</c:v>
                </c:pt>
                <c:pt idx="66">
                  <c:v>39933</c:v>
                </c:pt>
                <c:pt idx="67">
                  <c:v>39964</c:v>
                </c:pt>
                <c:pt idx="68">
                  <c:v>39994</c:v>
                </c:pt>
                <c:pt idx="69">
                  <c:v>40025</c:v>
                </c:pt>
                <c:pt idx="70">
                  <c:v>40056</c:v>
                </c:pt>
                <c:pt idx="71">
                  <c:v>40086</c:v>
                </c:pt>
                <c:pt idx="72">
                  <c:v>40117</c:v>
                </c:pt>
                <c:pt idx="73">
                  <c:v>40147</c:v>
                </c:pt>
                <c:pt idx="74">
                  <c:v>40178</c:v>
                </c:pt>
                <c:pt idx="75">
                  <c:v>40209</c:v>
                </c:pt>
                <c:pt idx="76">
                  <c:v>40237</c:v>
                </c:pt>
                <c:pt idx="77">
                  <c:v>40268</c:v>
                </c:pt>
                <c:pt idx="78">
                  <c:v>40298</c:v>
                </c:pt>
                <c:pt idx="79">
                  <c:v>40329</c:v>
                </c:pt>
                <c:pt idx="80">
                  <c:v>40359</c:v>
                </c:pt>
                <c:pt idx="81">
                  <c:v>40390</c:v>
                </c:pt>
                <c:pt idx="82">
                  <c:v>40421</c:v>
                </c:pt>
                <c:pt idx="83">
                  <c:v>40451</c:v>
                </c:pt>
                <c:pt idx="84">
                  <c:v>40482</c:v>
                </c:pt>
                <c:pt idx="85">
                  <c:v>40512</c:v>
                </c:pt>
                <c:pt idx="86">
                  <c:v>40543</c:v>
                </c:pt>
                <c:pt idx="87">
                  <c:v>40574</c:v>
                </c:pt>
                <c:pt idx="88">
                  <c:v>40602</c:v>
                </c:pt>
                <c:pt idx="89">
                  <c:v>40633</c:v>
                </c:pt>
                <c:pt idx="90">
                  <c:v>40663</c:v>
                </c:pt>
                <c:pt idx="91">
                  <c:v>40694</c:v>
                </c:pt>
                <c:pt idx="92">
                  <c:v>40724</c:v>
                </c:pt>
                <c:pt idx="93">
                  <c:v>40755</c:v>
                </c:pt>
                <c:pt idx="94">
                  <c:v>40786</c:v>
                </c:pt>
                <c:pt idx="95">
                  <c:v>40816</c:v>
                </c:pt>
                <c:pt idx="96">
                  <c:v>40847</c:v>
                </c:pt>
                <c:pt idx="97">
                  <c:v>40877</c:v>
                </c:pt>
                <c:pt idx="98">
                  <c:v>40908</c:v>
                </c:pt>
                <c:pt idx="99">
                  <c:v>40939</c:v>
                </c:pt>
                <c:pt idx="100">
                  <c:v>40968</c:v>
                </c:pt>
                <c:pt idx="101">
                  <c:v>40999</c:v>
                </c:pt>
                <c:pt idx="102">
                  <c:v>41029</c:v>
                </c:pt>
                <c:pt idx="103">
                  <c:v>41060</c:v>
                </c:pt>
                <c:pt idx="104">
                  <c:v>41090</c:v>
                </c:pt>
                <c:pt idx="105">
                  <c:v>41121</c:v>
                </c:pt>
                <c:pt idx="106">
                  <c:v>41152</c:v>
                </c:pt>
                <c:pt idx="107">
                  <c:v>41182</c:v>
                </c:pt>
                <c:pt idx="108">
                  <c:v>41213</c:v>
                </c:pt>
                <c:pt idx="109">
                  <c:v>41243</c:v>
                </c:pt>
                <c:pt idx="110">
                  <c:v>41274</c:v>
                </c:pt>
                <c:pt idx="111">
                  <c:v>41305</c:v>
                </c:pt>
                <c:pt idx="112">
                  <c:v>41333</c:v>
                </c:pt>
                <c:pt idx="113">
                  <c:v>41364</c:v>
                </c:pt>
                <c:pt idx="114">
                  <c:v>41394</c:v>
                </c:pt>
                <c:pt idx="115">
                  <c:v>41425</c:v>
                </c:pt>
                <c:pt idx="116">
                  <c:v>41455</c:v>
                </c:pt>
                <c:pt idx="117">
                  <c:v>41486</c:v>
                </c:pt>
                <c:pt idx="118">
                  <c:v>41517</c:v>
                </c:pt>
                <c:pt idx="119">
                  <c:v>41547</c:v>
                </c:pt>
                <c:pt idx="120">
                  <c:v>41578</c:v>
                </c:pt>
                <c:pt idx="121">
                  <c:v>41608</c:v>
                </c:pt>
                <c:pt idx="122">
                  <c:v>41639</c:v>
                </c:pt>
                <c:pt idx="123">
                  <c:v>41670</c:v>
                </c:pt>
                <c:pt idx="124">
                  <c:v>41698</c:v>
                </c:pt>
                <c:pt idx="125">
                  <c:v>41729</c:v>
                </c:pt>
                <c:pt idx="126">
                  <c:v>41759</c:v>
                </c:pt>
                <c:pt idx="127">
                  <c:v>41790</c:v>
                </c:pt>
                <c:pt idx="128">
                  <c:v>41820</c:v>
                </c:pt>
                <c:pt idx="129">
                  <c:v>41851</c:v>
                </c:pt>
                <c:pt idx="130">
                  <c:v>41882</c:v>
                </c:pt>
                <c:pt idx="131">
                  <c:v>41912</c:v>
                </c:pt>
                <c:pt idx="132">
                  <c:v>41943</c:v>
                </c:pt>
                <c:pt idx="133">
                  <c:v>41973</c:v>
                </c:pt>
                <c:pt idx="134">
                  <c:v>42004</c:v>
                </c:pt>
                <c:pt idx="135">
                  <c:v>42035</c:v>
                </c:pt>
                <c:pt idx="136">
                  <c:v>42063</c:v>
                </c:pt>
                <c:pt idx="137">
                  <c:v>42094</c:v>
                </c:pt>
                <c:pt idx="138">
                  <c:v>42124</c:v>
                </c:pt>
                <c:pt idx="139">
                  <c:v>42155</c:v>
                </c:pt>
                <c:pt idx="140">
                  <c:v>42185</c:v>
                </c:pt>
                <c:pt idx="141">
                  <c:v>42216</c:v>
                </c:pt>
                <c:pt idx="142">
                  <c:v>42247</c:v>
                </c:pt>
                <c:pt idx="143">
                  <c:v>42277</c:v>
                </c:pt>
              </c:numCache>
            </c:numRef>
          </c:xVal>
          <c:yVal>
            <c:numRef>
              <c:f>plots!$G$986:$G$1129</c:f>
              <c:numCache>
                <c:formatCode>0.00</c:formatCode>
                <c:ptCount val="14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87-394A-805D-9181C0D2B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599"/>
        <c:axId val="11617231"/>
      </c:scatterChart>
      <c:valAx>
        <c:axId val="11869599"/>
        <c:scaling>
          <c:orientation val="minMax"/>
          <c:max val="42500"/>
          <c:min val="797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65000"/>
                  <a:alpha val="50000"/>
                </a:schemeClr>
              </a:solidFill>
              <a:round/>
            </a:ln>
            <a:effectLst/>
          </c:spPr>
        </c:majorGridlines>
        <c:numFmt formatCode="yyyy\-mm;@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TR"/>
          </a:p>
        </c:txPr>
        <c:crossAx val="11617231"/>
        <c:crossesAt val="0"/>
        <c:crossBetween val="midCat"/>
        <c:majorUnit val="1095"/>
      </c:valAx>
      <c:valAx>
        <c:axId val="1161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  <a:alpha val="50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+mn-cs"/>
              </a:defRPr>
            </a:pPr>
            <a:endParaRPr lang="en-TR"/>
          </a:p>
        </c:txPr>
        <c:crossAx val="11869599"/>
        <c:crossesAt val="7975"/>
        <c:crossBetween val="midCat"/>
      </c:valAx>
      <c:spPr>
        <a:solidFill>
          <a:schemeClr val="accent3">
            <a:lumMod val="20000"/>
            <a:lumOff val="80000"/>
          </a:schemeClr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14417474549785322"/>
          <c:y val="6.9444444444444441E-3"/>
          <c:w val="0.7749003990108172"/>
          <c:h val="0.13166311242344705"/>
        </c:manualLayout>
      </c:layout>
      <c:overlay val="0"/>
      <c:spPr>
        <a:solidFill>
          <a:schemeClr val="bg1">
            <a:alpha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Helvetica" pitchFamily="2" charset="0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Helvetica" pitchFamily="2" charset="0"/>
        </a:defRPr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15" fmlaLink="$D$1" horiz="1" max="34" min="2" page="10" val="34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</xdr:row>
          <xdr:rowOff>177800</xdr:rowOff>
        </xdr:from>
        <xdr:to>
          <xdr:col>7</xdr:col>
          <xdr:colOff>0</xdr:colOff>
          <xdr:row>3</xdr:row>
          <xdr:rowOff>76200</xdr:rowOff>
        </xdr:to>
        <xdr:sp macro="" textlink="">
          <xdr:nvSpPr>
            <xdr:cNvPr id="4097" name="Scroll Ba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0</xdr:colOff>
      <xdr:row>4</xdr:row>
      <xdr:rowOff>63500</xdr:rowOff>
    </xdr:from>
    <xdr:to>
      <xdr:col>11</xdr:col>
      <xdr:colOff>812800</xdr:colOff>
      <xdr:row>22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D4D7-EC28-474E-A2E7-9AACB4F066E9}">
  <dimension ref="A1:L1129"/>
  <sheetViews>
    <sheetView showGridLines="0" zoomScaleNormal="100" workbookViewId="0"/>
  </sheetViews>
  <sheetFormatPr baseColWidth="10" defaultRowHeight="16" x14ac:dyDescent="0.2"/>
  <cols>
    <col min="6" max="6" width="15" customWidth="1"/>
  </cols>
  <sheetData>
    <row r="1" spans="1:12" x14ac:dyDescent="0.2">
      <c r="A1" s="13" t="s">
        <v>0</v>
      </c>
      <c r="B1" s="13" t="str">
        <f>VLOOKUP($A1,'existing_gw_inflows_1921-2003'!$A$1:$AH$1129,$D$1,FALSE)</f>
        <v>central valley</v>
      </c>
      <c r="C1" s="13" t="s">
        <v>35</v>
      </c>
      <c r="D1" s="12">
        <v>34</v>
      </c>
      <c r="E1" s="8" t="s">
        <v>33</v>
      </c>
      <c r="G1" s="5"/>
      <c r="L1" s="5"/>
    </row>
    <row r="2" spans="1:12" ht="19" x14ac:dyDescent="0.25">
      <c r="A2" s="3">
        <v>7975</v>
      </c>
      <c r="B2" s="4">
        <f>VLOOKUP($A2,'existing_gw_inflows_1921-2003'!$A$1:$AH$1129,$D$1,FALSE)</f>
        <v>411.2999999999999</v>
      </c>
      <c r="C2" s="4" t="e">
        <f>VLOOKUP($A2,'extended_recharge_2003-2015'!$A$1:$AH$265,$D$1,FALSE)</f>
        <v>#N/A</v>
      </c>
      <c r="G2" s="6"/>
      <c r="H2" s="4"/>
      <c r="I2" s="7" t="str">
        <f>_xlfn.CONCAT("1921-",IF(D1&lt;23,"2003",IF(D1&lt;34,"1993","2003"))," mean: ",TEXT(AVERAGEIF(B2:B985,"&gt;0"),"0.00")," taf/m")</f>
        <v>1921-2003 mean: 375.20 taf/m</v>
      </c>
      <c r="L2" s="6"/>
    </row>
    <row r="3" spans="1:12" ht="19" x14ac:dyDescent="0.25">
      <c r="A3" s="3">
        <v>8005</v>
      </c>
      <c r="B3" s="4">
        <f>VLOOKUP($A3,'existing_gw_inflows_1921-2003'!$A$1:$AH$1129,$D$1,FALSE)</f>
        <v>654.61</v>
      </c>
      <c r="C3" s="4" t="e">
        <f>VLOOKUP($A3,'extended_recharge_2003-2015'!$A$1:$AH$265,$D$1,FALSE)</f>
        <v>#N/A</v>
      </c>
      <c r="G3" s="6"/>
      <c r="I3" s="7" t="str">
        <f>_xlfn.CONCAT(IF(D1&lt;23,"2003",IF(D1&lt;34,"1993","2003")),"-2015 mean: ",TEXT(AVERAGEIF(C986:C1129,"&gt;0"),"0.00")," taf/m")</f>
        <v>2003-2015 mean: 348.57 taf/m</v>
      </c>
      <c r="L3" s="6"/>
    </row>
    <row r="4" spans="1:12" x14ac:dyDescent="0.2">
      <c r="A4" s="3">
        <v>8036</v>
      </c>
      <c r="B4" s="4">
        <f>VLOOKUP($A4,'existing_gw_inflows_1921-2003'!$A$1:$AH$1129,$D$1,FALSE)</f>
        <v>1182.9700000000003</v>
      </c>
      <c r="C4" s="4" t="e">
        <f>VLOOKUP($A4,'extended_recharge_2003-2015'!$A$1:$AH$265,$D$1,FALSE)</f>
        <v>#N/A</v>
      </c>
      <c r="G4" s="6"/>
      <c r="L4" s="6"/>
    </row>
    <row r="5" spans="1:12" x14ac:dyDescent="0.2">
      <c r="A5" s="3">
        <v>8067</v>
      </c>
      <c r="B5" s="4">
        <f>VLOOKUP($A5,'existing_gw_inflows_1921-2003'!$A$1:$AH$1129,$D$1,FALSE)</f>
        <v>554.92999999999995</v>
      </c>
      <c r="C5" s="4" t="e">
        <f>VLOOKUP($A5,'extended_recharge_2003-2015'!$A$1:$AH$265,$D$1,FALSE)</f>
        <v>#N/A</v>
      </c>
      <c r="E5" s="9"/>
      <c r="G5" s="6"/>
      <c r="L5" s="6"/>
    </row>
    <row r="6" spans="1:12" x14ac:dyDescent="0.2">
      <c r="A6" s="3">
        <v>8095</v>
      </c>
      <c r="B6" s="4">
        <f>VLOOKUP($A6,'existing_gw_inflows_1921-2003'!$A$1:$AH$1129,$D$1,FALSE)</f>
        <v>1212.58</v>
      </c>
      <c r="C6" s="4" t="e">
        <f>VLOOKUP($A6,'extended_recharge_2003-2015'!$A$1:$AH$265,$D$1,FALSE)</f>
        <v>#N/A</v>
      </c>
      <c r="G6" s="6"/>
      <c r="L6" s="6"/>
    </row>
    <row r="7" spans="1:12" x14ac:dyDescent="0.2">
      <c r="A7" s="3">
        <v>8126</v>
      </c>
      <c r="B7" s="4">
        <f>VLOOKUP($A7,'existing_gw_inflows_1921-2003'!$A$1:$AH$1129,$D$1,FALSE)</f>
        <v>455.95</v>
      </c>
      <c r="C7" s="4" t="e">
        <f>VLOOKUP($A7,'extended_recharge_2003-2015'!$A$1:$AH$265,$D$1,FALSE)</f>
        <v>#N/A</v>
      </c>
      <c r="G7" s="6"/>
      <c r="L7" s="6"/>
    </row>
    <row r="8" spans="1:12" x14ac:dyDescent="0.2">
      <c r="A8" s="3">
        <v>8156</v>
      </c>
      <c r="B8" s="4">
        <f>VLOOKUP($A8,'existing_gw_inflows_1921-2003'!$A$1:$AH$1129,$D$1,FALSE)</f>
        <v>523.79</v>
      </c>
      <c r="C8" s="4" t="e">
        <f>VLOOKUP($A8,'extended_recharge_2003-2015'!$A$1:$AH$265,$D$1,FALSE)</f>
        <v>#N/A</v>
      </c>
      <c r="G8" s="6"/>
      <c r="L8" s="6"/>
    </row>
    <row r="9" spans="1:12" x14ac:dyDescent="0.2">
      <c r="A9" s="3">
        <v>8187</v>
      </c>
      <c r="B9" s="4">
        <f>VLOOKUP($A9,'existing_gw_inflows_1921-2003'!$A$1:$AH$1129,$D$1,FALSE)</f>
        <v>1205.78</v>
      </c>
      <c r="C9" s="4" t="e">
        <f>VLOOKUP($A9,'extended_recharge_2003-2015'!$A$1:$AH$265,$D$1,FALSE)</f>
        <v>#N/A</v>
      </c>
      <c r="G9" s="6"/>
      <c r="L9" s="6"/>
    </row>
    <row r="10" spans="1:12" x14ac:dyDescent="0.2">
      <c r="A10" s="3">
        <v>8217</v>
      </c>
      <c r="B10" s="4">
        <f>VLOOKUP($A10,'existing_gw_inflows_1921-2003'!$A$1:$AH$1129,$D$1,FALSE)</f>
        <v>561.33000000000004</v>
      </c>
      <c r="C10" s="4" t="e">
        <f>VLOOKUP($A10,'extended_recharge_2003-2015'!$A$1:$AH$265,$D$1,FALSE)</f>
        <v>#N/A</v>
      </c>
      <c r="G10" s="6"/>
      <c r="L10" s="6"/>
    </row>
    <row r="11" spans="1:12" x14ac:dyDescent="0.2">
      <c r="A11" s="3">
        <v>8248</v>
      </c>
      <c r="B11" s="4">
        <f>VLOOKUP($A11,'existing_gw_inflows_1921-2003'!$A$1:$AH$1129,$D$1,FALSE)</f>
        <v>-259.28999999999996</v>
      </c>
      <c r="C11" s="4" t="e">
        <f>VLOOKUP($A11,'extended_recharge_2003-2015'!$A$1:$AH$265,$D$1,FALSE)</f>
        <v>#N/A</v>
      </c>
      <c r="G11" s="6"/>
      <c r="L11" s="6"/>
    </row>
    <row r="12" spans="1:12" x14ac:dyDescent="0.2">
      <c r="A12" s="3">
        <v>8279</v>
      </c>
      <c r="B12" s="4">
        <f>VLOOKUP($A12,'existing_gw_inflows_1921-2003'!$A$1:$AH$1129,$D$1,FALSE)</f>
        <v>-82.28000000000003</v>
      </c>
      <c r="C12" s="4" t="e">
        <f>VLOOKUP($A12,'extended_recharge_2003-2015'!$A$1:$AH$265,$D$1,FALSE)</f>
        <v>#N/A</v>
      </c>
      <c r="G12" s="6"/>
      <c r="L12" s="6"/>
    </row>
    <row r="13" spans="1:12" x14ac:dyDescent="0.2">
      <c r="A13" s="3">
        <v>8309</v>
      </c>
      <c r="B13" s="4">
        <f>VLOOKUP($A13,'existing_gw_inflows_1921-2003'!$A$1:$AH$1129,$D$1,FALSE)</f>
        <v>22.019999999999996</v>
      </c>
      <c r="C13" s="4" t="e">
        <f>VLOOKUP($A13,'extended_recharge_2003-2015'!$A$1:$AH$265,$D$1,FALSE)</f>
        <v>#N/A</v>
      </c>
      <c r="G13" s="6"/>
      <c r="L13" s="6"/>
    </row>
    <row r="14" spans="1:12" x14ac:dyDescent="0.2">
      <c r="A14" s="3">
        <v>8340</v>
      </c>
      <c r="B14" s="4">
        <f>VLOOKUP($A14,'existing_gw_inflows_1921-2003'!$A$1:$AH$1129,$D$1,FALSE)</f>
        <v>167.56000000000003</v>
      </c>
      <c r="C14" s="4" t="e">
        <f>VLOOKUP($A14,'extended_recharge_2003-2015'!$A$1:$AH$265,$D$1,FALSE)</f>
        <v>#N/A</v>
      </c>
      <c r="G14" s="6"/>
      <c r="L14" s="6"/>
    </row>
    <row r="15" spans="1:12" x14ac:dyDescent="0.2">
      <c r="A15" s="3">
        <v>8370</v>
      </c>
      <c r="B15" s="4">
        <f>VLOOKUP($A15,'existing_gw_inflows_1921-2003'!$A$1:$AH$1129,$D$1,FALSE)</f>
        <v>334.87</v>
      </c>
      <c r="C15" s="4" t="e">
        <f>VLOOKUP($A15,'extended_recharge_2003-2015'!$A$1:$AH$265,$D$1,FALSE)</f>
        <v>#N/A</v>
      </c>
      <c r="G15" s="6"/>
      <c r="L15" s="6"/>
    </row>
    <row r="16" spans="1:12" x14ac:dyDescent="0.2">
      <c r="A16" s="3">
        <v>8401</v>
      </c>
      <c r="B16" s="4">
        <f>VLOOKUP($A16,'existing_gw_inflows_1921-2003'!$A$1:$AH$1129,$D$1,FALSE)</f>
        <v>957.25</v>
      </c>
      <c r="C16" s="4" t="e">
        <f>VLOOKUP($A16,'extended_recharge_2003-2015'!$A$1:$AH$265,$D$1,FALSE)</f>
        <v>#N/A</v>
      </c>
      <c r="G16" s="6"/>
      <c r="L16" s="6"/>
    </row>
    <row r="17" spans="1:12" x14ac:dyDescent="0.2">
      <c r="A17" s="3">
        <v>8432</v>
      </c>
      <c r="B17" s="4">
        <f>VLOOKUP($A17,'existing_gw_inflows_1921-2003'!$A$1:$AH$1129,$D$1,FALSE)</f>
        <v>323.11000000000007</v>
      </c>
      <c r="C17" s="4" t="e">
        <f>VLOOKUP($A17,'extended_recharge_2003-2015'!$A$1:$AH$265,$D$1,FALSE)</f>
        <v>#N/A</v>
      </c>
      <c r="G17" s="6"/>
      <c r="L17" s="6"/>
    </row>
    <row r="18" spans="1:12" x14ac:dyDescent="0.2">
      <c r="A18" s="3">
        <v>8460</v>
      </c>
      <c r="B18" s="4">
        <f>VLOOKUP($A18,'existing_gw_inflows_1921-2003'!$A$1:$AH$1129,$D$1,FALSE)</f>
        <v>89.27000000000001</v>
      </c>
      <c r="C18" s="4" t="e">
        <f>VLOOKUP($A18,'extended_recharge_2003-2015'!$A$1:$AH$265,$D$1,FALSE)</f>
        <v>#N/A</v>
      </c>
      <c r="G18" s="6"/>
      <c r="L18" s="6"/>
    </row>
    <row r="19" spans="1:12" x14ac:dyDescent="0.2">
      <c r="A19" s="3">
        <v>8491</v>
      </c>
      <c r="B19" s="4">
        <f>VLOOKUP($A19,'existing_gw_inflows_1921-2003'!$A$1:$AH$1129,$D$1,FALSE)</f>
        <v>202.55</v>
      </c>
      <c r="C19" s="4" t="e">
        <f>VLOOKUP($A19,'extended_recharge_2003-2015'!$A$1:$AH$265,$D$1,FALSE)</f>
        <v>#N/A</v>
      </c>
      <c r="G19" s="6"/>
      <c r="L19" s="6"/>
    </row>
    <row r="20" spans="1:12" x14ac:dyDescent="0.2">
      <c r="A20" s="3">
        <v>8521</v>
      </c>
      <c r="B20" s="4">
        <f>VLOOKUP($A20,'existing_gw_inflows_1921-2003'!$A$1:$AH$1129,$D$1,FALSE)</f>
        <v>753.2299999999999</v>
      </c>
      <c r="C20" s="4" t="e">
        <f>VLOOKUP($A20,'extended_recharge_2003-2015'!$A$1:$AH$265,$D$1,FALSE)</f>
        <v>#N/A</v>
      </c>
      <c r="G20" s="6"/>
      <c r="L20" s="6"/>
    </row>
    <row r="21" spans="1:12" x14ac:dyDescent="0.2">
      <c r="A21" s="3">
        <v>8552</v>
      </c>
      <c r="B21" s="4">
        <f>VLOOKUP($A21,'existing_gw_inflows_1921-2003'!$A$1:$AH$1129,$D$1,FALSE)</f>
        <v>434.26000000000005</v>
      </c>
      <c r="C21" s="4" t="e">
        <f>VLOOKUP($A21,'extended_recharge_2003-2015'!$A$1:$AH$265,$D$1,FALSE)</f>
        <v>#N/A</v>
      </c>
      <c r="G21" s="6"/>
      <c r="L21" s="6"/>
    </row>
    <row r="22" spans="1:12" x14ac:dyDescent="0.2">
      <c r="A22" s="3">
        <v>8582</v>
      </c>
      <c r="B22" s="4">
        <f>VLOOKUP($A22,'existing_gw_inflows_1921-2003'!$A$1:$AH$1129,$D$1,FALSE)</f>
        <v>79.940000000000012</v>
      </c>
      <c r="C22" s="4" t="e">
        <f>VLOOKUP($A22,'extended_recharge_2003-2015'!$A$1:$AH$265,$D$1,FALSE)</f>
        <v>#N/A</v>
      </c>
      <c r="G22" s="6"/>
      <c r="L22" s="6"/>
    </row>
    <row r="23" spans="1:12" x14ac:dyDescent="0.2">
      <c r="A23" s="3">
        <v>8613</v>
      </c>
      <c r="B23" s="4">
        <f>VLOOKUP($A23,'existing_gw_inflows_1921-2003'!$A$1:$AH$1129,$D$1,FALSE)</f>
        <v>44.869999999999955</v>
      </c>
      <c r="C23" s="4" t="e">
        <f>VLOOKUP($A23,'extended_recharge_2003-2015'!$A$1:$AH$265,$D$1,FALSE)</f>
        <v>#N/A</v>
      </c>
      <c r="G23" s="6"/>
      <c r="L23" s="6"/>
    </row>
    <row r="24" spans="1:12" x14ac:dyDescent="0.2">
      <c r="A24" s="3">
        <v>8644</v>
      </c>
      <c r="B24" s="4">
        <f>VLOOKUP($A24,'existing_gw_inflows_1921-2003'!$A$1:$AH$1129,$D$1,FALSE)</f>
        <v>-8.5600000000000023</v>
      </c>
      <c r="C24" s="4" t="e">
        <f>VLOOKUP($A24,'extended_recharge_2003-2015'!$A$1:$AH$265,$D$1,FALSE)</f>
        <v>#N/A</v>
      </c>
      <c r="G24" s="6"/>
      <c r="L24" s="6"/>
    </row>
    <row r="25" spans="1:12" x14ac:dyDescent="0.2">
      <c r="A25" s="3">
        <v>8674</v>
      </c>
      <c r="B25" s="4">
        <f>VLOOKUP($A25,'existing_gw_inflows_1921-2003'!$A$1:$AH$1129,$D$1,FALSE)</f>
        <v>75.16</v>
      </c>
      <c r="C25" s="4" t="e">
        <f>VLOOKUP($A25,'extended_recharge_2003-2015'!$A$1:$AH$265,$D$1,FALSE)</f>
        <v>#N/A</v>
      </c>
      <c r="L25" s="6"/>
    </row>
    <row r="26" spans="1:12" ht="19" x14ac:dyDescent="0.25">
      <c r="A26" s="3">
        <v>8705</v>
      </c>
      <c r="B26" s="4">
        <f>VLOOKUP($A26,'existing_gw_inflows_1921-2003'!$A$1:$AH$1129,$D$1,FALSE)</f>
        <v>163.26</v>
      </c>
      <c r="C26" s="4" t="e">
        <f>VLOOKUP($A26,'extended_recharge_2003-2015'!$A$1:$AH$265,$D$1,FALSE)</f>
        <v>#N/A</v>
      </c>
      <c r="D26" s="5">
        <v>9</v>
      </c>
      <c r="F26" s="10"/>
      <c r="G26" s="11"/>
      <c r="I26" s="7"/>
      <c r="L26" s="6"/>
    </row>
    <row r="27" spans="1:12" ht="19" x14ac:dyDescent="0.25">
      <c r="A27" s="3">
        <v>8735</v>
      </c>
      <c r="B27" s="4">
        <f>VLOOKUP($A27,'existing_gw_inflows_1921-2003'!$A$1:$AH$1129,$D$1,FALSE)</f>
        <v>73.540000000000006</v>
      </c>
      <c r="C27" s="4" t="e">
        <f>VLOOKUP($A27,'extended_recharge_2003-2015'!$A$1:$AH$265,$D$1,FALSE)</f>
        <v>#N/A</v>
      </c>
      <c r="D27" s="5"/>
      <c r="F27" s="10"/>
      <c r="G27" s="11"/>
      <c r="I27" s="7"/>
      <c r="L27" s="6"/>
    </row>
    <row r="28" spans="1:12" x14ac:dyDescent="0.2">
      <c r="A28" s="3">
        <v>8766</v>
      </c>
      <c r="B28" s="4">
        <f>VLOOKUP($A28,'existing_gw_inflows_1921-2003'!$A$1:$AH$1129,$D$1,FALSE)</f>
        <v>108.28999999999999</v>
      </c>
      <c r="C28" s="4" t="e">
        <f>VLOOKUP($A28,'extended_recharge_2003-2015'!$A$1:$AH$265,$D$1,FALSE)</f>
        <v>#N/A</v>
      </c>
      <c r="F28" s="10"/>
      <c r="G28" s="11"/>
      <c r="L28" s="6"/>
    </row>
    <row r="29" spans="1:12" x14ac:dyDescent="0.2">
      <c r="A29" s="3">
        <v>8797</v>
      </c>
      <c r="B29" s="4">
        <f>VLOOKUP($A29,'existing_gw_inflows_1921-2003'!$A$1:$AH$1129,$D$1,FALSE)</f>
        <v>175.85000000000002</v>
      </c>
      <c r="C29" s="4" t="e">
        <f>VLOOKUP($A29,'extended_recharge_2003-2015'!$A$1:$AH$265,$D$1,FALSE)</f>
        <v>#N/A</v>
      </c>
      <c r="F29" s="10"/>
      <c r="G29" s="11"/>
      <c r="L29" s="6"/>
    </row>
    <row r="30" spans="1:12" x14ac:dyDescent="0.2">
      <c r="A30" s="3">
        <v>8826</v>
      </c>
      <c r="B30" s="4">
        <f>VLOOKUP($A30,'existing_gw_inflows_1921-2003'!$A$1:$AH$1129,$D$1,FALSE)</f>
        <v>238.01999999999992</v>
      </c>
      <c r="C30" s="4" t="e">
        <f>VLOOKUP($A30,'extended_recharge_2003-2015'!$A$1:$AH$265,$D$1,FALSE)</f>
        <v>#N/A</v>
      </c>
      <c r="F30" s="10"/>
      <c r="G30" s="11"/>
      <c r="L30" s="6"/>
    </row>
    <row r="31" spans="1:12" x14ac:dyDescent="0.2">
      <c r="A31" s="3">
        <v>8857</v>
      </c>
      <c r="B31" s="4">
        <f>VLOOKUP($A31,'existing_gw_inflows_1921-2003'!$A$1:$AH$1129,$D$1,FALSE)</f>
        <v>132.47999999999999</v>
      </c>
      <c r="C31" s="4" t="e">
        <f>VLOOKUP($A31,'extended_recharge_2003-2015'!$A$1:$AH$265,$D$1,FALSE)</f>
        <v>#N/A</v>
      </c>
      <c r="F31" s="10"/>
      <c r="G31" s="11"/>
      <c r="L31" s="6"/>
    </row>
    <row r="32" spans="1:12" x14ac:dyDescent="0.2">
      <c r="A32" s="3">
        <v>8887</v>
      </c>
      <c r="B32" s="4">
        <f>VLOOKUP($A32,'existing_gw_inflows_1921-2003'!$A$1:$AH$1129,$D$1,FALSE)</f>
        <v>185.33999999999997</v>
      </c>
      <c r="C32" s="4" t="e">
        <f>VLOOKUP($A32,'extended_recharge_2003-2015'!$A$1:$AH$265,$D$1,FALSE)</f>
        <v>#N/A</v>
      </c>
      <c r="F32" s="10"/>
      <c r="G32" s="11"/>
      <c r="L32" s="6"/>
    </row>
    <row r="33" spans="1:12" x14ac:dyDescent="0.2">
      <c r="A33" s="3">
        <v>8918</v>
      </c>
      <c r="B33" s="4">
        <f>VLOOKUP($A33,'existing_gw_inflows_1921-2003'!$A$1:$AH$1129,$D$1,FALSE)</f>
        <v>205.28</v>
      </c>
      <c r="C33" s="4" t="e">
        <f>VLOOKUP($A33,'extended_recharge_2003-2015'!$A$1:$AH$265,$D$1,FALSE)</f>
        <v>#N/A</v>
      </c>
      <c r="F33" s="10"/>
      <c r="G33" s="11"/>
      <c r="L33" s="6"/>
    </row>
    <row r="34" spans="1:12" x14ac:dyDescent="0.2">
      <c r="A34" s="3">
        <v>8948</v>
      </c>
      <c r="B34" s="4">
        <f>VLOOKUP($A34,'existing_gw_inflows_1921-2003'!$A$1:$AH$1129,$D$1,FALSE)</f>
        <v>96.57</v>
      </c>
      <c r="C34" s="4" t="e">
        <f>VLOOKUP($A34,'extended_recharge_2003-2015'!$A$1:$AH$265,$D$1,FALSE)</f>
        <v>#N/A</v>
      </c>
      <c r="F34" s="10"/>
      <c r="G34" s="11"/>
      <c r="L34" s="6"/>
    </row>
    <row r="35" spans="1:12" x14ac:dyDescent="0.2">
      <c r="A35" s="3">
        <v>8979</v>
      </c>
      <c r="B35" s="4">
        <f>VLOOKUP($A35,'existing_gw_inflows_1921-2003'!$A$1:$AH$1129,$D$1,FALSE)</f>
        <v>181.96</v>
      </c>
      <c r="C35" s="4" t="e">
        <f>VLOOKUP($A35,'extended_recharge_2003-2015'!$A$1:$AH$265,$D$1,FALSE)</f>
        <v>#N/A</v>
      </c>
      <c r="F35" s="10"/>
      <c r="G35" s="11"/>
      <c r="L35" s="6"/>
    </row>
    <row r="36" spans="1:12" x14ac:dyDescent="0.2">
      <c r="A36" s="3">
        <v>9010</v>
      </c>
      <c r="B36" s="4">
        <f>VLOOKUP($A36,'existing_gw_inflows_1921-2003'!$A$1:$AH$1129,$D$1,FALSE)</f>
        <v>199.86</v>
      </c>
      <c r="C36" s="4" t="e">
        <f>VLOOKUP($A36,'extended_recharge_2003-2015'!$A$1:$AH$265,$D$1,FALSE)</f>
        <v>#N/A</v>
      </c>
      <c r="F36" s="10"/>
      <c r="G36" s="11"/>
      <c r="L36" s="6"/>
    </row>
    <row r="37" spans="1:12" x14ac:dyDescent="0.2">
      <c r="A37" s="3">
        <v>9040</v>
      </c>
      <c r="B37" s="4">
        <f>VLOOKUP($A37,'existing_gw_inflows_1921-2003'!$A$1:$AH$1129,$D$1,FALSE)</f>
        <v>131.89000000000001</v>
      </c>
      <c r="C37" s="4" t="e">
        <f>VLOOKUP($A37,'extended_recharge_2003-2015'!$A$1:$AH$265,$D$1,FALSE)</f>
        <v>#N/A</v>
      </c>
      <c r="F37" s="10"/>
      <c r="G37" s="11"/>
      <c r="L37" s="6"/>
    </row>
    <row r="38" spans="1:12" x14ac:dyDescent="0.2">
      <c r="A38" s="3">
        <v>9071</v>
      </c>
      <c r="B38" s="4">
        <f>VLOOKUP($A38,'existing_gw_inflows_1921-2003'!$A$1:$AH$1129,$D$1,FALSE)</f>
        <v>279.67999999999995</v>
      </c>
      <c r="C38" s="4" t="e">
        <f>VLOOKUP($A38,'extended_recharge_2003-2015'!$A$1:$AH$265,$D$1,FALSE)</f>
        <v>#N/A</v>
      </c>
      <c r="G38" s="6"/>
      <c r="L38" s="6"/>
    </row>
    <row r="39" spans="1:12" x14ac:dyDescent="0.2">
      <c r="A39" s="3">
        <v>9101</v>
      </c>
      <c r="B39" s="4">
        <f>VLOOKUP($A39,'existing_gw_inflows_1921-2003'!$A$1:$AH$1129,$D$1,FALSE)</f>
        <v>261.63</v>
      </c>
      <c r="C39" s="4" t="e">
        <f>VLOOKUP($A39,'extended_recharge_2003-2015'!$A$1:$AH$265,$D$1,FALSE)</f>
        <v>#N/A</v>
      </c>
      <c r="G39" s="6"/>
      <c r="L39" s="6"/>
    </row>
    <row r="40" spans="1:12" x14ac:dyDescent="0.2">
      <c r="A40" s="3">
        <v>9132</v>
      </c>
      <c r="B40" s="4">
        <f>VLOOKUP($A40,'existing_gw_inflows_1921-2003'!$A$1:$AH$1129,$D$1,FALSE)</f>
        <v>454.21999999999991</v>
      </c>
      <c r="C40" s="4" t="e">
        <f>VLOOKUP($A40,'extended_recharge_2003-2015'!$A$1:$AH$265,$D$1,FALSE)</f>
        <v>#N/A</v>
      </c>
      <c r="G40" s="6"/>
      <c r="L40" s="6"/>
    </row>
    <row r="41" spans="1:12" x14ac:dyDescent="0.2">
      <c r="A41" s="3">
        <v>9163</v>
      </c>
      <c r="B41" s="4">
        <f>VLOOKUP($A41,'existing_gw_inflows_1921-2003'!$A$1:$AH$1129,$D$1,FALSE)</f>
        <v>137.06</v>
      </c>
      <c r="C41" s="4" t="e">
        <f>VLOOKUP($A41,'extended_recharge_2003-2015'!$A$1:$AH$265,$D$1,FALSE)</f>
        <v>#N/A</v>
      </c>
      <c r="G41" s="6"/>
      <c r="L41" s="6"/>
    </row>
    <row r="42" spans="1:12" x14ac:dyDescent="0.2">
      <c r="A42" s="3">
        <v>9191</v>
      </c>
      <c r="B42" s="4">
        <f>VLOOKUP($A42,'existing_gw_inflows_1921-2003'!$A$1:$AH$1129,$D$1,FALSE)</f>
        <v>1137.6500000000001</v>
      </c>
      <c r="C42" s="4" t="e">
        <f>VLOOKUP($A42,'extended_recharge_2003-2015'!$A$1:$AH$265,$D$1,FALSE)</f>
        <v>#N/A</v>
      </c>
      <c r="G42" s="6"/>
      <c r="L42" s="6"/>
    </row>
    <row r="43" spans="1:12" x14ac:dyDescent="0.2">
      <c r="A43" s="3">
        <v>9222</v>
      </c>
      <c r="B43" s="4">
        <f>VLOOKUP($A43,'existing_gw_inflows_1921-2003'!$A$1:$AH$1129,$D$1,FALSE)</f>
        <v>79.21999999999997</v>
      </c>
      <c r="C43" s="4" t="e">
        <f>VLOOKUP($A43,'extended_recharge_2003-2015'!$A$1:$AH$265,$D$1,FALSE)</f>
        <v>#N/A</v>
      </c>
      <c r="G43" s="6"/>
      <c r="L43" s="6"/>
    </row>
    <row r="44" spans="1:12" x14ac:dyDescent="0.2">
      <c r="A44" s="3">
        <v>9252</v>
      </c>
      <c r="B44" s="4">
        <f>VLOOKUP($A44,'existing_gw_inflows_1921-2003'!$A$1:$AH$1129,$D$1,FALSE)</f>
        <v>514.52</v>
      </c>
      <c r="C44" s="4" t="e">
        <f>VLOOKUP($A44,'extended_recharge_2003-2015'!$A$1:$AH$265,$D$1,FALSE)</f>
        <v>#N/A</v>
      </c>
      <c r="G44" s="6"/>
      <c r="L44" s="6"/>
    </row>
    <row r="45" spans="1:12" x14ac:dyDescent="0.2">
      <c r="A45" s="3">
        <v>9283</v>
      </c>
      <c r="B45" s="4">
        <f>VLOOKUP($A45,'existing_gw_inflows_1921-2003'!$A$1:$AH$1129,$D$1,FALSE)</f>
        <v>429.90000000000003</v>
      </c>
      <c r="C45" s="4" t="e">
        <f>VLOOKUP($A45,'extended_recharge_2003-2015'!$A$1:$AH$265,$D$1,FALSE)</f>
        <v>#N/A</v>
      </c>
      <c r="G45" s="6"/>
      <c r="L45" s="6"/>
    </row>
    <row r="46" spans="1:12" x14ac:dyDescent="0.2">
      <c r="A46" s="3">
        <v>9313</v>
      </c>
      <c r="B46" s="4">
        <f>VLOOKUP($A46,'existing_gw_inflows_1921-2003'!$A$1:$AH$1129,$D$1,FALSE)</f>
        <v>-24.180000000000035</v>
      </c>
      <c r="C46" s="4" t="e">
        <f>VLOOKUP($A46,'extended_recharge_2003-2015'!$A$1:$AH$265,$D$1,FALSE)</f>
        <v>#N/A</v>
      </c>
      <c r="G46" s="6"/>
      <c r="L46" s="6"/>
    </row>
    <row r="47" spans="1:12" x14ac:dyDescent="0.2">
      <c r="A47" s="3">
        <v>9344</v>
      </c>
      <c r="B47" s="4">
        <f>VLOOKUP($A47,'existing_gw_inflows_1921-2003'!$A$1:$AH$1129,$D$1,FALSE)</f>
        <v>-115.47999999999995</v>
      </c>
      <c r="C47" s="4" t="e">
        <f>VLOOKUP($A47,'extended_recharge_2003-2015'!$A$1:$AH$265,$D$1,FALSE)</f>
        <v>#N/A</v>
      </c>
      <c r="G47" s="6"/>
      <c r="L47" s="6"/>
    </row>
    <row r="48" spans="1:12" x14ac:dyDescent="0.2">
      <c r="A48" s="3">
        <v>9375</v>
      </c>
      <c r="B48" s="4">
        <f>VLOOKUP($A48,'existing_gw_inflows_1921-2003'!$A$1:$AH$1129,$D$1,FALSE)</f>
        <v>-4.8500000000000156</v>
      </c>
      <c r="C48" s="4" t="e">
        <f>VLOOKUP($A48,'extended_recharge_2003-2015'!$A$1:$AH$265,$D$1,FALSE)</f>
        <v>#N/A</v>
      </c>
      <c r="G48" s="6"/>
      <c r="L48" s="6"/>
    </row>
    <row r="49" spans="1:12" x14ac:dyDescent="0.2">
      <c r="A49" s="3">
        <v>9405</v>
      </c>
      <c r="B49" s="4">
        <f>VLOOKUP($A49,'existing_gw_inflows_1921-2003'!$A$1:$AH$1129,$D$1,FALSE)</f>
        <v>33.46</v>
      </c>
      <c r="C49" s="4" t="e">
        <f>VLOOKUP($A49,'extended_recharge_2003-2015'!$A$1:$AH$265,$D$1,FALSE)</f>
        <v>#N/A</v>
      </c>
      <c r="G49" s="6"/>
      <c r="L49" s="6"/>
    </row>
    <row r="50" spans="1:12" x14ac:dyDescent="0.2">
      <c r="A50" s="3">
        <v>9436</v>
      </c>
      <c r="B50" s="4">
        <f>VLOOKUP($A50,'existing_gw_inflows_1921-2003'!$A$1:$AH$1129,$D$1,FALSE)</f>
        <v>135.85999999999999</v>
      </c>
      <c r="C50" s="4" t="e">
        <f>VLOOKUP($A50,'extended_recharge_2003-2015'!$A$1:$AH$265,$D$1,FALSE)</f>
        <v>#N/A</v>
      </c>
      <c r="G50" s="6"/>
      <c r="L50" s="6"/>
    </row>
    <row r="51" spans="1:12" x14ac:dyDescent="0.2">
      <c r="A51" s="3">
        <v>9466</v>
      </c>
      <c r="B51" s="4">
        <f>VLOOKUP($A51,'existing_gw_inflows_1921-2003'!$A$1:$AH$1129,$D$1,FALSE)</f>
        <v>150.76000000000002</v>
      </c>
      <c r="C51" s="4" t="e">
        <f>VLOOKUP($A51,'extended_recharge_2003-2015'!$A$1:$AH$265,$D$1,FALSE)</f>
        <v>#N/A</v>
      </c>
      <c r="G51" s="6"/>
      <c r="L51" s="6"/>
    </row>
    <row r="52" spans="1:12" x14ac:dyDescent="0.2">
      <c r="A52" s="3">
        <v>9497</v>
      </c>
      <c r="B52" s="4">
        <f>VLOOKUP($A52,'existing_gw_inflows_1921-2003'!$A$1:$AH$1129,$D$1,FALSE)</f>
        <v>184.68</v>
      </c>
      <c r="C52" s="4" t="e">
        <f>VLOOKUP($A52,'extended_recharge_2003-2015'!$A$1:$AH$265,$D$1,FALSE)</f>
        <v>#N/A</v>
      </c>
      <c r="G52" s="6"/>
      <c r="L52" s="6"/>
    </row>
    <row r="53" spans="1:12" x14ac:dyDescent="0.2">
      <c r="A53" s="3">
        <v>9528</v>
      </c>
      <c r="B53" s="4">
        <f>VLOOKUP($A53,'existing_gw_inflows_1921-2003'!$A$1:$AH$1129,$D$1,FALSE)</f>
        <v>286.92000000000007</v>
      </c>
      <c r="C53" s="4" t="e">
        <f>VLOOKUP($A53,'extended_recharge_2003-2015'!$A$1:$AH$265,$D$1,FALSE)</f>
        <v>#N/A</v>
      </c>
      <c r="G53" s="6"/>
      <c r="L53" s="6"/>
    </row>
    <row r="54" spans="1:12" x14ac:dyDescent="0.2">
      <c r="A54" s="3">
        <v>9556</v>
      </c>
      <c r="B54" s="4">
        <f>VLOOKUP($A54,'existing_gw_inflows_1921-2003'!$A$1:$AH$1129,$D$1,FALSE)</f>
        <v>798.04999999999984</v>
      </c>
      <c r="C54" s="4" t="e">
        <f>VLOOKUP($A54,'extended_recharge_2003-2015'!$A$1:$AH$265,$D$1,FALSE)</f>
        <v>#N/A</v>
      </c>
      <c r="G54" s="6"/>
      <c r="L54" s="6"/>
    </row>
    <row r="55" spans="1:12" x14ac:dyDescent="0.2">
      <c r="A55" s="3">
        <v>9587</v>
      </c>
      <c r="B55" s="4">
        <f>VLOOKUP($A55,'existing_gw_inflows_1921-2003'!$A$1:$AH$1129,$D$1,FALSE)</f>
        <v>21.420000000000027</v>
      </c>
      <c r="C55" s="4" t="e">
        <f>VLOOKUP($A55,'extended_recharge_2003-2015'!$A$1:$AH$265,$D$1,FALSE)</f>
        <v>#N/A</v>
      </c>
      <c r="G55" s="6"/>
      <c r="L55" s="6"/>
    </row>
    <row r="56" spans="1:12" x14ac:dyDescent="0.2">
      <c r="A56" s="3">
        <v>9617</v>
      </c>
      <c r="B56" s="4">
        <f>VLOOKUP($A56,'existing_gw_inflows_1921-2003'!$A$1:$AH$1129,$D$1,FALSE)</f>
        <v>843.37999999999988</v>
      </c>
      <c r="C56" s="4" t="e">
        <f>VLOOKUP($A56,'extended_recharge_2003-2015'!$A$1:$AH$265,$D$1,FALSE)</f>
        <v>#N/A</v>
      </c>
      <c r="G56" s="6"/>
      <c r="L56" s="6"/>
    </row>
    <row r="57" spans="1:12" x14ac:dyDescent="0.2">
      <c r="A57" s="3">
        <v>9648</v>
      </c>
      <c r="B57" s="4">
        <f>VLOOKUP($A57,'existing_gw_inflows_1921-2003'!$A$1:$AH$1129,$D$1,FALSE)</f>
        <v>5.3000000000000149</v>
      </c>
      <c r="C57" s="4" t="e">
        <f>VLOOKUP($A57,'extended_recharge_2003-2015'!$A$1:$AH$265,$D$1,FALSE)</f>
        <v>#N/A</v>
      </c>
      <c r="G57" s="6"/>
      <c r="L57" s="6"/>
    </row>
    <row r="58" spans="1:12" x14ac:dyDescent="0.2">
      <c r="A58" s="3">
        <v>9678</v>
      </c>
      <c r="B58" s="4">
        <f>VLOOKUP($A58,'existing_gw_inflows_1921-2003'!$A$1:$AH$1129,$D$1,FALSE)</f>
        <v>-105.69</v>
      </c>
      <c r="C58" s="4" t="e">
        <f>VLOOKUP($A58,'extended_recharge_2003-2015'!$A$1:$AH$265,$D$1,FALSE)</f>
        <v>#N/A</v>
      </c>
      <c r="G58" s="6"/>
      <c r="L58" s="6"/>
    </row>
    <row r="59" spans="1:12" x14ac:dyDescent="0.2">
      <c r="A59" s="3">
        <v>9709</v>
      </c>
      <c r="B59" s="4">
        <f>VLOOKUP($A59,'existing_gw_inflows_1921-2003'!$A$1:$AH$1129,$D$1,FALSE)</f>
        <v>0.96000000000002217</v>
      </c>
      <c r="C59" s="4" t="e">
        <f>VLOOKUP($A59,'extended_recharge_2003-2015'!$A$1:$AH$265,$D$1,FALSE)</f>
        <v>#N/A</v>
      </c>
      <c r="G59" s="6"/>
      <c r="L59" s="6"/>
    </row>
    <row r="60" spans="1:12" x14ac:dyDescent="0.2">
      <c r="A60" s="3">
        <v>9740</v>
      </c>
      <c r="B60" s="4">
        <f>VLOOKUP($A60,'existing_gw_inflows_1921-2003'!$A$1:$AH$1129,$D$1,FALSE)</f>
        <v>100.95999999999998</v>
      </c>
      <c r="C60" s="4" t="e">
        <f>VLOOKUP($A60,'extended_recharge_2003-2015'!$A$1:$AH$265,$D$1,FALSE)</f>
        <v>#N/A</v>
      </c>
      <c r="G60" s="6"/>
      <c r="L60" s="6"/>
    </row>
    <row r="61" spans="1:12" x14ac:dyDescent="0.2">
      <c r="A61" s="3">
        <v>9770</v>
      </c>
      <c r="B61" s="4">
        <f>VLOOKUP($A61,'existing_gw_inflows_1921-2003'!$A$1:$AH$1129,$D$1,FALSE)</f>
        <v>91.81</v>
      </c>
      <c r="C61" s="4" t="e">
        <f>VLOOKUP($A61,'extended_recharge_2003-2015'!$A$1:$AH$265,$D$1,FALSE)</f>
        <v>#N/A</v>
      </c>
      <c r="G61" s="6"/>
      <c r="L61" s="6"/>
    </row>
    <row r="62" spans="1:12" x14ac:dyDescent="0.2">
      <c r="A62" s="3">
        <v>9801</v>
      </c>
      <c r="B62" s="4">
        <f>VLOOKUP($A62,'existing_gw_inflows_1921-2003'!$A$1:$AH$1129,$D$1,FALSE)</f>
        <v>149.98000000000002</v>
      </c>
      <c r="C62" s="4" t="e">
        <f>VLOOKUP($A62,'extended_recharge_2003-2015'!$A$1:$AH$265,$D$1,FALSE)</f>
        <v>#N/A</v>
      </c>
      <c r="G62" s="6"/>
      <c r="L62" s="6"/>
    </row>
    <row r="63" spans="1:12" x14ac:dyDescent="0.2">
      <c r="A63" s="3">
        <v>9831</v>
      </c>
      <c r="B63" s="4">
        <f>VLOOKUP($A63,'existing_gw_inflows_1921-2003'!$A$1:$AH$1129,$D$1,FALSE)</f>
        <v>954.80999999999983</v>
      </c>
      <c r="C63" s="4" t="e">
        <f>VLOOKUP($A63,'extended_recharge_2003-2015'!$A$1:$AH$265,$D$1,FALSE)</f>
        <v>#N/A</v>
      </c>
      <c r="G63" s="6"/>
      <c r="L63" s="6"/>
    </row>
    <row r="64" spans="1:12" x14ac:dyDescent="0.2">
      <c r="A64" s="3">
        <v>9862</v>
      </c>
      <c r="B64" s="4">
        <f>VLOOKUP($A64,'existing_gw_inflows_1921-2003'!$A$1:$AH$1129,$D$1,FALSE)</f>
        <v>173.45</v>
      </c>
      <c r="C64" s="4" t="e">
        <f>VLOOKUP($A64,'extended_recharge_2003-2015'!$A$1:$AH$265,$D$1,FALSE)</f>
        <v>#N/A</v>
      </c>
      <c r="G64" s="6"/>
      <c r="L64" s="6"/>
    </row>
    <row r="65" spans="1:12" x14ac:dyDescent="0.2">
      <c r="A65" s="3">
        <v>9893</v>
      </c>
      <c r="B65" s="4">
        <f>VLOOKUP($A65,'existing_gw_inflows_1921-2003'!$A$1:$AH$1129,$D$1,FALSE)</f>
        <v>361.30000000000013</v>
      </c>
      <c r="C65" s="4" t="e">
        <f>VLOOKUP($A65,'extended_recharge_2003-2015'!$A$1:$AH$265,$D$1,FALSE)</f>
        <v>#N/A</v>
      </c>
      <c r="G65" s="6"/>
      <c r="L65" s="6"/>
    </row>
    <row r="66" spans="1:12" x14ac:dyDescent="0.2">
      <c r="A66" s="3">
        <v>9921</v>
      </c>
      <c r="B66" s="4">
        <f>VLOOKUP($A66,'existing_gw_inflows_1921-2003'!$A$1:$AH$1129,$D$1,FALSE)</f>
        <v>1389.6900000000003</v>
      </c>
      <c r="C66" s="4" t="e">
        <f>VLOOKUP($A66,'extended_recharge_2003-2015'!$A$1:$AH$265,$D$1,FALSE)</f>
        <v>#N/A</v>
      </c>
      <c r="G66" s="6"/>
      <c r="L66" s="6"/>
    </row>
    <row r="67" spans="1:12" x14ac:dyDescent="0.2">
      <c r="A67" s="3">
        <v>9952</v>
      </c>
      <c r="B67" s="4">
        <f>VLOOKUP($A67,'existing_gw_inflows_1921-2003'!$A$1:$AH$1129,$D$1,FALSE)</f>
        <v>26.33000000000003</v>
      </c>
      <c r="C67" s="4" t="e">
        <f>VLOOKUP($A67,'extended_recharge_2003-2015'!$A$1:$AH$265,$D$1,FALSE)</f>
        <v>#N/A</v>
      </c>
      <c r="G67" s="6"/>
      <c r="L67" s="6"/>
    </row>
    <row r="68" spans="1:12" x14ac:dyDescent="0.2">
      <c r="A68" s="3">
        <v>9982</v>
      </c>
      <c r="B68" s="4">
        <f>VLOOKUP($A68,'existing_gw_inflows_1921-2003'!$A$1:$AH$1129,$D$1,FALSE)</f>
        <v>387.37</v>
      </c>
      <c r="C68" s="4" t="e">
        <f>VLOOKUP($A68,'extended_recharge_2003-2015'!$A$1:$AH$265,$D$1,FALSE)</f>
        <v>#N/A</v>
      </c>
      <c r="G68" s="6"/>
      <c r="L68" s="6"/>
    </row>
    <row r="69" spans="1:12" x14ac:dyDescent="0.2">
      <c r="A69" s="3">
        <v>10013</v>
      </c>
      <c r="B69" s="4">
        <f>VLOOKUP($A69,'existing_gw_inflows_1921-2003'!$A$1:$AH$1129,$D$1,FALSE)</f>
        <v>339.04999999999995</v>
      </c>
      <c r="C69" s="4" t="e">
        <f>VLOOKUP($A69,'extended_recharge_2003-2015'!$A$1:$AH$265,$D$1,FALSE)</f>
        <v>#N/A</v>
      </c>
      <c r="G69" s="6"/>
      <c r="L69" s="6"/>
    </row>
    <row r="70" spans="1:12" x14ac:dyDescent="0.2">
      <c r="A70" s="3">
        <v>10043</v>
      </c>
      <c r="B70" s="4">
        <f>VLOOKUP($A70,'existing_gw_inflows_1921-2003'!$A$1:$AH$1129,$D$1,FALSE)</f>
        <v>143.79999999999998</v>
      </c>
      <c r="C70" s="4" t="e">
        <f>VLOOKUP($A70,'extended_recharge_2003-2015'!$A$1:$AH$265,$D$1,FALSE)</f>
        <v>#N/A</v>
      </c>
      <c r="G70" s="6"/>
      <c r="L70" s="6"/>
    </row>
    <row r="71" spans="1:12" x14ac:dyDescent="0.2">
      <c r="A71" s="3">
        <v>10074</v>
      </c>
      <c r="B71" s="4">
        <f>VLOOKUP($A71,'existing_gw_inflows_1921-2003'!$A$1:$AH$1129,$D$1,FALSE)</f>
        <v>-239.06000000000006</v>
      </c>
      <c r="C71" s="4" t="e">
        <f>VLOOKUP($A71,'extended_recharge_2003-2015'!$A$1:$AH$265,$D$1,FALSE)</f>
        <v>#N/A</v>
      </c>
      <c r="G71" s="6"/>
      <c r="L71" s="6"/>
    </row>
    <row r="72" spans="1:12" x14ac:dyDescent="0.2">
      <c r="A72" s="3">
        <v>10105</v>
      </c>
      <c r="B72" s="4">
        <f>VLOOKUP($A72,'existing_gw_inflows_1921-2003'!$A$1:$AH$1129,$D$1,FALSE)</f>
        <v>-85.050000000000011</v>
      </c>
      <c r="C72" s="4" t="e">
        <f>VLOOKUP($A72,'extended_recharge_2003-2015'!$A$1:$AH$265,$D$1,FALSE)</f>
        <v>#N/A</v>
      </c>
      <c r="G72" s="6"/>
      <c r="L72" s="6"/>
    </row>
    <row r="73" spans="1:12" x14ac:dyDescent="0.2">
      <c r="A73" s="3">
        <v>10135</v>
      </c>
      <c r="B73" s="4">
        <f>VLOOKUP($A73,'existing_gw_inflows_1921-2003'!$A$1:$AH$1129,$D$1,FALSE)</f>
        <v>-18.54</v>
      </c>
      <c r="C73" s="4" t="e">
        <f>VLOOKUP($A73,'extended_recharge_2003-2015'!$A$1:$AH$265,$D$1,FALSE)</f>
        <v>#N/A</v>
      </c>
      <c r="G73" s="6"/>
      <c r="L73" s="6"/>
    </row>
    <row r="74" spans="1:12" x14ac:dyDescent="0.2">
      <c r="A74" s="3">
        <v>10166</v>
      </c>
      <c r="B74" s="4">
        <f>VLOOKUP($A74,'existing_gw_inflows_1921-2003'!$A$1:$AH$1129,$D$1,FALSE)</f>
        <v>139.19</v>
      </c>
      <c r="C74" s="4" t="e">
        <f>VLOOKUP($A74,'extended_recharge_2003-2015'!$A$1:$AH$265,$D$1,FALSE)</f>
        <v>#N/A</v>
      </c>
      <c r="G74" s="6"/>
      <c r="L74" s="6"/>
    </row>
    <row r="75" spans="1:12" x14ac:dyDescent="0.2">
      <c r="A75" s="3">
        <v>10196</v>
      </c>
      <c r="B75" s="4">
        <f>VLOOKUP($A75,'existing_gw_inflows_1921-2003'!$A$1:$AH$1129,$D$1,FALSE)</f>
        <v>390.67999999999995</v>
      </c>
      <c r="C75" s="4" t="e">
        <f>VLOOKUP($A75,'extended_recharge_2003-2015'!$A$1:$AH$265,$D$1,FALSE)</f>
        <v>#N/A</v>
      </c>
      <c r="G75" s="6"/>
      <c r="L75" s="6"/>
    </row>
    <row r="76" spans="1:12" x14ac:dyDescent="0.2">
      <c r="A76" s="3">
        <v>10227</v>
      </c>
      <c r="B76" s="4">
        <f>VLOOKUP($A76,'existing_gw_inflows_1921-2003'!$A$1:$AH$1129,$D$1,FALSE)</f>
        <v>236.23999999999998</v>
      </c>
      <c r="C76" s="4" t="e">
        <f>VLOOKUP($A76,'extended_recharge_2003-2015'!$A$1:$AH$265,$D$1,FALSE)</f>
        <v>#N/A</v>
      </c>
      <c r="G76" s="6"/>
      <c r="L76" s="6"/>
    </row>
    <row r="77" spans="1:12" x14ac:dyDescent="0.2">
      <c r="A77" s="3">
        <v>10258</v>
      </c>
      <c r="B77" s="4">
        <f>VLOOKUP($A77,'existing_gw_inflows_1921-2003'!$A$1:$AH$1129,$D$1,FALSE)</f>
        <v>202.14</v>
      </c>
      <c r="C77" s="4" t="e">
        <f>VLOOKUP($A77,'extended_recharge_2003-2015'!$A$1:$AH$265,$D$1,FALSE)</f>
        <v>#N/A</v>
      </c>
      <c r="G77" s="6"/>
      <c r="L77" s="6"/>
    </row>
    <row r="78" spans="1:12" x14ac:dyDescent="0.2">
      <c r="A78" s="3">
        <v>10287</v>
      </c>
      <c r="B78" s="4">
        <f>VLOOKUP($A78,'existing_gw_inflows_1921-2003'!$A$1:$AH$1129,$D$1,FALSE)</f>
        <v>309.85000000000002</v>
      </c>
      <c r="C78" s="4" t="e">
        <f>VLOOKUP($A78,'extended_recharge_2003-2015'!$A$1:$AH$265,$D$1,FALSE)</f>
        <v>#N/A</v>
      </c>
      <c r="G78" s="6"/>
      <c r="L78" s="6"/>
    </row>
    <row r="79" spans="1:12" x14ac:dyDescent="0.2">
      <c r="A79" s="3">
        <v>10318</v>
      </c>
      <c r="B79" s="4">
        <f>VLOOKUP($A79,'existing_gw_inflows_1921-2003'!$A$1:$AH$1129,$D$1,FALSE)</f>
        <v>911.23000000000013</v>
      </c>
      <c r="C79" s="4" t="e">
        <f>VLOOKUP($A79,'extended_recharge_2003-2015'!$A$1:$AH$265,$D$1,FALSE)</f>
        <v>#N/A</v>
      </c>
      <c r="G79" s="6"/>
      <c r="L79" s="6"/>
    </row>
    <row r="80" spans="1:12" x14ac:dyDescent="0.2">
      <c r="A80" s="3">
        <v>10348</v>
      </c>
      <c r="B80" s="4">
        <f>VLOOKUP($A80,'existing_gw_inflows_1921-2003'!$A$1:$AH$1129,$D$1,FALSE)</f>
        <v>65.200000000000017</v>
      </c>
      <c r="C80" s="4" t="e">
        <f>VLOOKUP($A80,'extended_recharge_2003-2015'!$A$1:$AH$265,$D$1,FALSE)</f>
        <v>#N/A</v>
      </c>
      <c r="G80" s="6"/>
      <c r="L80" s="6"/>
    </row>
    <row r="81" spans="1:12" x14ac:dyDescent="0.2">
      <c r="A81" s="3">
        <v>10379</v>
      </c>
      <c r="B81" s="4">
        <f>VLOOKUP($A81,'existing_gw_inflows_1921-2003'!$A$1:$AH$1129,$D$1,FALSE)</f>
        <v>135.36000000000001</v>
      </c>
      <c r="C81" s="4" t="e">
        <f>VLOOKUP($A81,'extended_recharge_2003-2015'!$A$1:$AH$265,$D$1,FALSE)</f>
        <v>#N/A</v>
      </c>
      <c r="G81" s="6"/>
      <c r="L81" s="6"/>
    </row>
    <row r="82" spans="1:12" x14ac:dyDescent="0.2">
      <c r="A82" s="3">
        <v>10409</v>
      </c>
      <c r="B82" s="4">
        <f>VLOOKUP($A82,'existing_gw_inflows_1921-2003'!$A$1:$AH$1129,$D$1,FALSE)</f>
        <v>-56.380000000000024</v>
      </c>
      <c r="C82" s="4" t="e">
        <f>VLOOKUP($A82,'extended_recharge_2003-2015'!$A$1:$AH$265,$D$1,FALSE)</f>
        <v>#N/A</v>
      </c>
      <c r="G82" s="6"/>
      <c r="L82" s="6"/>
    </row>
    <row r="83" spans="1:12" x14ac:dyDescent="0.2">
      <c r="A83" s="3">
        <v>10440</v>
      </c>
      <c r="B83" s="4">
        <f>VLOOKUP($A83,'existing_gw_inflows_1921-2003'!$A$1:$AH$1129,$D$1,FALSE)</f>
        <v>-1.6800000000000068</v>
      </c>
      <c r="C83" s="4" t="e">
        <f>VLOOKUP($A83,'extended_recharge_2003-2015'!$A$1:$AH$265,$D$1,FALSE)</f>
        <v>#N/A</v>
      </c>
      <c r="G83" s="6"/>
      <c r="L83" s="6"/>
    </row>
    <row r="84" spans="1:12" x14ac:dyDescent="0.2">
      <c r="A84" s="3">
        <v>10471</v>
      </c>
      <c r="B84" s="4">
        <f>VLOOKUP($A84,'existing_gw_inflows_1921-2003'!$A$1:$AH$1129,$D$1,FALSE)</f>
        <v>101.69</v>
      </c>
      <c r="C84" s="4" t="e">
        <f>VLOOKUP($A84,'extended_recharge_2003-2015'!$A$1:$AH$265,$D$1,FALSE)</f>
        <v>#N/A</v>
      </c>
      <c r="G84" s="6"/>
      <c r="L84" s="6"/>
    </row>
    <row r="85" spans="1:12" x14ac:dyDescent="0.2">
      <c r="A85" s="3">
        <v>10501</v>
      </c>
      <c r="B85" s="4">
        <f>VLOOKUP($A85,'existing_gw_inflows_1921-2003'!$A$1:$AH$1129,$D$1,FALSE)</f>
        <v>98.42</v>
      </c>
      <c r="C85" s="4" t="e">
        <f>VLOOKUP($A85,'extended_recharge_2003-2015'!$A$1:$AH$265,$D$1,FALSE)</f>
        <v>#N/A</v>
      </c>
      <c r="G85" s="6"/>
      <c r="L85" s="6"/>
    </row>
    <row r="86" spans="1:12" x14ac:dyDescent="0.2">
      <c r="A86" s="3">
        <v>10532</v>
      </c>
      <c r="B86" s="4">
        <f>VLOOKUP($A86,'existing_gw_inflows_1921-2003'!$A$1:$AH$1129,$D$1,FALSE)</f>
        <v>143.11000000000001</v>
      </c>
      <c r="C86" s="4" t="e">
        <f>VLOOKUP($A86,'extended_recharge_2003-2015'!$A$1:$AH$265,$D$1,FALSE)</f>
        <v>#N/A</v>
      </c>
      <c r="G86" s="6"/>
      <c r="L86" s="6"/>
    </row>
    <row r="87" spans="1:12" x14ac:dyDescent="0.2">
      <c r="A87" s="3">
        <v>10562</v>
      </c>
      <c r="B87" s="4">
        <f>VLOOKUP($A87,'existing_gw_inflows_1921-2003'!$A$1:$AH$1129,$D$1,FALSE)</f>
        <v>258.42999999999995</v>
      </c>
      <c r="C87" s="4" t="e">
        <f>VLOOKUP($A87,'extended_recharge_2003-2015'!$A$1:$AH$265,$D$1,FALSE)</f>
        <v>#N/A</v>
      </c>
      <c r="G87" s="6"/>
      <c r="L87" s="6"/>
    </row>
    <row r="88" spans="1:12" x14ac:dyDescent="0.2">
      <c r="A88" s="3">
        <v>10593</v>
      </c>
      <c r="B88" s="4">
        <f>VLOOKUP($A88,'existing_gw_inflows_1921-2003'!$A$1:$AH$1129,$D$1,FALSE)</f>
        <v>243.98000000000008</v>
      </c>
      <c r="C88" s="4" t="e">
        <f>VLOOKUP($A88,'extended_recharge_2003-2015'!$A$1:$AH$265,$D$1,FALSE)</f>
        <v>#N/A</v>
      </c>
      <c r="G88" s="6"/>
      <c r="L88" s="6"/>
    </row>
    <row r="89" spans="1:12" x14ac:dyDescent="0.2">
      <c r="A89" s="3">
        <v>10624</v>
      </c>
      <c r="B89" s="4">
        <f>VLOOKUP($A89,'existing_gw_inflows_1921-2003'!$A$1:$AH$1129,$D$1,FALSE)</f>
        <v>70.14</v>
      </c>
      <c r="C89" s="4" t="e">
        <f>VLOOKUP($A89,'extended_recharge_2003-2015'!$A$1:$AH$265,$D$1,FALSE)</f>
        <v>#N/A</v>
      </c>
      <c r="G89" s="6"/>
      <c r="L89" s="6"/>
    </row>
    <row r="90" spans="1:12" x14ac:dyDescent="0.2">
      <c r="A90" s="3">
        <v>10652</v>
      </c>
      <c r="B90" s="4">
        <f>VLOOKUP($A90,'existing_gw_inflows_1921-2003'!$A$1:$AH$1129,$D$1,FALSE)</f>
        <v>192.04</v>
      </c>
      <c r="C90" s="4" t="e">
        <f>VLOOKUP($A90,'extended_recharge_2003-2015'!$A$1:$AH$265,$D$1,FALSE)</f>
        <v>#N/A</v>
      </c>
      <c r="G90" s="6"/>
      <c r="L90" s="6"/>
    </row>
    <row r="91" spans="1:12" x14ac:dyDescent="0.2">
      <c r="A91" s="3">
        <v>10683</v>
      </c>
      <c r="B91" s="4">
        <f>VLOOKUP($A91,'existing_gw_inflows_1921-2003'!$A$1:$AH$1129,$D$1,FALSE)</f>
        <v>208.93</v>
      </c>
      <c r="C91" s="4" t="e">
        <f>VLOOKUP($A91,'extended_recharge_2003-2015'!$A$1:$AH$265,$D$1,FALSE)</f>
        <v>#N/A</v>
      </c>
      <c r="G91" s="6"/>
      <c r="L91" s="6"/>
    </row>
    <row r="92" spans="1:12" x14ac:dyDescent="0.2">
      <c r="A92" s="3">
        <v>10713</v>
      </c>
      <c r="B92" s="4">
        <f>VLOOKUP($A92,'existing_gw_inflows_1921-2003'!$A$1:$AH$1129,$D$1,FALSE)</f>
        <v>152.55000000000001</v>
      </c>
      <c r="C92" s="4" t="e">
        <f>VLOOKUP($A92,'extended_recharge_2003-2015'!$A$1:$AH$265,$D$1,FALSE)</f>
        <v>#N/A</v>
      </c>
      <c r="G92" s="6"/>
      <c r="L92" s="6"/>
    </row>
    <row r="93" spans="1:12" x14ac:dyDescent="0.2">
      <c r="A93" s="3">
        <v>10744</v>
      </c>
      <c r="B93" s="4">
        <f>VLOOKUP($A93,'existing_gw_inflows_1921-2003'!$A$1:$AH$1129,$D$1,FALSE)</f>
        <v>296.66000000000003</v>
      </c>
      <c r="C93" s="4" t="e">
        <f>VLOOKUP($A93,'extended_recharge_2003-2015'!$A$1:$AH$265,$D$1,FALSE)</f>
        <v>#N/A</v>
      </c>
      <c r="G93" s="6"/>
      <c r="L93" s="6"/>
    </row>
    <row r="94" spans="1:12" x14ac:dyDescent="0.2">
      <c r="A94" s="3">
        <v>10774</v>
      </c>
      <c r="B94" s="4">
        <f>VLOOKUP($A94,'existing_gw_inflows_1921-2003'!$A$1:$AH$1129,$D$1,FALSE)</f>
        <v>138.73999999999998</v>
      </c>
      <c r="C94" s="4" t="e">
        <f>VLOOKUP($A94,'extended_recharge_2003-2015'!$A$1:$AH$265,$D$1,FALSE)</f>
        <v>#N/A</v>
      </c>
      <c r="G94" s="6"/>
      <c r="L94" s="6"/>
    </row>
    <row r="95" spans="1:12" x14ac:dyDescent="0.2">
      <c r="A95" s="3">
        <v>10805</v>
      </c>
      <c r="B95" s="4">
        <f>VLOOKUP($A95,'existing_gw_inflows_1921-2003'!$A$1:$AH$1129,$D$1,FALSE)</f>
        <v>142.20999999999998</v>
      </c>
      <c r="C95" s="4" t="e">
        <f>VLOOKUP($A95,'extended_recharge_2003-2015'!$A$1:$AH$265,$D$1,FALSE)</f>
        <v>#N/A</v>
      </c>
      <c r="G95" s="6"/>
      <c r="L95" s="6"/>
    </row>
    <row r="96" spans="1:12" x14ac:dyDescent="0.2">
      <c r="A96" s="3">
        <v>10836</v>
      </c>
      <c r="B96" s="4">
        <f>VLOOKUP($A96,'existing_gw_inflows_1921-2003'!$A$1:$AH$1129,$D$1,FALSE)</f>
        <v>194.99</v>
      </c>
      <c r="C96" s="4" t="e">
        <f>VLOOKUP($A96,'extended_recharge_2003-2015'!$A$1:$AH$265,$D$1,FALSE)</f>
        <v>#N/A</v>
      </c>
      <c r="G96" s="6"/>
      <c r="L96" s="6"/>
    </row>
    <row r="97" spans="1:12" x14ac:dyDescent="0.2">
      <c r="A97" s="3">
        <v>10866</v>
      </c>
      <c r="B97" s="4">
        <f>VLOOKUP($A97,'existing_gw_inflows_1921-2003'!$A$1:$AH$1129,$D$1,FALSE)</f>
        <v>98.690000000000012</v>
      </c>
      <c r="C97" s="4" t="e">
        <f>VLOOKUP($A97,'extended_recharge_2003-2015'!$A$1:$AH$265,$D$1,FALSE)</f>
        <v>#N/A</v>
      </c>
      <c r="G97" s="6"/>
      <c r="L97" s="6"/>
    </row>
    <row r="98" spans="1:12" x14ac:dyDescent="0.2">
      <c r="A98" s="3">
        <v>10897</v>
      </c>
      <c r="B98" s="4">
        <f>VLOOKUP($A98,'existing_gw_inflows_1921-2003'!$A$1:$AH$1129,$D$1,FALSE)</f>
        <v>105.11</v>
      </c>
      <c r="C98" s="4" t="e">
        <f>VLOOKUP($A98,'extended_recharge_2003-2015'!$A$1:$AH$265,$D$1,FALSE)</f>
        <v>#N/A</v>
      </c>
      <c r="G98" s="6"/>
      <c r="L98" s="6"/>
    </row>
    <row r="99" spans="1:12" x14ac:dyDescent="0.2">
      <c r="A99" s="3">
        <v>10927</v>
      </c>
      <c r="B99" s="4">
        <f>VLOOKUP($A99,'existing_gw_inflows_1921-2003'!$A$1:$AH$1129,$D$1,FALSE)</f>
        <v>99.289999999999992</v>
      </c>
      <c r="C99" s="4" t="e">
        <f>VLOOKUP($A99,'extended_recharge_2003-2015'!$A$1:$AH$265,$D$1,FALSE)</f>
        <v>#N/A</v>
      </c>
      <c r="G99" s="6"/>
      <c r="L99" s="6"/>
    </row>
    <row r="100" spans="1:12" x14ac:dyDescent="0.2">
      <c r="A100" s="3">
        <v>10958</v>
      </c>
      <c r="B100" s="4">
        <f>VLOOKUP($A100,'existing_gw_inflows_1921-2003'!$A$1:$AH$1129,$D$1,FALSE)</f>
        <v>630.67999999999984</v>
      </c>
      <c r="C100" s="4" t="e">
        <f>VLOOKUP($A100,'extended_recharge_2003-2015'!$A$1:$AH$265,$D$1,FALSE)</f>
        <v>#N/A</v>
      </c>
      <c r="G100" s="6"/>
      <c r="L100" s="6"/>
    </row>
    <row r="101" spans="1:12" x14ac:dyDescent="0.2">
      <c r="A101" s="3">
        <v>10989</v>
      </c>
      <c r="B101" s="4">
        <f>VLOOKUP($A101,'existing_gw_inflows_1921-2003'!$A$1:$AH$1129,$D$1,FALSE)</f>
        <v>273.68</v>
      </c>
      <c r="C101" s="4" t="e">
        <f>VLOOKUP($A101,'extended_recharge_2003-2015'!$A$1:$AH$265,$D$1,FALSE)</f>
        <v>#N/A</v>
      </c>
      <c r="G101" s="6"/>
      <c r="L101" s="6"/>
    </row>
    <row r="102" spans="1:12" x14ac:dyDescent="0.2">
      <c r="A102" s="3">
        <v>11017</v>
      </c>
      <c r="B102" s="4">
        <f>VLOOKUP($A102,'existing_gw_inflows_1921-2003'!$A$1:$AH$1129,$D$1,FALSE)</f>
        <v>197.05000000000004</v>
      </c>
      <c r="C102" s="4" t="e">
        <f>VLOOKUP($A102,'extended_recharge_2003-2015'!$A$1:$AH$265,$D$1,FALSE)</f>
        <v>#N/A</v>
      </c>
      <c r="G102" s="6"/>
      <c r="L102" s="6"/>
    </row>
    <row r="103" spans="1:12" x14ac:dyDescent="0.2">
      <c r="A103" s="3">
        <v>11048</v>
      </c>
      <c r="B103" s="4">
        <f>VLOOKUP($A103,'existing_gw_inflows_1921-2003'!$A$1:$AH$1129,$D$1,FALSE)</f>
        <v>383.13</v>
      </c>
      <c r="C103" s="4" t="e">
        <f>VLOOKUP($A103,'extended_recharge_2003-2015'!$A$1:$AH$265,$D$1,FALSE)</f>
        <v>#N/A</v>
      </c>
      <c r="G103" s="6"/>
      <c r="L103" s="6"/>
    </row>
    <row r="104" spans="1:12" x14ac:dyDescent="0.2">
      <c r="A104" s="3">
        <v>11078</v>
      </c>
      <c r="B104" s="4">
        <f>VLOOKUP($A104,'existing_gw_inflows_1921-2003'!$A$1:$AH$1129,$D$1,FALSE)</f>
        <v>145.87</v>
      </c>
      <c r="C104" s="4" t="e">
        <f>VLOOKUP($A104,'extended_recharge_2003-2015'!$A$1:$AH$265,$D$1,FALSE)</f>
        <v>#N/A</v>
      </c>
      <c r="G104" s="6"/>
      <c r="L104" s="6"/>
    </row>
    <row r="105" spans="1:12" x14ac:dyDescent="0.2">
      <c r="A105" s="3">
        <v>11109</v>
      </c>
      <c r="B105" s="4">
        <f>VLOOKUP($A105,'existing_gw_inflows_1921-2003'!$A$1:$AH$1129,$D$1,FALSE)</f>
        <v>87.52000000000001</v>
      </c>
      <c r="C105" s="4" t="e">
        <f>VLOOKUP($A105,'extended_recharge_2003-2015'!$A$1:$AH$265,$D$1,FALSE)</f>
        <v>#N/A</v>
      </c>
      <c r="G105" s="6"/>
      <c r="L105" s="6"/>
    </row>
    <row r="106" spans="1:12" x14ac:dyDescent="0.2">
      <c r="A106" s="3">
        <v>11139</v>
      </c>
      <c r="B106" s="4">
        <f>VLOOKUP($A106,'existing_gw_inflows_1921-2003'!$A$1:$AH$1129,$D$1,FALSE)</f>
        <v>128.69000000000003</v>
      </c>
      <c r="C106" s="4" t="e">
        <f>VLOOKUP($A106,'extended_recharge_2003-2015'!$A$1:$AH$265,$D$1,FALSE)</f>
        <v>#N/A</v>
      </c>
      <c r="G106" s="6"/>
      <c r="L106" s="6"/>
    </row>
    <row r="107" spans="1:12" x14ac:dyDescent="0.2">
      <c r="A107" s="3">
        <v>11170</v>
      </c>
      <c r="B107" s="4">
        <f>VLOOKUP($A107,'existing_gw_inflows_1921-2003'!$A$1:$AH$1129,$D$1,FALSE)</f>
        <v>81.800000000000026</v>
      </c>
      <c r="C107" s="4" t="e">
        <f>VLOOKUP($A107,'extended_recharge_2003-2015'!$A$1:$AH$265,$D$1,FALSE)</f>
        <v>#N/A</v>
      </c>
      <c r="G107" s="6"/>
      <c r="L107" s="6"/>
    </row>
    <row r="108" spans="1:12" x14ac:dyDescent="0.2">
      <c r="A108" s="3">
        <v>11201</v>
      </c>
      <c r="B108" s="4">
        <f>VLOOKUP($A108,'existing_gw_inflows_1921-2003'!$A$1:$AH$1129,$D$1,FALSE)</f>
        <v>152.54</v>
      </c>
      <c r="C108" s="4" t="e">
        <f>VLOOKUP($A108,'extended_recharge_2003-2015'!$A$1:$AH$265,$D$1,FALSE)</f>
        <v>#N/A</v>
      </c>
      <c r="G108" s="6"/>
      <c r="L108" s="6"/>
    </row>
    <row r="109" spans="1:12" x14ac:dyDescent="0.2">
      <c r="A109" s="3">
        <v>11231</v>
      </c>
      <c r="B109" s="4">
        <f>VLOOKUP($A109,'existing_gw_inflows_1921-2003'!$A$1:$AH$1129,$D$1,FALSE)</f>
        <v>97.699999999999989</v>
      </c>
      <c r="C109" s="4" t="e">
        <f>VLOOKUP($A109,'extended_recharge_2003-2015'!$A$1:$AH$265,$D$1,FALSE)</f>
        <v>#N/A</v>
      </c>
      <c r="G109" s="6"/>
      <c r="L109" s="6"/>
    </row>
    <row r="110" spans="1:12" x14ac:dyDescent="0.2">
      <c r="A110" s="3">
        <v>11262</v>
      </c>
      <c r="B110" s="4">
        <f>VLOOKUP($A110,'existing_gw_inflows_1921-2003'!$A$1:$AH$1129,$D$1,FALSE)</f>
        <v>72.960000000000008</v>
      </c>
      <c r="C110" s="4" t="e">
        <f>VLOOKUP($A110,'extended_recharge_2003-2015'!$A$1:$AH$265,$D$1,FALSE)</f>
        <v>#N/A</v>
      </c>
      <c r="G110" s="6"/>
      <c r="L110" s="6"/>
    </row>
    <row r="111" spans="1:12" x14ac:dyDescent="0.2">
      <c r="A111" s="3">
        <v>11292</v>
      </c>
      <c r="B111" s="4">
        <f>VLOOKUP($A111,'existing_gw_inflows_1921-2003'!$A$1:$AH$1129,$D$1,FALSE)</f>
        <v>134.79999999999998</v>
      </c>
      <c r="C111" s="4" t="e">
        <f>VLOOKUP($A111,'extended_recharge_2003-2015'!$A$1:$AH$265,$D$1,FALSE)</f>
        <v>#N/A</v>
      </c>
      <c r="G111" s="6"/>
      <c r="L111" s="6"/>
    </row>
    <row r="112" spans="1:12" x14ac:dyDescent="0.2">
      <c r="A112" s="3">
        <v>11323</v>
      </c>
      <c r="B112" s="4">
        <f>VLOOKUP($A112,'existing_gw_inflows_1921-2003'!$A$1:$AH$1129,$D$1,FALSE)</f>
        <v>80.84</v>
      </c>
      <c r="C112" s="4" t="e">
        <f>VLOOKUP($A112,'extended_recharge_2003-2015'!$A$1:$AH$265,$D$1,FALSE)</f>
        <v>#N/A</v>
      </c>
      <c r="G112" s="6"/>
      <c r="L112" s="6"/>
    </row>
    <row r="113" spans="1:12" x14ac:dyDescent="0.2">
      <c r="A113" s="3">
        <v>11354</v>
      </c>
      <c r="B113" s="4">
        <f>VLOOKUP($A113,'existing_gw_inflows_1921-2003'!$A$1:$AH$1129,$D$1,FALSE)</f>
        <v>359.70000000000005</v>
      </c>
      <c r="C113" s="4" t="e">
        <f>VLOOKUP($A113,'extended_recharge_2003-2015'!$A$1:$AH$265,$D$1,FALSE)</f>
        <v>#N/A</v>
      </c>
      <c r="G113" s="6"/>
      <c r="L113" s="6"/>
    </row>
    <row r="114" spans="1:12" x14ac:dyDescent="0.2">
      <c r="A114" s="3">
        <v>11382</v>
      </c>
      <c r="B114" s="4">
        <f>VLOOKUP($A114,'existing_gw_inflows_1921-2003'!$A$1:$AH$1129,$D$1,FALSE)</f>
        <v>49.95</v>
      </c>
      <c r="C114" s="4" t="e">
        <f>VLOOKUP($A114,'extended_recharge_2003-2015'!$A$1:$AH$265,$D$1,FALSE)</f>
        <v>#N/A</v>
      </c>
      <c r="G114" s="6"/>
      <c r="L114" s="6"/>
    </row>
    <row r="115" spans="1:12" x14ac:dyDescent="0.2">
      <c r="A115" s="3">
        <v>11413</v>
      </c>
      <c r="B115" s="4">
        <f>VLOOKUP($A115,'existing_gw_inflows_1921-2003'!$A$1:$AH$1129,$D$1,FALSE)</f>
        <v>141.73000000000002</v>
      </c>
      <c r="C115" s="4" t="e">
        <f>VLOOKUP($A115,'extended_recharge_2003-2015'!$A$1:$AH$265,$D$1,FALSE)</f>
        <v>#N/A</v>
      </c>
      <c r="G115" s="6"/>
      <c r="L115" s="6"/>
    </row>
    <row r="116" spans="1:12" x14ac:dyDescent="0.2">
      <c r="A116" s="3">
        <v>11443</v>
      </c>
      <c r="B116" s="4">
        <f>VLOOKUP($A116,'existing_gw_inflows_1921-2003'!$A$1:$AH$1129,$D$1,FALSE)</f>
        <v>77.66</v>
      </c>
      <c r="C116" s="4" t="e">
        <f>VLOOKUP($A116,'extended_recharge_2003-2015'!$A$1:$AH$265,$D$1,FALSE)</f>
        <v>#N/A</v>
      </c>
      <c r="G116" s="6"/>
      <c r="L116" s="6"/>
    </row>
    <row r="117" spans="1:12" x14ac:dyDescent="0.2">
      <c r="A117" s="3">
        <v>11474</v>
      </c>
      <c r="B117" s="4">
        <f>VLOOKUP($A117,'existing_gw_inflows_1921-2003'!$A$1:$AH$1129,$D$1,FALSE)</f>
        <v>126</v>
      </c>
      <c r="C117" s="4" t="e">
        <f>VLOOKUP($A117,'extended_recharge_2003-2015'!$A$1:$AH$265,$D$1,FALSE)</f>
        <v>#N/A</v>
      </c>
      <c r="G117" s="6"/>
      <c r="L117" s="6"/>
    </row>
    <row r="118" spans="1:12" x14ac:dyDescent="0.2">
      <c r="A118" s="3">
        <v>11504</v>
      </c>
      <c r="B118" s="4">
        <f>VLOOKUP($A118,'existing_gw_inflows_1921-2003'!$A$1:$AH$1129,$D$1,FALSE)</f>
        <v>95.22</v>
      </c>
      <c r="C118" s="4" t="e">
        <f>VLOOKUP($A118,'extended_recharge_2003-2015'!$A$1:$AH$265,$D$1,FALSE)</f>
        <v>#N/A</v>
      </c>
      <c r="G118" s="6"/>
      <c r="L118" s="6"/>
    </row>
    <row r="119" spans="1:12" x14ac:dyDescent="0.2">
      <c r="A119" s="3">
        <v>11535</v>
      </c>
      <c r="B119" s="4">
        <f>VLOOKUP($A119,'existing_gw_inflows_1921-2003'!$A$1:$AH$1129,$D$1,FALSE)</f>
        <v>211.75</v>
      </c>
      <c r="C119" s="4" t="e">
        <f>VLOOKUP($A119,'extended_recharge_2003-2015'!$A$1:$AH$265,$D$1,FALSE)</f>
        <v>#N/A</v>
      </c>
      <c r="G119" s="6"/>
      <c r="L119" s="6"/>
    </row>
    <row r="120" spans="1:12" x14ac:dyDescent="0.2">
      <c r="A120" s="3">
        <v>11566</v>
      </c>
      <c r="B120" s="4">
        <f>VLOOKUP($A120,'existing_gw_inflows_1921-2003'!$A$1:$AH$1129,$D$1,FALSE)</f>
        <v>207.34</v>
      </c>
      <c r="C120" s="4" t="e">
        <f>VLOOKUP($A120,'extended_recharge_2003-2015'!$A$1:$AH$265,$D$1,FALSE)</f>
        <v>#N/A</v>
      </c>
      <c r="G120" s="6"/>
      <c r="L120" s="6"/>
    </row>
    <row r="121" spans="1:12" x14ac:dyDescent="0.2">
      <c r="A121" s="3">
        <v>11596</v>
      </c>
      <c r="B121" s="4">
        <f>VLOOKUP($A121,'existing_gw_inflows_1921-2003'!$A$1:$AH$1129,$D$1,FALSE)</f>
        <v>102.92999999999999</v>
      </c>
      <c r="C121" s="4" t="e">
        <f>VLOOKUP($A121,'extended_recharge_2003-2015'!$A$1:$AH$265,$D$1,FALSE)</f>
        <v>#N/A</v>
      </c>
      <c r="G121" s="6"/>
      <c r="L121" s="6"/>
    </row>
    <row r="122" spans="1:12" x14ac:dyDescent="0.2">
      <c r="A122" s="3">
        <v>11627</v>
      </c>
      <c r="B122" s="4">
        <f>VLOOKUP($A122,'existing_gw_inflows_1921-2003'!$A$1:$AH$1129,$D$1,FALSE)</f>
        <v>128.43</v>
      </c>
      <c r="C122" s="4" t="e">
        <f>VLOOKUP($A122,'extended_recharge_2003-2015'!$A$1:$AH$265,$D$1,FALSE)</f>
        <v>#N/A</v>
      </c>
      <c r="G122" s="6"/>
      <c r="L122" s="6"/>
    </row>
    <row r="123" spans="1:12" x14ac:dyDescent="0.2">
      <c r="A123" s="3">
        <v>11657</v>
      </c>
      <c r="B123" s="4">
        <f>VLOOKUP($A123,'existing_gw_inflows_1921-2003'!$A$1:$AH$1129,$D$1,FALSE)</f>
        <v>199.49000000000004</v>
      </c>
      <c r="C123" s="4" t="e">
        <f>VLOOKUP($A123,'extended_recharge_2003-2015'!$A$1:$AH$265,$D$1,FALSE)</f>
        <v>#N/A</v>
      </c>
      <c r="G123" s="6"/>
      <c r="L123" s="6"/>
    </row>
    <row r="124" spans="1:12" x14ac:dyDescent="0.2">
      <c r="A124" s="3">
        <v>11688</v>
      </c>
      <c r="B124" s="4">
        <f>VLOOKUP($A124,'existing_gw_inflows_1921-2003'!$A$1:$AH$1129,$D$1,FALSE)</f>
        <v>1114.81</v>
      </c>
      <c r="C124" s="4" t="e">
        <f>VLOOKUP($A124,'extended_recharge_2003-2015'!$A$1:$AH$265,$D$1,FALSE)</f>
        <v>#N/A</v>
      </c>
      <c r="G124" s="6"/>
      <c r="L124" s="6"/>
    </row>
    <row r="125" spans="1:12" x14ac:dyDescent="0.2">
      <c r="A125" s="3">
        <v>11719</v>
      </c>
      <c r="B125" s="4">
        <f>VLOOKUP($A125,'existing_gw_inflows_1921-2003'!$A$1:$AH$1129,$D$1,FALSE)</f>
        <v>211.28</v>
      </c>
      <c r="C125" s="4" t="e">
        <f>VLOOKUP($A125,'extended_recharge_2003-2015'!$A$1:$AH$265,$D$1,FALSE)</f>
        <v>#N/A</v>
      </c>
      <c r="G125" s="6"/>
      <c r="L125" s="6"/>
    </row>
    <row r="126" spans="1:12" x14ac:dyDescent="0.2">
      <c r="A126" s="3">
        <v>11748</v>
      </c>
      <c r="B126" s="4">
        <f>VLOOKUP($A126,'existing_gw_inflows_1921-2003'!$A$1:$AH$1129,$D$1,FALSE)</f>
        <v>505.96</v>
      </c>
      <c r="C126" s="4" t="e">
        <f>VLOOKUP($A126,'extended_recharge_2003-2015'!$A$1:$AH$265,$D$1,FALSE)</f>
        <v>#N/A</v>
      </c>
      <c r="G126" s="6"/>
      <c r="L126" s="6"/>
    </row>
    <row r="127" spans="1:12" x14ac:dyDescent="0.2">
      <c r="A127" s="3">
        <v>11779</v>
      </c>
      <c r="B127" s="4">
        <f>VLOOKUP($A127,'existing_gw_inflows_1921-2003'!$A$1:$AH$1129,$D$1,FALSE)</f>
        <v>262.26</v>
      </c>
      <c r="C127" s="4" t="e">
        <f>VLOOKUP($A127,'extended_recharge_2003-2015'!$A$1:$AH$265,$D$1,FALSE)</f>
        <v>#N/A</v>
      </c>
      <c r="G127" s="6"/>
      <c r="L127" s="6"/>
    </row>
    <row r="128" spans="1:12" x14ac:dyDescent="0.2">
      <c r="A128" s="3">
        <v>11809</v>
      </c>
      <c r="B128" s="4">
        <f>VLOOKUP($A128,'existing_gw_inflows_1921-2003'!$A$1:$AH$1129,$D$1,FALSE)</f>
        <v>282.45000000000005</v>
      </c>
      <c r="C128" s="4" t="e">
        <f>VLOOKUP($A128,'extended_recharge_2003-2015'!$A$1:$AH$265,$D$1,FALSE)</f>
        <v>#N/A</v>
      </c>
      <c r="G128" s="6"/>
      <c r="L128" s="6"/>
    </row>
    <row r="129" spans="1:12" x14ac:dyDescent="0.2">
      <c r="A129" s="3">
        <v>11840</v>
      </c>
      <c r="B129" s="4">
        <f>VLOOKUP($A129,'existing_gw_inflows_1921-2003'!$A$1:$AH$1129,$D$1,FALSE)</f>
        <v>615.1400000000001</v>
      </c>
      <c r="C129" s="4" t="e">
        <f>VLOOKUP($A129,'extended_recharge_2003-2015'!$A$1:$AH$265,$D$1,FALSE)</f>
        <v>#N/A</v>
      </c>
      <c r="G129" s="6"/>
      <c r="L129" s="6"/>
    </row>
    <row r="130" spans="1:12" x14ac:dyDescent="0.2">
      <c r="A130" s="3">
        <v>11870</v>
      </c>
      <c r="B130" s="4">
        <f>VLOOKUP($A130,'existing_gw_inflows_1921-2003'!$A$1:$AH$1129,$D$1,FALSE)</f>
        <v>360.17</v>
      </c>
      <c r="C130" s="4" t="e">
        <f>VLOOKUP($A130,'extended_recharge_2003-2015'!$A$1:$AH$265,$D$1,FALSE)</f>
        <v>#N/A</v>
      </c>
      <c r="G130" s="6"/>
      <c r="L130" s="6"/>
    </row>
    <row r="131" spans="1:12" x14ac:dyDescent="0.2">
      <c r="A131" s="3">
        <v>11901</v>
      </c>
      <c r="B131" s="4">
        <f>VLOOKUP($A131,'existing_gw_inflows_1921-2003'!$A$1:$AH$1129,$D$1,FALSE)</f>
        <v>-32.460000000000029</v>
      </c>
      <c r="C131" s="4" t="e">
        <f>VLOOKUP($A131,'extended_recharge_2003-2015'!$A$1:$AH$265,$D$1,FALSE)</f>
        <v>#N/A</v>
      </c>
      <c r="G131" s="6"/>
      <c r="L131" s="6"/>
    </row>
    <row r="132" spans="1:12" x14ac:dyDescent="0.2">
      <c r="A132" s="3">
        <v>11932</v>
      </c>
      <c r="B132" s="4">
        <f>VLOOKUP($A132,'existing_gw_inflows_1921-2003'!$A$1:$AH$1129,$D$1,FALSE)</f>
        <v>-18.820000000000004</v>
      </c>
      <c r="C132" s="4" t="e">
        <f>VLOOKUP($A132,'extended_recharge_2003-2015'!$A$1:$AH$265,$D$1,FALSE)</f>
        <v>#N/A</v>
      </c>
      <c r="G132" s="6"/>
      <c r="L132" s="6"/>
    </row>
    <row r="133" spans="1:12" x14ac:dyDescent="0.2">
      <c r="A133" s="3">
        <v>11962</v>
      </c>
      <c r="B133" s="4">
        <f>VLOOKUP($A133,'existing_gw_inflows_1921-2003'!$A$1:$AH$1129,$D$1,FALSE)</f>
        <v>40.489999999999995</v>
      </c>
      <c r="C133" s="4" t="e">
        <f>VLOOKUP($A133,'extended_recharge_2003-2015'!$A$1:$AH$265,$D$1,FALSE)</f>
        <v>#N/A</v>
      </c>
      <c r="G133" s="6"/>
      <c r="L133" s="6"/>
    </row>
    <row r="134" spans="1:12" x14ac:dyDescent="0.2">
      <c r="A134" s="3">
        <v>11993</v>
      </c>
      <c r="B134" s="4">
        <f>VLOOKUP($A134,'existing_gw_inflows_1921-2003'!$A$1:$AH$1129,$D$1,FALSE)</f>
        <v>109.64</v>
      </c>
      <c r="C134" s="4" t="e">
        <f>VLOOKUP($A134,'extended_recharge_2003-2015'!$A$1:$AH$265,$D$1,FALSE)</f>
        <v>#N/A</v>
      </c>
      <c r="G134" s="6"/>
      <c r="L134" s="6"/>
    </row>
    <row r="135" spans="1:12" x14ac:dyDescent="0.2">
      <c r="A135" s="3">
        <v>12023</v>
      </c>
      <c r="B135" s="4">
        <f>VLOOKUP($A135,'existing_gw_inflows_1921-2003'!$A$1:$AH$1129,$D$1,FALSE)</f>
        <v>103.13999999999999</v>
      </c>
      <c r="C135" s="4" t="e">
        <f>VLOOKUP($A135,'extended_recharge_2003-2015'!$A$1:$AH$265,$D$1,FALSE)</f>
        <v>#N/A</v>
      </c>
      <c r="G135" s="6"/>
      <c r="L135" s="6"/>
    </row>
    <row r="136" spans="1:12" x14ac:dyDescent="0.2">
      <c r="A136" s="3">
        <v>12054</v>
      </c>
      <c r="B136" s="4">
        <f>VLOOKUP($A136,'existing_gw_inflows_1921-2003'!$A$1:$AH$1129,$D$1,FALSE)</f>
        <v>202.63</v>
      </c>
      <c r="C136" s="4" t="e">
        <f>VLOOKUP($A136,'extended_recharge_2003-2015'!$A$1:$AH$265,$D$1,FALSE)</f>
        <v>#N/A</v>
      </c>
      <c r="G136" s="6"/>
      <c r="L136" s="6"/>
    </row>
    <row r="137" spans="1:12" x14ac:dyDescent="0.2">
      <c r="A137" s="3">
        <v>12085</v>
      </c>
      <c r="B137" s="4">
        <f>VLOOKUP($A137,'existing_gw_inflows_1921-2003'!$A$1:$AH$1129,$D$1,FALSE)</f>
        <v>655.46999999999991</v>
      </c>
      <c r="C137" s="4" t="e">
        <f>VLOOKUP($A137,'extended_recharge_2003-2015'!$A$1:$AH$265,$D$1,FALSE)</f>
        <v>#N/A</v>
      </c>
      <c r="G137" s="6"/>
      <c r="L137" s="6"/>
    </row>
    <row r="138" spans="1:12" x14ac:dyDescent="0.2">
      <c r="A138" s="3">
        <v>12113</v>
      </c>
      <c r="B138" s="4">
        <f>VLOOKUP($A138,'existing_gw_inflows_1921-2003'!$A$1:$AH$1129,$D$1,FALSE)</f>
        <v>46.080000000000005</v>
      </c>
      <c r="C138" s="4" t="e">
        <f>VLOOKUP($A138,'extended_recharge_2003-2015'!$A$1:$AH$265,$D$1,FALSE)</f>
        <v>#N/A</v>
      </c>
      <c r="G138" s="6"/>
      <c r="L138" s="6"/>
    </row>
    <row r="139" spans="1:12" x14ac:dyDescent="0.2">
      <c r="A139" s="3">
        <v>12144</v>
      </c>
      <c r="B139" s="4">
        <f>VLOOKUP($A139,'existing_gw_inflows_1921-2003'!$A$1:$AH$1129,$D$1,FALSE)</f>
        <v>334.68</v>
      </c>
      <c r="C139" s="4" t="e">
        <f>VLOOKUP($A139,'extended_recharge_2003-2015'!$A$1:$AH$265,$D$1,FALSE)</f>
        <v>#N/A</v>
      </c>
      <c r="G139" s="6"/>
      <c r="L139" s="6"/>
    </row>
    <row r="140" spans="1:12" x14ac:dyDescent="0.2">
      <c r="A140" s="3">
        <v>12174</v>
      </c>
      <c r="B140" s="4">
        <f>VLOOKUP($A140,'existing_gw_inflows_1921-2003'!$A$1:$AH$1129,$D$1,FALSE)</f>
        <v>195.96</v>
      </c>
      <c r="C140" s="4" t="e">
        <f>VLOOKUP($A140,'extended_recharge_2003-2015'!$A$1:$AH$265,$D$1,FALSE)</f>
        <v>#N/A</v>
      </c>
      <c r="G140" s="6"/>
      <c r="L140" s="6"/>
    </row>
    <row r="141" spans="1:12" x14ac:dyDescent="0.2">
      <c r="A141" s="3">
        <v>12205</v>
      </c>
      <c r="B141" s="4">
        <f>VLOOKUP($A141,'existing_gw_inflows_1921-2003'!$A$1:$AH$1129,$D$1,FALSE)</f>
        <v>249.59</v>
      </c>
      <c r="C141" s="4" t="e">
        <f>VLOOKUP($A141,'extended_recharge_2003-2015'!$A$1:$AH$265,$D$1,FALSE)</f>
        <v>#N/A</v>
      </c>
      <c r="G141" s="6"/>
      <c r="L141" s="6"/>
    </row>
    <row r="142" spans="1:12" x14ac:dyDescent="0.2">
      <c r="A142" s="3">
        <v>12235</v>
      </c>
      <c r="B142" s="4">
        <f>VLOOKUP($A142,'existing_gw_inflows_1921-2003'!$A$1:$AH$1129,$D$1,FALSE)</f>
        <v>339.13</v>
      </c>
      <c r="C142" s="4" t="e">
        <f>VLOOKUP($A142,'extended_recharge_2003-2015'!$A$1:$AH$265,$D$1,FALSE)</f>
        <v>#N/A</v>
      </c>
      <c r="G142" s="6"/>
      <c r="L142" s="6"/>
    </row>
    <row r="143" spans="1:12" x14ac:dyDescent="0.2">
      <c r="A143" s="3">
        <v>12266</v>
      </c>
      <c r="B143" s="4">
        <f>VLOOKUP($A143,'existing_gw_inflows_1921-2003'!$A$1:$AH$1129,$D$1,FALSE)</f>
        <v>2.4499999999999993</v>
      </c>
      <c r="C143" s="4" t="e">
        <f>VLOOKUP($A143,'extended_recharge_2003-2015'!$A$1:$AH$265,$D$1,FALSE)</f>
        <v>#N/A</v>
      </c>
      <c r="G143" s="6"/>
      <c r="L143" s="6"/>
    </row>
    <row r="144" spans="1:12" x14ac:dyDescent="0.2">
      <c r="A144" s="3">
        <v>12297</v>
      </c>
      <c r="B144" s="4">
        <f>VLOOKUP($A144,'existing_gw_inflows_1921-2003'!$A$1:$AH$1129,$D$1,FALSE)</f>
        <v>108.30000000000001</v>
      </c>
      <c r="C144" s="4" t="e">
        <f>VLOOKUP($A144,'extended_recharge_2003-2015'!$A$1:$AH$265,$D$1,FALSE)</f>
        <v>#N/A</v>
      </c>
      <c r="G144" s="6"/>
      <c r="L144" s="6"/>
    </row>
    <row r="145" spans="1:12" x14ac:dyDescent="0.2">
      <c r="A145" s="3">
        <v>12327</v>
      </c>
      <c r="B145" s="4">
        <f>VLOOKUP($A145,'existing_gw_inflows_1921-2003'!$A$1:$AH$1129,$D$1,FALSE)</f>
        <v>109.87</v>
      </c>
      <c r="C145" s="4" t="e">
        <f>VLOOKUP($A145,'extended_recharge_2003-2015'!$A$1:$AH$265,$D$1,FALSE)</f>
        <v>#N/A</v>
      </c>
      <c r="G145" s="6"/>
      <c r="L145" s="6"/>
    </row>
    <row r="146" spans="1:12" x14ac:dyDescent="0.2">
      <c r="A146" s="3">
        <v>12358</v>
      </c>
      <c r="B146" s="4">
        <f>VLOOKUP($A146,'existing_gw_inflows_1921-2003'!$A$1:$AH$1129,$D$1,FALSE)</f>
        <v>127.67</v>
      </c>
      <c r="C146" s="4" t="e">
        <f>VLOOKUP($A146,'extended_recharge_2003-2015'!$A$1:$AH$265,$D$1,FALSE)</f>
        <v>#N/A</v>
      </c>
      <c r="G146" s="6"/>
      <c r="L146" s="6"/>
    </row>
    <row r="147" spans="1:12" x14ac:dyDescent="0.2">
      <c r="A147" s="3">
        <v>12388</v>
      </c>
      <c r="B147" s="4">
        <f>VLOOKUP($A147,'existing_gw_inflows_1921-2003'!$A$1:$AH$1129,$D$1,FALSE)</f>
        <v>107.38</v>
      </c>
      <c r="C147" s="4" t="e">
        <f>VLOOKUP($A147,'extended_recharge_2003-2015'!$A$1:$AH$265,$D$1,FALSE)</f>
        <v>#N/A</v>
      </c>
      <c r="G147" s="6"/>
      <c r="L147" s="6"/>
    </row>
    <row r="148" spans="1:12" x14ac:dyDescent="0.2">
      <c r="A148" s="3">
        <v>12419</v>
      </c>
      <c r="B148" s="4">
        <f>VLOOKUP($A148,'existing_gw_inflows_1921-2003'!$A$1:$AH$1129,$D$1,FALSE)</f>
        <v>596.13000000000011</v>
      </c>
      <c r="C148" s="4" t="e">
        <f>VLOOKUP($A148,'extended_recharge_2003-2015'!$A$1:$AH$265,$D$1,FALSE)</f>
        <v>#N/A</v>
      </c>
      <c r="G148" s="6"/>
      <c r="L148" s="6"/>
    </row>
    <row r="149" spans="1:12" x14ac:dyDescent="0.2">
      <c r="A149" s="3">
        <v>12450</v>
      </c>
      <c r="B149" s="4">
        <f>VLOOKUP($A149,'existing_gw_inflows_1921-2003'!$A$1:$AH$1129,$D$1,FALSE)</f>
        <v>161.27000000000001</v>
      </c>
      <c r="C149" s="4" t="e">
        <f>VLOOKUP($A149,'extended_recharge_2003-2015'!$A$1:$AH$265,$D$1,FALSE)</f>
        <v>#N/A</v>
      </c>
      <c r="G149" s="6"/>
      <c r="L149" s="6"/>
    </row>
    <row r="150" spans="1:12" x14ac:dyDescent="0.2">
      <c r="A150" s="3">
        <v>12478</v>
      </c>
      <c r="B150" s="4">
        <f>VLOOKUP($A150,'existing_gw_inflows_1921-2003'!$A$1:$AH$1129,$D$1,FALSE)</f>
        <v>280.16000000000003</v>
      </c>
      <c r="C150" s="4" t="e">
        <f>VLOOKUP($A150,'extended_recharge_2003-2015'!$A$1:$AH$265,$D$1,FALSE)</f>
        <v>#N/A</v>
      </c>
      <c r="G150" s="6"/>
      <c r="L150" s="6"/>
    </row>
    <row r="151" spans="1:12" x14ac:dyDescent="0.2">
      <c r="A151" s="3">
        <v>12509</v>
      </c>
      <c r="B151" s="4">
        <f>VLOOKUP($A151,'existing_gw_inflows_1921-2003'!$A$1:$AH$1129,$D$1,FALSE)</f>
        <v>142.68</v>
      </c>
      <c r="C151" s="4" t="e">
        <f>VLOOKUP($A151,'extended_recharge_2003-2015'!$A$1:$AH$265,$D$1,FALSE)</f>
        <v>#N/A</v>
      </c>
      <c r="G151" s="6"/>
      <c r="L151" s="6"/>
    </row>
    <row r="152" spans="1:12" x14ac:dyDescent="0.2">
      <c r="A152" s="3">
        <v>12539</v>
      </c>
      <c r="B152" s="4">
        <f>VLOOKUP($A152,'existing_gw_inflows_1921-2003'!$A$1:$AH$1129,$D$1,FALSE)</f>
        <v>107.8</v>
      </c>
      <c r="C152" s="4" t="e">
        <f>VLOOKUP($A152,'extended_recharge_2003-2015'!$A$1:$AH$265,$D$1,FALSE)</f>
        <v>#N/A</v>
      </c>
      <c r="G152" s="6"/>
      <c r="L152" s="6"/>
    </row>
    <row r="153" spans="1:12" x14ac:dyDescent="0.2">
      <c r="A153" s="3">
        <v>12570</v>
      </c>
      <c r="B153" s="4">
        <f>VLOOKUP($A153,'existing_gw_inflows_1921-2003'!$A$1:$AH$1129,$D$1,FALSE)</f>
        <v>49.23</v>
      </c>
      <c r="C153" s="4" t="e">
        <f>VLOOKUP($A153,'extended_recharge_2003-2015'!$A$1:$AH$265,$D$1,FALSE)</f>
        <v>#N/A</v>
      </c>
      <c r="G153" s="6"/>
      <c r="L153" s="6"/>
    </row>
    <row r="154" spans="1:12" x14ac:dyDescent="0.2">
      <c r="A154" s="3">
        <v>12600</v>
      </c>
      <c r="B154" s="4">
        <f>VLOOKUP($A154,'existing_gw_inflows_1921-2003'!$A$1:$AH$1129,$D$1,FALSE)</f>
        <v>84.990000000000009</v>
      </c>
      <c r="C154" s="4" t="e">
        <f>VLOOKUP($A154,'extended_recharge_2003-2015'!$A$1:$AH$265,$D$1,FALSE)</f>
        <v>#N/A</v>
      </c>
      <c r="G154" s="6"/>
      <c r="L154" s="6"/>
    </row>
    <row r="155" spans="1:12" x14ac:dyDescent="0.2">
      <c r="A155" s="3">
        <v>12631</v>
      </c>
      <c r="B155" s="4">
        <f>VLOOKUP($A155,'existing_gw_inflows_1921-2003'!$A$1:$AH$1129,$D$1,FALSE)</f>
        <v>208.31</v>
      </c>
      <c r="C155" s="4" t="e">
        <f>VLOOKUP($A155,'extended_recharge_2003-2015'!$A$1:$AH$265,$D$1,FALSE)</f>
        <v>#N/A</v>
      </c>
      <c r="G155" s="6"/>
      <c r="L155" s="6"/>
    </row>
    <row r="156" spans="1:12" x14ac:dyDescent="0.2">
      <c r="A156" s="3">
        <v>12662</v>
      </c>
      <c r="B156" s="4">
        <f>VLOOKUP($A156,'existing_gw_inflows_1921-2003'!$A$1:$AH$1129,$D$1,FALSE)</f>
        <v>201.43999999999997</v>
      </c>
      <c r="C156" s="4" t="e">
        <f>VLOOKUP($A156,'extended_recharge_2003-2015'!$A$1:$AH$265,$D$1,FALSE)</f>
        <v>#N/A</v>
      </c>
      <c r="G156" s="6"/>
      <c r="L156" s="6"/>
    </row>
    <row r="157" spans="1:12" x14ac:dyDescent="0.2">
      <c r="A157" s="3">
        <v>12692</v>
      </c>
      <c r="B157" s="4">
        <f>VLOOKUP($A157,'existing_gw_inflows_1921-2003'!$A$1:$AH$1129,$D$1,FALSE)</f>
        <v>108.63</v>
      </c>
      <c r="C157" s="4" t="e">
        <f>VLOOKUP($A157,'extended_recharge_2003-2015'!$A$1:$AH$265,$D$1,FALSE)</f>
        <v>#N/A</v>
      </c>
      <c r="G157" s="6"/>
      <c r="L157" s="6"/>
    </row>
    <row r="158" spans="1:12" x14ac:dyDescent="0.2">
      <c r="A158" s="3">
        <v>12723</v>
      </c>
      <c r="B158" s="4">
        <f>VLOOKUP($A158,'existing_gw_inflows_1921-2003'!$A$1:$AH$1129,$D$1,FALSE)</f>
        <v>152.18</v>
      </c>
      <c r="C158" s="4" t="e">
        <f>VLOOKUP($A158,'extended_recharge_2003-2015'!$A$1:$AH$265,$D$1,FALSE)</f>
        <v>#N/A</v>
      </c>
      <c r="G158" s="6"/>
      <c r="L158" s="6"/>
    </row>
    <row r="159" spans="1:12" x14ac:dyDescent="0.2">
      <c r="A159" s="3">
        <v>12753</v>
      </c>
      <c r="B159" s="4">
        <f>VLOOKUP($A159,'existing_gw_inflows_1921-2003'!$A$1:$AH$1129,$D$1,FALSE)</f>
        <v>388.1699999999999</v>
      </c>
      <c r="C159" s="4" t="e">
        <f>VLOOKUP($A159,'extended_recharge_2003-2015'!$A$1:$AH$265,$D$1,FALSE)</f>
        <v>#N/A</v>
      </c>
      <c r="G159" s="6"/>
      <c r="L159" s="6"/>
    </row>
    <row r="160" spans="1:12" x14ac:dyDescent="0.2">
      <c r="A160" s="3">
        <v>12784</v>
      </c>
      <c r="B160" s="4">
        <f>VLOOKUP($A160,'existing_gw_inflows_1921-2003'!$A$1:$AH$1129,$D$1,FALSE)</f>
        <v>256.68</v>
      </c>
      <c r="C160" s="4" t="e">
        <f>VLOOKUP($A160,'extended_recharge_2003-2015'!$A$1:$AH$265,$D$1,FALSE)</f>
        <v>#N/A</v>
      </c>
      <c r="G160" s="6"/>
      <c r="L160" s="6"/>
    </row>
    <row r="161" spans="1:12" x14ac:dyDescent="0.2">
      <c r="A161" s="3">
        <v>12815</v>
      </c>
      <c r="B161" s="4">
        <f>VLOOKUP($A161,'existing_gw_inflows_1921-2003'!$A$1:$AH$1129,$D$1,FALSE)</f>
        <v>797.51</v>
      </c>
      <c r="C161" s="4" t="e">
        <f>VLOOKUP($A161,'extended_recharge_2003-2015'!$A$1:$AH$265,$D$1,FALSE)</f>
        <v>#N/A</v>
      </c>
      <c r="G161" s="6"/>
      <c r="L161" s="6"/>
    </row>
    <row r="162" spans="1:12" x14ac:dyDescent="0.2">
      <c r="A162" s="3">
        <v>12843</v>
      </c>
      <c r="B162" s="4">
        <f>VLOOKUP($A162,'existing_gw_inflows_1921-2003'!$A$1:$AH$1129,$D$1,FALSE)</f>
        <v>170.98999999999998</v>
      </c>
      <c r="C162" s="4" t="e">
        <f>VLOOKUP($A162,'extended_recharge_2003-2015'!$A$1:$AH$265,$D$1,FALSE)</f>
        <v>#N/A</v>
      </c>
      <c r="G162" s="6"/>
      <c r="L162" s="6"/>
    </row>
    <row r="163" spans="1:12" x14ac:dyDescent="0.2">
      <c r="A163" s="3">
        <v>12874</v>
      </c>
      <c r="B163" s="4">
        <f>VLOOKUP($A163,'existing_gw_inflows_1921-2003'!$A$1:$AH$1129,$D$1,FALSE)</f>
        <v>520.79</v>
      </c>
      <c r="C163" s="4" t="e">
        <f>VLOOKUP($A163,'extended_recharge_2003-2015'!$A$1:$AH$265,$D$1,FALSE)</f>
        <v>#N/A</v>
      </c>
      <c r="G163" s="6"/>
      <c r="L163" s="6"/>
    </row>
    <row r="164" spans="1:12" x14ac:dyDescent="0.2">
      <c r="A164" s="3">
        <v>12904</v>
      </c>
      <c r="B164" s="4">
        <f>VLOOKUP($A164,'existing_gw_inflows_1921-2003'!$A$1:$AH$1129,$D$1,FALSE)</f>
        <v>1073.8000000000002</v>
      </c>
      <c r="C164" s="4" t="e">
        <f>VLOOKUP($A164,'extended_recharge_2003-2015'!$A$1:$AH$265,$D$1,FALSE)</f>
        <v>#N/A</v>
      </c>
      <c r="G164" s="6"/>
      <c r="L164" s="6"/>
    </row>
    <row r="165" spans="1:12" x14ac:dyDescent="0.2">
      <c r="A165" s="3">
        <v>12935</v>
      </c>
      <c r="B165" s="4">
        <f>VLOOKUP($A165,'existing_gw_inflows_1921-2003'!$A$1:$AH$1129,$D$1,FALSE)</f>
        <v>168.50999999999993</v>
      </c>
      <c r="C165" s="4" t="e">
        <f>VLOOKUP($A165,'extended_recharge_2003-2015'!$A$1:$AH$265,$D$1,FALSE)</f>
        <v>#N/A</v>
      </c>
      <c r="G165" s="6"/>
      <c r="L165" s="6"/>
    </row>
    <row r="166" spans="1:12" x14ac:dyDescent="0.2">
      <c r="A166" s="3">
        <v>12965</v>
      </c>
      <c r="B166" s="4">
        <f>VLOOKUP($A166,'existing_gw_inflows_1921-2003'!$A$1:$AH$1129,$D$1,FALSE)</f>
        <v>23.849999999999994</v>
      </c>
      <c r="C166" s="4" t="e">
        <f>VLOOKUP($A166,'extended_recharge_2003-2015'!$A$1:$AH$265,$D$1,FALSE)</f>
        <v>#N/A</v>
      </c>
      <c r="G166" s="6"/>
      <c r="L166" s="6"/>
    </row>
    <row r="167" spans="1:12" x14ac:dyDescent="0.2">
      <c r="A167" s="3">
        <v>12996</v>
      </c>
      <c r="B167" s="4">
        <f>VLOOKUP($A167,'existing_gw_inflows_1921-2003'!$A$1:$AH$1129,$D$1,FALSE)</f>
        <v>-224.18</v>
      </c>
      <c r="C167" s="4" t="e">
        <f>VLOOKUP($A167,'extended_recharge_2003-2015'!$A$1:$AH$265,$D$1,FALSE)</f>
        <v>#N/A</v>
      </c>
      <c r="G167" s="6"/>
      <c r="L167" s="6"/>
    </row>
    <row r="168" spans="1:12" x14ac:dyDescent="0.2">
      <c r="A168" s="3">
        <v>13027</v>
      </c>
      <c r="B168" s="4">
        <f>VLOOKUP($A168,'existing_gw_inflows_1921-2003'!$A$1:$AH$1129,$D$1,FALSE)</f>
        <v>-18.379999999999992</v>
      </c>
      <c r="C168" s="4" t="e">
        <f>VLOOKUP($A168,'extended_recharge_2003-2015'!$A$1:$AH$265,$D$1,FALSE)</f>
        <v>#N/A</v>
      </c>
      <c r="G168" s="6"/>
      <c r="L168" s="6"/>
    </row>
    <row r="169" spans="1:12" x14ac:dyDescent="0.2">
      <c r="A169" s="3">
        <v>13057</v>
      </c>
      <c r="B169" s="4">
        <f>VLOOKUP($A169,'existing_gw_inflows_1921-2003'!$A$1:$AH$1129,$D$1,FALSE)</f>
        <v>56.93</v>
      </c>
      <c r="C169" s="4" t="e">
        <f>VLOOKUP($A169,'extended_recharge_2003-2015'!$A$1:$AH$265,$D$1,FALSE)</f>
        <v>#N/A</v>
      </c>
      <c r="G169" s="6"/>
      <c r="L169" s="6"/>
    </row>
    <row r="170" spans="1:12" x14ac:dyDescent="0.2">
      <c r="A170" s="3">
        <v>13088</v>
      </c>
      <c r="B170" s="4">
        <f>VLOOKUP($A170,'existing_gw_inflows_1921-2003'!$A$1:$AH$1129,$D$1,FALSE)</f>
        <v>124.24999999999997</v>
      </c>
      <c r="C170" s="4" t="e">
        <f>VLOOKUP($A170,'extended_recharge_2003-2015'!$A$1:$AH$265,$D$1,FALSE)</f>
        <v>#N/A</v>
      </c>
      <c r="G170" s="6"/>
      <c r="L170" s="6"/>
    </row>
    <row r="171" spans="1:12" x14ac:dyDescent="0.2">
      <c r="A171" s="3">
        <v>13118</v>
      </c>
      <c r="B171" s="4">
        <f>VLOOKUP($A171,'existing_gw_inflows_1921-2003'!$A$1:$AH$1129,$D$1,FALSE)</f>
        <v>112.77</v>
      </c>
      <c r="C171" s="4" t="e">
        <f>VLOOKUP($A171,'extended_recharge_2003-2015'!$A$1:$AH$265,$D$1,FALSE)</f>
        <v>#N/A</v>
      </c>
      <c r="G171" s="6"/>
      <c r="L171" s="6"/>
    </row>
    <row r="172" spans="1:12" x14ac:dyDescent="0.2">
      <c r="A172" s="3">
        <v>13149</v>
      </c>
      <c r="B172" s="4">
        <f>VLOOKUP($A172,'existing_gw_inflows_1921-2003'!$A$1:$AH$1129,$D$1,FALSE)</f>
        <v>208.95999999999998</v>
      </c>
      <c r="C172" s="4" t="e">
        <f>VLOOKUP($A172,'extended_recharge_2003-2015'!$A$1:$AH$265,$D$1,FALSE)</f>
        <v>#N/A</v>
      </c>
      <c r="G172" s="6"/>
      <c r="L172" s="6"/>
    </row>
    <row r="173" spans="1:12" x14ac:dyDescent="0.2">
      <c r="A173" s="3">
        <v>13180</v>
      </c>
      <c r="B173" s="4">
        <f>VLOOKUP($A173,'existing_gw_inflows_1921-2003'!$A$1:$AH$1129,$D$1,FALSE)</f>
        <v>686.69000000000017</v>
      </c>
      <c r="C173" s="4" t="e">
        <f>VLOOKUP($A173,'extended_recharge_2003-2015'!$A$1:$AH$265,$D$1,FALSE)</f>
        <v>#N/A</v>
      </c>
      <c r="G173" s="6"/>
      <c r="L173" s="6"/>
    </row>
    <row r="174" spans="1:12" x14ac:dyDescent="0.2">
      <c r="A174" s="3">
        <v>13209</v>
      </c>
      <c r="B174" s="4">
        <f>VLOOKUP($A174,'existing_gw_inflows_1921-2003'!$A$1:$AH$1129,$D$1,FALSE)</f>
        <v>1789.7199999999996</v>
      </c>
      <c r="C174" s="4" t="e">
        <f>VLOOKUP($A174,'extended_recharge_2003-2015'!$A$1:$AH$265,$D$1,FALSE)</f>
        <v>#N/A</v>
      </c>
      <c r="G174" s="6"/>
      <c r="L174" s="6"/>
    </row>
    <row r="175" spans="1:12" x14ac:dyDescent="0.2">
      <c r="A175" s="3">
        <v>13240</v>
      </c>
      <c r="B175" s="4">
        <f>VLOOKUP($A175,'existing_gw_inflows_1921-2003'!$A$1:$AH$1129,$D$1,FALSE)</f>
        <v>-107.49</v>
      </c>
      <c r="C175" s="4" t="e">
        <f>VLOOKUP($A175,'extended_recharge_2003-2015'!$A$1:$AH$265,$D$1,FALSE)</f>
        <v>#N/A</v>
      </c>
      <c r="G175" s="6"/>
      <c r="L175" s="6"/>
    </row>
    <row r="176" spans="1:12" x14ac:dyDescent="0.2">
      <c r="A176" s="3">
        <v>13270</v>
      </c>
      <c r="B176" s="4">
        <f>VLOOKUP($A176,'existing_gw_inflows_1921-2003'!$A$1:$AH$1129,$D$1,FALSE)</f>
        <v>270.25</v>
      </c>
      <c r="C176" s="4" t="e">
        <f>VLOOKUP($A176,'extended_recharge_2003-2015'!$A$1:$AH$265,$D$1,FALSE)</f>
        <v>#N/A</v>
      </c>
      <c r="G176" s="6"/>
      <c r="L176" s="6"/>
    </row>
    <row r="177" spans="1:12" x14ac:dyDescent="0.2">
      <c r="A177" s="3">
        <v>13301</v>
      </c>
      <c r="B177" s="4">
        <f>VLOOKUP($A177,'existing_gw_inflows_1921-2003'!$A$1:$AH$1129,$D$1,FALSE)</f>
        <v>218.27999999999997</v>
      </c>
      <c r="C177" s="4" t="e">
        <f>VLOOKUP($A177,'extended_recharge_2003-2015'!$A$1:$AH$265,$D$1,FALSE)</f>
        <v>#N/A</v>
      </c>
      <c r="G177" s="6"/>
      <c r="L177" s="6"/>
    </row>
    <row r="178" spans="1:12" x14ac:dyDescent="0.2">
      <c r="A178" s="3">
        <v>13331</v>
      </c>
      <c r="B178" s="4">
        <f>VLOOKUP($A178,'existing_gw_inflows_1921-2003'!$A$1:$AH$1129,$D$1,FALSE)</f>
        <v>-8.1199999999999974</v>
      </c>
      <c r="C178" s="4" t="e">
        <f>VLOOKUP($A178,'extended_recharge_2003-2015'!$A$1:$AH$265,$D$1,FALSE)</f>
        <v>#N/A</v>
      </c>
      <c r="G178" s="6"/>
      <c r="L178" s="6"/>
    </row>
    <row r="179" spans="1:12" x14ac:dyDescent="0.2">
      <c r="A179" s="3">
        <v>13362</v>
      </c>
      <c r="B179" s="4">
        <f>VLOOKUP($A179,'existing_gw_inflows_1921-2003'!$A$1:$AH$1129,$D$1,FALSE)</f>
        <v>-94.259999999999991</v>
      </c>
      <c r="C179" s="4" t="e">
        <f>VLOOKUP($A179,'extended_recharge_2003-2015'!$A$1:$AH$265,$D$1,FALSE)</f>
        <v>#N/A</v>
      </c>
      <c r="G179" s="6"/>
      <c r="L179" s="6"/>
    </row>
    <row r="180" spans="1:12" x14ac:dyDescent="0.2">
      <c r="A180" s="3">
        <v>13393</v>
      </c>
      <c r="B180" s="4">
        <f>VLOOKUP($A180,'existing_gw_inflows_1921-2003'!$A$1:$AH$1129,$D$1,FALSE)</f>
        <v>12.720000000000027</v>
      </c>
      <c r="C180" s="4" t="e">
        <f>VLOOKUP($A180,'extended_recharge_2003-2015'!$A$1:$AH$265,$D$1,FALSE)</f>
        <v>#N/A</v>
      </c>
      <c r="G180" s="6"/>
      <c r="L180" s="6"/>
    </row>
    <row r="181" spans="1:12" x14ac:dyDescent="0.2">
      <c r="A181" s="3">
        <v>13423</v>
      </c>
      <c r="B181" s="4">
        <f>VLOOKUP($A181,'existing_gw_inflows_1921-2003'!$A$1:$AH$1129,$D$1,FALSE)</f>
        <v>76.209999999999994</v>
      </c>
      <c r="C181" s="4" t="e">
        <f>VLOOKUP($A181,'extended_recharge_2003-2015'!$A$1:$AH$265,$D$1,FALSE)</f>
        <v>#N/A</v>
      </c>
      <c r="G181" s="6"/>
      <c r="L181" s="6"/>
    </row>
    <row r="182" spans="1:12" x14ac:dyDescent="0.2">
      <c r="A182" s="3">
        <v>13454</v>
      </c>
      <c r="B182" s="4">
        <f>VLOOKUP($A182,'existing_gw_inflows_1921-2003'!$A$1:$AH$1129,$D$1,FALSE)</f>
        <v>125.55</v>
      </c>
      <c r="C182" s="4" t="e">
        <f>VLOOKUP($A182,'extended_recharge_2003-2015'!$A$1:$AH$265,$D$1,FALSE)</f>
        <v>#N/A</v>
      </c>
      <c r="G182" s="6"/>
      <c r="L182" s="6"/>
    </row>
    <row r="183" spans="1:12" x14ac:dyDescent="0.2">
      <c r="A183" s="3">
        <v>13484</v>
      </c>
      <c r="B183" s="4">
        <f>VLOOKUP($A183,'existing_gw_inflows_1921-2003'!$A$1:$AH$1129,$D$1,FALSE)</f>
        <v>110.89</v>
      </c>
      <c r="C183" s="4" t="e">
        <f>VLOOKUP($A183,'extended_recharge_2003-2015'!$A$1:$AH$265,$D$1,FALSE)</f>
        <v>#N/A</v>
      </c>
      <c r="G183" s="6"/>
      <c r="L183" s="6"/>
    </row>
    <row r="184" spans="1:12" x14ac:dyDescent="0.2">
      <c r="A184" s="3">
        <v>13515</v>
      </c>
      <c r="B184" s="4">
        <f>VLOOKUP($A184,'existing_gw_inflows_1921-2003'!$A$1:$AH$1129,$D$1,FALSE)</f>
        <v>434.26999999999992</v>
      </c>
      <c r="C184" s="4" t="e">
        <f>VLOOKUP($A184,'extended_recharge_2003-2015'!$A$1:$AH$265,$D$1,FALSE)</f>
        <v>#N/A</v>
      </c>
      <c r="G184" s="6"/>
      <c r="L184" s="6"/>
    </row>
    <row r="185" spans="1:12" x14ac:dyDescent="0.2">
      <c r="A185" s="3">
        <v>13546</v>
      </c>
      <c r="B185" s="4">
        <f>VLOOKUP($A185,'existing_gw_inflows_1921-2003'!$A$1:$AH$1129,$D$1,FALSE)</f>
        <v>263.22000000000003</v>
      </c>
      <c r="C185" s="4" t="e">
        <f>VLOOKUP($A185,'extended_recharge_2003-2015'!$A$1:$AH$265,$D$1,FALSE)</f>
        <v>#N/A</v>
      </c>
      <c r="G185" s="6"/>
      <c r="L185" s="6"/>
    </row>
    <row r="186" spans="1:12" x14ac:dyDescent="0.2">
      <c r="A186" s="3">
        <v>13574</v>
      </c>
      <c r="B186" s="4">
        <f>VLOOKUP($A186,'existing_gw_inflows_1921-2003'!$A$1:$AH$1129,$D$1,FALSE)</f>
        <v>1206.7099999999998</v>
      </c>
      <c r="C186" s="4" t="e">
        <f>VLOOKUP($A186,'extended_recharge_2003-2015'!$A$1:$AH$265,$D$1,FALSE)</f>
        <v>#N/A</v>
      </c>
      <c r="G186" s="6"/>
      <c r="L186" s="6"/>
    </row>
    <row r="187" spans="1:12" x14ac:dyDescent="0.2">
      <c r="A187" s="3">
        <v>13605</v>
      </c>
      <c r="B187" s="4">
        <f>VLOOKUP($A187,'existing_gw_inflows_1921-2003'!$A$1:$AH$1129,$D$1,FALSE)</f>
        <v>790.62</v>
      </c>
      <c r="C187" s="4" t="e">
        <f>VLOOKUP($A187,'extended_recharge_2003-2015'!$A$1:$AH$265,$D$1,FALSE)</f>
        <v>#N/A</v>
      </c>
      <c r="G187" s="6"/>
      <c r="L187" s="6"/>
    </row>
    <row r="188" spans="1:12" x14ac:dyDescent="0.2">
      <c r="A188" s="3">
        <v>13635</v>
      </c>
      <c r="B188" s="4">
        <f>VLOOKUP($A188,'existing_gw_inflows_1921-2003'!$A$1:$AH$1129,$D$1,FALSE)</f>
        <v>267.45999999999998</v>
      </c>
      <c r="C188" s="4" t="e">
        <f>VLOOKUP($A188,'extended_recharge_2003-2015'!$A$1:$AH$265,$D$1,FALSE)</f>
        <v>#N/A</v>
      </c>
      <c r="G188" s="6"/>
      <c r="L188" s="6"/>
    </row>
    <row r="189" spans="1:12" x14ac:dyDescent="0.2">
      <c r="A189" s="3">
        <v>13666</v>
      </c>
      <c r="B189" s="4">
        <f>VLOOKUP($A189,'existing_gw_inflows_1921-2003'!$A$1:$AH$1129,$D$1,FALSE)</f>
        <v>619.98</v>
      </c>
      <c r="C189" s="4" t="e">
        <f>VLOOKUP($A189,'extended_recharge_2003-2015'!$A$1:$AH$265,$D$1,FALSE)</f>
        <v>#N/A</v>
      </c>
      <c r="G189" s="6"/>
      <c r="L189" s="6"/>
    </row>
    <row r="190" spans="1:12" x14ac:dyDescent="0.2">
      <c r="A190" s="3">
        <v>13696</v>
      </c>
      <c r="B190" s="4">
        <f>VLOOKUP($A190,'existing_gw_inflows_1921-2003'!$A$1:$AH$1129,$D$1,FALSE)</f>
        <v>-68.709999999999994</v>
      </c>
      <c r="C190" s="4" t="e">
        <f>VLOOKUP($A190,'extended_recharge_2003-2015'!$A$1:$AH$265,$D$1,FALSE)</f>
        <v>#N/A</v>
      </c>
      <c r="G190" s="6"/>
      <c r="L190" s="6"/>
    </row>
    <row r="191" spans="1:12" x14ac:dyDescent="0.2">
      <c r="A191" s="3">
        <v>13727</v>
      </c>
      <c r="B191" s="4">
        <f>VLOOKUP($A191,'existing_gw_inflows_1921-2003'!$A$1:$AH$1129,$D$1,FALSE)</f>
        <v>-169.91000000000008</v>
      </c>
      <c r="C191" s="4" t="e">
        <f>VLOOKUP($A191,'extended_recharge_2003-2015'!$A$1:$AH$265,$D$1,FALSE)</f>
        <v>#N/A</v>
      </c>
      <c r="G191" s="6"/>
      <c r="L191" s="6"/>
    </row>
    <row r="192" spans="1:12" x14ac:dyDescent="0.2">
      <c r="A192" s="3">
        <v>13758</v>
      </c>
      <c r="B192" s="4">
        <f>VLOOKUP($A192,'existing_gw_inflows_1921-2003'!$A$1:$AH$1129,$D$1,FALSE)</f>
        <v>-31.320000000000032</v>
      </c>
      <c r="C192" s="4" t="e">
        <f>VLOOKUP($A192,'extended_recharge_2003-2015'!$A$1:$AH$265,$D$1,FALSE)</f>
        <v>#N/A</v>
      </c>
      <c r="G192" s="6"/>
      <c r="L192" s="6"/>
    </row>
    <row r="193" spans="1:12" x14ac:dyDescent="0.2">
      <c r="A193" s="3">
        <v>13788</v>
      </c>
      <c r="B193" s="4">
        <f>VLOOKUP($A193,'existing_gw_inflows_1921-2003'!$A$1:$AH$1129,$D$1,FALSE)</f>
        <v>41.53</v>
      </c>
      <c r="C193" s="4" t="e">
        <f>VLOOKUP($A193,'extended_recharge_2003-2015'!$A$1:$AH$265,$D$1,FALSE)</f>
        <v>#N/A</v>
      </c>
      <c r="G193" s="6"/>
      <c r="L193" s="6"/>
    </row>
    <row r="194" spans="1:12" x14ac:dyDescent="0.2">
      <c r="A194" s="3">
        <v>13819</v>
      </c>
      <c r="B194" s="4">
        <f>VLOOKUP($A194,'existing_gw_inflows_1921-2003'!$A$1:$AH$1129,$D$1,FALSE)</f>
        <v>128.43999999999997</v>
      </c>
      <c r="C194" s="4" t="e">
        <f>VLOOKUP($A194,'extended_recharge_2003-2015'!$A$1:$AH$265,$D$1,FALSE)</f>
        <v>#N/A</v>
      </c>
      <c r="G194" s="6"/>
      <c r="L194" s="6"/>
    </row>
    <row r="195" spans="1:12" x14ac:dyDescent="0.2">
      <c r="A195" s="3">
        <v>13849</v>
      </c>
      <c r="B195" s="4">
        <f>VLOOKUP($A195,'existing_gw_inflows_1921-2003'!$A$1:$AH$1129,$D$1,FALSE)</f>
        <v>503.15999999999997</v>
      </c>
      <c r="C195" s="4" t="e">
        <f>VLOOKUP($A195,'extended_recharge_2003-2015'!$A$1:$AH$265,$D$1,FALSE)</f>
        <v>#N/A</v>
      </c>
      <c r="G195" s="6"/>
      <c r="L195" s="6"/>
    </row>
    <row r="196" spans="1:12" x14ac:dyDescent="0.2">
      <c r="A196" s="3">
        <v>13880</v>
      </c>
      <c r="B196" s="4">
        <f>VLOOKUP($A196,'existing_gw_inflows_1921-2003'!$A$1:$AH$1129,$D$1,FALSE)</f>
        <v>1097.22</v>
      </c>
      <c r="C196" s="4" t="e">
        <f>VLOOKUP($A196,'extended_recharge_2003-2015'!$A$1:$AH$265,$D$1,FALSE)</f>
        <v>#N/A</v>
      </c>
      <c r="G196" s="6"/>
      <c r="L196" s="6"/>
    </row>
    <row r="197" spans="1:12" x14ac:dyDescent="0.2">
      <c r="A197" s="3">
        <v>13911</v>
      </c>
      <c r="B197" s="4">
        <f>VLOOKUP($A197,'existing_gw_inflows_1921-2003'!$A$1:$AH$1129,$D$1,FALSE)</f>
        <v>156.88999999999999</v>
      </c>
      <c r="C197" s="4" t="e">
        <f>VLOOKUP($A197,'extended_recharge_2003-2015'!$A$1:$AH$265,$D$1,FALSE)</f>
        <v>#N/A</v>
      </c>
      <c r="G197" s="6"/>
      <c r="L197" s="6"/>
    </row>
    <row r="198" spans="1:12" x14ac:dyDescent="0.2">
      <c r="A198" s="3">
        <v>13939</v>
      </c>
      <c r="B198" s="4">
        <f>VLOOKUP($A198,'existing_gw_inflows_1921-2003'!$A$1:$AH$1129,$D$1,FALSE)</f>
        <v>1884.2899999999997</v>
      </c>
      <c r="C198" s="4" t="e">
        <f>VLOOKUP($A198,'extended_recharge_2003-2015'!$A$1:$AH$265,$D$1,FALSE)</f>
        <v>#N/A</v>
      </c>
      <c r="G198" s="6"/>
      <c r="L198" s="6"/>
    </row>
    <row r="199" spans="1:12" x14ac:dyDescent="0.2">
      <c r="A199" s="3">
        <v>13970</v>
      </c>
      <c r="B199" s="4">
        <f>VLOOKUP($A199,'existing_gw_inflows_1921-2003'!$A$1:$AH$1129,$D$1,FALSE)</f>
        <v>1558.74</v>
      </c>
      <c r="C199" s="4" t="e">
        <f>VLOOKUP($A199,'extended_recharge_2003-2015'!$A$1:$AH$265,$D$1,FALSE)</f>
        <v>#N/A</v>
      </c>
      <c r="G199" s="6"/>
      <c r="L199" s="6"/>
    </row>
    <row r="200" spans="1:12" x14ac:dyDescent="0.2">
      <c r="A200" s="3">
        <v>14000</v>
      </c>
      <c r="B200" s="4">
        <f>VLOOKUP($A200,'existing_gw_inflows_1921-2003'!$A$1:$AH$1129,$D$1,FALSE)</f>
        <v>133</v>
      </c>
      <c r="C200" s="4" t="e">
        <f>VLOOKUP($A200,'extended_recharge_2003-2015'!$A$1:$AH$265,$D$1,FALSE)</f>
        <v>#N/A</v>
      </c>
      <c r="G200" s="6"/>
      <c r="L200" s="6"/>
    </row>
    <row r="201" spans="1:12" x14ac:dyDescent="0.2">
      <c r="A201" s="3">
        <v>14031</v>
      </c>
      <c r="B201" s="4">
        <f>VLOOKUP($A201,'existing_gw_inflows_1921-2003'!$A$1:$AH$1129,$D$1,FALSE)</f>
        <v>497.25</v>
      </c>
      <c r="C201" s="4" t="e">
        <f>VLOOKUP($A201,'extended_recharge_2003-2015'!$A$1:$AH$265,$D$1,FALSE)</f>
        <v>#N/A</v>
      </c>
      <c r="G201" s="6"/>
      <c r="L201" s="6"/>
    </row>
    <row r="202" spans="1:12" x14ac:dyDescent="0.2">
      <c r="A202" s="3">
        <v>14061</v>
      </c>
      <c r="B202" s="4">
        <f>VLOOKUP($A202,'existing_gw_inflows_1921-2003'!$A$1:$AH$1129,$D$1,FALSE)</f>
        <v>320.76000000000005</v>
      </c>
      <c r="C202" s="4" t="e">
        <f>VLOOKUP($A202,'extended_recharge_2003-2015'!$A$1:$AH$265,$D$1,FALSE)</f>
        <v>#N/A</v>
      </c>
      <c r="G202" s="6"/>
      <c r="L202" s="6"/>
    </row>
    <row r="203" spans="1:12" x14ac:dyDescent="0.2">
      <c r="A203" s="3">
        <v>14092</v>
      </c>
      <c r="B203" s="4">
        <f>VLOOKUP($A203,'existing_gw_inflows_1921-2003'!$A$1:$AH$1129,$D$1,FALSE)</f>
        <v>-420.47</v>
      </c>
      <c r="C203" s="4" t="e">
        <f>VLOOKUP($A203,'extended_recharge_2003-2015'!$A$1:$AH$265,$D$1,FALSE)</f>
        <v>#N/A</v>
      </c>
      <c r="G203" s="6"/>
      <c r="L203" s="6"/>
    </row>
    <row r="204" spans="1:12" x14ac:dyDescent="0.2">
      <c r="A204" s="3">
        <v>14123</v>
      </c>
      <c r="B204" s="4">
        <f>VLOOKUP($A204,'existing_gw_inflows_1921-2003'!$A$1:$AH$1129,$D$1,FALSE)</f>
        <v>-239.15999999999997</v>
      </c>
      <c r="C204" s="4" t="e">
        <f>VLOOKUP($A204,'extended_recharge_2003-2015'!$A$1:$AH$265,$D$1,FALSE)</f>
        <v>#N/A</v>
      </c>
      <c r="G204" s="6"/>
      <c r="L204" s="6"/>
    </row>
    <row r="205" spans="1:12" x14ac:dyDescent="0.2">
      <c r="A205" s="3">
        <v>14153</v>
      </c>
      <c r="B205" s="4">
        <f>VLOOKUP($A205,'existing_gw_inflows_1921-2003'!$A$1:$AH$1129,$D$1,FALSE)</f>
        <v>-57.70999999999998</v>
      </c>
      <c r="C205" s="4" t="e">
        <f>VLOOKUP($A205,'extended_recharge_2003-2015'!$A$1:$AH$265,$D$1,FALSE)</f>
        <v>#N/A</v>
      </c>
      <c r="G205" s="6"/>
      <c r="L205" s="6"/>
    </row>
    <row r="206" spans="1:12" x14ac:dyDescent="0.2">
      <c r="A206" s="3">
        <v>14184</v>
      </c>
      <c r="B206" s="4">
        <f>VLOOKUP($A206,'existing_gw_inflows_1921-2003'!$A$1:$AH$1129,$D$1,FALSE)</f>
        <v>25.050000000000004</v>
      </c>
      <c r="C206" s="4" t="e">
        <f>VLOOKUP($A206,'extended_recharge_2003-2015'!$A$1:$AH$265,$D$1,FALSE)</f>
        <v>#N/A</v>
      </c>
      <c r="G206" s="6"/>
      <c r="L206" s="6"/>
    </row>
    <row r="207" spans="1:12" x14ac:dyDescent="0.2">
      <c r="A207" s="3">
        <v>14214</v>
      </c>
      <c r="B207" s="4">
        <f>VLOOKUP($A207,'existing_gw_inflows_1921-2003'!$A$1:$AH$1129,$D$1,FALSE)</f>
        <v>118.50999999999999</v>
      </c>
      <c r="C207" s="4" t="e">
        <f>VLOOKUP($A207,'extended_recharge_2003-2015'!$A$1:$AH$265,$D$1,FALSE)</f>
        <v>#N/A</v>
      </c>
      <c r="G207" s="6"/>
      <c r="L207" s="6"/>
    </row>
    <row r="208" spans="1:12" x14ac:dyDescent="0.2">
      <c r="A208" s="3">
        <v>14245</v>
      </c>
      <c r="B208" s="4">
        <f>VLOOKUP($A208,'existing_gw_inflows_1921-2003'!$A$1:$AH$1129,$D$1,FALSE)</f>
        <v>149.70999999999998</v>
      </c>
      <c r="C208" s="4" t="e">
        <f>VLOOKUP($A208,'extended_recharge_2003-2015'!$A$1:$AH$265,$D$1,FALSE)</f>
        <v>#N/A</v>
      </c>
      <c r="G208" s="6"/>
      <c r="L208" s="6"/>
    </row>
    <row r="209" spans="1:12" x14ac:dyDescent="0.2">
      <c r="A209" s="3">
        <v>14276</v>
      </c>
      <c r="B209" s="4">
        <f>VLOOKUP($A209,'existing_gw_inflows_1921-2003'!$A$1:$AH$1129,$D$1,FALSE)</f>
        <v>179.04</v>
      </c>
      <c r="C209" s="4" t="e">
        <f>VLOOKUP($A209,'extended_recharge_2003-2015'!$A$1:$AH$265,$D$1,FALSE)</f>
        <v>#N/A</v>
      </c>
      <c r="G209" s="6"/>
      <c r="L209" s="6"/>
    </row>
    <row r="210" spans="1:12" x14ac:dyDescent="0.2">
      <c r="A210" s="3">
        <v>14304</v>
      </c>
      <c r="B210" s="4">
        <f>VLOOKUP($A210,'existing_gw_inflows_1921-2003'!$A$1:$AH$1129,$D$1,FALSE)</f>
        <v>121.36</v>
      </c>
      <c r="C210" s="4" t="e">
        <f>VLOOKUP($A210,'extended_recharge_2003-2015'!$A$1:$AH$265,$D$1,FALSE)</f>
        <v>#N/A</v>
      </c>
      <c r="G210" s="6"/>
      <c r="L210" s="6"/>
    </row>
    <row r="211" spans="1:12" x14ac:dyDescent="0.2">
      <c r="A211" s="3">
        <v>14335</v>
      </c>
      <c r="B211" s="4">
        <f>VLOOKUP($A211,'existing_gw_inflows_1921-2003'!$A$1:$AH$1129,$D$1,FALSE)</f>
        <v>333.08000000000004</v>
      </c>
      <c r="C211" s="4" t="e">
        <f>VLOOKUP($A211,'extended_recharge_2003-2015'!$A$1:$AH$265,$D$1,FALSE)</f>
        <v>#N/A</v>
      </c>
      <c r="G211" s="6"/>
      <c r="L211" s="6"/>
    </row>
    <row r="212" spans="1:12" x14ac:dyDescent="0.2">
      <c r="A212" s="3">
        <v>14365</v>
      </c>
      <c r="B212" s="4">
        <f>VLOOKUP($A212,'existing_gw_inflows_1921-2003'!$A$1:$AH$1129,$D$1,FALSE)</f>
        <v>138.80000000000001</v>
      </c>
      <c r="C212" s="4" t="e">
        <f>VLOOKUP($A212,'extended_recharge_2003-2015'!$A$1:$AH$265,$D$1,FALSE)</f>
        <v>#N/A</v>
      </c>
      <c r="G212" s="6"/>
      <c r="L212" s="6"/>
    </row>
    <row r="213" spans="1:12" x14ac:dyDescent="0.2">
      <c r="A213" s="3">
        <v>14396</v>
      </c>
      <c r="B213" s="4">
        <f>VLOOKUP($A213,'existing_gw_inflows_1921-2003'!$A$1:$AH$1129,$D$1,FALSE)</f>
        <v>50.389999999999979</v>
      </c>
      <c r="C213" s="4" t="e">
        <f>VLOOKUP($A213,'extended_recharge_2003-2015'!$A$1:$AH$265,$D$1,FALSE)</f>
        <v>#N/A</v>
      </c>
      <c r="G213" s="6"/>
      <c r="L213" s="6"/>
    </row>
    <row r="214" spans="1:12" x14ac:dyDescent="0.2">
      <c r="A214" s="3">
        <v>14426</v>
      </c>
      <c r="B214" s="4">
        <f>VLOOKUP($A214,'existing_gw_inflows_1921-2003'!$A$1:$AH$1129,$D$1,FALSE)</f>
        <v>23.000000000000039</v>
      </c>
      <c r="C214" s="4" t="e">
        <f>VLOOKUP($A214,'extended_recharge_2003-2015'!$A$1:$AH$265,$D$1,FALSE)</f>
        <v>#N/A</v>
      </c>
      <c r="G214" s="6"/>
      <c r="L214" s="6"/>
    </row>
    <row r="215" spans="1:12" x14ac:dyDescent="0.2">
      <c r="A215" s="3">
        <v>14457</v>
      </c>
      <c r="B215" s="4">
        <f>VLOOKUP($A215,'existing_gw_inflows_1921-2003'!$A$1:$AH$1129,$D$1,FALSE)</f>
        <v>115.68</v>
      </c>
      <c r="C215" s="4" t="e">
        <f>VLOOKUP($A215,'extended_recharge_2003-2015'!$A$1:$AH$265,$D$1,FALSE)</f>
        <v>#N/A</v>
      </c>
      <c r="G215" s="6"/>
      <c r="L215" s="6"/>
    </row>
    <row r="216" spans="1:12" x14ac:dyDescent="0.2">
      <c r="A216" s="3">
        <v>14488</v>
      </c>
      <c r="B216" s="4">
        <f>VLOOKUP($A216,'existing_gw_inflows_1921-2003'!$A$1:$AH$1129,$D$1,FALSE)</f>
        <v>149.07</v>
      </c>
      <c r="C216" s="4" t="e">
        <f>VLOOKUP($A216,'extended_recharge_2003-2015'!$A$1:$AH$265,$D$1,FALSE)</f>
        <v>#N/A</v>
      </c>
      <c r="G216" s="6"/>
      <c r="L216" s="6"/>
    </row>
    <row r="217" spans="1:12" x14ac:dyDescent="0.2">
      <c r="A217" s="3">
        <v>14518</v>
      </c>
      <c r="B217" s="4">
        <f>VLOOKUP($A217,'existing_gw_inflows_1921-2003'!$A$1:$AH$1129,$D$1,FALSE)</f>
        <v>145.95999999999998</v>
      </c>
      <c r="C217" s="4" t="e">
        <f>VLOOKUP($A217,'extended_recharge_2003-2015'!$A$1:$AH$265,$D$1,FALSE)</f>
        <v>#N/A</v>
      </c>
      <c r="G217" s="6"/>
      <c r="L217" s="6"/>
    </row>
    <row r="218" spans="1:12" x14ac:dyDescent="0.2">
      <c r="A218" s="3">
        <v>14549</v>
      </c>
      <c r="B218" s="4">
        <f>VLOOKUP($A218,'existing_gw_inflows_1921-2003'!$A$1:$AH$1129,$D$1,FALSE)</f>
        <v>155.25999999999996</v>
      </c>
      <c r="C218" s="4" t="e">
        <f>VLOOKUP($A218,'extended_recharge_2003-2015'!$A$1:$AH$265,$D$1,FALSE)</f>
        <v>#N/A</v>
      </c>
      <c r="G218" s="6"/>
      <c r="L218" s="6"/>
    </row>
    <row r="219" spans="1:12" x14ac:dyDescent="0.2">
      <c r="A219" s="3">
        <v>14579</v>
      </c>
      <c r="B219" s="4">
        <f>VLOOKUP($A219,'existing_gw_inflows_1921-2003'!$A$1:$AH$1129,$D$1,FALSE)</f>
        <v>133.44</v>
      </c>
      <c r="C219" s="4" t="e">
        <f>VLOOKUP($A219,'extended_recharge_2003-2015'!$A$1:$AH$265,$D$1,FALSE)</f>
        <v>#N/A</v>
      </c>
      <c r="G219" s="6"/>
      <c r="L219" s="6"/>
    </row>
    <row r="220" spans="1:12" x14ac:dyDescent="0.2">
      <c r="A220" s="3">
        <v>14610</v>
      </c>
      <c r="B220" s="4">
        <f>VLOOKUP($A220,'existing_gw_inflows_1921-2003'!$A$1:$AH$1129,$D$1,FALSE)</f>
        <v>222.63999999999996</v>
      </c>
      <c r="C220" s="4" t="e">
        <f>VLOOKUP($A220,'extended_recharge_2003-2015'!$A$1:$AH$265,$D$1,FALSE)</f>
        <v>#N/A</v>
      </c>
      <c r="G220" s="6"/>
      <c r="L220" s="6"/>
    </row>
    <row r="221" spans="1:12" x14ac:dyDescent="0.2">
      <c r="A221" s="3">
        <v>14641</v>
      </c>
      <c r="B221" s="4">
        <f>VLOOKUP($A221,'existing_gw_inflows_1921-2003'!$A$1:$AH$1129,$D$1,FALSE)</f>
        <v>1544.54</v>
      </c>
      <c r="C221" s="4" t="e">
        <f>VLOOKUP($A221,'extended_recharge_2003-2015'!$A$1:$AH$265,$D$1,FALSE)</f>
        <v>#N/A</v>
      </c>
      <c r="G221" s="6"/>
      <c r="L221" s="6"/>
    </row>
    <row r="222" spans="1:12" x14ac:dyDescent="0.2">
      <c r="A222" s="3">
        <v>14670</v>
      </c>
      <c r="B222" s="4">
        <f>VLOOKUP($A222,'existing_gw_inflows_1921-2003'!$A$1:$AH$1129,$D$1,FALSE)</f>
        <v>1361.1299999999999</v>
      </c>
      <c r="C222" s="4" t="e">
        <f>VLOOKUP($A222,'extended_recharge_2003-2015'!$A$1:$AH$265,$D$1,FALSE)</f>
        <v>#N/A</v>
      </c>
      <c r="G222" s="6"/>
      <c r="L222" s="6"/>
    </row>
    <row r="223" spans="1:12" x14ac:dyDescent="0.2">
      <c r="A223" s="3">
        <v>14701</v>
      </c>
      <c r="B223" s="4">
        <f>VLOOKUP($A223,'existing_gw_inflows_1921-2003'!$A$1:$AH$1129,$D$1,FALSE)</f>
        <v>565.19999999999982</v>
      </c>
      <c r="C223" s="4" t="e">
        <f>VLOOKUP($A223,'extended_recharge_2003-2015'!$A$1:$AH$265,$D$1,FALSE)</f>
        <v>#N/A</v>
      </c>
      <c r="G223" s="6"/>
      <c r="L223" s="6"/>
    </row>
    <row r="224" spans="1:12" x14ac:dyDescent="0.2">
      <c r="A224" s="3">
        <v>14731</v>
      </c>
      <c r="B224" s="4">
        <f>VLOOKUP($A224,'existing_gw_inflows_1921-2003'!$A$1:$AH$1129,$D$1,FALSE)</f>
        <v>4.5700000000000216</v>
      </c>
      <c r="C224" s="4" t="e">
        <f>VLOOKUP($A224,'extended_recharge_2003-2015'!$A$1:$AH$265,$D$1,FALSE)</f>
        <v>#N/A</v>
      </c>
      <c r="G224" s="6"/>
      <c r="L224" s="6"/>
    </row>
    <row r="225" spans="1:12" x14ac:dyDescent="0.2">
      <c r="A225" s="3">
        <v>14762</v>
      </c>
      <c r="B225" s="4">
        <f>VLOOKUP($A225,'existing_gw_inflows_1921-2003'!$A$1:$AH$1129,$D$1,FALSE)</f>
        <v>100.77000000000007</v>
      </c>
      <c r="C225" s="4" t="e">
        <f>VLOOKUP($A225,'extended_recharge_2003-2015'!$A$1:$AH$265,$D$1,FALSE)</f>
        <v>#N/A</v>
      </c>
      <c r="G225" s="6"/>
      <c r="L225" s="6"/>
    </row>
    <row r="226" spans="1:12" x14ac:dyDescent="0.2">
      <c r="A226" s="3">
        <v>14792</v>
      </c>
      <c r="B226" s="4">
        <f>VLOOKUP($A226,'existing_gw_inflows_1921-2003'!$A$1:$AH$1129,$D$1,FALSE)</f>
        <v>-127.77000000000007</v>
      </c>
      <c r="C226" s="4" t="e">
        <f>VLOOKUP($A226,'extended_recharge_2003-2015'!$A$1:$AH$265,$D$1,FALSE)</f>
        <v>#N/A</v>
      </c>
      <c r="G226" s="6"/>
      <c r="L226" s="6"/>
    </row>
    <row r="227" spans="1:12" x14ac:dyDescent="0.2">
      <c r="A227" s="3">
        <v>14823</v>
      </c>
      <c r="B227" s="4">
        <f>VLOOKUP($A227,'existing_gw_inflows_1921-2003'!$A$1:$AH$1129,$D$1,FALSE)</f>
        <v>-176.12</v>
      </c>
      <c r="C227" s="4" t="e">
        <f>VLOOKUP($A227,'extended_recharge_2003-2015'!$A$1:$AH$265,$D$1,FALSE)</f>
        <v>#N/A</v>
      </c>
      <c r="G227" s="6"/>
      <c r="L227" s="6"/>
    </row>
    <row r="228" spans="1:12" x14ac:dyDescent="0.2">
      <c r="A228" s="3">
        <v>14854</v>
      </c>
      <c r="B228" s="4">
        <f>VLOOKUP($A228,'existing_gw_inflows_1921-2003'!$A$1:$AH$1129,$D$1,FALSE)</f>
        <v>6.1100000000000172</v>
      </c>
      <c r="C228" s="4" t="e">
        <f>VLOOKUP($A228,'extended_recharge_2003-2015'!$A$1:$AH$265,$D$1,FALSE)</f>
        <v>#N/A</v>
      </c>
      <c r="G228" s="6"/>
      <c r="L228" s="6"/>
    </row>
    <row r="229" spans="1:12" x14ac:dyDescent="0.2">
      <c r="A229" s="3">
        <v>14884</v>
      </c>
      <c r="B229" s="4">
        <f>VLOOKUP($A229,'existing_gw_inflows_1921-2003'!$A$1:$AH$1129,$D$1,FALSE)</f>
        <v>85.259999999999991</v>
      </c>
      <c r="C229" s="4" t="e">
        <f>VLOOKUP($A229,'extended_recharge_2003-2015'!$A$1:$AH$265,$D$1,FALSE)</f>
        <v>#N/A</v>
      </c>
      <c r="G229" s="6"/>
      <c r="L229" s="6"/>
    </row>
    <row r="230" spans="1:12" x14ac:dyDescent="0.2">
      <c r="A230" s="3">
        <v>14915</v>
      </c>
      <c r="B230" s="4">
        <f>VLOOKUP($A230,'existing_gw_inflows_1921-2003'!$A$1:$AH$1129,$D$1,FALSE)</f>
        <v>164.79999999999998</v>
      </c>
      <c r="C230" s="4" t="e">
        <f>VLOOKUP($A230,'extended_recharge_2003-2015'!$A$1:$AH$265,$D$1,FALSE)</f>
        <v>#N/A</v>
      </c>
      <c r="G230" s="6"/>
      <c r="L230" s="6"/>
    </row>
    <row r="231" spans="1:12" x14ac:dyDescent="0.2">
      <c r="A231" s="3">
        <v>14945</v>
      </c>
      <c r="B231" s="4">
        <f>VLOOKUP($A231,'existing_gw_inflows_1921-2003'!$A$1:$AH$1129,$D$1,FALSE)</f>
        <v>158.33999999999997</v>
      </c>
      <c r="C231" s="4" t="e">
        <f>VLOOKUP($A231,'extended_recharge_2003-2015'!$A$1:$AH$265,$D$1,FALSE)</f>
        <v>#N/A</v>
      </c>
      <c r="G231" s="6"/>
      <c r="L231" s="6"/>
    </row>
    <row r="232" spans="1:12" x14ac:dyDescent="0.2">
      <c r="A232" s="3">
        <v>14976</v>
      </c>
      <c r="B232" s="4">
        <f>VLOOKUP($A232,'existing_gw_inflows_1921-2003'!$A$1:$AH$1129,$D$1,FALSE)</f>
        <v>1500.67</v>
      </c>
      <c r="C232" s="4" t="e">
        <f>VLOOKUP($A232,'extended_recharge_2003-2015'!$A$1:$AH$265,$D$1,FALSE)</f>
        <v>#N/A</v>
      </c>
      <c r="G232" s="6"/>
      <c r="L232" s="6"/>
    </row>
    <row r="233" spans="1:12" x14ac:dyDescent="0.2">
      <c r="A233" s="3">
        <v>15007</v>
      </c>
      <c r="B233" s="4">
        <f>VLOOKUP($A233,'existing_gw_inflows_1921-2003'!$A$1:$AH$1129,$D$1,FALSE)</f>
        <v>1013.5799999999998</v>
      </c>
      <c r="C233" s="4" t="e">
        <f>VLOOKUP($A233,'extended_recharge_2003-2015'!$A$1:$AH$265,$D$1,FALSE)</f>
        <v>#N/A</v>
      </c>
      <c r="G233" s="6"/>
      <c r="L233" s="6"/>
    </row>
    <row r="234" spans="1:12" x14ac:dyDescent="0.2">
      <c r="A234" s="3">
        <v>15035</v>
      </c>
      <c r="B234" s="4">
        <f>VLOOKUP($A234,'existing_gw_inflows_1921-2003'!$A$1:$AH$1129,$D$1,FALSE)</f>
        <v>1475.15</v>
      </c>
      <c r="C234" s="4" t="e">
        <f>VLOOKUP($A234,'extended_recharge_2003-2015'!$A$1:$AH$265,$D$1,FALSE)</f>
        <v>#N/A</v>
      </c>
      <c r="G234" s="6"/>
      <c r="L234" s="6"/>
    </row>
    <row r="235" spans="1:12" x14ac:dyDescent="0.2">
      <c r="A235" s="3">
        <v>15066</v>
      </c>
      <c r="B235" s="4">
        <f>VLOOKUP($A235,'existing_gw_inflows_1921-2003'!$A$1:$AH$1129,$D$1,FALSE)</f>
        <v>538.03</v>
      </c>
      <c r="C235" s="4" t="e">
        <f>VLOOKUP($A235,'extended_recharge_2003-2015'!$A$1:$AH$265,$D$1,FALSE)</f>
        <v>#N/A</v>
      </c>
      <c r="G235" s="6"/>
      <c r="L235" s="6"/>
    </row>
    <row r="236" spans="1:12" x14ac:dyDescent="0.2">
      <c r="A236" s="3">
        <v>15096</v>
      </c>
      <c r="B236" s="4">
        <f>VLOOKUP($A236,'existing_gw_inflows_1921-2003'!$A$1:$AH$1129,$D$1,FALSE)</f>
        <v>361.2</v>
      </c>
      <c r="C236" s="4" t="e">
        <f>VLOOKUP($A236,'extended_recharge_2003-2015'!$A$1:$AH$265,$D$1,FALSE)</f>
        <v>#N/A</v>
      </c>
      <c r="G236" s="6"/>
      <c r="L236" s="6"/>
    </row>
    <row r="237" spans="1:12" x14ac:dyDescent="0.2">
      <c r="A237" s="3">
        <v>15127</v>
      </c>
      <c r="B237" s="4">
        <f>VLOOKUP($A237,'existing_gw_inflows_1921-2003'!$A$1:$AH$1129,$D$1,FALSE)</f>
        <v>499.24000000000007</v>
      </c>
      <c r="C237" s="4" t="e">
        <f>VLOOKUP($A237,'extended_recharge_2003-2015'!$A$1:$AH$265,$D$1,FALSE)</f>
        <v>#N/A</v>
      </c>
      <c r="G237" s="6"/>
      <c r="L237" s="6"/>
    </row>
    <row r="238" spans="1:12" x14ac:dyDescent="0.2">
      <c r="A238" s="3">
        <v>15157</v>
      </c>
      <c r="B238" s="4">
        <f>VLOOKUP($A238,'existing_gw_inflows_1921-2003'!$A$1:$AH$1129,$D$1,FALSE)</f>
        <v>35.260000000000041</v>
      </c>
      <c r="C238" s="4" t="e">
        <f>VLOOKUP($A238,'extended_recharge_2003-2015'!$A$1:$AH$265,$D$1,FALSE)</f>
        <v>#N/A</v>
      </c>
      <c r="G238" s="6"/>
      <c r="L238" s="6"/>
    </row>
    <row r="239" spans="1:12" x14ac:dyDescent="0.2">
      <c r="A239" s="3">
        <v>15188</v>
      </c>
      <c r="B239" s="4">
        <f>VLOOKUP($A239,'existing_gw_inflows_1921-2003'!$A$1:$AH$1129,$D$1,FALSE)</f>
        <v>-266.05</v>
      </c>
      <c r="C239" s="4" t="e">
        <f>VLOOKUP($A239,'extended_recharge_2003-2015'!$A$1:$AH$265,$D$1,FALSE)</f>
        <v>#N/A</v>
      </c>
      <c r="G239" s="6"/>
      <c r="L239" s="6"/>
    </row>
    <row r="240" spans="1:12" x14ac:dyDescent="0.2">
      <c r="A240" s="3">
        <v>15219</v>
      </c>
      <c r="B240" s="4">
        <f>VLOOKUP($A240,'existing_gw_inflows_1921-2003'!$A$1:$AH$1129,$D$1,FALSE)</f>
        <v>-170.02000000000004</v>
      </c>
      <c r="C240" s="4" t="e">
        <f>VLOOKUP($A240,'extended_recharge_2003-2015'!$A$1:$AH$265,$D$1,FALSE)</f>
        <v>#N/A</v>
      </c>
      <c r="G240" s="6"/>
      <c r="L240" s="6"/>
    </row>
    <row r="241" spans="1:12" x14ac:dyDescent="0.2">
      <c r="A241" s="3">
        <v>15249</v>
      </c>
      <c r="B241" s="4">
        <f>VLOOKUP($A241,'existing_gw_inflows_1921-2003'!$A$1:$AH$1129,$D$1,FALSE)</f>
        <v>-49.359999999999978</v>
      </c>
      <c r="C241" s="4" t="e">
        <f>VLOOKUP($A241,'extended_recharge_2003-2015'!$A$1:$AH$265,$D$1,FALSE)</f>
        <v>#N/A</v>
      </c>
      <c r="G241" s="6"/>
      <c r="L241" s="6"/>
    </row>
    <row r="242" spans="1:12" x14ac:dyDescent="0.2">
      <c r="A242" s="3">
        <v>15280</v>
      </c>
      <c r="B242" s="4">
        <f>VLOOKUP($A242,'existing_gw_inflows_1921-2003'!$A$1:$AH$1129,$D$1,FALSE)</f>
        <v>77.61</v>
      </c>
      <c r="C242" s="4" t="e">
        <f>VLOOKUP($A242,'extended_recharge_2003-2015'!$A$1:$AH$265,$D$1,FALSE)</f>
        <v>#N/A</v>
      </c>
      <c r="G242" s="6"/>
      <c r="L242" s="6"/>
    </row>
    <row r="243" spans="1:12" x14ac:dyDescent="0.2">
      <c r="A243" s="3">
        <v>15310</v>
      </c>
      <c r="B243" s="4">
        <f>VLOOKUP($A243,'existing_gw_inflows_1921-2003'!$A$1:$AH$1129,$D$1,FALSE)</f>
        <v>116.28000000000002</v>
      </c>
      <c r="C243" s="4" t="e">
        <f>VLOOKUP($A243,'extended_recharge_2003-2015'!$A$1:$AH$265,$D$1,FALSE)</f>
        <v>#N/A</v>
      </c>
      <c r="G243" s="6"/>
      <c r="L243" s="6"/>
    </row>
    <row r="244" spans="1:12" x14ac:dyDescent="0.2">
      <c r="A244" s="3">
        <v>15341</v>
      </c>
      <c r="B244" s="4">
        <f>VLOOKUP($A244,'existing_gw_inflows_1921-2003'!$A$1:$AH$1129,$D$1,FALSE)</f>
        <v>1274.3699999999999</v>
      </c>
      <c r="C244" s="4" t="e">
        <f>VLOOKUP($A244,'extended_recharge_2003-2015'!$A$1:$AH$265,$D$1,FALSE)</f>
        <v>#N/A</v>
      </c>
      <c r="G244" s="6"/>
      <c r="L244" s="6"/>
    </row>
    <row r="245" spans="1:12" x14ac:dyDescent="0.2">
      <c r="A245" s="3">
        <v>15372</v>
      </c>
      <c r="B245" s="4">
        <f>VLOOKUP($A245,'existing_gw_inflows_1921-2003'!$A$1:$AH$1129,$D$1,FALSE)</f>
        <v>744.87</v>
      </c>
      <c r="C245" s="4" t="e">
        <f>VLOOKUP($A245,'extended_recharge_2003-2015'!$A$1:$AH$265,$D$1,FALSE)</f>
        <v>#N/A</v>
      </c>
      <c r="G245" s="6"/>
      <c r="L245" s="6"/>
    </row>
    <row r="246" spans="1:12" x14ac:dyDescent="0.2">
      <c r="A246" s="3">
        <v>15400</v>
      </c>
      <c r="B246" s="4">
        <f>VLOOKUP($A246,'existing_gw_inflows_1921-2003'!$A$1:$AH$1129,$D$1,FALSE)</f>
        <v>758.67</v>
      </c>
      <c r="C246" s="4" t="e">
        <f>VLOOKUP($A246,'extended_recharge_2003-2015'!$A$1:$AH$265,$D$1,FALSE)</f>
        <v>#N/A</v>
      </c>
      <c r="G246" s="6"/>
      <c r="L246" s="6"/>
    </row>
    <row r="247" spans="1:12" x14ac:dyDescent="0.2">
      <c r="A247" s="3">
        <v>15431</v>
      </c>
      <c r="B247" s="4">
        <f>VLOOKUP($A247,'existing_gw_inflows_1921-2003'!$A$1:$AH$1129,$D$1,FALSE)</f>
        <v>-150.10999999999996</v>
      </c>
      <c r="C247" s="4" t="e">
        <f>VLOOKUP($A247,'extended_recharge_2003-2015'!$A$1:$AH$265,$D$1,FALSE)</f>
        <v>#N/A</v>
      </c>
      <c r="G247" s="6"/>
      <c r="L247" s="6"/>
    </row>
    <row r="248" spans="1:12" x14ac:dyDescent="0.2">
      <c r="A248" s="3">
        <v>15461</v>
      </c>
      <c r="B248" s="4">
        <f>VLOOKUP($A248,'existing_gw_inflows_1921-2003'!$A$1:$AH$1129,$D$1,FALSE)</f>
        <v>532.37000000000012</v>
      </c>
      <c r="C248" s="4" t="e">
        <f>VLOOKUP($A248,'extended_recharge_2003-2015'!$A$1:$AH$265,$D$1,FALSE)</f>
        <v>#N/A</v>
      </c>
      <c r="G248" s="6"/>
      <c r="L248" s="6"/>
    </row>
    <row r="249" spans="1:12" x14ac:dyDescent="0.2">
      <c r="A249" s="3">
        <v>15492</v>
      </c>
      <c r="B249" s="4">
        <f>VLOOKUP($A249,'existing_gw_inflows_1921-2003'!$A$1:$AH$1129,$D$1,FALSE)</f>
        <v>290.78999999999996</v>
      </c>
      <c r="C249" s="4" t="e">
        <f>VLOOKUP($A249,'extended_recharge_2003-2015'!$A$1:$AH$265,$D$1,FALSE)</f>
        <v>#N/A</v>
      </c>
      <c r="G249" s="6"/>
      <c r="L249" s="6"/>
    </row>
    <row r="250" spans="1:12" x14ac:dyDescent="0.2">
      <c r="A250" s="3">
        <v>15522</v>
      </c>
      <c r="B250" s="4">
        <f>VLOOKUP($A250,'existing_gw_inflows_1921-2003'!$A$1:$AH$1129,$D$1,FALSE)</f>
        <v>238.16000000000003</v>
      </c>
      <c r="C250" s="4" t="e">
        <f>VLOOKUP($A250,'extended_recharge_2003-2015'!$A$1:$AH$265,$D$1,FALSE)</f>
        <v>#N/A</v>
      </c>
      <c r="G250" s="6"/>
      <c r="L250" s="6"/>
    </row>
    <row r="251" spans="1:12" x14ac:dyDescent="0.2">
      <c r="A251" s="3">
        <v>15553</v>
      </c>
      <c r="B251" s="4">
        <f>VLOOKUP($A251,'existing_gw_inflows_1921-2003'!$A$1:$AH$1129,$D$1,FALSE)</f>
        <v>-242.23000000000002</v>
      </c>
      <c r="C251" s="4" t="e">
        <f>VLOOKUP($A251,'extended_recharge_2003-2015'!$A$1:$AH$265,$D$1,FALSE)</f>
        <v>#N/A</v>
      </c>
      <c r="G251" s="6"/>
      <c r="L251" s="6"/>
    </row>
    <row r="252" spans="1:12" x14ac:dyDescent="0.2">
      <c r="A252" s="3">
        <v>15584</v>
      </c>
      <c r="B252" s="4">
        <f>VLOOKUP($A252,'existing_gw_inflows_1921-2003'!$A$1:$AH$1129,$D$1,FALSE)</f>
        <v>-165.51000000000005</v>
      </c>
      <c r="C252" s="4" t="e">
        <f>VLOOKUP($A252,'extended_recharge_2003-2015'!$A$1:$AH$265,$D$1,FALSE)</f>
        <v>#N/A</v>
      </c>
      <c r="G252" s="6"/>
      <c r="L252" s="6"/>
    </row>
    <row r="253" spans="1:12" x14ac:dyDescent="0.2">
      <c r="A253" s="3">
        <v>15614</v>
      </c>
      <c r="B253" s="4">
        <f>VLOOKUP($A253,'existing_gw_inflows_1921-2003'!$A$1:$AH$1129,$D$1,FALSE)</f>
        <v>-31.040000000000035</v>
      </c>
      <c r="C253" s="4" t="e">
        <f>VLOOKUP($A253,'extended_recharge_2003-2015'!$A$1:$AH$265,$D$1,FALSE)</f>
        <v>#N/A</v>
      </c>
      <c r="G253" s="6"/>
      <c r="L253" s="6"/>
    </row>
    <row r="254" spans="1:12" x14ac:dyDescent="0.2">
      <c r="A254" s="3">
        <v>15645</v>
      </c>
      <c r="B254" s="4">
        <f>VLOOKUP($A254,'existing_gw_inflows_1921-2003'!$A$1:$AH$1129,$D$1,FALSE)</f>
        <v>66.44</v>
      </c>
      <c r="C254" s="4" t="e">
        <f>VLOOKUP($A254,'extended_recharge_2003-2015'!$A$1:$AH$265,$D$1,FALSE)</f>
        <v>#N/A</v>
      </c>
      <c r="G254" s="6"/>
      <c r="L254" s="6"/>
    </row>
    <row r="255" spans="1:12" x14ac:dyDescent="0.2">
      <c r="A255" s="3">
        <v>15675</v>
      </c>
      <c r="B255" s="4">
        <f>VLOOKUP($A255,'existing_gw_inflows_1921-2003'!$A$1:$AH$1129,$D$1,FALSE)</f>
        <v>240.08</v>
      </c>
      <c r="C255" s="4" t="e">
        <f>VLOOKUP($A255,'extended_recharge_2003-2015'!$A$1:$AH$265,$D$1,FALSE)</f>
        <v>#N/A</v>
      </c>
      <c r="G255" s="6"/>
      <c r="L255" s="6"/>
    </row>
    <row r="256" spans="1:12" x14ac:dyDescent="0.2">
      <c r="A256" s="3">
        <v>15706</v>
      </c>
      <c r="B256" s="4">
        <f>VLOOKUP($A256,'existing_gw_inflows_1921-2003'!$A$1:$AH$1129,$D$1,FALSE)</f>
        <v>411.9</v>
      </c>
      <c r="C256" s="4" t="e">
        <f>VLOOKUP($A256,'extended_recharge_2003-2015'!$A$1:$AH$265,$D$1,FALSE)</f>
        <v>#N/A</v>
      </c>
      <c r="G256" s="6"/>
      <c r="L256" s="6"/>
    </row>
    <row r="257" spans="1:12" x14ac:dyDescent="0.2">
      <c r="A257" s="3">
        <v>15737</v>
      </c>
      <c r="B257" s="4">
        <f>VLOOKUP($A257,'existing_gw_inflows_1921-2003'!$A$1:$AH$1129,$D$1,FALSE)</f>
        <v>1345.0300000000002</v>
      </c>
      <c r="C257" s="4" t="e">
        <f>VLOOKUP($A257,'extended_recharge_2003-2015'!$A$1:$AH$265,$D$1,FALSE)</f>
        <v>#N/A</v>
      </c>
      <c r="G257" s="6"/>
      <c r="L257" s="6"/>
    </row>
    <row r="258" spans="1:12" x14ac:dyDescent="0.2">
      <c r="A258" s="3">
        <v>15765</v>
      </c>
      <c r="B258" s="4">
        <f>VLOOKUP($A258,'existing_gw_inflows_1921-2003'!$A$1:$AH$1129,$D$1,FALSE)</f>
        <v>132.78</v>
      </c>
      <c r="C258" s="4" t="e">
        <f>VLOOKUP($A258,'extended_recharge_2003-2015'!$A$1:$AH$265,$D$1,FALSE)</f>
        <v>#N/A</v>
      </c>
      <c r="G258" s="6"/>
      <c r="L258" s="6"/>
    </row>
    <row r="259" spans="1:12" x14ac:dyDescent="0.2">
      <c r="A259" s="3">
        <v>15796</v>
      </c>
      <c r="B259" s="4">
        <f>VLOOKUP($A259,'existing_gw_inflows_1921-2003'!$A$1:$AH$1129,$D$1,FALSE)</f>
        <v>1172.5500000000002</v>
      </c>
      <c r="C259" s="4" t="e">
        <f>VLOOKUP($A259,'extended_recharge_2003-2015'!$A$1:$AH$265,$D$1,FALSE)</f>
        <v>#N/A</v>
      </c>
      <c r="G259" s="6"/>
      <c r="L259" s="6"/>
    </row>
    <row r="260" spans="1:12" x14ac:dyDescent="0.2">
      <c r="A260" s="3">
        <v>15826</v>
      </c>
      <c r="B260" s="4">
        <f>VLOOKUP($A260,'existing_gw_inflows_1921-2003'!$A$1:$AH$1129,$D$1,FALSE)</f>
        <v>112.74000000000002</v>
      </c>
      <c r="C260" s="4" t="e">
        <f>VLOOKUP($A260,'extended_recharge_2003-2015'!$A$1:$AH$265,$D$1,FALSE)</f>
        <v>#N/A</v>
      </c>
      <c r="G260" s="6"/>
      <c r="L260" s="6"/>
    </row>
    <row r="261" spans="1:12" x14ac:dyDescent="0.2">
      <c r="A261" s="3">
        <v>15857</v>
      </c>
      <c r="B261" s="4">
        <f>VLOOKUP($A261,'existing_gw_inflows_1921-2003'!$A$1:$AH$1129,$D$1,FALSE)</f>
        <v>127.31999999999996</v>
      </c>
      <c r="C261" s="4" t="e">
        <f>VLOOKUP($A261,'extended_recharge_2003-2015'!$A$1:$AH$265,$D$1,FALSE)</f>
        <v>#N/A</v>
      </c>
      <c r="G261" s="6"/>
      <c r="L261" s="6"/>
    </row>
    <row r="262" spans="1:12" x14ac:dyDescent="0.2">
      <c r="A262" s="3">
        <v>15887</v>
      </c>
      <c r="B262" s="4">
        <f>VLOOKUP($A262,'existing_gw_inflows_1921-2003'!$A$1:$AH$1129,$D$1,FALSE)</f>
        <v>-85.57000000000005</v>
      </c>
      <c r="C262" s="4" t="e">
        <f>VLOOKUP($A262,'extended_recharge_2003-2015'!$A$1:$AH$265,$D$1,FALSE)</f>
        <v>#N/A</v>
      </c>
      <c r="G262" s="6"/>
      <c r="L262" s="6"/>
    </row>
    <row r="263" spans="1:12" x14ac:dyDescent="0.2">
      <c r="A263" s="3">
        <v>15918</v>
      </c>
      <c r="B263" s="4">
        <f>VLOOKUP($A263,'existing_gw_inflows_1921-2003'!$A$1:$AH$1129,$D$1,FALSE)</f>
        <v>-104.16000000000003</v>
      </c>
      <c r="C263" s="4" t="e">
        <f>VLOOKUP($A263,'extended_recharge_2003-2015'!$A$1:$AH$265,$D$1,FALSE)</f>
        <v>#N/A</v>
      </c>
      <c r="G263" s="6"/>
      <c r="L263" s="6"/>
    </row>
    <row r="264" spans="1:12" x14ac:dyDescent="0.2">
      <c r="A264" s="3">
        <v>15949</v>
      </c>
      <c r="B264" s="4">
        <f>VLOOKUP($A264,'existing_gw_inflows_1921-2003'!$A$1:$AH$1129,$D$1,FALSE)</f>
        <v>-4.0399999999999849</v>
      </c>
      <c r="C264" s="4" t="e">
        <f>VLOOKUP($A264,'extended_recharge_2003-2015'!$A$1:$AH$265,$D$1,FALSE)</f>
        <v>#N/A</v>
      </c>
      <c r="G264" s="6"/>
      <c r="L264" s="6"/>
    </row>
    <row r="265" spans="1:12" x14ac:dyDescent="0.2">
      <c r="A265" s="3">
        <v>15979</v>
      </c>
      <c r="B265" s="4">
        <f>VLOOKUP($A265,'existing_gw_inflows_1921-2003'!$A$1:$AH$1129,$D$1,FALSE)</f>
        <v>35.149999999999991</v>
      </c>
      <c r="C265" s="4" t="e">
        <f>VLOOKUP($A265,'extended_recharge_2003-2015'!$A$1:$AH$265,$D$1,FALSE)</f>
        <v>#N/A</v>
      </c>
      <c r="G265" s="6"/>
      <c r="L265" s="6"/>
    </row>
    <row r="266" spans="1:12" x14ac:dyDescent="0.2">
      <c r="A266" s="3">
        <v>16010</v>
      </c>
      <c r="B266" s="4">
        <f>VLOOKUP($A266,'existing_gw_inflows_1921-2003'!$A$1:$AH$1129,$D$1,FALSE)</f>
        <v>129.37</v>
      </c>
      <c r="C266" s="4" t="e">
        <f>VLOOKUP($A266,'extended_recharge_2003-2015'!$A$1:$AH$265,$D$1,FALSE)</f>
        <v>#N/A</v>
      </c>
      <c r="G266" s="6"/>
      <c r="L266" s="6"/>
    </row>
    <row r="267" spans="1:12" x14ac:dyDescent="0.2">
      <c r="A267" s="3">
        <v>16040</v>
      </c>
      <c r="B267" s="4">
        <f>VLOOKUP($A267,'existing_gw_inflows_1921-2003'!$A$1:$AH$1129,$D$1,FALSE)</f>
        <v>115.18999999999998</v>
      </c>
      <c r="C267" s="4" t="e">
        <f>VLOOKUP($A267,'extended_recharge_2003-2015'!$A$1:$AH$265,$D$1,FALSE)</f>
        <v>#N/A</v>
      </c>
      <c r="G267" s="6"/>
      <c r="L267" s="6"/>
    </row>
    <row r="268" spans="1:12" x14ac:dyDescent="0.2">
      <c r="A268" s="3">
        <v>16071</v>
      </c>
      <c r="B268" s="4">
        <f>VLOOKUP($A268,'existing_gw_inflows_1921-2003'!$A$1:$AH$1129,$D$1,FALSE)</f>
        <v>153.61000000000001</v>
      </c>
      <c r="C268" s="4" t="e">
        <f>VLOOKUP($A268,'extended_recharge_2003-2015'!$A$1:$AH$265,$D$1,FALSE)</f>
        <v>#N/A</v>
      </c>
      <c r="G268" s="6"/>
      <c r="L268" s="6"/>
    </row>
    <row r="269" spans="1:12" x14ac:dyDescent="0.2">
      <c r="A269" s="3">
        <v>16102</v>
      </c>
      <c r="B269" s="4">
        <f>VLOOKUP($A269,'existing_gw_inflows_1921-2003'!$A$1:$AH$1129,$D$1,FALSE)</f>
        <v>220.13999999999996</v>
      </c>
      <c r="C269" s="4" t="e">
        <f>VLOOKUP($A269,'extended_recharge_2003-2015'!$A$1:$AH$265,$D$1,FALSE)</f>
        <v>#N/A</v>
      </c>
      <c r="G269" s="6"/>
      <c r="L269" s="6"/>
    </row>
    <row r="270" spans="1:12" x14ac:dyDescent="0.2">
      <c r="A270" s="3">
        <v>16131</v>
      </c>
      <c r="B270" s="4">
        <f>VLOOKUP($A270,'existing_gw_inflows_1921-2003'!$A$1:$AH$1129,$D$1,FALSE)</f>
        <v>617.96000000000015</v>
      </c>
      <c r="C270" s="4" t="e">
        <f>VLOOKUP($A270,'extended_recharge_2003-2015'!$A$1:$AH$265,$D$1,FALSE)</f>
        <v>#N/A</v>
      </c>
      <c r="G270" s="6"/>
      <c r="L270" s="6"/>
    </row>
    <row r="271" spans="1:12" x14ac:dyDescent="0.2">
      <c r="A271" s="3">
        <v>16162</v>
      </c>
      <c r="B271" s="4">
        <f>VLOOKUP($A271,'existing_gw_inflows_1921-2003'!$A$1:$AH$1129,$D$1,FALSE)</f>
        <v>177.16000000000003</v>
      </c>
      <c r="C271" s="4" t="e">
        <f>VLOOKUP($A271,'extended_recharge_2003-2015'!$A$1:$AH$265,$D$1,FALSE)</f>
        <v>#N/A</v>
      </c>
      <c r="G271" s="6"/>
      <c r="L271" s="6"/>
    </row>
    <row r="272" spans="1:12" x14ac:dyDescent="0.2">
      <c r="A272" s="3">
        <v>16192</v>
      </c>
      <c r="B272" s="4">
        <f>VLOOKUP($A272,'existing_gw_inflows_1921-2003'!$A$1:$AH$1129,$D$1,FALSE)</f>
        <v>146.49</v>
      </c>
      <c r="C272" s="4" t="e">
        <f>VLOOKUP($A272,'extended_recharge_2003-2015'!$A$1:$AH$265,$D$1,FALSE)</f>
        <v>#N/A</v>
      </c>
      <c r="G272" s="6"/>
      <c r="L272" s="6"/>
    </row>
    <row r="273" spans="1:12" x14ac:dyDescent="0.2">
      <c r="A273" s="3">
        <v>16223</v>
      </c>
      <c r="B273" s="4">
        <f>VLOOKUP($A273,'existing_gw_inflows_1921-2003'!$A$1:$AH$1129,$D$1,FALSE)</f>
        <v>273.08</v>
      </c>
      <c r="C273" s="4" t="e">
        <f>VLOOKUP($A273,'extended_recharge_2003-2015'!$A$1:$AH$265,$D$1,FALSE)</f>
        <v>#N/A</v>
      </c>
      <c r="G273" s="6"/>
      <c r="L273" s="6"/>
    </row>
    <row r="274" spans="1:12" x14ac:dyDescent="0.2">
      <c r="A274" s="3">
        <v>16253</v>
      </c>
      <c r="B274" s="4">
        <f>VLOOKUP($A274,'existing_gw_inflows_1921-2003'!$A$1:$AH$1129,$D$1,FALSE)</f>
        <v>86.07</v>
      </c>
      <c r="C274" s="4" t="e">
        <f>VLOOKUP($A274,'extended_recharge_2003-2015'!$A$1:$AH$265,$D$1,FALSE)</f>
        <v>#N/A</v>
      </c>
      <c r="G274" s="6"/>
      <c r="L274" s="6"/>
    </row>
    <row r="275" spans="1:12" x14ac:dyDescent="0.2">
      <c r="A275" s="3">
        <v>16284</v>
      </c>
      <c r="B275" s="4">
        <f>VLOOKUP($A275,'existing_gw_inflows_1921-2003'!$A$1:$AH$1129,$D$1,FALSE)</f>
        <v>137.32</v>
      </c>
      <c r="C275" s="4" t="e">
        <f>VLOOKUP($A275,'extended_recharge_2003-2015'!$A$1:$AH$265,$D$1,FALSE)</f>
        <v>#N/A</v>
      </c>
      <c r="G275" s="6"/>
      <c r="L275" s="6"/>
    </row>
    <row r="276" spans="1:12" x14ac:dyDescent="0.2">
      <c r="A276" s="3">
        <v>16315</v>
      </c>
      <c r="B276" s="4">
        <f>VLOOKUP($A276,'existing_gw_inflows_1921-2003'!$A$1:$AH$1129,$D$1,FALSE)</f>
        <v>146.34999999999997</v>
      </c>
      <c r="C276" s="4" t="e">
        <f>VLOOKUP($A276,'extended_recharge_2003-2015'!$A$1:$AH$265,$D$1,FALSE)</f>
        <v>#N/A</v>
      </c>
      <c r="G276" s="6"/>
      <c r="L276" s="6"/>
    </row>
    <row r="277" spans="1:12" x14ac:dyDescent="0.2">
      <c r="A277" s="3">
        <v>16345</v>
      </c>
      <c r="B277" s="4">
        <f>VLOOKUP($A277,'existing_gw_inflows_1921-2003'!$A$1:$AH$1129,$D$1,FALSE)</f>
        <v>96.39</v>
      </c>
      <c r="C277" s="4" t="e">
        <f>VLOOKUP($A277,'extended_recharge_2003-2015'!$A$1:$AH$265,$D$1,FALSE)</f>
        <v>#N/A</v>
      </c>
      <c r="G277" s="6"/>
      <c r="L277" s="6"/>
    </row>
    <row r="278" spans="1:12" x14ac:dyDescent="0.2">
      <c r="A278" s="3">
        <v>16376</v>
      </c>
      <c r="B278" s="4">
        <f>VLOOKUP($A278,'existing_gw_inflows_1921-2003'!$A$1:$AH$1129,$D$1,FALSE)</f>
        <v>130.81</v>
      </c>
      <c r="C278" s="4" t="e">
        <f>VLOOKUP($A278,'extended_recharge_2003-2015'!$A$1:$AH$265,$D$1,FALSE)</f>
        <v>#N/A</v>
      </c>
      <c r="G278" s="6"/>
      <c r="L278" s="6"/>
    </row>
    <row r="279" spans="1:12" x14ac:dyDescent="0.2">
      <c r="A279" s="3">
        <v>16406</v>
      </c>
      <c r="B279" s="4">
        <f>VLOOKUP($A279,'existing_gw_inflows_1921-2003'!$A$1:$AH$1129,$D$1,FALSE)</f>
        <v>410.16999999999996</v>
      </c>
      <c r="C279" s="4" t="e">
        <f>VLOOKUP($A279,'extended_recharge_2003-2015'!$A$1:$AH$265,$D$1,FALSE)</f>
        <v>#N/A</v>
      </c>
      <c r="G279" s="6"/>
      <c r="L279" s="6"/>
    </row>
    <row r="280" spans="1:12" x14ac:dyDescent="0.2">
      <c r="A280" s="3">
        <v>16437</v>
      </c>
      <c r="B280" s="4">
        <f>VLOOKUP($A280,'existing_gw_inflows_1921-2003'!$A$1:$AH$1129,$D$1,FALSE)</f>
        <v>249.63000000000008</v>
      </c>
      <c r="C280" s="4" t="e">
        <f>VLOOKUP($A280,'extended_recharge_2003-2015'!$A$1:$AH$265,$D$1,FALSE)</f>
        <v>#N/A</v>
      </c>
      <c r="G280" s="6"/>
      <c r="L280" s="6"/>
    </row>
    <row r="281" spans="1:12" x14ac:dyDescent="0.2">
      <c r="A281" s="3">
        <v>16468</v>
      </c>
      <c r="B281" s="4">
        <f>VLOOKUP($A281,'existing_gw_inflows_1921-2003'!$A$1:$AH$1129,$D$1,FALSE)</f>
        <v>109.94000000000003</v>
      </c>
      <c r="C281" s="4" t="e">
        <f>VLOOKUP($A281,'extended_recharge_2003-2015'!$A$1:$AH$265,$D$1,FALSE)</f>
        <v>#N/A</v>
      </c>
      <c r="G281" s="6"/>
      <c r="L281" s="6"/>
    </row>
    <row r="282" spans="1:12" x14ac:dyDescent="0.2">
      <c r="A282" s="3">
        <v>16496</v>
      </c>
      <c r="B282" s="4">
        <f>VLOOKUP($A282,'existing_gw_inflows_1921-2003'!$A$1:$AH$1129,$D$1,FALSE)</f>
        <v>959.15000000000009</v>
      </c>
      <c r="C282" s="4" t="e">
        <f>VLOOKUP($A282,'extended_recharge_2003-2015'!$A$1:$AH$265,$D$1,FALSE)</f>
        <v>#N/A</v>
      </c>
      <c r="G282" s="6"/>
      <c r="L282" s="6"/>
    </row>
    <row r="283" spans="1:12" x14ac:dyDescent="0.2">
      <c r="A283" s="3">
        <v>16527</v>
      </c>
      <c r="B283" s="4">
        <f>VLOOKUP($A283,'existing_gw_inflows_1921-2003'!$A$1:$AH$1129,$D$1,FALSE)</f>
        <v>305.13</v>
      </c>
      <c r="C283" s="4" t="e">
        <f>VLOOKUP($A283,'extended_recharge_2003-2015'!$A$1:$AH$265,$D$1,FALSE)</f>
        <v>#N/A</v>
      </c>
      <c r="G283" s="6"/>
      <c r="L283" s="6"/>
    </row>
    <row r="284" spans="1:12" x14ac:dyDescent="0.2">
      <c r="A284" s="3">
        <v>16557</v>
      </c>
      <c r="B284" s="4">
        <f>VLOOKUP($A284,'existing_gw_inflows_1921-2003'!$A$1:$AH$1129,$D$1,FALSE)</f>
        <v>152.94</v>
      </c>
      <c r="C284" s="4" t="e">
        <f>VLOOKUP($A284,'extended_recharge_2003-2015'!$A$1:$AH$265,$D$1,FALSE)</f>
        <v>#N/A</v>
      </c>
      <c r="G284" s="6"/>
      <c r="L284" s="6"/>
    </row>
    <row r="285" spans="1:12" x14ac:dyDescent="0.2">
      <c r="A285" s="3">
        <v>16588</v>
      </c>
      <c r="B285" s="4">
        <f>VLOOKUP($A285,'existing_gw_inflows_1921-2003'!$A$1:$AH$1129,$D$1,FALSE)</f>
        <v>353.22</v>
      </c>
      <c r="C285" s="4" t="e">
        <f>VLOOKUP($A285,'extended_recharge_2003-2015'!$A$1:$AH$265,$D$1,FALSE)</f>
        <v>#N/A</v>
      </c>
      <c r="G285" s="6"/>
      <c r="L285" s="6"/>
    </row>
    <row r="286" spans="1:12" x14ac:dyDescent="0.2">
      <c r="A286" s="3">
        <v>16618</v>
      </c>
      <c r="B286" s="4">
        <f>VLOOKUP($A286,'existing_gw_inflows_1921-2003'!$A$1:$AH$1129,$D$1,FALSE)</f>
        <v>205.28</v>
      </c>
      <c r="C286" s="4" t="e">
        <f>VLOOKUP($A286,'extended_recharge_2003-2015'!$A$1:$AH$265,$D$1,FALSE)</f>
        <v>#N/A</v>
      </c>
      <c r="G286" s="6"/>
      <c r="L286" s="6"/>
    </row>
    <row r="287" spans="1:12" x14ac:dyDescent="0.2">
      <c r="A287" s="3">
        <v>16649</v>
      </c>
      <c r="B287" s="4">
        <f>VLOOKUP($A287,'existing_gw_inflows_1921-2003'!$A$1:$AH$1129,$D$1,FALSE)</f>
        <v>60.249999999999972</v>
      </c>
      <c r="C287" s="4" t="e">
        <f>VLOOKUP($A287,'extended_recharge_2003-2015'!$A$1:$AH$265,$D$1,FALSE)</f>
        <v>#N/A</v>
      </c>
      <c r="G287" s="6"/>
      <c r="L287" s="6"/>
    </row>
    <row r="288" spans="1:12" x14ac:dyDescent="0.2">
      <c r="A288" s="3">
        <v>16680</v>
      </c>
      <c r="B288" s="4">
        <f>VLOOKUP($A288,'existing_gw_inflows_1921-2003'!$A$1:$AH$1129,$D$1,FALSE)</f>
        <v>65.430000000000007</v>
      </c>
      <c r="C288" s="4" t="e">
        <f>VLOOKUP($A288,'extended_recharge_2003-2015'!$A$1:$AH$265,$D$1,FALSE)</f>
        <v>#N/A</v>
      </c>
      <c r="G288" s="6"/>
      <c r="L288" s="6"/>
    </row>
    <row r="289" spans="1:12" x14ac:dyDescent="0.2">
      <c r="A289" s="3">
        <v>16710</v>
      </c>
      <c r="B289" s="4">
        <f>VLOOKUP($A289,'existing_gw_inflows_1921-2003'!$A$1:$AH$1129,$D$1,FALSE)</f>
        <v>35.989999999999995</v>
      </c>
      <c r="C289" s="4" t="e">
        <f>VLOOKUP($A289,'extended_recharge_2003-2015'!$A$1:$AH$265,$D$1,FALSE)</f>
        <v>#N/A</v>
      </c>
      <c r="G289" s="6"/>
      <c r="L289" s="6"/>
    </row>
    <row r="290" spans="1:12" x14ac:dyDescent="0.2">
      <c r="A290" s="3">
        <v>16741</v>
      </c>
      <c r="B290" s="4">
        <f>VLOOKUP($A290,'existing_gw_inflows_1921-2003'!$A$1:$AH$1129,$D$1,FALSE)</f>
        <v>216.08</v>
      </c>
      <c r="C290" s="4" t="e">
        <f>VLOOKUP($A290,'extended_recharge_2003-2015'!$A$1:$AH$265,$D$1,FALSE)</f>
        <v>#N/A</v>
      </c>
      <c r="G290" s="6"/>
      <c r="L290" s="6"/>
    </row>
    <row r="291" spans="1:12" x14ac:dyDescent="0.2">
      <c r="A291" s="3">
        <v>16771</v>
      </c>
      <c r="B291" s="4">
        <f>VLOOKUP($A291,'existing_gw_inflows_1921-2003'!$A$1:$AH$1129,$D$1,FALSE)</f>
        <v>213.85999999999996</v>
      </c>
      <c r="C291" s="4" t="e">
        <f>VLOOKUP($A291,'extended_recharge_2003-2015'!$A$1:$AH$265,$D$1,FALSE)</f>
        <v>#N/A</v>
      </c>
      <c r="G291" s="6"/>
      <c r="L291" s="6"/>
    </row>
    <row r="292" spans="1:12" x14ac:dyDescent="0.2">
      <c r="A292" s="3">
        <v>16802</v>
      </c>
      <c r="B292" s="4">
        <f>VLOOKUP($A292,'existing_gw_inflows_1921-2003'!$A$1:$AH$1129,$D$1,FALSE)</f>
        <v>995.14</v>
      </c>
      <c r="C292" s="4" t="e">
        <f>VLOOKUP($A292,'extended_recharge_2003-2015'!$A$1:$AH$265,$D$1,FALSE)</f>
        <v>#N/A</v>
      </c>
      <c r="G292" s="6"/>
      <c r="L292" s="6"/>
    </row>
    <row r="293" spans="1:12" x14ac:dyDescent="0.2">
      <c r="A293" s="3">
        <v>16833</v>
      </c>
      <c r="B293" s="4">
        <f>VLOOKUP($A293,'existing_gw_inflows_1921-2003'!$A$1:$AH$1129,$D$1,FALSE)</f>
        <v>205.87000000000003</v>
      </c>
      <c r="C293" s="4" t="e">
        <f>VLOOKUP($A293,'extended_recharge_2003-2015'!$A$1:$AH$265,$D$1,FALSE)</f>
        <v>#N/A</v>
      </c>
      <c r="G293" s="6"/>
      <c r="L293" s="6"/>
    </row>
    <row r="294" spans="1:12" x14ac:dyDescent="0.2">
      <c r="A294" s="3">
        <v>16861</v>
      </c>
      <c r="B294" s="4">
        <f>VLOOKUP($A294,'existing_gw_inflows_1921-2003'!$A$1:$AH$1129,$D$1,FALSE)</f>
        <v>-151.46000000000006</v>
      </c>
      <c r="C294" s="4" t="e">
        <f>VLOOKUP($A294,'extended_recharge_2003-2015'!$A$1:$AH$265,$D$1,FALSE)</f>
        <v>#N/A</v>
      </c>
      <c r="G294" s="6"/>
      <c r="L294" s="6"/>
    </row>
    <row r="295" spans="1:12" x14ac:dyDescent="0.2">
      <c r="A295" s="3">
        <v>16892</v>
      </c>
      <c r="B295" s="4">
        <f>VLOOKUP($A295,'existing_gw_inflows_1921-2003'!$A$1:$AH$1129,$D$1,FALSE)</f>
        <v>187.08</v>
      </c>
      <c r="C295" s="4" t="e">
        <f>VLOOKUP($A295,'extended_recharge_2003-2015'!$A$1:$AH$265,$D$1,FALSE)</f>
        <v>#N/A</v>
      </c>
      <c r="G295" s="6"/>
      <c r="L295" s="6"/>
    </row>
    <row r="296" spans="1:12" x14ac:dyDescent="0.2">
      <c r="A296" s="3">
        <v>16922</v>
      </c>
      <c r="B296" s="4">
        <f>VLOOKUP($A296,'existing_gw_inflows_1921-2003'!$A$1:$AH$1129,$D$1,FALSE)</f>
        <v>285.51</v>
      </c>
      <c r="C296" s="4" t="e">
        <f>VLOOKUP($A296,'extended_recharge_2003-2015'!$A$1:$AH$265,$D$1,FALSE)</f>
        <v>#N/A</v>
      </c>
      <c r="G296" s="6"/>
      <c r="L296" s="6"/>
    </row>
    <row r="297" spans="1:12" x14ac:dyDescent="0.2">
      <c r="A297" s="3">
        <v>16953</v>
      </c>
      <c r="B297" s="4">
        <f>VLOOKUP($A297,'existing_gw_inflows_1921-2003'!$A$1:$AH$1129,$D$1,FALSE)</f>
        <v>359.78999999999996</v>
      </c>
      <c r="C297" s="4" t="e">
        <f>VLOOKUP($A297,'extended_recharge_2003-2015'!$A$1:$AH$265,$D$1,FALSE)</f>
        <v>#N/A</v>
      </c>
      <c r="G297" s="6"/>
      <c r="L297" s="6"/>
    </row>
    <row r="298" spans="1:12" x14ac:dyDescent="0.2">
      <c r="A298" s="3">
        <v>16983</v>
      </c>
      <c r="B298" s="4">
        <f>VLOOKUP($A298,'existing_gw_inflows_1921-2003'!$A$1:$AH$1129,$D$1,FALSE)</f>
        <v>20.269999999999985</v>
      </c>
      <c r="C298" s="4" t="e">
        <f>VLOOKUP($A298,'extended_recharge_2003-2015'!$A$1:$AH$265,$D$1,FALSE)</f>
        <v>#N/A</v>
      </c>
      <c r="G298" s="6"/>
      <c r="L298" s="6"/>
    </row>
    <row r="299" spans="1:12" x14ac:dyDescent="0.2">
      <c r="A299" s="3">
        <v>17014</v>
      </c>
      <c r="B299" s="4">
        <f>VLOOKUP($A299,'existing_gw_inflows_1921-2003'!$A$1:$AH$1129,$D$1,FALSE)</f>
        <v>97.25</v>
      </c>
      <c r="C299" s="4" t="e">
        <f>VLOOKUP($A299,'extended_recharge_2003-2015'!$A$1:$AH$265,$D$1,FALSE)</f>
        <v>#N/A</v>
      </c>
      <c r="G299" s="6"/>
      <c r="L299" s="6"/>
    </row>
    <row r="300" spans="1:12" x14ac:dyDescent="0.2">
      <c r="A300" s="3">
        <v>17045</v>
      </c>
      <c r="B300" s="4">
        <f>VLOOKUP($A300,'existing_gw_inflows_1921-2003'!$A$1:$AH$1129,$D$1,FALSE)</f>
        <v>154.44</v>
      </c>
      <c r="C300" s="4" t="e">
        <f>VLOOKUP($A300,'extended_recharge_2003-2015'!$A$1:$AH$265,$D$1,FALSE)</f>
        <v>#N/A</v>
      </c>
      <c r="G300" s="6"/>
      <c r="L300" s="6"/>
    </row>
    <row r="301" spans="1:12" x14ac:dyDescent="0.2">
      <c r="A301" s="3">
        <v>17075</v>
      </c>
      <c r="B301" s="4">
        <f>VLOOKUP($A301,'existing_gw_inflows_1921-2003'!$A$1:$AH$1129,$D$1,FALSE)</f>
        <v>55.320000000000007</v>
      </c>
      <c r="C301" s="4" t="e">
        <f>VLOOKUP($A301,'extended_recharge_2003-2015'!$A$1:$AH$265,$D$1,FALSE)</f>
        <v>#N/A</v>
      </c>
      <c r="G301" s="6"/>
      <c r="L301" s="6"/>
    </row>
    <row r="302" spans="1:12" x14ac:dyDescent="0.2">
      <c r="A302" s="3">
        <v>17106</v>
      </c>
      <c r="B302" s="4">
        <f>VLOOKUP($A302,'existing_gw_inflows_1921-2003'!$A$1:$AH$1129,$D$1,FALSE)</f>
        <v>117.33999999999999</v>
      </c>
      <c r="C302" s="4" t="e">
        <f>VLOOKUP($A302,'extended_recharge_2003-2015'!$A$1:$AH$265,$D$1,FALSE)</f>
        <v>#N/A</v>
      </c>
      <c r="G302" s="6"/>
      <c r="L302" s="6"/>
    </row>
    <row r="303" spans="1:12" x14ac:dyDescent="0.2">
      <c r="A303" s="3">
        <v>17136</v>
      </c>
      <c r="B303" s="4">
        <f>VLOOKUP($A303,'existing_gw_inflows_1921-2003'!$A$1:$AH$1129,$D$1,FALSE)</f>
        <v>303.52</v>
      </c>
      <c r="C303" s="4" t="e">
        <f>VLOOKUP($A303,'extended_recharge_2003-2015'!$A$1:$AH$265,$D$1,FALSE)</f>
        <v>#N/A</v>
      </c>
      <c r="G303" s="6"/>
      <c r="L303" s="6"/>
    </row>
    <row r="304" spans="1:12" x14ac:dyDescent="0.2">
      <c r="A304" s="3">
        <v>17167</v>
      </c>
      <c r="B304" s="4">
        <f>VLOOKUP($A304,'existing_gw_inflows_1921-2003'!$A$1:$AH$1129,$D$1,FALSE)</f>
        <v>294.23999999999995</v>
      </c>
      <c r="C304" s="4" t="e">
        <f>VLOOKUP($A304,'extended_recharge_2003-2015'!$A$1:$AH$265,$D$1,FALSE)</f>
        <v>#N/A</v>
      </c>
      <c r="G304" s="6"/>
      <c r="L304" s="6"/>
    </row>
    <row r="305" spans="1:12" x14ac:dyDescent="0.2">
      <c r="A305" s="3">
        <v>17198</v>
      </c>
      <c r="B305" s="4">
        <f>VLOOKUP($A305,'existing_gw_inflows_1921-2003'!$A$1:$AH$1129,$D$1,FALSE)</f>
        <v>4.2899999999999938</v>
      </c>
      <c r="C305" s="4" t="e">
        <f>VLOOKUP($A305,'extended_recharge_2003-2015'!$A$1:$AH$265,$D$1,FALSE)</f>
        <v>#N/A</v>
      </c>
      <c r="G305" s="6"/>
      <c r="L305" s="6"/>
    </row>
    <row r="306" spans="1:12" x14ac:dyDescent="0.2">
      <c r="A306" s="3">
        <v>17226</v>
      </c>
      <c r="B306" s="4">
        <f>VLOOKUP($A306,'existing_gw_inflows_1921-2003'!$A$1:$AH$1129,$D$1,FALSE)</f>
        <v>194.94000000000003</v>
      </c>
      <c r="C306" s="4" t="e">
        <f>VLOOKUP($A306,'extended_recharge_2003-2015'!$A$1:$AH$265,$D$1,FALSE)</f>
        <v>#N/A</v>
      </c>
      <c r="G306" s="6"/>
      <c r="L306" s="6"/>
    </row>
    <row r="307" spans="1:12" x14ac:dyDescent="0.2">
      <c r="A307" s="3">
        <v>17257</v>
      </c>
      <c r="B307" s="4">
        <f>VLOOKUP($A307,'existing_gw_inflows_1921-2003'!$A$1:$AH$1129,$D$1,FALSE)</f>
        <v>338.41</v>
      </c>
      <c r="C307" s="4" t="e">
        <f>VLOOKUP($A307,'extended_recharge_2003-2015'!$A$1:$AH$265,$D$1,FALSE)</f>
        <v>#N/A</v>
      </c>
      <c r="G307" s="6"/>
      <c r="L307" s="6"/>
    </row>
    <row r="308" spans="1:12" x14ac:dyDescent="0.2">
      <c r="A308" s="3">
        <v>17287</v>
      </c>
      <c r="B308" s="4">
        <f>VLOOKUP($A308,'existing_gw_inflows_1921-2003'!$A$1:$AH$1129,$D$1,FALSE)</f>
        <v>149.02000000000001</v>
      </c>
      <c r="C308" s="4" t="e">
        <f>VLOOKUP($A308,'extended_recharge_2003-2015'!$A$1:$AH$265,$D$1,FALSE)</f>
        <v>#N/A</v>
      </c>
      <c r="G308" s="6"/>
      <c r="L308" s="6"/>
    </row>
    <row r="309" spans="1:12" x14ac:dyDescent="0.2">
      <c r="A309" s="3">
        <v>17318</v>
      </c>
      <c r="B309" s="4">
        <f>VLOOKUP($A309,'existing_gw_inflows_1921-2003'!$A$1:$AH$1129,$D$1,FALSE)</f>
        <v>181.53</v>
      </c>
      <c r="C309" s="4" t="e">
        <f>VLOOKUP($A309,'extended_recharge_2003-2015'!$A$1:$AH$265,$D$1,FALSE)</f>
        <v>#N/A</v>
      </c>
      <c r="G309" s="6"/>
      <c r="L309" s="6"/>
    </row>
    <row r="310" spans="1:12" x14ac:dyDescent="0.2">
      <c r="A310" s="3">
        <v>17348</v>
      </c>
      <c r="B310" s="4">
        <f>VLOOKUP($A310,'existing_gw_inflows_1921-2003'!$A$1:$AH$1129,$D$1,FALSE)</f>
        <v>205.53</v>
      </c>
      <c r="C310" s="4" t="e">
        <f>VLOOKUP($A310,'extended_recharge_2003-2015'!$A$1:$AH$265,$D$1,FALSE)</f>
        <v>#N/A</v>
      </c>
      <c r="G310" s="6"/>
      <c r="L310" s="6"/>
    </row>
    <row r="311" spans="1:12" x14ac:dyDescent="0.2">
      <c r="A311" s="3">
        <v>17379</v>
      </c>
      <c r="B311" s="4">
        <f>VLOOKUP($A311,'existing_gw_inflows_1921-2003'!$A$1:$AH$1129,$D$1,FALSE)</f>
        <v>319.50000000000006</v>
      </c>
      <c r="C311" s="4" t="e">
        <f>VLOOKUP($A311,'extended_recharge_2003-2015'!$A$1:$AH$265,$D$1,FALSE)</f>
        <v>#N/A</v>
      </c>
      <c r="G311" s="6"/>
      <c r="L311" s="6"/>
    </row>
    <row r="312" spans="1:12" x14ac:dyDescent="0.2">
      <c r="A312" s="3">
        <v>17410</v>
      </c>
      <c r="B312" s="4">
        <f>VLOOKUP($A312,'existing_gw_inflows_1921-2003'!$A$1:$AH$1129,$D$1,FALSE)</f>
        <v>293.33</v>
      </c>
      <c r="C312" s="4" t="e">
        <f>VLOOKUP($A312,'extended_recharge_2003-2015'!$A$1:$AH$265,$D$1,FALSE)</f>
        <v>#N/A</v>
      </c>
      <c r="G312" s="6"/>
      <c r="L312" s="6"/>
    </row>
    <row r="313" spans="1:12" x14ac:dyDescent="0.2">
      <c r="A313" s="3">
        <v>17440</v>
      </c>
      <c r="B313" s="4">
        <f>VLOOKUP($A313,'existing_gw_inflows_1921-2003'!$A$1:$AH$1129,$D$1,FALSE)</f>
        <v>121.46999999999998</v>
      </c>
      <c r="C313" s="4" t="e">
        <f>VLOOKUP($A313,'extended_recharge_2003-2015'!$A$1:$AH$265,$D$1,FALSE)</f>
        <v>#N/A</v>
      </c>
      <c r="G313" s="6"/>
      <c r="L313" s="6"/>
    </row>
    <row r="314" spans="1:12" x14ac:dyDescent="0.2">
      <c r="A314" s="3">
        <v>17471</v>
      </c>
      <c r="B314" s="4">
        <f>VLOOKUP($A314,'existing_gw_inflows_1921-2003'!$A$1:$AH$1129,$D$1,FALSE)</f>
        <v>239.16000000000005</v>
      </c>
      <c r="C314" s="4" t="e">
        <f>VLOOKUP($A314,'extended_recharge_2003-2015'!$A$1:$AH$265,$D$1,FALSE)</f>
        <v>#N/A</v>
      </c>
      <c r="G314" s="6"/>
      <c r="L314" s="6"/>
    </row>
    <row r="315" spans="1:12" x14ac:dyDescent="0.2">
      <c r="A315" s="3">
        <v>17501</v>
      </c>
      <c r="B315" s="4">
        <f>VLOOKUP($A315,'existing_gw_inflows_1921-2003'!$A$1:$AH$1129,$D$1,FALSE)</f>
        <v>72.58</v>
      </c>
      <c r="C315" s="4" t="e">
        <f>VLOOKUP($A315,'extended_recharge_2003-2015'!$A$1:$AH$265,$D$1,FALSE)</f>
        <v>#N/A</v>
      </c>
      <c r="G315" s="6"/>
      <c r="L315" s="6"/>
    </row>
    <row r="316" spans="1:12" x14ac:dyDescent="0.2">
      <c r="A316" s="3">
        <v>17532</v>
      </c>
      <c r="B316" s="4">
        <f>VLOOKUP($A316,'existing_gw_inflows_1921-2003'!$A$1:$AH$1129,$D$1,FALSE)</f>
        <v>83.77000000000001</v>
      </c>
      <c r="C316" s="4" t="e">
        <f>VLOOKUP($A316,'extended_recharge_2003-2015'!$A$1:$AH$265,$D$1,FALSE)</f>
        <v>#N/A</v>
      </c>
      <c r="G316" s="6"/>
      <c r="L316" s="6"/>
    </row>
    <row r="317" spans="1:12" x14ac:dyDescent="0.2">
      <c r="A317" s="3">
        <v>17563</v>
      </c>
      <c r="B317" s="4">
        <f>VLOOKUP($A317,'existing_gw_inflows_1921-2003'!$A$1:$AH$1129,$D$1,FALSE)</f>
        <v>228.58</v>
      </c>
      <c r="C317" s="4" t="e">
        <f>VLOOKUP($A317,'extended_recharge_2003-2015'!$A$1:$AH$265,$D$1,FALSE)</f>
        <v>#N/A</v>
      </c>
      <c r="G317" s="6"/>
      <c r="L317" s="6"/>
    </row>
    <row r="318" spans="1:12" x14ac:dyDescent="0.2">
      <c r="A318" s="3">
        <v>17592</v>
      </c>
      <c r="B318" s="4">
        <f>VLOOKUP($A318,'existing_gw_inflows_1921-2003'!$A$1:$AH$1129,$D$1,FALSE)</f>
        <v>24.239999999999991</v>
      </c>
      <c r="C318" s="4" t="e">
        <f>VLOOKUP($A318,'extended_recharge_2003-2015'!$A$1:$AH$265,$D$1,FALSE)</f>
        <v>#N/A</v>
      </c>
      <c r="G318" s="6"/>
      <c r="L318" s="6"/>
    </row>
    <row r="319" spans="1:12" x14ac:dyDescent="0.2">
      <c r="A319" s="3">
        <v>17623</v>
      </c>
      <c r="B319" s="4">
        <f>VLOOKUP($A319,'existing_gw_inflows_1921-2003'!$A$1:$AH$1129,$D$1,FALSE)</f>
        <v>405.57000000000005</v>
      </c>
      <c r="C319" s="4" t="e">
        <f>VLOOKUP($A319,'extended_recharge_2003-2015'!$A$1:$AH$265,$D$1,FALSE)</f>
        <v>#N/A</v>
      </c>
      <c r="G319" s="6"/>
      <c r="L319" s="6"/>
    </row>
    <row r="320" spans="1:12" x14ac:dyDescent="0.2">
      <c r="A320" s="3">
        <v>17653</v>
      </c>
      <c r="B320" s="4">
        <f>VLOOKUP($A320,'existing_gw_inflows_1921-2003'!$A$1:$AH$1129,$D$1,FALSE)</f>
        <v>695.08</v>
      </c>
      <c r="C320" s="4" t="e">
        <f>VLOOKUP($A320,'extended_recharge_2003-2015'!$A$1:$AH$265,$D$1,FALSE)</f>
        <v>#N/A</v>
      </c>
      <c r="G320" s="6"/>
      <c r="L320" s="6"/>
    </row>
    <row r="321" spans="1:12" x14ac:dyDescent="0.2">
      <c r="A321" s="3">
        <v>17684</v>
      </c>
      <c r="B321" s="4">
        <f>VLOOKUP($A321,'existing_gw_inflows_1921-2003'!$A$1:$AH$1129,$D$1,FALSE)</f>
        <v>416.42</v>
      </c>
      <c r="C321" s="4" t="e">
        <f>VLOOKUP($A321,'extended_recharge_2003-2015'!$A$1:$AH$265,$D$1,FALSE)</f>
        <v>#N/A</v>
      </c>
      <c r="G321" s="6"/>
      <c r="L321" s="6"/>
    </row>
    <row r="322" spans="1:12" x14ac:dyDescent="0.2">
      <c r="A322" s="3">
        <v>17714</v>
      </c>
      <c r="B322" s="4">
        <f>VLOOKUP($A322,'existing_gw_inflows_1921-2003'!$A$1:$AH$1129,$D$1,FALSE)</f>
        <v>294.90000000000003</v>
      </c>
      <c r="C322" s="4" t="e">
        <f>VLOOKUP($A322,'extended_recharge_2003-2015'!$A$1:$AH$265,$D$1,FALSE)</f>
        <v>#N/A</v>
      </c>
      <c r="G322" s="6"/>
      <c r="L322" s="6"/>
    </row>
    <row r="323" spans="1:12" x14ac:dyDescent="0.2">
      <c r="A323" s="3">
        <v>17745</v>
      </c>
      <c r="B323" s="4">
        <f>VLOOKUP($A323,'existing_gw_inflows_1921-2003'!$A$1:$AH$1129,$D$1,FALSE)</f>
        <v>160.21</v>
      </c>
      <c r="C323" s="4" t="e">
        <f>VLOOKUP($A323,'extended_recharge_2003-2015'!$A$1:$AH$265,$D$1,FALSE)</f>
        <v>#N/A</v>
      </c>
      <c r="G323" s="6"/>
      <c r="L323" s="6"/>
    </row>
    <row r="324" spans="1:12" x14ac:dyDescent="0.2">
      <c r="A324" s="3">
        <v>17776</v>
      </c>
      <c r="B324" s="4">
        <f>VLOOKUP($A324,'existing_gw_inflows_1921-2003'!$A$1:$AH$1129,$D$1,FALSE)</f>
        <v>256.19999999999993</v>
      </c>
      <c r="C324" s="4" t="e">
        <f>VLOOKUP($A324,'extended_recharge_2003-2015'!$A$1:$AH$265,$D$1,FALSE)</f>
        <v>#N/A</v>
      </c>
      <c r="G324" s="6"/>
      <c r="L324" s="6"/>
    </row>
    <row r="325" spans="1:12" x14ac:dyDescent="0.2">
      <c r="A325" s="3">
        <v>17806</v>
      </c>
      <c r="B325" s="4">
        <f>VLOOKUP($A325,'existing_gw_inflows_1921-2003'!$A$1:$AH$1129,$D$1,FALSE)</f>
        <v>96.390000000000015</v>
      </c>
      <c r="C325" s="4" t="e">
        <f>VLOOKUP($A325,'extended_recharge_2003-2015'!$A$1:$AH$265,$D$1,FALSE)</f>
        <v>#N/A</v>
      </c>
      <c r="G325" s="6"/>
      <c r="L325" s="6"/>
    </row>
    <row r="326" spans="1:12" x14ac:dyDescent="0.2">
      <c r="A326" s="3">
        <v>17837</v>
      </c>
      <c r="B326" s="4">
        <f>VLOOKUP($A326,'existing_gw_inflows_1921-2003'!$A$1:$AH$1129,$D$1,FALSE)</f>
        <v>97.29</v>
      </c>
      <c r="C326" s="4" t="e">
        <f>VLOOKUP($A326,'extended_recharge_2003-2015'!$A$1:$AH$265,$D$1,FALSE)</f>
        <v>#N/A</v>
      </c>
      <c r="G326" s="6"/>
      <c r="L326" s="6"/>
    </row>
    <row r="327" spans="1:12" x14ac:dyDescent="0.2">
      <c r="A327" s="3">
        <v>17867</v>
      </c>
      <c r="B327" s="4">
        <f>VLOOKUP($A327,'existing_gw_inflows_1921-2003'!$A$1:$AH$1129,$D$1,FALSE)</f>
        <v>80.92</v>
      </c>
      <c r="C327" s="4" t="e">
        <f>VLOOKUP($A327,'extended_recharge_2003-2015'!$A$1:$AH$265,$D$1,FALSE)</f>
        <v>#N/A</v>
      </c>
      <c r="G327" s="6"/>
      <c r="L327" s="6"/>
    </row>
    <row r="328" spans="1:12" x14ac:dyDescent="0.2">
      <c r="A328" s="3">
        <v>17898</v>
      </c>
      <c r="B328" s="4">
        <f>VLOOKUP($A328,'existing_gw_inflows_1921-2003'!$A$1:$AH$1129,$D$1,FALSE)</f>
        <v>252.87000000000003</v>
      </c>
      <c r="C328" s="4" t="e">
        <f>VLOOKUP($A328,'extended_recharge_2003-2015'!$A$1:$AH$265,$D$1,FALSE)</f>
        <v>#N/A</v>
      </c>
      <c r="G328" s="6"/>
      <c r="L328" s="6"/>
    </row>
    <row r="329" spans="1:12" x14ac:dyDescent="0.2">
      <c r="A329" s="3">
        <v>17929</v>
      </c>
      <c r="B329" s="4">
        <f>VLOOKUP($A329,'existing_gw_inflows_1921-2003'!$A$1:$AH$1129,$D$1,FALSE)</f>
        <v>56.26</v>
      </c>
      <c r="C329" s="4" t="e">
        <f>VLOOKUP($A329,'extended_recharge_2003-2015'!$A$1:$AH$265,$D$1,FALSE)</f>
        <v>#N/A</v>
      </c>
      <c r="G329" s="6"/>
      <c r="L329" s="6"/>
    </row>
    <row r="330" spans="1:12" x14ac:dyDescent="0.2">
      <c r="A330" s="3">
        <v>17957</v>
      </c>
      <c r="B330" s="4">
        <f>VLOOKUP($A330,'existing_gw_inflows_1921-2003'!$A$1:$AH$1129,$D$1,FALSE)</f>
        <v>138.28</v>
      </c>
      <c r="C330" s="4" t="e">
        <f>VLOOKUP($A330,'extended_recharge_2003-2015'!$A$1:$AH$265,$D$1,FALSE)</f>
        <v>#N/A</v>
      </c>
      <c r="G330" s="6"/>
      <c r="L330" s="6"/>
    </row>
    <row r="331" spans="1:12" x14ac:dyDescent="0.2">
      <c r="A331" s="3">
        <v>17988</v>
      </c>
      <c r="B331" s="4">
        <f>VLOOKUP($A331,'existing_gw_inflows_1921-2003'!$A$1:$AH$1129,$D$1,FALSE)</f>
        <v>817.73</v>
      </c>
      <c r="C331" s="4" t="e">
        <f>VLOOKUP($A331,'extended_recharge_2003-2015'!$A$1:$AH$265,$D$1,FALSE)</f>
        <v>#N/A</v>
      </c>
      <c r="G331" s="6"/>
      <c r="L331" s="6"/>
    </row>
    <row r="332" spans="1:12" x14ac:dyDescent="0.2">
      <c r="A332" s="3">
        <v>18018</v>
      </c>
      <c r="B332" s="4">
        <f>VLOOKUP($A332,'existing_gw_inflows_1921-2003'!$A$1:$AH$1129,$D$1,FALSE)</f>
        <v>153.91999999999999</v>
      </c>
      <c r="C332" s="4" t="e">
        <f>VLOOKUP($A332,'extended_recharge_2003-2015'!$A$1:$AH$265,$D$1,FALSE)</f>
        <v>#N/A</v>
      </c>
      <c r="G332" s="6"/>
      <c r="L332" s="6"/>
    </row>
    <row r="333" spans="1:12" x14ac:dyDescent="0.2">
      <c r="A333" s="3">
        <v>18049</v>
      </c>
      <c r="B333" s="4">
        <f>VLOOKUP($A333,'existing_gw_inflows_1921-2003'!$A$1:$AH$1129,$D$1,FALSE)</f>
        <v>206.59999999999997</v>
      </c>
      <c r="C333" s="4" t="e">
        <f>VLOOKUP($A333,'extended_recharge_2003-2015'!$A$1:$AH$265,$D$1,FALSE)</f>
        <v>#N/A</v>
      </c>
      <c r="G333" s="6"/>
      <c r="L333" s="6"/>
    </row>
    <row r="334" spans="1:12" x14ac:dyDescent="0.2">
      <c r="A334" s="3">
        <v>18079</v>
      </c>
      <c r="B334" s="4">
        <f>VLOOKUP($A334,'existing_gw_inflows_1921-2003'!$A$1:$AH$1129,$D$1,FALSE)</f>
        <v>236.16</v>
      </c>
      <c r="C334" s="4" t="e">
        <f>VLOOKUP($A334,'extended_recharge_2003-2015'!$A$1:$AH$265,$D$1,FALSE)</f>
        <v>#N/A</v>
      </c>
      <c r="G334" s="6"/>
      <c r="L334" s="6"/>
    </row>
    <row r="335" spans="1:12" x14ac:dyDescent="0.2">
      <c r="A335" s="3">
        <v>18110</v>
      </c>
      <c r="B335" s="4">
        <f>VLOOKUP($A335,'existing_gw_inflows_1921-2003'!$A$1:$AH$1129,$D$1,FALSE)</f>
        <v>374.37</v>
      </c>
      <c r="C335" s="4" t="e">
        <f>VLOOKUP($A335,'extended_recharge_2003-2015'!$A$1:$AH$265,$D$1,FALSE)</f>
        <v>#N/A</v>
      </c>
      <c r="G335" s="6"/>
      <c r="L335" s="6"/>
    </row>
    <row r="336" spans="1:12" x14ac:dyDescent="0.2">
      <c r="A336" s="3">
        <v>18141</v>
      </c>
      <c r="B336" s="4">
        <f>VLOOKUP($A336,'existing_gw_inflows_1921-2003'!$A$1:$AH$1129,$D$1,FALSE)</f>
        <v>337.06000000000006</v>
      </c>
      <c r="C336" s="4" t="e">
        <f>VLOOKUP($A336,'extended_recharge_2003-2015'!$A$1:$AH$265,$D$1,FALSE)</f>
        <v>#N/A</v>
      </c>
      <c r="G336" s="6"/>
      <c r="L336" s="6"/>
    </row>
    <row r="337" spans="1:12" x14ac:dyDescent="0.2">
      <c r="A337" s="3">
        <v>18171</v>
      </c>
      <c r="B337" s="4">
        <f>VLOOKUP($A337,'existing_gw_inflows_1921-2003'!$A$1:$AH$1129,$D$1,FALSE)</f>
        <v>126.22</v>
      </c>
      <c r="C337" s="4" t="e">
        <f>VLOOKUP($A337,'extended_recharge_2003-2015'!$A$1:$AH$265,$D$1,FALSE)</f>
        <v>#N/A</v>
      </c>
      <c r="G337" s="6"/>
      <c r="L337" s="6"/>
    </row>
    <row r="338" spans="1:12" x14ac:dyDescent="0.2">
      <c r="A338" s="3">
        <v>18202</v>
      </c>
      <c r="B338" s="4">
        <f>VLOOKUP($A338,'existing_gw_inflows_1921-2003'!$A$1:$AH$1129,$D$1,FALSE)</f>
        <v>110.21000000000001</v>
      </c>
      <c r="C338" s="4" t="e">
        <f>VLOOKUP($A338,'extended_recharge_2003-2015'!$A$1:$AH$265,$D$1,FALSE)</f>
        <v>#N/A</v>
      </c>
      <c r="G338" s="6"/>
      <c r="L338" s="6"/>
    </row>
    <row r="339" spans="1:12" x14ac:dyDescent="0.2">
      <c r="A339" s="3">
        <v>18232</v>
      </c>
      <c r="B339" s="4">
        <f>VLOOKUP($A339,'existing_gw_inflows_1921-2003'!$A$1:$AH$1129,$D$1,FALSE)</f>
        <v>128.56000000000003</v>
      </c>
      <c r="C339" s="4" t="e">
        <f>VLOOKUP($A339,'extended_recharge_2003-2015'!$A$1:$AH$265,$D$1,FALSE)</f>
        <v>#N/A</v>
      </c>
      <c r="G339" s="6"/>
      <c r="L339" s="6"/>
    </row>
    <row r="340" spans="1:12" x14ac:dyDescent="0.2">
      <c r="A340" s="3">
        <v>18263</v>
      </c>
      <c r="B340" s="4">
        <f>VLOOKUP($A340,'existing_gw_inflows_1921-2003'!$A$1:$AH$1129,$D$1,FALSE)</f>
        <v>126.32999999999997</v>
      </c>
      <c r="C340" s="4" t="e">
        <f>VLOOKUP($A340,'extended_recharge_2003-2015'!$A$1:$AH$265,$D$1,FALSE)</f>
        <v>#N/A</v>
      </c>
      <c r="G340" s="6"/>
      <c r="L340" s="6"/>
    </row>
    <row r="341" spans="1:12" x14ac:dyDescent="0.2">
      <c r="A341" s="3">
        <v>18294</v>
      </c>
      <c r="B341" s="4">
        <f>VLOOKUP($A341,'existing_gw_inflows_1921-2003'!$A$1:$AH$1129,$D$1,FALSE)</f>
        <v>546.11999999999989</v>
      </c>
      <c r="C341" s="4" t="e">
        <f>VLOOKUP($A341,'extended_recharge_2003-2015'!$A$1:$AH$265,$D$1,FALSE)</f>
        <v>#N/A</v>
      </c>
      <c r="G341" s="6"/>
      <c r="L341" s="6"/>
    </row>
    <row r="342" spans="1:12" x14ac:dyDescent="0.2">
      <c r="A342" s="3">
        <v>18322</v>
      </c>
      <c r="B342" s="4">
        <f>VLOOKUP($A342,'existing_gw_inflows_1921-2003'!$A$1:$AH$1129,$D$1,FALSE)</f>
        <v>364.9</v>
      </c>
      <c r="C342" s="4" t="e">
        <f>VLOOKUP($A342,'extended_recharge_2003-2015'!$A$1:$AH$265,$D$1,FALSE)</f>
        <v>#N/A</v>
      </c>
      <c r="G342" s="6"/>
      <c r="L342" s="6"/>
    </row>
    <row r="343" spans="1:12" x14ac:dyDescent="0.2">
      <c r="A343" s="3">
        <v>18353</v>
      </c>
      <c r="B343" s="4">
        <f>VLOOKUP($A343,'existing_gw_inflows_1921-2003'!$A$1:$AH$1129,$D$1,FALSE)</f>
        <v>202.39</v>
      </c>
      <c r="C343" s="4" t="e">
        <f>VLOOKUP($A343,'extended_recharge_2003-2015'!$A$1:$AH$265,$D$1,FALSE)</f>
        <v>#N/A</v>
      </c>
      <c r="G343" s="6"/>
      <c r="L343" s="6"/>
    </row>
    <row r="344" spans="1:12" x14ac:dyDescent="0.2">
      <c r="A344" s="3">
        <v>18383</v>
      </c>
      <c r="B344" s="4">
        <f>VLOOKUP($A344,'existing_gw_inflows_1921-2003'!$A$1:$AH$1129,$D$1,FALSE)</f>
        <v>305.98000000000008</v>
      </c>
      <c r="C344" s="4" t="e">
        <f>VLOOKUP($A344,'extended_recharge_2003-2015'!$A$1:$AH$265,$D$1,FALSE)</f>
        <v>#N/A</v>
      </c>
      <c r="G344" s="6"/>
      <c r="L344" s="6"/>
    </row>
    <row r="345" spans="1:12" x14ac:dyDescent="0.2">
      <c r="A345" s="3">
        <v>18414</v>
      </c>
      <c r="B345" s="4">
        <f>VLOOKUP($A345,'existing_gw_inflows_1921-2003'!$A$1:$AH$1129,$D$1,FALSE)</f>
        <v>255.75000000000006</v>
      </c>
      <c r="C345" s="4" t="e">
        <f>VLOOKUP($A345,'extended_recharge_2003-2015'!$A$1:$AH$265,$D$1,FALSE)</f>
        <v>#N/A</v>
      </c>
      <c r="G345" s="6"/>
      <c r="L345" s="6"/>
    </row>
    <row r="346" spans="1:12" x14ac:dyDescent="0.2">
      <c r="A346" s="3">
        <v>18444</v>
      </c>
      <c r="B346" s="4">
        <f>VLOOKUP($A346,'existing_gw_inflows_1921-2003'!$A$1:$AH$1129,$D$1,FALSE)</f>
        <v>240.23</v>
      </c>
      <c r="C346" s="4" t="e">
        <f>VLOOKUP($A346,'extended_recharge_2003-2015'!$A$1:$AH$265,$D$1,FALSE)</f>
        <v>#N/A</v>
      </c>
      <c r="G346" s="6"/>
      <c r="L346" s="6"/>
    </row>
    <row r="347" spans="1:12" x14ac:dyDescent="0.2">
      <c r="A347" s="3">
        <v>18475</v>
      </c>
      <c r="B347" s="4">
        <f>VLOOKUP($A347,'existing_gw_inflows_1921-2003'!$A$1:$AH$1129,$D$1,FALSE)</f>
        <v>284.65999999999997</v>
      </c>
      <c r="C347" s="4" t="e">
        <f>VLOOKUP($A347,'extended_recharge_2003-2015'!$A$1:$AH$265,$D$1,FALSE)</f>
        <v>#N/A</v>
      </c>
      <c r="G347" s="6"/>
      <c r="L347" s="6"/>
    </row>
    <row r="348" spans="1:12" x14ac:dyDescent="0.2">
      <c r="A348" s="3">
        <v>18506</v>
      </c>
      <c r="B348" s="4">
        <f>VLOOKUP($A348,'existing_gw_inflows_1921-2003'!$A$1:$AH$1129,$D$1,FALSE)</f>
        <v>305.64999999999998</v>
      </c>
      <c r="C348" s="4" t="e">
        <f>VLOOKUP($A348,'extended_recharge_2003-2015'!$A$1:$AH$265,$D$1,FALSE)</f>
        <v>#N/A</v>
      </c>
      <c r="G348" s="6"/>
      <c r="L348" s="6"/>
    </row>
    <row r="349" spans="1:12" x14ac:dyDescent="0.2">
      <c r="A349" s="3">
        <v>18536</v>
      </c>
      <c r="B349" s="4">
        <f>VLOOKUP($A349,'existing_gw_inflows_1921-2003'!$A$1:$AH$1129,$D$1,FALSE)</f>
        <v>138.94999999999999</v>
      </c>
      <c r="C349" s="4" t="e">
        <f>VLOOKUP($A349,'extended_recharge_2003-2015'!$A$1:$AH$265,$D$1,FALSE)</f>
        <v>#N/A</v>
      </c>
      <c r="G349" s="6"/>
      <c r="L349" s="6"/>
    </row>
    <row r="350" spans="1:12" x14ac:dyDescent="0.2">
      <c r="A350" s="3">
        <v>18567</v>
      </c>
      <c r="B350" s="4">
        <f>VLOOKUP($A350,'existing_gw_inflows_1921-2003'!$A$1:$AH$1129,$D$1,FALSE)</f>
        <v>165.29999999999998</v>
      </c>
      <c r="C350" s="4" t="e">
        <f>VLOOKUP($A350,'extended_recharge_2003-2015'!$A$1:$AH$265,$D$1,FALSE)</f>
        <v>#N/A</v>
      </c>
      <c r="G350" s="6"/>
      <c r="L350" s="6"/>
    </row>
    <row r="351" spans="1:12" x14ac:dyDescent="0.2">
      <c r="A351" s="3">
        <v>18597</v>
      </c>
      <c r="B351" s="4">
        <f>VLOOKUP($A351,'existing_gw_inflows_1921-2003'!$A$1:$AH$1129,$D$1,FALSE)</f>
        <v>967.51</v>
      </c>
      <c r="C351" s="4" t="e">
        <f>VLOOKUP($A351,'extended_recharge_2003-2015'!$A$1:$AH$265,$D$1,FALSE)</f>
        <v>#N/A</v>
      </c>
      <c r="G351" s="6"/>
      <c r="L351" s="6"/>
    </row>
    <row r="352" spans="1:12" x14ac:dyDescent="0.2">
      <c r="A352" s="3">
        <v>18628</v>
      </c>
      <c r="B352" s="4">
        <f>VLOOKUP($A352,'existing_gw_inflows_1921-2003'!$A$1:$AH$1129,$D$1,FALSE)</f>
        <v>991.44999999999993</v>
      </c>
      <c r="C352" s="4" t="e">
        <f>VLOOKUP($A352,'extended_recharge_2003-2015'!$A$1:$AH$265,$D$1,FALSE)</f>
        <v>#N/A</v>
      </c>
      <c r="G352" s="6"/>
      <c r="L352" s="6"/>
    </row>
    <row r="353" spans="1:12" x14ac:dyDescent="0.2">
      <c r="A353" s="3">
        <v>18659</v>
      </c>
      <c r="B353" s="4">
        <f>VLOOKUP($A353,'existing_gw_inflows_1921-2003'!$A$1:$AH$1129,$D$1,FALSE)</f>
        <v>74.759999999999991</v>
      </c>
      <c r="C353" s="4" t="e">
        <f>VLOOKUP($A353,'extended_recharge_2003-2015'!$A$1:$AH$265,$D$1,FALSE)</f>
        <v>#N/A</v>
      </c>
      <c r="G353" s="6"/>
      <c r="L353" s="6"/>
    </row>
    <row r="354" spans="1:12" x14ac:dyDescent="0.2">
      <c r="A354" s="3">
        <v>18687</v>
      </c>
      <c r="B354" s="4">
        <f>VLOOKUP($A354,'existing_gw_inflows_1921-2003'!$A$1:$AH$1129,$D$1,FALSE)</f>
        <v>169.37999999999997</v>
      </c>
      <c r="C354" s="4" t="e">
        <f>VLOOKUP($A354,'extended_recharge_2003-2015'!$A$1:$AH$265,$D$1,FALSE)</f>
        <v>#N/A</v>
      </c>
      <c r="G354" s="6"/>
      <c r="L354" s="6"/>
    </row>
    <row r="355" spans="1:12" x14ac:dyDescent="0.2">
      <c r="A355" s="3">
        <v>18718</v>
      </c>
      <c r="B355" s="4">
        <f>VLOOKUP($A355,'existing_gw_inflows_1921-2003'!$A$1:$AH$1129,$D$1,FALSE)</f>
        <v>-80.389999999999986</v>
      </c>
      <c r="C355" s="4" t="e">
        <f>VLOOKUP($A355,'extended_recharge_2003-2015'!$A$1:$AH$265,$D$1,FALSE)</f>
        <v>#N/A</v>
      </c>
      <c r="G355" s="6"/>
      <c r="L355" s="6"/>
    </row>
    <row r="356" spans="1:12" x14ac:dyDescent="0.2">
      <c r="A356" s="3">
        <v>18748</v>
      </c>
      <c r="B356" s="4">
        <f>VLOOKUP($A356,'existing_gw_inflows_1921-2003'!$A$1:$AH$1129,$D$1,FALSE)</f>
        <v>-105.08999999999996</v>
      </c>
      <c r="C356" s="4" t="e">
        <f>VLOOKUP($A356,'extended_recharge_2003-2015'!$A$1:$AH$265,$D$1,FALSE)</f>
        <v>#N/A</v>
      </c>
      <c r="G356" s="6"/>
      <c r="L356" s="6"/>
    </row>
    <row r="357" spans="1:12" x14ac:dyDescent="0.2">
      <c r="A357" s="3">
        <v>18779</v>
      </c>
      <c r="B357" s="4">
        <f>VLOOKUP($A357,'existing_gw_inflows_1921-2003'!$A$1:$AH$1129,$D$1,FALSE)</f>
        <v>133.52000000000001</v>
      </c>
      <c r="C357" s="4" t="e">
        <f>VLOOKUP($A357,'extended_recharge_2003-2015'!$A$1:$AH$265,$D$1,FALSE)</f>
        <v>#N/A</v>
      </c>
      <c r="G357" s="6"/>
      <c r="L357" s="6"/>
    </row>
    <row r="358" spans="1:12" x14ac:dyDescent="0.2">
      <c r="A358" s="3">
        <v>18809</v>
      </c>
      <c r="B358" s="4">
        <f>VLOOKUP($A358,'existing_gw_inflows_1921-2003'!$A$1:$AH$1129,$D$1,FALSE)</f>
        <v>111.04000000000005</v>
      </c>
      <c r="C358" s="4" t="e">
        <f>VLOOKUP($A358,'extended_recharge_2003-2015'!$A$1:$AH$265,$D$1,FALSE)</f>
        <v>#N/A</v>
      </c>
      <c r="G358" s="6"/>
      <c r="L358" s="6"/>
    </row>
    <row r="359" spans="1:12" x14ac:dyDescent="0.2">
      <c r="A359" s="3">
        <v>18840</v>
      </c>
      <c r="B359" s="4">
        <f>VLOOKUP($A359,'existing_gw_inflows_1921-2003'!$A$1:$AH$1129,$D$1,FALSE)</f>
        <v>264.95999999999998</v>
      </c>
      <c r="C359" s="4" t="e">
        <f>VLOOKUP($A359,'extended_recharge_2003-2015'!$A$1:$AH$265,$D$1,FALSE)</f>
        <v>#N/A</v>
      </c>
      <c r="G359" s="6"/>
      <c r="L359" s="6"/>
    </row>
    <row r="360" spans="1:12" x14ac:dyDescent="0.2">
      <c r="A360" s="3">
        <v>18871</v>
      </c>
      <c r="B360" s="4">
        <f>VLOOKUP($A360,'existing_gw_inflows_1921-2003'!$A$1:$AH$1129,$D$1,FALSE)</f>
        <v>260.71999999999997</v>
      </c>
      <c r="C360" s="4" t="e">
        <f>VLOOKUP($A360,'extended_recharge_2003-2015'!$A$1:$AH$265,$D$1,FALSE)</f>
        <v>#N/A</v>
      </c>
      <c r="G360" s="6"/>
      <c r="L360" s="6"/>
    </row>
    <row r="361" spans="1:12" x14ac:dyDescent="0.2">
      <c r="A361" s="3">
        <v>18901</v>
      </c>
      <c r="B361" s="4">
        <f>VLOOKUP($A361,'existing_gw_inflows_1921-2003'!$A$1:$AH$1129,$D$1,FALSE)</f>
        <v>6.5000000000000071</v>
      </c>
      <c r="C361" s="4" t="e">
        <f>VLOOKUP($A361,'extended_recharge_2003-2015'!$A$1:$AH$265,$D$1,FALSE)</f>
        <v>#N/A</v>
      </c>
      <c r="G361" s="6"/>
      <c r="L361" s="6"/>
    </row>
    <row r="362" spans="1:12" x14ac:dyDescent="0.2">
      <c r="A362" s="3">
        <v>18932</v>
      </c>
      <c r="B362" s="4">
        <f>VLOOKUP($A362,'existing_gw_inflows_1921-2003'!$A$1:$AH$1129,$D$1,FALSE)</f>
        <v>128.59</v>
      </c>
      <c r="C362" s="4" t="e">
        <f>VLOOKUP($A362,'extended_recharge_2003-2015'!$A$1:$AH$265,$D$1,FALSE)</f>
        <v>#N/A</v>
      </c>
      <c r="G362" s="6"/>
      <c r="L362" s="6"/>
    </row>
    <row r="363" spans="1:12" x14ac:dyDescent="0.2">
      <c r="A363" s="3">
        <v>18962</v>
      </c>
      <c r="B363" s="4">
        <f>VLOOKUP($A363,'existing_gw_inflows_1921-2003'!$A$1:$AH$1129,$D$1,FALSE)</f>
        <v>184.57000000000002</v>
      </c>
      <c r="C363" s="4" t="e">
        <f>VLOOKUP($A363,'extended_recharge_2003-2015'!$A$1:$AH$265,$D$1,FALSE)</f>
        <v>#N/A</v>
      </c>
      <c r="G363" s="6"/>
      <c r="L363" s="6"/>
    </row>
    <row r="364" spans="1:12" x14ac:dyDescent="0.2">
      <c r="A364" s="3">
        <v>18993</v>
      </c>
      <c r="B364" s="4">
        <f>VLOOKUP($A364,'existing_gw_inflows_1921-2003'!$A$1:$AH$1129,$D$1,FALSE)</f>
        <v>933.49999999999989</v>
      </c>
      <c r="C364" s="4" t="e">
        <f>VLOOKUP($A364,'extended_recharge_2003-2015'!$A$1:$AH$265,$D$1,FALSE)</f>
        <v>#N/A</v>
      </c>
      <c r="G364" s="6"/>
      <c r="L364" s="6"/>
    </row>
    <row r="365" spans="1:12" x14ac:dyDescent="0.2">
      <c r="A365" s="3">
        <v>19024</v>
      </c>
      <c r="B365" s="4">
        <f>VLOOKUP($A365,'existing_gw_inflows_1921-2003'!$A$1:$AH$1129,$D$1,FALSE)</f>
        <v>1217.3499999999999</v>
      </c>
      <c r="C365" s="4" t="e">
        <f>VLOOKUP($A365,'extended_recharge_2003-2015'!$A$1:$AH$265,$D$1,FALSE)</f>
        <v>#N/A</v>
      </c>
      <c r="G365" s="6"/>
      <c r="L365" s="6"/>
    </row>
    <row r="366" spans="1:12" x14ac:dyDescent="0.2">
      <c r="A366" s="3">
        <v>19053</v>
      </c>
      <c r="B366" s="4">
        <f>VLOOKUP($A366,'existing_gw_inflows_1921-2003'!$A$1:$AH$1129,$D$1,FALSE)</f>
        <v>359.57</v>
      </c>
      <c r="C366" s="4" t="e">
        <f>VLOOKUP($A366,'extended_recharge_2003-2015'!$A$1:$AH$265,$D$1,FALSE)</f>
        <v>#N/A</v>
      </c>
      <c r="G366" s="6"/>
      <c r="L366" s="6"/>
    </row>
    <row r="367" spans="1:12" x14ac:dyDescent="0.2">
      <c r="A367" s="3">
        <v>19084</v>
      </c>
      <c r="B367" s="4">
        <f>VLOOKUP($A367,'existing_gw_inflows_1921-2003'!$A$1:$AH$1129,$D$1,FALSE)</f>
        <v>543.54000000000008</v>
      </c>
      <c r="C367" s="4" t="e">
        <f>VLOOKUP($A367,'extended_recharge_2003-2015'!$A$1:$AH$265,$D$1,FALSE)</f>
        <v>#N/A</v>
      </c>
      <c r="G367" s="6"/>
      <c r="L367" s="6"/>
    </row>
    <row r="368" spans="1:12" x14ac:dyDescent="0.2">
      <c r="A368" s="3">
        <v>19114</v>
      </c>
      <c r="B368" s="4">
        <f>VLOOKUP($A368,'existing_gw_inflows_1921-2003'!$A$1:$AH$1129,$D$1,FALSE)</f>
        <v>419.73</v>
      </c>
      <c r="C368" s="4" t="e">
        <f>VLOOKUP($A368,'extended_recharge_2003-2015'!$A$1:$AH$265,$D$1,FALSE)</f>
        <v>#N/A</v>
      </c>
      <c r="G368" s="6"/>
      <c r="L368" s="6"/>
    </row>
    <row r="369" spans="1:12" x14ac:dyDescent="0.2">
      <c r="A369" s="3">
        <v>19145</v>
      </c>
      <c r="B369" s="4">
        <f>VLOOKUP($A369,'existing_gw_inflows_1921-2003'!$A$1:$AH$1129,$D$1,FALSE)</f>
        <v>506.21</v>
      </c>
      <c r="C369" s="4" t="e">
        <f>VLOOKUP($A369,'extended_recharge_2003-2015'!$A$1:$AH$265,$D$1,FALSE)</f>
        <v>#N/A</v>
      </c>
      <c r="G369" s="6"/>
      <c r="L369" s="6"/>
    </row>
    <row r="370" spans="1:12" x14ac:dyDescent="0.2">
      <c r="A370" s="3">
        <v>19175</v>
      </c>
      <c r="B370" s="4">
        <f>VLOOKUP($A370,'existing_gw_inflows_1921-2003'!$A$1:$AH$1129,$D$1,FALSE)</f>
        <v>-3.0700000000000287</v>
      </c>
      <c r="C370" s="4" t="e">
        <f>VLOOKUP($A370,'extended_recharge_2003-2015'!$A$1:$AH$265,$D$1,FALSE)</f>
        <v>#N/A</v>
      </c>
      <c r="G370" s="6"/>
      <c r="L370" s="6"/>
    </row>
    <row r="371" spans="1:12" x14ac:dyDescent="0.2">
      <c r="A371" s="3">
        <v>19206</v>
      </c>
      <c r="B371" s="4">
        <f>VLOOKUP($A371,'existing_gw_inflows_1921-2003'!$A$1:$AH$1129,$D$1,FALSE)</f>
        <v>-188.76000000000002</v>
      </c>
      <c r="C371" s="4" t="e">
        <f>VLOOKUP($A371,'extended_recharge_2003-2015'!$A$1:$AH$265,$D$1,FALSE)</f>
        <v>#N/A</v>
      </c>
      <c r="G371" s="6"/>
      <c r="L371" s="6"/>
    </row>
    <row r="372" spans="1:12" x14ac:dyDescent="0.2">
      <c r="A372" s="3">
        <v>19237</v>
      </c>
      <c r="B372" s="4">
        <f>VLOOKUP($A372,'existing_gw_inflows_1921-2003'!$A$1:$AH$1129,$D$1,FALSE)</f>
        <v>48.800000000000004</v>
      </c>
      <c r="C372" s="4" t="e">
        <f>VLOOKUP($A372,'extended_recharge_2003-2015'!$A$1:$AH$265,$D$1,FALSE)</f>
        <v>#N/A</v>
      </c>
      <c r="G372" s="6"/>
      <c r="L372" s="6"/>
    </row>
    <row r="373" spans="1:12" x14ac:dyDescent="0.2">
      <c r="A373" s="3">
        <v>19267</v>
      </c>
      <c r="B373" s="4">
        <f>VLOOKUP($A373,'existing_gw_inflows_1921-2003'!$A$1:$AH$1129,$D$1,FALSE)</f>
        <v>-5.2600000000000033</v>
      </c>
      <c r="C373" s="4" t="e">
        <f>VLOOKUP($A373,'extended_recharge_2003-2015'!$A$1:$AH$265,$D$1,FALSE)</f>
        <v>#N/A</v>
      </c>
      <c r="G373" s="6"/>
      <c r="L373" s="6"/>
    </row>
    <row r="374" spans="1:12" x14ac:dyDescent="0.2">
      <c r="A374" s="3">
        <v>19298</v>
      </c>
      <c r="B374" s="4">
        <f>VLOOKUP($A374,'existing_gw_inflows_1921-2003'!$A$1:$AH$1129,$D$1,FALSE)</f>
        <v>31.53</v>
      </c>
      <c r="C374" s="4" t="e">
        <f>VLOOKUP($A374,'extended_recharge_2003-2015'!$A$1:$AH$265,$D$1,FALSE)</f>
        <v>#N/A</v>
      </c>
      <c r="G374" s="6"/>
      <c r="L374" s="6"/>
    </row>
    <row r="375" spans="1:12" x14ac:dyDescent="0.2">
      <c r="A375" s="3">
        <v>19328</v>
      </c>
      <c r="B375" s="4">
        <f>VLOOKUP($A375,'existing_gw_inflows_1921-2003'!$A$1:$AH$1129,$D$1,FALSE)</f>
        <v>92.25</v>
      </c>
      <c r="C375" s="4" t="e">
        <f>VLOOKUP($A375,'extended_recharge_2003-2015'!$A$1:$AH$265,$D$1,FALSE)</f>
        <v>#N/A</v>
      </c>
      <c r="G375" s="6"/>
      <c r="L375" s="6"/>
    </row>
    <row r="376" spans="1:12" x14ac:dyDescent="0.2">
      <c r="A376" s="3">
        <v>19359</v>
      </c>
      <c r="B376" s="4">
        <f>VLOOKUP($A376,'existing_gw_inflows_1921-2003'!$A$1:$AH$1129,$D$1,FALSE)</f>
        <v>984.31</v>
      </c>
      <c r="C376" s="4" t="e">
        <f>VLOOKUP($A376,'extended_recharge_2003-2015'!$A$1:$AH$265,$D$1,FALSE)</f>
        <v>#N/A</v>
      </c>
      <c r="G376" s="6"/>
      <c r="L376" s="6"/>
    </row>
    <row r="377" spans="1:12" x14ac:dyDescent="0.2">
      <c r="A377" s="3">
        <v>19390</v>
      </c>
      <c r="B377" s="4">
        <f>VLOOKUP($A377,'existing_gw_inflows_1921-2003'!$A$1:$AH$1129,$D$1,FALSE)</f>
        <v>937.07</v>
      </c>
      <c r="C377" s="4" t="e">
        <f>VLOOKUP($A377,'extended_recharge_2003-2015'!$A$1:$AH$265,$D$1,FALSE)</f>
        <v>#N/A</v>
      </c>
      <c r="G377" s="6"/>
      <c r="L377" s="6"/>
    </row>
    <row r="378" spans="1:12" x14ac:dyDescent="0.2">
      <c r="A378" s="3">
        <v>19418</v>
      </c>
      <c r="B378" s="4">
        <f>VLOOKUP($A378,'existing_gw_inflows_1921-2003'!$A$1:$AH$1129,$D$1,FALSE)</f>
        <v>-403.59000000000003</v>
      </c>
      <c r="C378" s="4" t="e">
        <f>VLOOKUP($A378,'extended_recharge_2003-2015'!$A$1:$AH$265,$D$1,FALSE)</f>
        <v>#N/A</v>
      </c>
      <c r="G378" s="6"/>
      <c r="L378" s="6"/>
    </row>
    <row r="379" spans="1:12" x14ac:dyDescent="0.2">
      <c r="A379" s="3">
        <v>19449</v>
      </c>
      <c r="B379" s="4">
        <f>VLOOKUP($A379,'existing_gw_inflows_1921-2003'!$A$1:$AH$1129,$D$1,FALSE)</f>
        <v>-5.7500000000000213</v>
      </c>
      <c r="C379" s="4" t="e">
        <f>VLOOKUP($A379,'extended_recharge_2003-2015'!$A$1:$AH$265,$D$1,FALSE)</f>
        <v>#N/A</v>
      </c>
      <c r="G379" s="6"/>
      <c r="L379" s="6"/>
    </row>
    <row r="380" spans="1:12" x14ac:dyDescent="0.2">
      <c r="A380" s="3">
        <v>19479</v>
      </c>
      <c r="B380" s="4">
        <f>VLOOKUP($A380,'existing_gw_inflows_1921-2003'!$A$1:$AH$1129,$D$1,FALSE)</f>
        <v>182.33</v>
      </c>
      <c r="C380" s="4" t="e">
        <f>VLOOKUP($A380,'extended_recharge_2003-2015'!$A$1:$AH$265,$D$1,FALSE)</f>
        <v>#N/A</v>
      </c>
      <c r="G380" s="6"/>
      <c r="L380" s="6"/>
    </row>
    <row r="381" spans="1:12" x14ac:dyDescent="0.2">
      <c r="A381" s="3">
        <v>19510</v>
      </c>
      <c r="B381" s="4">
        <f>VLOOKUP($A381,'existing_gw_inflows_1921-2003'!$A$1:$AH$1129,$D$1,FALSE)</f>
        <v>149.88999999999999</v>
      </c>
      <c r="C381" s="4" t="e">
        <f>VLOOKUP($A381,'extended_recharge_2003-2015'!$A$1:$AH$265,$D$1,FALSE)</f>
        <v>#N/A</v>
      </c>
      <c r="G381" s="6"/>
      <c r="L381" s="6"/>
    </row>
    <row r="382" spans="1:12" x14ac:dyDescent="0.2">
      <c r="A382" s="3">
        <v>19540</v>
      </c>
      <c r="B382" s="4">
        <f>VLOOKUP($A382,'existing_gw_inflows_1921-2003'!$A$1:$AH$1129,$D$1,FALSE)</f>
        <v>334.67</v>
      </c>
      <c r="C382" s="4" t="e">
        <f>VLOOKUP($A382,'extended_recharge_2003-2015'!$A$1:$AH$265,$D$1,FALSE)</f>
        <v>#N/A</v>
      </c>
      <c r="G382" s="6"/>
      <c r="L382" s="6"/>
    </row>
    <row r="383" spans="1:12" x14ac:dyDescent="0.2">
      <c r="A383" s="3">
        <v>19571</v>
      </c>
      <c r="B383" s="4">
        <f>VLOOKUP($A383,'existing_gw_inflows_1921-2003'!$A$1:$AH$1129,$D$1,FALSE)</f>
        <v>168.51000000000005</v>
      </c>
      <c r="C383" s="4" t="e">
        <f>VLOOKUP($A383,'extended_recharge_2003-2015'!$A$1:$AH$265,$D$1,FALSE)</f>
        <v>#N/A</v>
      </c>
      <c r="G383" s="6"/>
      <c r="L383" s="6"/>
    </row>
    <row r="384" spans="1:12" x14ac:dyDescent="0.2">
      <c r="A384" s="3">
        <v>19602</v>
      </c>
      <c r="B384" s="4">
        <f>VLOOKUP($A384,'existing_gw_inflows_1921-2003'!$A$1:$AH$1129,$D$1,FALSE)</f>
        <v>217.73000000000002</v>
      </c>
      <c r="C384" s="4" t="e">
        <f>VLOOKUP($A384,'extended_recharge_2003-2015'!$A$1:$AH$265,$D$1,FALSE)</f>
        <v>#N/A</v>
      </c>
      <c r="G384" s="6"/>
      <c r="L384" s="6"/>
    </row>
    <row r="385" spans="1:12" x14ac:dyDescent="0.2">
      <c r="A385" s="3">
        <v>19632</v>
      </c>
      <c r="B385" s="4">
        <f>VLOOKUP($A385,'existing_gw_inflows_1921-2003'!$A$1:$AH$1129,$D$1,FALSE)</f>
        <v>106.67</v>
      </c>
      <c r="C385" s="4" t="e">
        <f>VLOOKUP($A385,'extended_recharge_2003-2015'!$A$1:$AH$265,$D$1,FALSE)</f>
        <v>#N/A</v>
      </c>
      <c r="G385" s="6"/>
      <c r="L385" s="6"/>
    </row>
    <row r="386" spans="1:12" x14ac:dyDescent="0.2">
      <c r="A386" s="3">
        <v>19663</v>
      </c>
      <c r="B386" s="4">
        <f>VLOOKUP($A386,'existing_gw_inflows_1921-2003'!$A$1:$AH$1129,$D$1,FALSE)</f>
        <v>107.74999999999997</v>
      </c>
      <c r="C386" s="4" t="e">
        <f>VLOOKUP($A386,'extended_recharge_2003-2015'!$A$1:$AH$265,$D$1,FALSE)</f>
        <v>#N/A</v>
      </c>
      <c r="G386" s="6"/>
      <c r="L386" s="6"/>
    </row>
    <row r="387" spans="1:12" x14ac:dyDescent="0.2">
      <c r="A387" s="3">
        <v>19693</v>
      </c>
      <c r="B387" s="4">
        <f>VLOOKUP($A387,'existing_gw_inflows_1921-2003'!$A$1:$AH$1129,$D$1,FALSE)</f>
        <v>160.26000000000005</v>
      </c>
      <c r="C387" s="4" t="e">
        <f>VLOOKUP($A387,'extended_recharge_2003-2015'!$A$1:$AH$265,$D$1,FALSE)</f>
        <v>#N/A</v>
      </c>
      <c r="G387" s="6"/>
      <c r="L387" s="6"/>
    </row>
    <row r="388" spans="1:12" x14ac:dyDescent="0.2">
      <c r="A388" s="3">
        <v>19724</v>
      </c>
      <c r="B388" s="4">
        <f>VLOOKUP($A388,'existing_gw_inflows_1921-2003'!$A$1:$AH$1129,$D$1,FALSE)</f>
        <v>35.700000000000003</v>
      </c>
      <c r="C388" s="4" t="e">
        <f>VLOOKUP($A388,'extended_recharge_2003-2015'!$A$1:$AH$265,$D$1,FALSE)</f>
        <v>#N/A</v>
      </c>
      <c r="G388" s="6"/>
      <c r="L388" s="6"/>
    </row>
    <row r="389" spans="1:12" x14ac:dyDescent="0.2">
      <c r="A389" s="3">
        <v>19755</v>
      </c>
      <c r="B389" s="4">
        <f>VLOOKUP($A389,'existing_gw_inflows_1921-2003'!$A$1:$AH$1129,$D$1,FALSE)</f>
        <v>545.06000000000006</v>
      </c>
      <c r="C389" s="4" t="e">
        <f>VLOOKUP($A389,'extended_recharge_2003-2015'!$A$1:$AH$265,$D$1,FALSE)</f>
        <v>#N/A</v>
      </c>
      <c r="G389" s="6"/>
      <c r="L389" s="6"/>
    </row>
    <row r="390" spans="1:12" x14ac:dyDescent="0.2">
      <c r="A390" s="3">
        <v>19783</v>
      </c>
      <c r="B390" s="4">
        <f>VLOOKUP($A390,'existing_gw_inflows_1921-2003'!$A$1:$AH$1129,$D$1,FALSE)</f>
        <v>374.2399999999999</v>
      </c>
      <c r="C390" s="4" t="e">
        <f>VLOOKUP($A390,'extended_recharge_2003-2015'!$A$1:$AH$265,$D$1,FALSE)</f>
        <v>#N/A</v>
      </c>
      <c r="G390" s="6"/>
      <c r="L390" s="6"/>
    </row>
    <row r="391" spans="1:12" x14ac:dyDescent="0.2">
      <c r="A391" s="3">
        <v>19814</v>
      </c>
      <c r="B391" s="4">
        <f>VLOOKUP($A391,'existing_gw_inflows_1921-2003'!$A$1:$AH$1129,$D$1,FALSE)</f>
        <v>404.40000000000003</v>
      </c>
      <c r="C391" s="4" t="e">
        <f>VLOOKUP($A391,'extended_recharge_2003-2015'!$A$1:$AH$265,$D$1,FALSE)</f>
        <v>#N/A</v>
      </c>
      <c r="G391" s="6"/>
      <c r="L391" s="6"/>
    </row>
    <row r="392" spans="1:12" x14ac:dyDescent="0.2">
      <c r="A392" s="3">
        <v>19844</v>
      </c>
      <c r="B392" s="4">
        <f>VLOOKUP($A392,'existing_gw_inflows_1921-2003'!$A$1:$AH$1129,$D$1,FALSE)</f>
        <v>192.7</v>
      </c>
      <c r="C392" s="4" t="e">
        <f>VLOOKUP($A392,'extended_recharge_2003-2015'!$A$1:$AH$265,$D$1,FALSE)</f>
        <v>#N/A</v>
      </c>
      <c r="G392" s="6"/>
      <c r="L392" s="6"/>
    </row>
    <row r="393" spans="1:12" x14ac:dyDescent="0.2">
      <c r="A393" s="3">
        <v>19875</v>
      </c>
      <c r="B393" s="4">
        <f>VLOOKUP($A393,'existing_gw_inflows_1921-2003'!$A$1:$AH$1129,$D$1,FALSE)</f>
        <v>26.29000000000002</v>
      </c>
      <c r="C393" s="4" t="e">
        <f>VLOOKUP($A393,'extended_recharge_2003-2015'!$A$1:$AH$265,$D$1,FALSE)</f>
        <v>#N/A</v>
      </c>
      <c r="G393" s="6"/>
      <c r="L393" s="6"/>
    </row>
    <row r="394" spans="1:12" x14ac:dyDescent="0.2">
      <c r="A394" s="3">
        <v>19905</v>
      </c>
      <c r="B394" s="4">
        <f>VLOOKUP($A394,'existing_gw_inflows_1921-2003'!$A$1:$AH$1129,$D$1,FALSE)</f>
        <v>26.419999999999991</v>
      </c>
      <c r="C394" s="4" t="e">
        <f>VLOOKUP($A394,'extended_recharge_2003-2015'!$A$1:$AH$265,$D$1,FALSE)</f>
        <v>#N/A</v>
      </c>
      <c r="G394" s="6"/>
      <c r="L394" s="6"/>
    </row>
    <row r="395" spans="1:12" x14ac:dyDescent="0.2">
      <c r="A395" s="3">
        <v>19936</v>
      </c>
      <c r="B395" s="4">
        <f>VLOOKUP($A395,'existing_gw_inflows_1921-2003'!$A$1:$AH$1129,$D$1,FALSE)</f>
        <v>267.11</v>
      </c>
      <c r="C395" s="4" t="e">
        <f>VLOOKUP($A395,'extended_recharge_2003-2015'!$A$1:$AH$265,$D$1,FALSE)</f>
        <v>#N/A</v>
      </c>
      <c r="G395" s="6"/>
      <c r="L395" s="6"/>
    </row>
    <row r="396" spans="1:12" x14ac:dyDescent="0.2">
      <c r="A396" s="3">
        <v>19967</v>
      </c>
      <c r="B396" s="4">
        <f>VLOOKUP($A396,'existing_gw_inflows_1921-2003'!$A$1:$AH$1129,$D$1,FALSE)</f>
        <v>269.30999999999995</v>
      </c>
      <c r="C396" s="4" t="e">
        <f>VLOOKUP($A396,'extended_recharge_2003-2015'!$A$1:$AH$265,$D$1,FALSE)</f>
        <v>#N/A</v>
      </c>
      <c r="G396" s="6"/>
      <c r="L396" s="6"/>
    </row>
    <row r="397" spans="1:12" x14ac:dyDescent="0.2">
      <c r="A397" s="3">
        <v>19997</v>
      </c>
      <c r="B397" s="4">
        <f>VLOOKUP($A397,'existing_gw_inflows_1921-2003'!$A$1:$AH$1129,$D$1,FALSE)</f>
        <v>53.309999999999995</v>
      </c>
      <c r="C397" s="4" t="e">
        <f>VLOOKUP($A397,'extended_recharge_2003-2015'!$A$1:$AH$265,$D$1,FALSE)</f>
        <v>#N/A</v>
      </c>
      <c r="G397" s="6"/>
      <c r="L397" s="6"/>
    </row>
    <row r="398" spans="1:12" x14ac:dyDescent="0.2">
      <c r="A398" s="3">
        <v>20028</v>
      </c>
      <c r="B398" s="4">
        <f>VLOOKUP($A398,'existing_gw_inflows_1921-2003'!$A$1:$AH$1129,$D$1,FALSE)</f>
        <v>65.889999999999986</v>
      </c>
      <c r="C398" s="4" t="e">
        <f>VLOOKUP($A398,'extended_recharge_2003-2015'!$A$1:$AH$265,$D$1,FALSE)</f>
        <v>#N/A</v>
      </c>
      <c r="G398" s="6"/>
      <c r="L398" s="6"/>
    </row>
    <row r="399" spans="1:12" x14ac:dyDescent="0.2">
      <c r="A399" s="3">
        <v>20058</v>
      </c>
      <c r="B399" s="4">
        <f>VLOOKUP($A399,'existing_gw_inflows_1921-2003'!$A$1:$AH$1129,$D$1,FALSE)</f>
        <v>236.88</v>
      </c>
      <c r="C399" s="4" t="e">
        <f>VLOOKUP($A399,'extended_recharge_2003-2015'!$A$1:$AH$265,$D$1,FALSE)</f>
        <v>#N/A</v>
      </c>
      <c r="G399" s="6"/>
      <c r="L399" s="6"/>
    </row>
    <row r="400" spans="1:12" x14ac:dyDescent="0.2">
      <c r="A400" s="3">
        <v>20089</v>
      </c>
      <c r="B400" s="4">
        <f>VLOOKUP($A400,'existing_gw_inflows_1921-2003'!$A$1:$AH$1129,$D$1,FALSE)</f>
        <v>353.95</v>
      </c>
      <c r="C400" s="4" t="e">
        <f>VLOOKUP($A400,'extended_recharge_2003-2015'!$A$1:$AH$265,$D$1,FALSE)</f>
        <v>#N/A</v>
      </c>
      <c r="G400" s="6"/>
      <c r="L400" s="6"/>
    </row>
    <row r="401" spans="1:12" x14ac:dyDescent="0.2">
      <c r="A401" s="3">
        <v>20120</v>
      </c>
      <c r="B401" s="4">
        <f>VLOOKUP($A401,'existing_gw_inflows_1921-2003'!$A$1:$AH$1129,$D$1,FALSE)</f>
        <v>392.43</v>
      </c>
      <c r="C401" s="4" t="e">
        <f>VLOOKUP($A401,'extended_recharge_2003-2015'!$A$1:$AH$265,$D$1,FALSE)</f>
        <v>#N/A</v>
      </c>
      <c r="G401" s="6"/>
      <c r="L401" s="6"/>
    </row>
    <row r="402" spans="1:12" x14ac:dyDescent="0.2">
      <c r="A402" s="3">
        <v>20148</v>
      </c>
      <c r="B402" s="4">
        <f>VLOOKUP($A402,'existing_gw_inflows_1921-2003'!$A$1:$AH$1129,$D$1,FALSE)</f>
        <v>4.0899999999999945</v>
      </c>
      <c r="C402" s="4" t="e">
        <f>VLOOKUP($A402,'extended_recharge_2003-2015'!$A$1:$AH$265,$D$1,FALSE)</f>
        <v>#N/A</v>
      </c>
      <c r="G402" s="6"/>
      <c r="L402" s="6"/>
    </row>
    <row r="403" spans="1:12" x14ac:dyDescent="0.2">
      <c r="A403" s="3">
        <v>20179</v>
      </c>
      <c r="B403" s="4">
        <f>VLOOKUP($A403,'existing_gw_inflows_1921-2003'!$A$1:$AH$1129,$D$1,FALSE)</f>
        <v>79.549999999999983</v>
      </c>
      <c r="C403" s="4" t="e">
        <f>VLOOKUP($A403,'extended_recharge_2003-2015'!$A$1:$AH$265,$D$1,FALSE)</f>
        <v>#N/A</v>
      </c>
      <c r="G403" s="6"/>
      <c r="L403" s="6"/>
    </row>
    <row r="404" spans="1:12" x14ac:dyDescent="0.2">
      <c r="A404" s="3">
        <v>20209</v>
      </c>
      <c r="B404" s="4">
        <f>VLOOKUP($A404,'existing_gw_inflows_1921-2003'!$A$1:$AH$1129,$D$1,FALSE)</f>
        <v>196.58</v>
      </c>
      <c r="C404" s="4" t="e">
        <f>VLOOKUP($A404,'extended_recharge_2003-2015'!$A$1:$AH$265,$D$1,FALSE)</f>
        <v>#N/A</v>
      </c>
      <c r="G404" s="6"/>
      <c r="L404" s="6"/>
    </row>
    <row r="405" spans="1:12" x14ac:dyDescent="0.2">
      <c r="A405" s="3">
        <v>20240</v>
      </c>
      <c r="B405" s="4">
        <f>VLOOKUP($A405,'existing_gw_inflows_1921-2003'!$A$1:$AH$1129,$D$1,FALSE)</f>
        <v>205.14000000000004</v>
      </c>
      <c r="C405" s="4" t="e">
        <f>VLOOKUP($A405,'extended_recharge_2003-2015'!$A$1:$AH$265,$D$1,FALSE)</f>
        <v>#N/A</v>
      </c>
      <c r="G405" s="6"/>
      <c r="L405" s="6"/>
    </row>
    <row r="406" spans="1:12" x14ac:dyDescent="0.2">
      <c r="A406" s="3">
        <v>20270</v>
      </c>
      <c r="B406" s="4">
        <f>VLOOKUP($A406,'existing_gw_inflows_1921-2003'!$A$1:$AH$1129,$D$1,FALSE)</f>
        <v>323.63999999999993</v>
      </c>
      <c r="C406" s="4" t="e">
        <f>VLOOKUP($A406,'extended_recharge_2003-2015'!$A$1:$AH$265,$D$1,FALSE)</f>
        <v>#N/A</v>
      </c>
      <c r="G406" s="6"/>
      <c r="L406" s="6"/>
    </row>
    <row r="407" spans="1:12" x14ac:dyDescent="0.2">
      <c r="A407" s="3">
        <v>20301</v>
      </c>
      <c r="B407" s="4">
        <f>VLOOKUP($A407,'existing_gw_inflows_1921-2003'!$A$1:$AH$1129,$D$1,FALSE)</f>
        <v>414.65999999999997</v>
      </c>
      <c r="C407" s="4" t="e">
        <f>VLOOKUP($A407,'extended_recharge_2003-2015'!$A$1:$AH$265,$D$1,FALSE)</f>
        <v>#N/A</v>
      </c>
      <c r="G407" s="6"/>
      <c r="L407" s="6"/>
    </row>
    <row r="408" spans="1:12" x14ac:dyDescent="0.2">
      <c r="A408" s="3">
        <v>20332</v>
      </c>
      <c r="B408" s="4">
        <f>VLOOKUP($A408,'existing_gw_inflows_1921-2003'!$A$1:$AH$1129,$D$1,FALSE)</f>
        <v>343.07000000000005</v>
      </c>
      <c r="C408" s="4" t="e">
        <f>VLOOKUP($A408,'extended_recharge_2003-2015'!$A$1:$AH$265,$D$1,FALSE)</f>
        <v>#N/A</v>
      </c>
      <c r="G408" s="6"/>
      <c r="L408" s="6"/>
    </row>
    <row r="409" spans="1:12" x14ac:dyDescent="0.2">
      <c r="A409" s="3">
        <v>20362</v>
      </c>
      <c r="B409" s="4">
        <f>VLOOKUP($A409,'existing_gw_inflows_1921-2003'!$A$1:$AH$1129,$D$1,FALSE)</f>
        <v>140.55000000000001</v>
      </c>
      <c r="C409" s="4" t="e">
        <f>VLOOKUP($A409,'extended_recharge_2003-2015'!$A$1:$AH$265,$D$1,FALSE)</f>
        <v>#N/A</v>
      </c>
      <c r="G409" s="6"/>
      <c r="L409" s="6"/>
    </row>
    <row r="410" spans="1:12" x14ac:dyDescent="0.2">
      <c r="A410" s="3">
        <v>20393</v>
      </c>
      <c r="B410" s="4">
        <f>VLOOKUP($A410,'existing_gw_inflows_1921-2003'!$A$1:$AH$1129,$D$1,FALSE)</f>
        <v>98.429999999999993</v>
      </c>
      <c r="C410" s="4" t="e">
        <f>VLOOKUP($A410,'extended_recharge_2003-2015'!$A$1:$AH$265,$D$1,FALSE)</f>
        <v>#N/A</v>
      </c>
      <c r="G410" s="6"/>
      <c r="L410" s="6"/>
    </row>
    <row r="411" spans="1:12" x14ac:dyDescent="0.2">
      <c r="A411" s="3">
        <v>20423</v>
      </c>
      <c r="B411" s="4">
        <f>VLOOKUP($A411,'existing_gw_inflows_1921-2003'!$A$1:$AH$1129,$D$1,FALSE)</f>
        <v>171.96999999999997</v>
      </c>
      <c r="C411" s="4" t="e">
        <f>VLOOKUP($A411,'extended_recharge_2003-2015'!$A$1:$AH$265,$D$1,FALSE)</f>
        <v>#N/A</v>
      </c>
      <c r="G411" s="6"/>
      <c r="L411" s="6"/>
    </row>
    <row r="412" spans="1:12" x14ac:dyDescent="0.2">
      <c r="A412" s="3">
        <v>20454</v>
      </c>
      <c r="B412" s="4">
        <f>VLOOKUP($A412,'existing_gw_inflows_1921-2003'!$A$1:$AH$1129,$D$1,FALSE)</f>
        <v>2647.7100000000009</v>
      </c>
      <c r="C412" s="4" t="e">
        <f>VLOOKUP($A412,'extended_recharge_2003-2015'!$A$1:$AH$265,$D$1,FALSE)</f>
        <v>#N/A</v>
      </c>
      <c r="G412" s="6"/>
      <c r="L412" s="6"/>
    </row>
    <row r="413" spans="1:12" x14ac:dyDescent="0.2">
      <c r="A413" s="3">
        <v>20485</v>
      </c>
      <c r="B413" s="4">
        <f>VLOOKUP($A413,'existing_gw_inflows_1921-2003'!$A$1:$AH$1129,$D$1,FALSE)</f>
        <v>1293.5500000000002</v>
      </c>
      <c r="C413" s="4" t="e">
        <f>VLOOKUP($A413,'extended_recharge_2003-2015'!$A$1:$AH$265,$D$1,FALSE)</f>
        <v>#N/A</v>
      </c>
      <c r="G413" s="6"/>
      <c r="L413" s="6"/>
    </row>
    <row r="414" spans="1:12" x14ac:dyDescent="0.2">
      <c r="A414" s="3">
        <v>20514</v>
      </c>
      <c r="B414" s="4">
        <f>VLOOKUP($A414,'existing_gw_inflows_1921-2003'!$A$1:$AH$1129,$D$1,FALSE)</f>
        <v>-96.63</v>
      </c>
      <c r="C414" s="4" t="e">
        <f>VLOOKUP($A414,'extended_recharge_2003-2015'!$A$1:$AH$265,$D$1,FALSE)</f>
        <v>#N/A</v>
      </c>
      <c r="G414" s="6"/>
      <c r="L414" s="6"/>
    </row>
    <row r="415" spans="1:12" x14ac:dyDescent="0.2">
      <c r="A415" s="3">
        <v>20545</v>
      </c>
      <c r="B415" s="4">
        <f>VLOOKUP($A415,'existing_gw_inflows_1921-2003'!$A$1:$AH$1129,$D$1,FALSE)</f>
        <v>-243.11</v>
      </c>
      <c r="C415" s="4" t="e">
        <f>VLOOKUP($A415,'extended_recharge_2003-2015'!$A$1:$AH$265,$D$1,FALSE)</f>
        <v>#N/A</v>
      </c>
      <c r="G415" s="6"/>
      <c r="L415" s="6"/>
    </row>
    <row r="416" spans="1:12" x14ac:dyDescent="0.2">
      <c r="A416" s="3">
        <v>20575</v>
      </c>
      <c r="B416" s="4">
        <f>VLOOKUP($A416,'existing_gw_inflows_1921-2003'!$A$1:$AH$1129,$D$1,FALSE)</f>
        <v>-8.0699999999999754</v>
      </c>
      <c r="C416" s="4" t="e">
        <f>VLOOKUP($A416,'extended_recharge_2003-2015'!$A$1:$AH$265,$D$1,FALSE)</f>
        <v>#N/A</v>
      </c>
      <c r="G416" s="6"/>
      <c r="L416" s="6"/>
    </row>
    <row r="417" spans="1:12" x14ac:dyDescent="0.2">
      <c r="A417" s="3">
        <v>20606</v>
      </c>
      <c r="B417" s="4">
        <f>VLOOKUP($A417,'existing_gw_inflows_1921-2003'!$A$1:$AH$1129,$D$1,FALSE)</f>
        <v>416.62</v>
      </c>
      <c r="C417" s="4" t="e">
        <f>VLOOKUP($A417,'extended_recharge_2003-2015'!$A$1:$AH$265,$D$1,FALSE)</f>
        <v>#N/A</v>
      </c>
      <c r="G417" s="6"/>
      <c r="L417" s="6"/>
    </row>
    <row r="418" spans="1:12" x14ac:dyDescent="0.2">
      <c r="A418" s="3">
        <v>20636</v>
      </c>
      <c r="B418" s="4">
        <f>VLOOKUP($A418,'existing_gw_inflows_1921-2003'!$A$1:$AH$1129,$D$1,FALSE)</f>
        <v>203.41</v>
      </c>
      <c r="C418" s="4" t="e">
        <f>VLOOKUP($A418,'extended_recharge_2003-2015'!$A$1:$AH$265,$D$1,FALSE)</f>
        <v>#N/A</v>
      </c>
      <c r="G418" s="6"/>
      <c r="L418" s="6"/>
    </row>
    <row r="419" spans="1:12" x14ac:dyDescent="0.2">
      <c r="A419" s="3">
        <v>20667</v>
      </c>
      <c r="B419" s="4">
        <f>VLOOKUP($A419,'existing_gw_inflows_1921-2003'!$A$1:$AH$1129,$D$1,FALSE)</f>
        <v>115.63000000000002</v>
      </c>
      <c r="C419" s="4" t="e">
        <f>VLOOKUP($A419,'extended_recharge_2003-2015'!$A$1:$AH$265,$D$1,FALSE)</f>
        <v>#N/A</v>
      </c>
      <c r="G419" s="6"/>
      <c r="L419" s="6"/>
    </row>
    <row r="420" spans="1:12" x14ac:dyDescent="0.2">
      <c r="A420" s="3">
        <v>20698</v>
      </c>
      <c r="B420" s="4">
        <f>VLOOKUP($A420,'existing_gw_inflows_1921-2003'!$A$1:$AH$1129,$D$1,FALSE)</f>
        <v>212.54000000000002</v>
      </c>
      <c r="C420" s="4" t="e">
        <f>VLOOKUP($A420,'extended_recharge_2003-2015'!$A$1:$AH$265,$D$1,FALSE)</f>
        <v>#N/A</v>
      </c>
      <c r="G420" s="6"/>
      <c r="L420" s="6"/>
    </row>
    <row r="421" spans="1:12" x14ac:dyDescent="0.2">
      <c r="A421" s="3">
        <v>20728</v>
      </c>
      <c r="B421" s="4">
        <f>VLOOKUP($A421,'existing_gw_inflows_1921-2003'!$A$1:$AH$1129,$D$1,FALSE)</f>
        <v>110.89000000000003</v>
      </c>
      <c r="C421" s="4" t="e">
        <f>VLOOKUP($A421,'extended_recharge_2003-2015'!$A$1:$AH$265,$D$1,FALSE)</f>
        <v>#N/A</v>
      </c>
      <c r="G421" s="6"/>
      <c r="L421" s="6"/>
    </row>
    <row r="422" spans="1:12" x14ac:dyDescent="0.2">
      <c r="A422" s="3">
        <v>20759</v>
      </c>
      <c r="B422" s="4">
        <f>VLOOKUP($A422,'existing_gw_inflows_1921-2003'!$A$1:$AH$1129,$D$1,FALSE)</f>
        <v>138.96</v>
      </c>
      <c r="C422" s="4" t="e">
        <f>VLOOKUP($A422,'extended_recharge_2003-2015'!$A$1:$AH$265,$D$1,FALSE)</f>
        <v>#N/A</v>
      </c>
      <c r="G422" s="6"/>
      <c r="L422" s="6"/>
    </row>
    <row r="423" spans="1:12" x14ac:dyDescent="0.2">
      <c r="A423" s="3">
        <v>20789</v>
      </c>
      <c r="B423" s="4">
        <f>VLOOKUP($A423,'existing_gw_inflows_1921-2003'!$A$1:$AH$1129,$D$1,FALSE)</f>
        <v>83.220000000000013</v>
      </c>
      <c r="C423" s="4" t="e">
        <f>VLOOKUP($A423,'extended_recharge_2003-2015'!$A$1:$AH$265,$D$1,FALSE)</f>
        <v>#N/A</v>
      </c>
      <c r="G423" s="6"/>
      <c r="L423" s="6"/>
    </row>
    <row r="424" spans="1:12" x14ac:dyDescent="0.2">
      <c r="A424" s="3">
        <v>20820</v>
      </c>
      <c r="B424" s="4">
        <f>VLOOKUP($A424,'existing_gw_inflows_1921-2003'!$A$1:$AH$1129,$D$1,FALSE)</f>
        <v>49.959999999999994</v>
      </c>
      <c r="C424" s="4" t="e">
        <f>VLOOKUP($A424,'extended_recharge_2003-2015'!$A$1:$AH$265,$D$1,FALSE)</f>
        <v>#N/A</v>
      </c>
      <c r="G424" s="6"/>
      <c r="L424" s="6"/>
    </row>
    <row r="425" spans="1:12" x14ac:dyDescent="0.2">
      <c r="A425" s="3">
        <v>20851</v>
      </c>
      <c r="B425" s="4">
        <f>VLOOKUP($A425,'existing_gw_inflows_1921-2003'!$A$1:$AH$1129,$D$1,FALSE)</f>
        <v>170.69</v>
      </c>
      <c r="C425" s="4" t="e">
        <f>VLOOKUP($A425,'extended_recharge_2003-2015'!$A$1:$AH$265,$D$1,FALSE)</f>
        <v>#N/A</v>
      </c>
      <c r="G425" s="6"/>
      <c r="L425" s="6"/>
    </row>
    <row r="426" spans="1:12" x14ac:dyDescent="0.2">
      <c r="A426" s="3">
        <v>20879</v>
      </c>
      <c r="B426" s="4">
        <f>VLOOKUP($A426,'existing_gw_inflows_1921-2003'!$A$1:$AH$1129,$D$1,FALSE)</f>
        <v>344.15</v>
      </c>
      <c r="C426" s="4" t="e">
        <f>VLOOKUP($A426,'extended_recharge_2003-2015'!$A$1:$AH$265,$D$1,FALSE)</f>
        <v>#N/A</v>
      </c>
      <c r="G426" s="6"/>
      <c r="L426" s="6"/>
    </row>
    <row r="427" spans="1:12" x14ac:dyDescent="0.2">
      <c r="A427" s="3">
        <v>20910</v>
      </c>
      <c r="B427" s="4">
        <f>VLOOKUP($A427,'existing_gw_inflows_1921-2003'!$A$1:$AH$1129,$D$1,FALSE)</f>
        <v>384.8</v>
      </c>
      <c r="C427" s="4" t="e">
        <f>VLOOKUP($A427,'extended_recharge_2003-2015'!$A$1:$AH$265,$D$1,FALSE)</f>
        <v>#N/A</v>
      </c>
      <c r="G427" s="6"/>
      <c r="L427" s="6"/>
    </row>
    <row r="428" spans="1:12" x14ac:dyDescent="0.2">
      <c r="A428" s="3">
        <v>20940</v>
      </c>
      <c r="B428" s="4">
        <f>VLOOKUP($A428,'existing_gw_inflows_1921-2003'!$A$1:$AH$1129,$D$1,FALSE)</f>
        <v>-50.230000000000054</v>
      </c>
      <c r="C428" s="4" t="e">
        <f>VLOOKUP($A428,'extended_recharge_2003-2015'!$A$1:$AH$265,$D$1,FALSE)</f>
        <v>#N/A</v>
      </c>
      <c r="G428" s="6"/>
      <c r="L428" s="6"/>
    </row>
    <row r="429" spans="1:12" x14ac:dyDescent="0.2">
      <c r="A429" s="3">
        <v>20971</v>
      </c>
      <c r="B429" s="4">
        <f>VLOOKUP($A429,'existing_gw_inflows_1921-2003'!$A$1:$AH$1129,$D$1,FALSE)</f>
        <v>330.47999999999996</v>
      </c>
      <c r="C429" s="4" t="e">
        <f>VLOOKUP($A429,'extended_recharge_2003-2015'!$A$1:$AH$265,$D$1,FALSE)</f>
        <v>#N/A</v>
      </c>
      <c r="G429" s="6"/>
      <c r="L429" s="6"/>
    </row>
    <row r="430" spans="1:12" x14ac:dyDescent="0.2">
      <c r="A430" s="3">
        <v>21001</v>
      </c>
      <c r="B430" s="4">
        <f>VLOOKUP($A430,'existing_gw_inflows_1921-2003'!$A$1:$AH$1129,$D$1,FALSE)</f>
        <v>313.98</v>
      </c>
      <c r="C430" s="4" t="e">
        <f>VLOOKUP($A430,'extended_recharge_2003-2015'!$A$1:$AH$265,$D$1,FALSE)</f>
        <v>#N/A</v>
      </c>
      <c r="G430" s="6"/>
      <c r="L430" s="6"/>
    </row>
    <row r="431" spans="1:12" x14ac:dyDescent="0.2">
      <c r="A431" s="3">
        <v>21032</v>
      </c>
      <c r="B431" s="4">
        <f>VLOOKUP($A431,'existing_gw_inflows_1921-2003'!$A$1:$AH$1129,$D$1,FALSE)</f>
        <v>346.51</v>
      </c>
      <c r="C431" s="4" t="e">
        <f>VLOOKUP($A431,'extended_recharge_2003-2015'!$A$1:$AH$265,$D$1,FALSE)</f>
        <v>#N/A</v>
      </c>
      <c r="G431" s="6"/>
      <c r="L431" s="6"/>
    </row>
    <row r="432" spans="1:12" x14ac:dyDescent="0.2">
      <c r="A432" s="3">
        <v>21063</v>
      </c>
      <c r="B432" s="4">
        <f>VLOOKUP($A432,'existing_gw_inflows_1921-2003'!$A$1:$AH$1129,$D$1,FALSE)</f>
        <v>337.84</v>
      </c>
      <c r="C432" s="4" t="e">
        <f>VLOOKUP($A432,'extended_recharge_2003-2015'!$A$1:$AH$265,$D$1,FALSE)</f>
        <v>#N/A</v>
      </c>
      <c r="G432" s="6"/>
      <c r="L432" s="6"/>
    </row>
    <row r="433" spans="1:12" x14ac:dyDescent="0.2">
      <c r="A433" s="3">
        <v>21093</v>
      </c>
      <c r="B433" s="4">
        <f>VLOOKUP($A433,'existing_gw_inflows_1921-2003'!$A$1:$AH$1129,$D$1,FALSE)</f>
        <v>189.9</v>
      </c>
      <c r="C433" s="4" t="e">
        <f>VLOOKUP($A433,'extended_recharge_2003-2015'!$A$1:$AH$265,$D$1,FALSE)</f>
        <v>#N/A</v>
      </c>
      <c r="G433" s="6"/>
      <c r="L433" s="6"/>
    </row>
    <row r="434" spans="1:12" x14ac:dyDescent="0.2">
      <c r="A434" s="3">
        <v>21124</v>
      </c>
      <c r="B434" s="4">
        <f>VLOOKUP($A434,'existing_gw_inflows_1921-2003'!$A$1:$AH$1129,$D$1,FALSE)</f>
        <v>244.48</v>
      </c>
      <c r="C434" s="4" t="e">
        <f>VLOOKUP($A434,'extended_recharge_2003-2015'!$A$1:$AH$265,$D$1,FALSE)</f>
        <v>#N/A</v>
      </c>
      <c r="G434" s="6"/>
      <c r="L434" s="6"/>
    </row>
    <row r="435" spans="1:12" x14ac:dyDescent="0.2">
      <c r="A435" s="3">
        <v>21154</v>
      </c>
      <c r="B435" s="4">
        <f>VLOOKUP($A435,'existing_gw_inflows_1921-2003'!$A$1:$AH$1129,$D$1,FALSE)</f>
        <v>115.26000000000002</v>
      </c>
      <c r="C435" s="4" t="e">
        <f>VLOOKUP($A435,'extended_recharge_2003-2015'!$A$1:$AH$265,$D$1,FALSE)</f>
        <v>#N/A</v>
      </c>
      <c r="G435" s="6"/>
      <c r="L435" s="6"/>
    </row>
    <row r="436" spans="1:12" x14ac:dyDescent="0.2">
      <c r="A436" s="3">
        <v>21185</v>
      </c>
      <c r="B436" s="4">
        <f>VLOOKUP($A436,'existing_gw_inflows_1921-2003'!$A$1:$AH$1129,$D$1,FALSE)</f>
        <v>306.52999999999997</v>
      </c>
      <c r="C436" s="4" t="e">
        <f>VLOOKUP($A436,'extended_recharge_2003-2015'!$A$1:$AH$265,$D$1,FALSE)</f>
        <v>#N/A</v>
      </c>
      <c r="G436" s="6"/>
      <c r="L436" s="6"/>
    </row>
    <row r="437" spans="1:12" x14ac:dyDescent="0.2">
      <c r="A437" s="3">
        <v>21216</v>
      </c>
      <c r="B437" s="4">
        <f>VLOOKUP($A437,'existing_gw_inflows_1921-2003'!$A$1:$AH$1129,$D$1,FALSE)</f>
        <v>592</v>
      </c>
      <c r="C437" s="4" t="e">
        <f>VLOOKUP($A437,'extended_recharge_2003-2015'!$A$1:$AH$265,$D$1,FALSE)</f>
        <v>#N/A</v>
      </c>
      <c r="G437" s="6"/>
      <c r="L437" s="6"/>
    </row>
    <row r="438" spans="1:12" x14ac:dyDescent="0.2">
      <c r="A438" s="3">
        <v>21244</v>
      </c>
      <c r="B438" s="4">
        <f>VLOOKUP($A438,'existing_gw_inflows_1921-2003'!$A$1:$AH$1129,$D$1,FALSE)</f>
        <v>1764.0599999999997</v>
      </c>
      <c r="C438" s="4" t="e">
        <f>VLOOKUP($A438,'extended_recharge_2003-2015'!$A$1:$AH$265,$D$1,FALSE)</f>
        <v>#N/A</v>
      </c>
      <c r="G438" s="6"/>
      <c r="L438" s="6"/>
    </row>
    <row r="439" spans="1:12" x14ac:dyDescent="0.2">
      <c r="A439" s="3">
        <v>21275</v>
      </c>
      <c r="B439" s="4">
        <f>VLOOKUP($A439,'existing_gw_inflows_1921-2003'!$A$1:$AH$1129,$D$1,FALSE)</f>
        <v>764.25999999999988</v>
      </c>
      <c r="C439" s="4" t="e">
        <f>VLOOKUP($A439,'extended_recharge_2003-2015'!$A$1:$AH$265,$D$1,FALSE)</f>
        <v>#N/A</v>
      </c>
      <c r="G439" s="6"/>
      <c r="L439" s="6"/>
    </row>
    <row r="440" spans="1:12" x14ac:dyDescent="0.2">
      <c r="A440" s="3">
        <v>21305</v>
      </c>
      <c r="B440" s="4">
        <f>VLOOKUP($A440,'existing_gw_inflows_1921-2003'!$A$1:$AH$1129,$D$1,FALSE)</f>
        <v>712.96999999999991</v>
      </c>
      <c r="C440" s="4" t="e">
        <f>VLOOKUP($A440,'extended_recharge_2003-2015'!$A$1:$AH$265,$D$1,FALSE)</f>
        <v>#N/A</v>
      </c>
      <c r="G440" s="6"/>
      <c r="L440" s="6"/>
    </row>
    <row r="441" spans="1:12" x14ac:dyDescent="0.2">
      <c r="A441" s="3">
        <v>21336</v>
      </c>
      <c r="B441" s="4">
        <f>VLOOKUP($A441,'existing_gw_inflows_1921-2003'!$A$1:$AH$1129,$D$1,FALSE)</f>
        <v>100.89000000000004</v>
      </c>
      <c r="C441" s="4" t="e">
        <f>VLOOKUP($A441,'extended_recharge_2003-2015'!$A$1:$AH$265,$D$1,FALSE)</f>
        <v>#N/A</v>
      </c>
      <c r="G441" s="6"/>
      <c r="L441" s="6"/>
    </row>
    <row r="442" spans="1:12" x14ac:dyDescent="0.2">
      <c r="A442" s="3">
        <v>21366</v>
      </c>
      <c r="B442" s="4">
        <f>VLOOKUP($A442,'existing_gw_inflows_1921-2003'!$A$1:$AH$1129,$D$1,FALSE)</f>
        <v>15.009999999999998</v>
      </c>
      <c r="C442" s="4" t="e">
        <f>VLOOKUP($A442,'extended_recharge_2003-2015'!$A$1:$AH$265,$D$1,FALSE)</f>
        <v>#N/A</v>
      </c>
      <c r="G442" s="6"/>
      <c r="L442" s="6"/>
    </row>
    <row r="443" spans="1:12" x14ac:dyDescent="0.2">
      <c r="A443" s="3">
        <v>21397</v>
      </c>
      <c r="B443" s="4">
        <f>VLOOKUP($A443,'existing_gw_inflows_1921-2003'!$A$1:$AH$1129,$D$1,FALSE)</f>
        <v>-96.78000000000003</v>
      </c>
      <c r="C443" s="4" t="e">
        <f>VLOOKUP($A443,'extended_recharge_2003-2015'!$A$1:$AH$265,$D$1,FALSE)</f>
        <v>#N/A</v>
      </c>
      <c r="G443" s="6"/>
      <c r="L443" s="6"/>
    </row>
    <row r="444" spans="1:12" x14ac:dyDescent="0.2">
      <c r="A444" s="3">
        <v>21428</v>
      </c>
      <c r="B444" s="4">
        <f>VLOOKUP($A444,'existing_gw_inflows_1921-2003'!$A$1:$AH$1129,$D$1,FALSE)</f>
        <v>111.08000000000001</v>
      </c>
      <c r="C444" s="4" t="e">
        <f>VLOOKUP($A444,'extended_recharge_2003-2015'!$A$1:$AH$265,$D$1,FALSE)</f>
        <v>#N/A</v>
      </c>
      <c r="G444" s="6"/>
      <c r="L444" s="6"/>
    </row>
    <row r="445" spans="1:12" x14ac:dyDescent="0.2">
      <c r="A445" s="3">
        <v>21458</v>
      </c>
      <c r="B445" s="4">
        <f>VLOOKUP($A445,'existing_gw_inflows_1921-2003'!$A$1:$AH$1129,$D$1,FALSE)</f>
        <v>99.97999999999999</v>
      </c>
      <c r="C445" s="4" t="e">
        <f>VLOOKUP($A445,'extended_recharge_2003-2015'!$A$1:$AH$265,$D$1,FALSE)</f>
        <v>#N/A</v>
      </c>
      <c r="G445" s="6"/>
      <c r="L445" s="6"/>
    </row>
    <row r="446" spans="1:12" x14ac:dyDescent="0.2">
      <c r="A446" s="3">
        <v>21489</v>
      </c>
      <c r="B446" s="4">
        <f>VLOOKUP($A446,'existing_gw_inflows_1921-2003'!$A$1:$AH$1129,$D$1,FALSE)</f>
        <v>92.439999999999984</v>
      </c>
      <c r="C446" s="4" t="e">
        <f>VLOOKUP($A446,'extended_recharge_2003-2015'!$A$1:$AH$265,$D$1,FALSE)</f>
        <v>#N/A</v>
      </c>
      <c r="G446" s="6"/>
      <c r="L446" s="6"/>
    </row>
    <row r="447" spans="1:12" x14ac:dyDescent="0.2">
      <c r="A447" s="3">
        <v>21519</v>
      </c>
      <c r="B447" s="4">
        <f>VLOOKUP($A447,'existing_gw_inflows_1921-2003'!$A$1:$AH$1129,$D$1,FALSE)</f>
        <v>94.44</v>
      </c>
      <c r="C447" s="4" t="e">
        <f>VLOOKUP($A447,'extended_recharge_2003-2015'!$A$1:$AH$265,$D$1,FALSE)</f>
        <v>#N/A</v>
      </c>
      <c r="G447" s="6"/>
      <c r="L447" s="6"/>
    </row>
    <row r="448" spans="1:12" x14ac:dyDescent="0.2">
      <c r="A448" s="3">
        <v>21550</v>
      </c>
      <c r="B448" s="4">
        <f>VLOOKUP($A448,'existing_gw_inflows_1921-2003'!$A$1:$AH$1129,$D$1,FALSE)</f>
        <v>64.42</v>
      </c>
      <c r="C448" s="4" t="e">
        <f>VLOOKUP($A448,'extended_recharge_2003-2015'!$A$1:$AH$265,$D$1,FALSE)</f>
        <v>#N/A</v>
      </c>
      <c r="G448" s="6"/>
      <c r="L448" s="6"/>
    </row>
    <row r="449" spans="1:12" x14ac:dyDescent="0.2">
      <c r="A449" s="3">
        <v>21581</v>
      </c>
      <c r="B449" s="4">
        <f>VLOOKUP($A449,'existing_gw_inflows_1921-2003'!$A$1:$AH$1129,$D$1,FALSE)</f>
        <v>476.63</v>
      </c>
      <c r="C449" s="4" t="e">
        <f>VLOOKUP($A449,'extended_recharge_2003-2015'!$A$1:$AH$265,$D$1,FALSE)</f>
        <v>#N/A</v>
      </c>
      <c r="G449" s="6"/>
      <c r="L449" s="6"/>
    </row>
    <row r="450" spans="1:12" x14ac:dyDescent="0.2">
      <c r="A450" s="3">
        <v>21609</v>
      </c>
      <c r="B450" s="4">
        <f>VLOOKUP($A450,'existing_gw_inflows_1921-2003'!$A$1:$AH$1129,$D$1,FALSE)</f>
        <v>561.07999999999993</v>
      </c>
      <c r="C450" s="4" t="e">
        <f>VLOOKUP($A450,'extended_recharge_2003-2015'!$A$1:$AH$265,$D$1,FALSE)</f>
        <v>#N/A</v>
      </c>
      <c r="G450" s="6"/>
      <c r="L450" s="6"/>
    </row>
    <row r="451" spans="1:12" x14ac:dyDescent="0.2">
      <c r="A451" s="3">
        <v>21640</v>
      </c>
      <c r="B451" s="4">
        <f>VLOOKUP($A451,'existing_gw_inflows_1921-2003'!$A$1:$AH$1129,$D$1,FALSE)</f>
        <v>-61.790000000000063</v>
      </c>
      <c r="C451" s="4" t="e">
        <f>VLOOKUP($A451,'extended_recharge_2003-2015'!$A$1:$AH$265,$D$1,FALSE)</f>
        <v>#N/A</v>
      </c>
      <c r="G451" s="6"/>
      <c r="L451" s="6"/>
    </row>
    <row r="452" spans="1:12" x14ac:dyDescent="0.2">
      <c r="A452" s="3">
        <v>21670</v>
      </c>
      <c r="B452" s="4">
        <f>VLOOKUP($A452,'existing_gw_inflows_1921-2003'!$A$1:$AH$1129,$D$1,FALSE)</f>
        <v>-31.99000000000002</v>
      </c>
      <c r="C452" s="4" t="e">
        <f>VLOOKUP($A452,'extended_recharge_2003-2015'!$A$1:$AH$265,$D$1,FALSE)</f>
        <v>#N/A</v>
      </c>
      <c r="G452" s="6"/>
      <c r="L452" s="6"/>
    </row>
    <row r="453" spans="1:12" x14ac:dyDescent="0.2">
      <c r="A453" s="3">
        <v>21701</v>
      </c>
      <c r="B453" s="4">
        <f>VLOOKUP($A453,'existing_gw_inflows_1921-2003'!$A$1:$AH$1129,$D$1,FALSE)</f>
        <v>120.85999999999997</v>
      </c>
      <c r="C453" s="4" t="e">
        <f>VLOOKUP($A453,'extended_recharge_2003-2015'!$A$1:$AH$265,$D$1,FALSE)</f>
        <v>#N/A</v>
      </c>
      <c r="G453" s="6"/>
      <c r="L453" s="6"/>
    </row>
    <row r="454" spans="1:12" x14ac:dyDescent="0.2">
      <c r="A454" s="3">
        <v>21731</v>
      </c>
      <c r="B454" s="4">
        <f>VLOOKUP($A454,'existing_gw_inflows_1921-2003'!$A$1:$AH$1129,$D$1,FALSE)</f>
        <v>421.73999999999995</v>
      </c>
      <c r="C454" s="4" t="e">
        <f>VLOOKUP($A454,'extended_recharge_2003-2015'!$A$1:$AH$265,$D$1,FALSE)</f>
        <v>#N/A</v>
      </c>
      <c r="G454" s="6"/>
      <c r="L454" s="6"/>
    </row>
    <row r="455" spans="1:12" x14ac:dyDescent="0.2">
      <c r="A455" s="3">
        <v>21762</v>
      </c>
      <c r="B455" s="4">
        <f>VLOOKUP($A455,'existing_gw_inflows_1921-2003'!$A$1:$AH$1129,$D$1,FALSE)</f>
        <v>541.85</v>
      </c>
      <c r="C455" s="4" t="e">
        <f>VLOOKUP($A455,'extended_recharge_2003-2015'!$A$1:$AH$265,$D$1,FALSE)</f>
        <v>#N/A</v>
      </c>
      <c r="G455" s="6"/>
      <c r="L455" s="6"/>
    </row>
    <row r="456" spans="1:12" x14ac:dyDescent="0.2">
      <c r="A456" s="3">
        <v>21793</v>
      </c>
      <c r="B456" s="4">
        <f>VLOOKUP($A456,'existing_gw_inflows_1921-2003'!$A$1:$AH$1129,$D$1,FALSE)</f>
        <v>442.5</v>
      </c>
      <c r="C456" s="4" t="e">
        <f>VLOOKUP($A456,'extended_recharge_2003-2015'!$A$1:$AH$265,$D$1,FALSE)</f>
        <v>#N/A</v>
      </c>
      <c r="G456" s="6"/>
      <c r="L456" s="6"/>
    </row>
    <row r="457" spans="1:12" x14ac:dyDescent="0.2">
      <c r="A457" s="3">
        <v>21823</v>
      </c>
      <c r="B457" s="4">
        <f>VLOOKUP($A457,'existing_gw_inflows_1921-2003'!$A$1:$AH$1129,$D$1,FALSE)</f>
        <v>186.97</v>
      </c>
      <c r="C457" s="4" t="e">
        <f>VLOOKUP($A457,'extended_recharge_2003-2015'!$A$1:$AH$265,$D$1,FALSE)</f>
        <v>#N/A</v>
      </c>
      <c r="G457" s="6"/>
      <c r="L457" s="6"/>
    </row>
    <row r="458" spans="1:12" x14ac:dyDescent="0.2">
      <c r="A458" s="3">
        <v>21854</v>
      </c>
      <c r="B458" s="4">
        <f>VLOOKUP($A458,'existing_gw_inflows_1921-2003'!$A$1:$AH$1129,$D$1,FALSE)</f>
        <v>92.63000000000001</v>
      </c>
      <c r="C458" s="4" t="e">
        <f>VLOOKUP($A458,'extended_recharge_2003-2015'!$A$1:$AH$265,$D$1,FALSE)</f>
        <v>#N/A</v>
      </c>
      <c r="G458" s="6"/>
      <c r="L458" s="6"/>
    </row>
    <row r="459" spans="1:12" x14ac:dyDescent="0.2">
      <c r="A459" s="3">
        <v>21884</v>
      </c>
      <c r="B459" s="4">
        <f>VLOOKUP($A459,'existing_gw_inflows_1921-2003'!$A$1:$AH$1129,$D$1,FALSE)</f>
        <v>60.719999999999992</v>
      </c>
      <c r="C459" s="4" t="e">
        <f>VLOOKUP($A459,'extended_recharge_2003-2015'!$A$1:$AH$265,$D$1,FALSE)</f>
        <v>#N/A</v>
      </c>
      <c r="G459" s="6"/>
      <c r="L459" s="6"/>
    </row>
    <row r="460" spans="1:12" x14ac:dyDescent="0.2">
      <c r="A460" s="3">
        <v>21915</v>
      </c>
      <c r="B460" s="4">
        <f>VLOOKUP($A460,'existing_gw_inflows_1921-2003'!$A$1:$AH$1129,$D$1,FALSE)</f>
        <v>89.670000000000016</v>
      </c>
      <c r="C460" s="4" t="e">
        <f>VLOOKUP($A460,'extended_recharge_2003-2015'!$A$1:$AH$265,$D$1,FALSE)</f>
        <v>#N/A</v>
      </c>
      <c r="G460" s="6"/>
      <c r="L460" s="6"/>
    </row>
    <row r="461" spans="1:12" x14ac:dyDescent="0.2">
      <c r="A461" s="3">
        <v>21946</v>
      </c>
      <c r="B461" s="4">
        <f>VLOOKUP($A461,'existing_gw_inflows_1921-2003'!$A$1:$AH$1129,$D$1,FALSE)</f>
        <v>314.07000000000005</v>
      </c>
      <c r="C461" s="4" t="e">
        <f>VLOOKUP($A461,'extended_recharge_2003-2015'!$A$1:$AH$265,$D$1,FALSE)</f>
        <v>#N/A</v>
      </c>
      <c r="G461" s="6"/>
      <c r="L461" s="6"/>
    </row>
    <row r="462" spans="1:12" x14ac:dyDescent="0.2">
      <c r="A462" s="3">
        <v>21975</v>
      </c>
      <c r="B462" s="4">
        <f>VLOOKUP($A462,'existing_gw_inflows_1921-2003'!$A$1:$AH$1129,$D$1,FALSE)</f>
        <v>588.14</v>
      </c>
      <c r="C462" s="4" t="e">
        <f>VLOOKUP($A462,'extended_recharge_2003-2015'!$A$1:$AH$265,$D$1,FALSE)</f>
        <v>#N/A</v>
      </c>
      <c r="G462" s="6"/>
      <c r="L462" s="6"/>
    </row>
    <row r="463" spans="1:12" x14ac:dyDescent="0.2">
      <c r="A463" s="3">
        <v>22006</v>
      </c>
      <c r="B463" s="4">
        <f>VLOOKUP($A463,'existing_gw_inflows_1921-2003'!$A$1:$AH$1129,$D$1,FALSE)</f>
        <v>151.35</v>
      </c>
      <c r="C463" s="4" t="e">
        <f>VLOOKUP($A463,'extended_recharge_2003-2015'!$A$1:$AH$265,$D$1,FALSE)</f>
        <v>#N/A</v>
      </c>
      <c r="G463" s="6"/>
      <c r="L463" s="6"/>
    </row>
    <row r="464" spans="1:12" x14ac:dyDescent="0.2">
      <c r="A464" s="3">
        <v>22036</v>
      </c>
      <c r="B464" s="4">
        <f>VLOOKUP($A464,'existing_gw_inflows_1921-2003'!$A$1:$AH$1129,$D$1,FALSE)</f>
        <v>9.6299999999999759</v>
      </c>
      <c r="C464" s="4" t="e">
        <f>VLOOKUP($A464,'extended_recharge_2003-2015'!$A$1:$AH$265,$D$1,FALSE)</f>
        <v>#N/A</v>
      </c>
      <c r="G464" s="6"/>
      <c r="L464" s="6"/>
    </row>
    <row r="465" spans="1:12" x14ac:dyDescent="0.2">
      <c r="A465" s="3">
        <v>22067</v>
      </c>
      <c r="B465" s="4">
        <f>VLOOKUP($A465,'existing_gw_inflows_1921-2003'!$A$1:$AH$1129,$D$1,FALSE)</f>
        <v>140.10000000000002</v>
      </c>
      <c r="C465" s="4" t="e">
        <f>VLOOKUP($A465,'extended_recharge_2003-2015'!$A$1:$AH$265,$D$1,FALSE)</f>
        <v>#N/A</v>
      </c>
      <c r="G465" s="6"/>
      <c r="L465" s="6"/>
    </row>
    <row r="466" spans="1:12" x14ac:dyDescent="0.2">
      <c r="A466" s="3">
        <v>22097</v>
      </c>
      <c r="B466" s="4">
        <f>VLOOKUP($A466,'existing_gw_inflows_1921-2003'!$A$1:$AH$1129,$D$1,FALSE)</f>
        <v>475.02000000000004</v>
      </c>
      <c r="C466" s="4" t="e">
        <f>VLOOKUP($A466,'extended_recharge_2003-2015'!$A$1:$AH$265,$D$1,FALSE)</f>
        <v>#N/A</v>
      </c>
      <c r="G466" s="6"/>
      <c r="L466" s="6"/>
    </row>
    <row r="467" spans="1:12" x14ac:dyDescent="0.2">
      <c r="A467" s="3">
        <v>22128</v>
      </c>
      <c r="B467" s="4">
        <f>VLOOKUP($A467,'existing_gw_inflows_1921-2003'!$A$1:$AH$1129,$D$1,FALSE)</f>
        <v>543.15000000000009</v>
      </c>
      <c r="C467" s="4" t="e">
        <f>VLOOKUP($A467,'extended_recharge_2003-2015'!$A$1:$AH$265,$D$1,FALSE)</f>
        <v>#N/A</v>
      </c>
      <c r="G467" s="6"/>
      <c r="L467" s="6"/>
    </row>
    <row r="468" spans="1:12" x14ac:dyDescent="0.2">
      <c r="A468" s="3">
        <v>22159</v>
      </c>
      <c r="B468" s="4">
        <f>VLOOKUP($A468,'existing_gw_inflows_1921-2003'!$A$1:$AH$1129,$D$1,FALSE)</f>
        <v>417.71</v>
      </c>
      <c r="C468" s="4" t="e">
        <f>VLOOKUP($A468,'extended_recharge_2003-2015'!$A$1:$AH$265,$D$1,FALSE)</f>
        <v>#N/A</v>
      </c>
      <c r="G468" s="6"/>
      <c r="L468" s="6"/>
    </row>
    <row r="469" spans="1:12" x14ac:dyDescent="0.2">
      <c r="A469" s="3">
        <v>22189</v>
      </c>
      <c r="B469" s="4">
        <f>VLOOKUP($A469,'existing_gw_inflows_1921-2003'!$A$1:$AH$1129,$D$1,FALSE)</f>
        <v>137.35000000000002</v>
      </c>
      <c r="C469" s="4" t="e">
        <f>VLOOKUP($A469,'extended_recharge_2003-2015'!$A$1:$AH$265,$D$1,FALSE)</f>
        <v>#N/A</v>
      </c>
      <c r="G469" s="6"/>
      <c r="L469" s="6"/>
    </row>
    <row r="470" spans="1:12" x14ac:dyDescent="0.2">
      <c r="A470" s="3">
        <v>22220</v>
      </c>
      <c r="B470" s="4">
        <f>VLOOKUP($A470,'existing_gw_inflows_1921-2003'!$A$1:$AH$1129,$D$1,FALSE)</f>
        <v>115.89</v>
      </c>
      <c r="C470" s="4" t="e">
        <f>VLOOKUP($A470,'extended_recharge_2003-2015'!$A$1:$AH$265,$D$1,FALSE)</f>
        <v>#N/A</v>
      </c>
      <c r="G470" s="6"/>
      <c r="L470" s="6"/>
    </row>
    <row r="471" spans="1:12" x14ac:dyDescent="0.2">
      <c r="A471" s="3">
        <v>22250</v>
      </c>
      <c r="B471" s="4">
        <f>VLOOKUP($A471,'existing_gw_inflows_1921-2003'!$A$1:$AH$1129,$D$1,FALSE)</f>
        <v>443.79</v>
      </c>
      <c r="C471" s="4" t="e">
        <f>VLOOKUP($A471,'extended_recharge_2003-2015'!$A$1:$AH$265,$D$1,FALSE)</f>
        <v>#N/A</v>
      </c>
      <c r="G471" s="6"/>
      <c r="L471" s="6"/>
    </row>
    <row r="472" spans="1:12" x14ac:dyDescent="0.2">
      <c r="A472" s="3">
        <v>22281</v>
      </c>
      <c r="B472" s="4">
        <f>VLOOKUP($A472,'existing_gw_inflows_1921-2003'!$A$1:$AH$1129,$D$1,FALSE)</f>
        <v>176.18</v>
      </c>
      <c r="C472" s="4" t="e">
        <f>VLOOKUP($A472,'extended_recharge_2003-2015'!$A$1:$AH$265,$D$1,FALSE)</f>
        <v>#N/A</v>
      </c>
      <c r="G472" s="6"/>
      <c r="L472" s="6"/>
    </row>
    <row r="473" spans="1:12" x14ac:dyDescent="0.2">
      <c r="A473" s="3">
        <v>22312</v>
      </c>
      <c r="B473" s="4">
        <f>VLOOKUP($A473,'existing_gw_inflows_1921-2003'!$A$1:$AH$1129,$D$1,FALSE)</f>
        <v>223.21000000000004</v>
      </c>
      <c r="C473" s="4" t="e">
        <f>VLOOKUP($A473,'extended_recharge_2003-2015'!$A$1:$AH$265,$D$1,FALSE)</f>
        <v>#N/A</v>
      </c>
      <c r="G473" s="6"/>
      <c r="L473" s="6"/>
    </row>
    <row r="474" spans="1:12" x14ac:dyDescent="0.2">
      <c r="A474" s="3">
        <v>22340</v>
      </c>
      <c r="B474" s="4">
        <f>VLOOKUP($A474,'existing_gw_inflows_1921-2003'!$A$1:$AH$1129,$D$1,FALSE)</f>
        <v>266.53000000000003</v>
      </c>
      <c r="C474" s="4" t="e">
        <f>VLOOKUP($A474,'extended_recharge_2003-2015'!$A$1:$AH$265,$D$1,FALSE)</f>
        <v>#N/A</v>
      </c>
      <c r="G474" s="6"/>
      <c r="L474" s="6"/>
    </row>
    <row r="475" spans="1:12" x14ac:dyDescent="0.2">
      <c r="A475" s="3">
        <v>22371</v>
      </c>
      <c r="B475" s="4">
        <f>VLOOKUP($A475,'existing_gw_inflows_1921-2003'!$A$1:$AH$1129,$D$1,FALSE)</f>
        <v>236.64999999999998</v>
      </c>
      <c r="C475" s="4" t="e">
        <f>VLOOKUP($A475,'extended_recharge_2003-2015'!$A$1:$AH$265,$D$1,FALSE)</f>
        <v>#N/A</v>
      </c>
      <c r="G475" s="6"/>
      <c r="L475" s="6"/>
    </row>
    <row r="476" spans="1:12" x14ac:dyDescent="0.2">
      <c r="A476" s="3">
        <v>22401</v>
      </c>
      <c r="B476" s="4">
        <f>VLOOKUP($A476,'existing_gw_inflows_1921-2003'!$A$1:$AH$1129,$D$1,FALSE)</f>
        <v>32.610000000000014</v>
      </c>
      <c r="C476" s="4" t="e">
        <f>VLOOKUP($A476,'extended_recharge_2003-2015'!$A$1:$AH$265,$D$1,FALSE)</f>
        <v>#N/A</v>
      </c>
      <c r="G476" s="6"/>
      <c r="L476" s="6"/>
    </row>
    <row r="477" spans="1:12" x14ac:dyDescent="0.2">
      <c r="A477" s="3">
        <v>22432</v>
      </c>
      <c r="B477" s="4">
        <f>VLOOKUP($A477,'existing_gw_inflows_1921-2003'!$A$1:$AH$1129,$D$1,FALSE)</f>
        <v>166.01000000000002</v>
      </c>
      <c r="C477" s="4" t="e">
        <f>VLOOKUP($A477,'extended_recharge_2003-2015'!$A$1:$AH$265,$D$1,FALSE)</f>
        <v>#N/A</v>
      </c>
      <c r="G477" s="6"/>
      <c r="L477" s="6"/>
    </row>
    <row r="478" spans="1:12" x14ac:dyDescent="0.2">
      <c r="A478" s="3">
        <v>22462</v>
      </c>
      <c r="B478" s="4">
        <f>VLOOKUP($A478,'existing_gw_inflows_1921-2003'!$A$1:$AH$1129,$D$1,FALSE)</f>
        <v>496.97</v>
      </c>
      <c r="C478" s="4" t="e">
        <f>VLOOKUP($A478,'extended_recharge_2003-2015'!$A$1:$AH$265,$D$1,FALSE)</f>
        <v>#N/A</v>
      </c>
      <c r="G478" s="6"/>
      <c r="L478" s="6"/>
    </row>
    <row r="479" spans="1:12" x14ac:dyDescent="0.2">
      <c r="A479" s="3">
        <v>22493</v>
      </c>
      <c r="B479" s="4">
        <f>VLOOKUP($A479,'existing_gw_inflows_1921-2003'!$A$1:$AH$1129,$D$1,FALSE)</f>
        <v>586.64</v>
      </c>
      <c r="C479" s="4" t="e">
        <f>VLOOKUP($A479,'extended_recharge_2003-2015'!$A$1:$AH$265,$D$1,FALSE)</f>
        <v>#N/A</v>
      </c>
      <c r="G479" s="6"/>
      <c r="L479" s="6"/>
    </row>
    <row r="480" spans="1:12" x14ac:dyDescent="0.2">
      <c r="A480" s="3">
        <v>22524</v>
      </c>
      <c r="B480" s="4">
        <f>VLOOKUP($A480,'existing_gw_inflows_1921-2003'!$A$1:$AH$1129,$D$1,FALSE)</f>
        <v>445.33000000000004</v>
      </c>
      <c r="C480" s="4" t="e">
        <f>VLOOKUP($A480,'extended_recharge_2003-2015'!$A$1:$AH$265,$D$1,FALSE)</f>
        <v>#N/A</v>
      </c>
      <c r="G480" s="6"/>
      <c r="L480" s="6"/>
    </row>
    <row r="481" spans="1:12" x14ac:dyDescent="0.2">
      <c r="A481" s="3">
        <v>22554</v>
      </c>
      <c r="B481" s="4">
        <f>VLOOKUP($A481,'existing_gw_inflows_1921-2003'!$A$1:$AH$1129,$D$1,FALSE)</f>
        <v>123.24999999999999</v>
      </c>
      <c r="C481" s="4" t="e">
        <f>VLOOKUP($A481,'extended_recharge_2003-2015'!$A$1:$AH$265,$D$1,FALSE)</f>
        <v>#N/A</v>
      </c>
      <c r="G481" s="6"/>
      <c r="L481" s="6"/>
    </row>
    <row r="482" spans="1:12" x14ac:dyDescent="0.2">
      <c r="A482" s="3">
        <v>22585</v>
      </c>
      <c r="B482" s="4">
        <f>VLOOKUP($A482,'existing_gw_inflows_1921-2003'!$A$1:$AH$1129,$D$1,FALSE)</f>
        <v>111.44999999999999</v>
      </c>
      <c r="C482" s="4" t="e">
        <f>VLOOKUP($A482,'extended_recharge_2003-2015'!$A$1:$AH$265,$D$1,FALSE)</f>
        <v>#N/A</v>
      </c>
      <c r="G482" s="6"/>
      <c r="L482" s="6"/>
    </row>
    <row r="483" spans="1:12" x14ac:dyDescent="0.2">
      <c r="A483" s="3">
        <v>22615</v>
      </c>
      <c r="B483" s="4">
        <f>VLOOKUP($A483,'existing_gw_inflows_1921-2003'!$A$1:$AH$1129,$D$1,FALSE)</f>
        <v>229.12</v>
      </c>
      <c r="C483" s="4" t="e">
        <f>VLOOKUP($A483,'extended_recharge_2003-2015'!$A$1:$AH$265,$D$1,FALSE)</f>
        <v>#N/A</v>
      </c>
      <c r="G483" s="6"/>
      <c r="L483" s="6"/>
    </row>
    <row r="484" spans="1:12" x14ac:dyDescent="0.2">
      <c r="A484" s="3">
        <v>22646</v>
      </c>
      <c r="B484" s="4">
        <f>VLOOKUP($A484,'existing_gw_inflows_1921-2003'!$A$1:$AH$1129,$D$1,FALSE)</f>
        <v>227.27999999999997</v>
      </c>
      <c r="C484" s="4" t="e">
        <f>VLOOKUP($A484,'extended_recharge_2003-2015'!$A$1:$AH$265,$D$1,FALSE)</f>
        <v>#N/A</v>
      </c>
      <c r="G484" s="6"/>
      <c r="L484" s="6"/>
    </row>
    <row r="485" spans="1:12" x14ac:dyDescent="0.2">
      <c r="A485" s="3">
        <v>22677</v>
      </c>
      <c r="B485" s="4">
        <f>VLOOKUP($A485,'existing_gw_inflows_1921-2003'!$A$1:$AH$1129,$D$1,FALSE)</f>
        <v>88.22</v>
      </c>
      <c r="C485" s="4" t="e">
        <f>VLOOKUP($A485,'extended_recharge_2003-2015'!$A$1:$AH$265,$D$1,FALSE)</f>
        <v>#N/A</v>
      </c>
      <c r="G485" s="6"/>
      <c r="L485" s="6"/>
    </row>
    <row r="486" spans="1:12" x14ac:dyDescent="0.2">
      <c r="A486" s="3">
        <v>22705</v>
      </c>
      <c r="B486" s="4">
        <f>VLOOKUP($A486,'existing_gw_inflows_1921-2003'!$A$1:$AH$1129,$D$1,FALSE)</f>
        <v>1781.8300000000002</v>
      </c>
      <c r="C486" s="4" t="e">
        <f>VLOOKUP($A486,'extended_recharge_2003-2015'!$A$1:$AH$265,$D$1,FALSE)</f>
        <v>#N/A</v>
      </c>
      <c r="G486" s="6"/>
      <c r="L486" s="6"/>
    </row>
    <row r="487" spans="1:12" x14ac:dyDescent="0.2">
      <c r="A487" s="3">
        <v>22736</v>
      </c>
      <c r="B487" s="4">
        <f>VLOOKUP($A487,'existing_gw_inflows_1921-2003'!$A$1:$AH$1129,$D$1,FALSE)</f>
        <v>101.19999999999999</v>
      </c>
      <c r="C487" s="4" t="e">
        <f>VLOOKUP($A487,'extended_recharge_2003-2015'!$A$1:$AH$265,$D$1,FALSE)</f>
        <v>#N/A</v>
      </c>
      <c r="G487" s="6"/>
      <c r="L487" s="6"/>
    </row>
    <row r="488" spans="1:12" x14ac:dyDescent="0.2">
      <c r="A488" s="3">
        <v>22766</v>
      </c>
      <c r="B488" s="4">
        <f>VLOOKUP($A488,'existing_gw_inflows_1921-2003'!$A$1:$AH$1129,$D$1,FALSE)</f>
        <v>24.589999999999989</v>
      </c>
      <c r="C488" s="4" t="e">
        <f>VLOOKUP($A488,'extended_recharge_2003-2015'!$A$1:$AH$265,$D$1,FALSE)</f>
        <v>#N/A</v>
      </c>
      <c r="G488" s="6"/>
      <c r="L488" s="6"/>
    </row>
    <row r="489" spans="1:12" x14ac:dyDescent="0.2">
      <c r="A489" s="3">
        <v>22797</v>
      </c>
      <c r="B489" s="4">
        <f>VLOOKUP($A489,'existing_gw_inflows_1921-2003'!$A$1:$AH$1129,$D$1,FALSE)</f>
        <v>100.22999999999999</v>
      </c>
      <c r="C489" s="4" t="e">
        <f>VLOOKUP($A489,'extended_recharge_2003-2015'!$A$1:$AH$265,$D$1,FALSE)</f>
        <v>#N/A</v>
      </c>
      <c r="G489" s="6"/>
      <c r="L489" s="6"/>
    </row>
    <row r="490" spans="1:12" x14ac:dyDescent="0.2">
      <c r="A490" s="3">
        <v>22827</v>
      </c>
      <c r="B490" s="4">
        <f>VLOOKUP($A490,'existing_gw_inflows_1921-2003'!$A$1:$AH$1129,$D$1,FALSE)</f>
        <v>409.40000000000003</v>
      </c>
      <c r="C490" s="4" t="e">
        <f>VLOOKUP($A490,'extended_recharge_2003-2015'!$A$1:$AH$265,$D$1,FALSE)</f>
        <v>#N/A</v>
      </c>
      <c r="G490" s="6"/>
      <c r="L490" s="6"/>
    </row>
    <row r="491" spans="1:12" x14ac:dyDescent="0.2">
      <c r="A491" s="3">
        <v>22858</v>
      </c>
      <c r="B491" s="4">
        <f>VLOOKUP($A491,'existing_gw_inflows_1921-2003'!$A$1:$AH$1129,$D$1,FALSE)</f>
        <v>407.31</v>
      </c>
      <c r="C491" s="4" t="e">
        <f>VLOOKUP($A491,'extended_recharge_2003-2015'!$A$1:$AH$265,$D$1,FALSE)</f>
        <v>#N/A</v>
      </c>
      <c r="G491" s="6"/>
      <c r="L491" s="6"/>
    </row>
    <row r="492" spans="1:12" x14ac:dyDescent="0.2">
      <c r="A492" s="3">
        <v>22889</v>
      </c>
      <c r="B492" s="4">
        <f>VLOOKUP($A492,'existing_gw_inflows_1921-2003'!$A$1:$AH$1129,$D$1,FALSE)</f>
        <v>397.46999999999997</v>
      </c>
      <c r="C492" s="4" t="e">
        <f>VLOOKUP($A492,'extended_recharge_2003-2015'!$A$1:$AH$265,$D$1,FALSE)</f>
        <v>#N/A</v>
      </c>
      <c r="G492" s="6"/>
      <c r="L492" s="6"/>
    </row>
    <row r="493" spans="1:12" x14ac:dyDescent="0.2">
      <c r="A493" s="3">
        <v>22919</v>
      </c>
      <c r="B493" s="4">
        <f>VLOOKUP($A493,'existing_gw_inflows_1921-2003'!$A$1:$AH$1129,$D$1,FALSE)</f>
        <v>201.52999999999997</v>
      </c>
      <c r="C493" s="4" t="e">
        <f>VLOOKUP($A493,'extended_recharge_2003-2015'!$A$1:$AH$265,$D$1,FALSE)</f>
        <v>#N/A</v>
      </c>
      <c r="G493" s="6"/>
      <c r="L493" s="6"/>
    </row>
    <row r="494" spans="1:12" x14ac:dyDescent="0.2">
      <c r="A494" s="3">
        <v>22950</v>
      </c>
      <c r="B494" s="4">
        <f>VLOOKUP($A494,'existing_gw_inflows_1921-2003'!$A$1:$AH$1129,$D$1,FALSE)</f>
        <v>651.66000000000008</v>
      </c>
      <c r="C494" s="4" t="e">
        <f>VLOOKUP($A494,'extended_recharge_2003-2015'!$A$1:$AH$265,$D$1,FALSE)</f>
        <v>#N/A</v>
      </c>
      <c r="G494" s="6"/>
      <c r="L494" s="6"/>
    </row>
    <row r="495" spans="1:12" x14ac:dyDescent="0.2">
      <c r="A495" s="3">
        <v>22980</v>
      </c>
      <c r="B495" s="4">
        <f>VLOOKUP($A495,'existing_gw_inflows_1921-2003'!$A$1:$AH$1129,$D$1,FALSE)</f>
        <v>-61.450000000000017</v>
      </c>
      <c r="C495" s="4" t="e">
        <f>VLOOKUP($A495,'extended_recharge_2003-2015'!$A$1:$AH$265,$D$1,FALSE)</f>
        <v>#N/A</v>
      </c>
      <c r="G495" s="6"/>
      <c r="L495" s="6"/>
    </row>
    <row r="496" spans="1:12" x14ac:dyDescent="0.2">
      <c r="A496" s="3">
        <v>23011</v>
      </c>
      <c r="B496" s="4">
        <f>VLOOKUP($A496,'existing_gw_inflows_1921-2003'!$A$1:$AH$1129,$D$1,FALSE)</f>
        <v>308.47999999999996</v>
      </c>
      <c r="C496" s="4" t="e">
        <f>VLOOKUP($A496,'extended_recharge_2003-2015'!$A$1:$AH$265,$D$1,FALSE)</f>
        <v>#N/A</v>
      </c>
      <c r="G496" s="6"/>
      <c r="L496" s="6"/>
    </row>
    <row r="497" spans="1:12" x14ac:dyDescent="0.2">
      <c r="A497" s="3">
        <v>23042</v>
      </c>
      <c r="B497" s="4">
        <f>VLOOKUP($A497,'existing_gw_inflows_1921-2003'!$A$1:$AH$1129,$D$1,FALSE)</f>
        <v>268.70999999999998</v>
      </c>
      <c r="C497" s="4" t="e">
        <f>VLOOKUP($A497,'extended_recharge_2003-2015'!$A$1:$AH$265,$D$1,FALSE)</f>
        <v>#N/A</v>
      </c>
      <c r="G497" s="6"/>
      <c r="L497" s="6"/>
    </row>
    <row r="498" spans="1:12" x14ac:dyDescent="0.2">
      <c r="A498" s="3">
        <v>23070</v>
      </c>
      <c r="B498" s="4">
        <f>VLOOKUP($A498,'existing_gw_inflows_1921-2003'!$A$1:$AH$1129,$D$1,FALSE)</f>
        <v>729.13000000000011</v>
      </c>
      <c r="C498" s="4" t="e">
        <f>VLOOKUP($A498,'extended_recharge_2003-2015'!$A$1:$AH$265,$D$1,FALSE)</f>
        <v>#N/A</v>
      </c>
      <c r="G498" s="6"/>
      <c r="L498" s="6"/>
    </row>
    <row r="499" spans="1:12" x14ac:dyDescent="0.2">
      <c r="A499" s="3">
        <v>23101</v>
      </c>
      <c r="B499" s="4">
        <f>VLOOKUP($A499,'existing_gw_inflows_1921-2003'!$A$1:$AH$1129,$D$1,FALSE)</f>
        <v>42.899999999999963</v>
      </c>
      <c r="C499" s="4" t="e">
        <f>VLOOKUP($A499,'extended_recharge_2003-2015'!$A$1:$AH$265,$D$1,FALSE)</f>
        <v>#N/A</v>
      </c>
      <c r="G499" s="6"/>
      <c r="L499" s="6"/>
    </row>
    <row r="500" spans="1:12" x14ac:dyDescent="0.2">
      <c r="A500" s="3">
        <v>23131</v>
      </c>
      <c r="B500" s="4">
        <f>VLOOKUP($A500,'existing_gw_inflows_1921-2003'!$A$1:$AH$1129,$D$1,FALSE)</f>
        <v>757.79000000000008</v>
      </c>
      <c r="C500" s="4" t="e">
        <f>VLOOKUP($A500,'extended_recharge_2003-2015'!$A$1:$AH$265,$D$1,FALSE)</f>
        <v>#N/A</v>
      </c>
      <c r="G500" s="6"/>
      <c r="L500" s="6"/>
    </row>
    <row r="501" spans="1:12" x14ac:dyDescent="0.2">
      <c r="A501" s="3">
        <v>23162</v>
      </c>
      <c r="B501" s="4">
        <f>VLOOKUP($A501,'existing_gw_inflows_1921-2003'!$A$1:$AH$1129,$D$1,FALSE)</f>
        <v>86.080000000000041</v>
      </c>
      <c r="C501" s="4" t="e">
        <f>VLOOKUP($A501,'extended_recharge_2003-2015'!$A$1:$AH$265,$D$1,FALSE)</f>
        <v>#N/A</v>
      </c>
      <c r="G501" s="6"/>
      <c r="L501" s="6"/>
    </row>
    <row r="502" spans="1:12" x14ac:dyDescent="0.2">
      <c r="A502" s="3">
        <v>23192</v>
      </c>
      <c r="B502" s="4">
        <f>VLOOKUP($A502,'existing_gw_inflows_1921-2003'!$A$1:$AH$1129,$D$1,FALSE)</f>
        <v>107.54999999999998</v>
      </c>
      <c r="C502" s="4" t="e">
        <f>VLOOKUP($A502,'extended_recharge_2003-2015'!$A$1:$AH$265,$D$1,FALSE)</f>
        <v>#N/A</v>
      </c>
      <c r="G502" s="6"/>
      <c r="L502" s="6"/>
    </row>
    <row r="503" spans="1:12" x14ac:dyDescent="0.2">
      <c r="A503" s="3">
        <v>23223</v>
      </c>
      <c r="B503" s="4">
        <f>VLOOKUP($A503,'existing_gw_inflows_1921-2003'!$A$1:$AH$1129,$D$1,FALSE)</f>
        <v>296.11999999999995</v>
      </c>
      <c r="C503" s="4" t="e">
        <f>VLOOKUP($A503,'extended_recharge_2003-2015'!$A$1:$AH$265,$D$1,FALSE)</f>
        <v>#N/A</v>
      </c>
      <c r="G503" s="6"/>
      <c r="L503" s="6"/>
    </row>
    <row r="504" spans="1:12" x14ac:dyDescent="0.2">
      <c r="A504" s="3">
        <v>23254</v>
      </c>
      <c r="B504" s="4">
        <f>VLOOKUP($A504,'existing_gw_inflows_1921-2003'!$A$1:$AH$1129,$D$1,FALSE)</f>
        <v>292.66999999999996</v>
      </c>
      <c r="C504" s="4" t="e">
        <f>VLOOKUP($A504,'extended_recharge_2003-2015'!$A$1:$AH$265,$D$1,FALSE)</f>
        <v>#N/A</v>
      </c>
      <c r="G504" s="6"/>
      <c r="L504" s="6"/>
    </row>
    <row r="505" spans="1:12" x14ac:dyDescent="0.2">
      <c r="A505" s="3">
        <v>23284</v>
      </c>
      <c r="B505" s="4">
        <f>VLOOKUP($A505,'existing_gw_inflows_1921-2003'!$A$1:$AH$1129,$D$1,FALSE)</f>
        <v>198.31</v>
      </c>
      <c r="C505" s="4" t="e">
        <f>VLOOKUP($A505,'extended_recharge_2003-2015'!$A$1:$AH$265,$D$1,FALSE)</f>
        <v>#N/A</v>
      </c>
      <c r="G505" s="6"/>
      <c r="L505" s="6"/>
    </row>
    <row r="506" spans="1:12" x14ac:dyDescent="0.2">
      <c r="A506" s="3">
        <v>23315</v>
      </c>
      <c r="B506" s="4">
        <f>VLOOKUP($A506,'existing_gw_inflows_1921-2003'!$A$1:$AH$1129,$D$1,FALSE)</f>
        <v>203.04</v>
      </c>
      <c r="C506" s="4" t="e">
        <f>VLOOKUP($A506,'extended_recharge_2003-2015'!$A$1:$AH$265,$D$1,FALSE)</f>
        <v>#N/A</v>
      </c>
      <c r="G506" s="6"/>
      <c r="L506" s="6"/>
    </row>
    <row r="507" spans="1:12" x14ac:dyDescent="0.2">
      <c r="A507" s="3">
        <v>23345</v>
      </c>
      <c r="B507" s="4">
        <f>VLOOKUP($A507,'existing_gw_inflows_1921-2003'!$A$1:$AH$1129,$D$1,FALSE)</f>
        <v>412.88</v>
      </c>
      <c r="C507" s="4" t="e">
        <f>VLOOKUP($A507,'extended_recharge_2003-2015'!$A$1:$AH$265,$D$1,FALSE)</f>
        <v>#N/A</v>
      </c>
      <c r="G507" s="6"/>
      <c r="L507" s="6"/>
    </row>
    <row r="508" spans="1:12" x14ac:dyDescent="0.2">
      <c r="A508" s="3">
        <v>23376</v>
      </c>
      <c r="B508" s="4">
        <f>VLOOKUP($A508,'existing_gw_inflows_1921-2003'!$A$1:$AH$1129,$D$1,FALSE)</f>
        <v>52.169999999999987</v>
      </c>
      <c r="C508" s="4" t="e">
        <f>VLOOKUP($A508,'extended_recharge_2003-2015'!$A$1:$AH$265,$D$1,FALSE)</f>
        <v>#N/A</v>
      </c>
      <c r="G508" s="6"/>
      <c r="L508" s="6"/>
    </row>
    <row r="509" spans="1:12" x14ac:dyDescent="0.2">
      <c r="A509" s="3">
        <v>23407</v>
      </c>
      <c r="B509" s="4">
        <f>VLOOKUP($A509,'existing_gw_inflows_1921-2003'!$A$1:$AH$1129,$D$1,FALSE)</f>
        <v>245.8</v>
      </c>
      <c r="C509" s="4" t="e">
        <f>VLOOKUP($A509,'extended_recharge_2003-2015'!$A$1:$AH$265,$D$1,FALSE)</f>
        <v>#N/A</v>
      </c>
      <c r="G509" s="6"/>
      <c r="L509" s="6"/>
    </row>
    <row r="510" spans="1:12" x14ac:dyDescent="0.2">
      <c r="A510" s="3">
        <v>23436</v>
      </c>
      <c r="B510" s="4">
        <f>VLOOKUP($A510,'existing_gw_inflows_1921-2003'!$A$1:$AH$1129,$D$1,FALSE)</f>
        <v>-4.4499999999999993</v>
      </c>
      <c r="C510" s="4" t="e">
        <f>VLOOKUP($A510,'extended_recharge_2003-2015'!$A$1:$AH$265,$D$1,FALSE)</f>
        <v>#N/A</v>
      </c>
      <c r="G510" s="6"/>
      <c r="L510" s="6"/>
    </row>
    <row r="511" spans="1:12" x14ac:dyDescent="0.2">
      <c r="A511" s="3">
        <v>23467</v>
      </c>
      <c r="B511" s="4">
        <f>VLOOKUP($A511,'existing_gw_inflows_1921-2003'!$A$1:$AH$1129,$D$1,FALSE)</f>
        <v>120.15000000000003</v>
      </c>
      <c r="C511" s="4" t="e">
        <f>VLOOKUP($A511,'extended_recharge_2003-2015'!$A$1:$AH$265,$D$1,FALSE)</f>
        <v>#N/A</v>
      </c>
      <c r="G511" s="6"/>
      <c r="L511" s="6"/>
    </row>
    <row r="512" spans="1:12" x14ac:dyDescent="0.2">
      <c r="A512" s="3">
        <v>23497</v>
      </c>
      <c r="B512" s="4">
        <f>VLOOKUP($A512,'existing_gw_inflows_1921-2003'!$A$1:$AH$1129,$D$1,FALSE)</f>
        <v>129.41999999999999</v>
      </c>
      <c r="C512" s="4" t="e">
        <f>VLOOKUP($A512,'extended_recharge_2003-2015'!$A$1:$AH$265,$D$1,FALSE)</f>
        <v>#N/A</v>
      </c>
      <c r="G512" s="6"/>
      <c r="L512" s="6"/>
    </row>
    <row r="513" spans="1:12" x14ac:dyDescent="0.2">
      <c r="A513" s="3">
        <v>23528</v>
      </c>
      <c r="B513" s="4">
        <f>VLOOKUP($A513,'existing_gw_inflows_1921-2003'!$A$1:$AH$1129,$D$1,FALSE)</f>
        <v>206.71999999999997</v>
      </c>
      <c r="C513" s="4" t="e">
        <f>VLOOKUP($A513,'extended_recharge_2003-2015'!$A$1:$AH$265,$D$1,FALSE)</f>
        <v>#N/A</v>
      </c>
      <c r="G513" s="6"/>
      <c r="L513" s="6"/>
    </row>
    <row r="514" spans="1:12" x14ac:dyDescent="0.2">
      <c r="A514" s="3">
        <v>23558</v>
      </c>
      <c r="B514" s="4">
        <f>VLOOKUP($A514,'existing_gw_inflows_1921-2003'!$A$1:$AH$1129,$D$1,FALSE)</f>
        <v>479.22999999999996</v>
      </c>
      <c r="C514" s="4" t="e">
        <f>VLOOKUP($A514,'extended_recharge_2003-2015'!$A$1:$AH$265,$D$1,FALSE)</f>
        <v>#N/A</v>
      </c>
      <c r="G514" s="6"/>
      <c r="L514" s="6"/>
    </row>
    <row r="515" spans="1:12" x14ac:dyDescent="0.2">
      <c r="A515" s="3">
        <v>23589</v>
      </c>
      <c r="B515" s="4">
        <f>VLOOKUP($A515,'existing_gw_inflows_1921-2003'!$A$1:$AH$1129,$D$1,FALSE)</f>
        <v>595.53</v>
      </c>
      <c r="C515" s="4" t="e">
        <f>VLOOKUP($A515,'extended_recharge_2003-2015'!$A$1:$AH$265,$D$1,FALSE)</f>
        <v>#N/A</v>
      </c>
      <c r="G515" s="6"/>
      <c r="L515" s="6"/>
    </row>
    <row r="516" spans="1:12" x14ac:dyDescent="0.2">
      <c r="A516" s="3">
        <v>23620</v>
      </c>
      <c r="B516" s="4">
        <f>VLOOKUP($A516,'existing_gw_inflows_1921-2003'!$A$1:$AH$1129,$D$1,FALSE)</f>
        <v>467.45</v>
      </c>
      <c r="C516" s="4" t="e">
        <f>VLOOKUP($A516,'extended_recharge_2003-2015'!$A$1:$AH$265,$D$1,FALSE)</f>
        <v>#N/A</v>
      </c>
      <c r="G516" s="6"/>
      <c r="L516" s="6"/>
    </row>
    <row r="517" spans="1:12" x14ac:dyDescent="0.2">
      <c r="A517" s="3">
        <v>23650</v>
      </c>
      <c r="B517" s="4">
        <f>VLOOKUP($A517,'existing_gw_inflows_1921-2003'!$A$1:$AH$1129,$D$1,FALSE)</f>
        <v>239.34999999999997</v>
      </c>
      <c r="C517" s="4" t="e">
        <f>VLOOKUP($A517,'extended_recharge_2003-2015'!$A$1:$AH$265,$D$1,FALSE)</f>
        <v>#N/A</v>
      </c>
      <c r="G517" s="6"/>
      <c r="L517" s="6"/>
    </row>
    <row r="518" spans="1:12" x14ac:dyDescent="0.2">
      <c r="A518" s="3">
        <v>23681</v>
      </c>
      <c r="B518" s="4">
        <f>VLOOKUP($A518,'existing_gw_inflows_1921-2003'!$A$1:$AH$1129,$D$1,FALSE)</f>
        <v>171.59</v>
      </c>
      <c r="C518" s="4" t="e">
        <f>VLOOKUP($A518,'extended_recharge_2003-2015'!$A$1:$AH$265,$D$1,FALSE)</f>
        <v>#N/A</v>
      </c>
      <c r="G518" s="6"/>
      <c r="L518" s="6"/>
    </row>
    <row r="519" spans="1:12" x14ac:dyDescent="0.2">
      <c r="A519" s="3">
        <v>23711</v>
      </c>
      <c r="B519" s="4">
        <f>VLOOKUP($A519,'existing_gw_inflows_1921-2003'!$A$1:$AH$1129,$D$1,FALSE)</f>
        <v>369.07</v>
      </c>
      <c r="C519" s="4" t="e">
        <f>VLOOKUP($A519,'extended_recharge_2003-2015'!$A$1:$AH$265,$D$1,FALSE)</f>
        <v>#N/A</v>
      </c>
      <c r="G519" s="6"/>
      <c r="L519" s="6"/>
    </row>
    <row r="520" spans="1:12" x14ac:dyDescent="0.2">
      <c r="A520" s="3">
        <v>23742</v>
      </c>
      <c r="B520" s="4">
        <f>VLOOKUP($A520,'existing_gw_inflows_1921-2003'!$A$1:$AH$1129,$D$1,FALSE)</f>
        <v>1467.2599999999998</v>
      </c>
      <c r="C520" s="4" t="e">
        <f>VLOOKUP($A520,'extended_recharge_2003-2015'!$A$1:$AH$265,$D$1,FALSE)</f>
        <v>#N/A</v>
      </c>
      <c r="G520" s="6"/>
      <c r="L520" s="6"/>
    </row>
    <row r="521" spans="1:12" x14ac:dyDescent="0.2">
      <c r="A521" s="3">
        <v>23773</v>
      </c>
      <c r="B521" s="4">
        <f>VLOOKUP($A521,'existing_gw_inflows_1921-2003'!$A$1:$AH$1129,$D$1,FALSE)</f>
        <v>692.03</v>
      </c>
      <c r="C521" s="4" t="e">
        <f>VLOOKUP($A521,'extended_recharge_2003-2015'!$A$1:$AH$265,$D$1,FALSE)</f>
        <v>#N/A</v>
      </c>
      <c r="G521" s="6"/>
      <c r="L521" s="6"/>
    </row>
    <row r="522" spans="1:12" x14ac:dyDescent="0.2">
      <c r="A522" s="3">
        <v>23801</v>
      </c>
      <c r="B522" s="4">
        <f>VLOOKUP($A522,'existing_gw_inflows_1921-2003'!$A$1:$AH$1129,$D$1,FALSE)</f>
        <v>-338.49</v>
      </c>
      <c r="C522" s="4" t="e">
        <f>VLOOKUP($A522,'extended_recharge_2003-2015'!$A$1:$AH$265,$D$1,FALSE)</f>
        <v>#N/A</v>
      </c>
      <c r="G522" s="6"/>
      <c r="L522" s="6"/>
    </row>
    <row r="523" spans="1:12" x14ac:dyDescent="0.2">
      <c r="A523" s="3">
        <v>23832</v>
      </c>
      <c r="B523" s="4">
        <f>VLOOKUP($A523,'existing_gw_inflows_1921-2003'!$A$1:$AH$1129,$D$1,FALSE)</f>
        <v>-77.009999999999977</v>
      </c>
      <c r="C523" s="4" t="e">
        <f>VLOOKUP($A523,'extended_recharge_2003-2015'!$A$1:$AH$265,$D$1,FALSE)</f>
        <v>#N/A</v>
      </c>
      <c r="G523" s="6"/>
      <c r="L523" s="6"/>
    </row>
    <row r="524" spans="1:12" x14ac:dyDescent="0.2">
      <c r="A524" s="3">
        <v>23862</v>
      </c>
      <c r="B524" s="4">
        <f>VLOOKUP($A524,'existing_gw_inflows_1921-2003'!$A$1:$AH$1129,$D$1,FALSE)</f>
        <v>483.74000000000007</v>
      </c>
      <c r="C524" s="4" t="e">
        <f>VLOOKUP($A524,'extended_recharge_2003-2015'!$A$1:$AH$265,$D$1,FALSE)</f>
        <v>#N/A</v>
      </c>
      <c r="G524" s="6"/>
      <c r="L524" s="6"/>
    </row>
    <row r="525" spans="1:12" x14ac:dyDescent="0.2">
      <c r="A525" s="3">
        <v>23893</v>
      </c>
      <c r="B525" s="4">
        <f>VLOOKUP($A525,'existing_gw_inflows_1921-2003'!$A$1:$AH$1129,$D$1,FALSE)</f>
        <v>51.520000000000046</v>
      </c>
      <c r="C525" s="4" t="e">
        <f>VLOOKUP($A525,'extended_recharge_2003-2015'!$A$1:$AH$265,$D$1,FALSE)</f>
        <v>#N/A</v>
      </c>
      <c r="G525" s="6"/>
      <c r="L525" s="6"/>
    </row>
    <row r="526" spans="1:12" x14ac:dyDescent="0.2">
      <c r="A526" s="3">
        <v>23923</v>
      </c>
      <c r="B526" s="4">
        <f>VLOOKUP($A526,'existing_gw_inflows_1921-2003'!$A$1:$AH$1129,$D$1,FALSE)</f>
        <v>307.06</v>
      </c>
      <c r="C526" s="4" t="e">
        <f>VLOOKUP($A526,'extended_recharge_2003-2015'!$A$1:$AH$265,$D$1,FALSE)</f>
        <v>#N/A</v>
      </c>
      <c r="G526" s="6"/>
      <c r="L526" s="6"/>
    </row>
    <row r="527" spans="1:12" x14ac:dyDescent="0.2">
      <c r="A527" s="3">
        <v>23954</v>
      </c>
      <c r="B527" s="4">
        <f>VLOOKUP($A527,'existing_gw_inflows_1921-2003'!$A$1:$AH$1129,$D$1,FALSE)</f>
        <v>389.06</v>
      </c>
      <c r="C527" s="4" t="e">
        <f>VLOOKUP($A527,'extended_recharge_2003-2015'!$A$1:$AH$265,$D$1,FALSE)</f>
        <v>#N/A</v>
      </c>
      <c r="G527" s="6"/>
      <c r="L527" s="6"/>
    </row>
    <row r="528" spans="1:12" x14ac:dyDescent="0.2">
      <c r="A528" s="3">
        <v>23985</v>
      </c>
      <c r="B528" s="4">
        <f>VLOOKUP($A528,'existing_gw_inflows_1921-2003'!$A$1:$AH$1129,$D$1,FALSE)</f>
        <v>397.02</v>
      </c>
      <c r="C528" s="4" t="e">
        <f>VLOOKUP($A528,'extended_recharge_2003-2015'!$A$1:$AH$265,$D$1,FALSE)</f>
        <v>#N/A</v>
      </c>
      <c r="G528" s="6"/>
      <c r="L528" s="6"/>
    </row>
    <row r="529" spans="1:12" x14ac:dyDescent="0.2">
      <c r="A529" s="3">
        <v>24015</v>
      </c>
      <c r="B529" s="4">
        <f>VLOOKUP($A529,'existing_gw_inflows_1921-2003'!$A$1:$AH$1129,$D$1,FALSE)</f>
        <v>221.89000000000001</v>
      </c>
      <c r="C529" s="4" t="e">
        <f>VLOOKUP($A529,'extended_recharge_2003-2015'!$A$1:$AH$265,$D$1,FALSE)</f>
        <v>#N/A</v>
      </c>
      <c r="G529" s="6"/>
      <c r="L529" s="6"/>
    </row>
    <row r="530" spans="1:12" x14ac:dyDescent="0.2">
      <c r="A530" s="3">
        <v>24046</v>
      </c>
      <c r="B530" s="4">
        <f>VLOOKUP($A530,'existing_gw_inflows_1921-2003'!$A$1:$AH$1129,$D$1,FALSE)</f>
        <v>220.51</v>
      </c>
      <c r="C530" s="4" t="e">
        <f>VLOOKUP($A530,'extended_recharge_2003-2015'!$A$1:$AH$265,$D$1,FALSE)</f>
        <v>#N/A</v>
      </c>
      <c r="G530" s="6"/>
      <c r="L530" s="6"/>
    </row>
    <row r="531" spans="1:12" x14ac:dyDescent="0.2">
      <c r="A531" s="3">
        <v>24076</v>
      </c>
      <c r="B531" s="4">
        <f>VLOOKUP($A531,'existing_gw_inflows_1921-2003'!$A$1:$AH$1129,$D$1,FALSE)</f>
        <v>687.15000000000009</v>
      </c>
      <c r="C531" s="4" t="e">
        <f>VLOOKUP($A531,'extended_recharge_2003-2015'!$A$1:$AH$265,$D$1,FALSE)</f>
        <v>#N/A</v>
      </c>
      <c r="G531" s="6"/>
      <c r="L531" s="6"/>
    </row>
    <row r="532" spans="1:12" x14ac:dyDescent="0.2">
      <c r="A532" s="3">
        <v>24107</v>
      </c>
      <c r="B532" s="4">
        <f>VLOOKUP($A532,'existing_gw_inflows_1921-2003'!$A$1:$AH$1129,$D$1,FALSE)</f>
        <v>279.03000000000003</v>
      </c>
      <c r="C532" s="4" t="e">
        <f>VLOOKUP($A532,'extended_recharge_2003-2015'!$A$1:$AH$265,$D$1,FALSE)</f>
        <v>#N/A</v>
      </c>
      <c r="G532" s="6"/>
      <c r="L532" s="6"/>
    </row>
    <row r="533" spans="1:12" x14ac:dyDescent="0.2">
      <c r="A533" s="3">
        <v>24138</v>
      </c>
      <c r="B533" s="4">
        <f>VLOOKUP($A533,'existing_gw_inflows_1921-2003'!$A$1:$AH$1129,$D$1,FALSE)</f>
        <v>349.73999999999995</v>
      </c>
      <c r="C533" s="4" t="e">
        <f>VLOOKUP($A533,'extended_recharge_2003-2015'!$A$1:$AH$265,$D$1,FALSE)</f>
        <v>#N/A</v>
      </c>
      <c r="G533" s="6"/>
      <c r="L533" s="6"/>
    </row>
    <row r="534" spans="1:12" x14ac:dyDescent="0.2">
      <c r="A534" s="3">
        <v>24166</v>
      </c>
      <c r="B534" s="4">
        <f>VLOOKUP($A534,'existing_gw_inflows_1921-2003'!$A$1:$AH$1129,$D$1,FALSE)</f>
        <v>100.91000000000001</v>
      </c>
      <c r="C534" s="4" t="e">
        <f>VLOOKUP($A534,'extended_recharge_2003-2015'!$A$1:$AH$265,$D$1,FALSE)</f>
        <v>#N/A</v>
      </c>
      <c r="G534" s="6"/>
      <c r="L534" s="6"/>
    </row>
    <row r="535" spans="1:12" x14ac:dyDescent="0.2">
      <c r="A535" s="3">
        <v>24197</v>
      </c>
      <c r="B535" s="4">
        <f>VLOOKUP($A535,'existing_gw_inflows_1921-2003'!$A$1:$AH$1129,$D$1,FALSE)</f>
        <v>133.67999999999998</v>
      </c>
      <c r="C535" s="4" t="e">
        <f>VLOOKUP($A535,'extended_recharge_2003-2015'!$A$1:$AH$265,$D$1,FALSE)</f>
        <v>#N/A</v>
      </c>
      <c r="G535" s="6"/>
      <c r="L535" s="6"/>
    </row>
    <row r="536" spans="1:12" x14ac:dyDescent="0.2">
      <c r="A536" s="3">
        <v>24227</v>
      </c>
      <c r="B536" s="4">
        <f>VLOOKUP($A536,'existing_gw_inflows_1921-2003'!$A$1:$AH$1129,$D$1,FALSE)</f>
        <v>149.60999999999999</v>
      </c>
      <c r="C536" s="4" t="e">
        <f>VLOOKUP($A536,'extended_recharge_2003-2015'!$A$1:$AH$265,$D$1,FALSE)</f>
        <v>#N/A</v>
      </c>
      <c r="G536" s="6"/>
      <c r="L536" s="6"/>
    </row>
    <row r="537" spans="1:12" x14ac:dyDescent="0.2">
      <c r="A537" s="3">
        <v>24258</v>
      </c>
      <c r="B537" s="4">
        <f>VLOOKUP($A537,'existing_gw_inflows_1921-2003'!$A$1:$AH$1129,$D$1,FALSE)</f>
        <v>152.96</v>
      </c>
      <c r="C537" s="4" t="e">
        <f>VLOOKUP($A537,'extended_recharge_2003-2015'!$A$1:$AH$265,$D$1,FALSE)</f>
        <v>#N/A</v>
      </c>
      <c r="G537" s="6"/>
      <c r="L537" s="6"/>
    </row>
    <row r="538" spans="1:12" x14ac:dyDescent="0.2">
      <c r="A538" s="3">
        <v>24288</v>
      </c>
      <c r="B538" s="4">
        <f>VLOOKUP($A538,'existing_gw_inflows_1921-2003'!$A$1:$AH$1129,$D$1,FALSE)</f>
        <v>399.96999999999997</v>
      </c>
      <c r="C538" s="4" t="e">
        <f>VLOOKUP($A538,'extended_recharge_2003-2015'!$A$1:$AH$265,$D$1,FALSE)</f>
        <v>#N/A</v>
      </c>
      <c r="G538" s="6"/>
      <c r="L538" s="6"/>
    </row>
    <row r="539" spans="1:12" x14ac:dyDescent="0.2">
      <c r="A539" s="3">
        <v>24319</v>
      </c>
      <c r="B539" s="4">
        <f>VLOOKUP($A539,'existing_gw_inflows_1921-2003'!$A$1:$AH$1129,$D$1,FALSE)</f>
        <v>597.84999999999991</v>
      </c>
      <c r="C539" s="4" t="e">
        <f>VLOOKUP($A539,'extended_recharge_2003-2015'!$A$1:$AH$265,$D$1,FALSE)</f>
        <v>#N/A</v>
      </c>
      <c r="G539" s="6"/>
      <c r="L539" s="6"/>
    </row>
    <row r="540" spans="1:12" x14ac:dyDescent="0.2">
      <c r="A540" s="3">
        <v>24350</v>
      </c>
      <c r="B540" s="4">
        <f>VLOOKUP($A540,'existing_gw_inflows_1921-2003'!$A$1:$AH$1129,$D$1,FALSE)</f>
        <v>524.55999999999995</v>
      </c>
      <c r="C540" s="4" t="e">
        <f>VLOOKUP($A540,'extended_recharge_2003-2015'!$A$1:$AH$265,$D$1,FALSE)</f>
        <v>#N/A</v>
      </c>
      <c r="G540" s="6"/>
      <c r="L540" s="6"/>
    </row>
    <row r="541" spans="1:12" x14ac:dyDescent="0.2">
      <c r="A541" s="3">
        <v>24380</v>
      </c>
      <c r="B541" s="4">
        <f>VLOOKUP($A541,'existing_gw_inflows_1921-2003'!$A$1:$AH$1129,$D$1,FALSE)</f>
        <v>241.45999999999998</v>
      </c>
      <c r="C541" s="4" t="e">
        <f>VLOOKUP($A541,'extended_recharge_2003-2015'!$A$1:$AH$265,$D$1,FALSE)</f>
        <v>#N/A</v>
      </c>
      <c r="G541" s="6"/>
      <c r="L541" s="6"/>
    </row>
    <row r="542" spans="1:12" x14ac:dyDescent="0.2">
      <c r="A542" s="3">
        <v>24411</v>
      </c>
      <c r="B542" s="4">
        <f>VLOOKUP($A542,'existing_gw_inflows_1921-2003'!$A$1:$AH$1129,$D$1,FALSE)</f>
        <v>197.26</v>
      </c>
      <c r="C542" s="4" t="e">
        <f>VLOOKUP($A542,'extended_recharge_2003-2015'!$A$1:$AH$265,$D$1,FALSE)</f>
        <v>#N/A</v>
      </c>
      <c r="G542" s="6"/>
      <c r="L542" s="6"/>
    </row>
    <row r="543" spans="1:12" x14ac:dyDescent="0.2">
      <c r="A543" s="3">
        <v>24441</v>
      </c>
      <c r="B543" s="4">
        <f>VLOOKUP($A543,'existing_gw_inflows_1921-2003'!$A$1:$AH$1129,$D$1,FALSE)</f>
        <v>515.49999999999989</v>
      </c>
      <c r="C543" s="4" t="e">
        <f>VLOOKUP($A543,'extended_recharge_2003-2015'!$A$1:$AH$265,$D$1,FALSE)</f>
        <v>#N/A</v>
      </c>
      <c r="G543" s="6"/>
      <c r="L543" s="6"/>
    </row>
    <row r="544" spans="1:12" x14ac:dyDescent="0.2">
      <c r="A544" s="3">
        <v>24472</v>
      </c>
      <c r="B544" s="4">
        <f>VLOOKUP($A544,'existing_gw_inflows_1921-2003'!$A$1:$AH$1129,$D$1,FALSE)</f>
        <v>1058.3299999999997</v>
      </c>
      <c r="C544" s="4" t="e">
        <f>VLOOKUP($A544,'extended_recharge_2003-2015'!$A$1:$AH$265,$D$1,FALSE)</f>
        <v>#N/A</v>
      </c>
      <c r="G544" s="6"/>
      <c r="L544" s="6"/>
    </row>
    <row r="545" spans="1:12" x14ac:dyDescent="0.2">
      <c r="A545" s="3">
        <v>24503</v>
      </c>
      <c r="B545" s="4">
        <f>VLOOKUP($A545,'existing_gw_inflows_1921-2003'!$A$1:$AH$1129,$D$1,FALSE)</f>
        <v>922.99</v>
      </c>
      <c r="C545" s="4" t="e">
        <f>VLOOKUP($A545,'extended_recharge_2003-2015'!$A$1:$AH$265,$D$1,FALSE)</f>
        <v>#N/A</v>
      </c>
      <c r="G545" s="6"/>
      <c r="L545" s="6"/>
    </row>
    <row r="546" spans="1:12" x14ac:dyDescent="0.2">
      <c r="A546" s="3">
        <v>24531</v>
      </c>
      <c r="B546" s="4">
        <f>VLOOKUP($A546,'existing_gw_inflows_1921-2003'!$A$1:$AH$1129,$D$1,FALSE)</f>
        <v>142.27000000000001</v>
      </c>
      <c r="C546" s="4" t="e">
        <f>VLOOKUP($A546,'extended_recharge_2003-2015'!$A$1:$AH$265,$D$1,FALSE)</f>
        <v>#N/A</v>
      </c>
      <c r="G546" s="6"/>
      <c r="L546" s="6"/>
    </row>
    <row r="547" spans="1:12" x14ac:dyDescent="0.2">
      <c r="A547" s="3">
        <v>24562</v>
      </c>
      <c r="B547" s="4">
        <f>VLOOKUP($A547,'existing_gw_inflows_1921-2003'!$A$1:$AH$1129,$D$1,FALSE)</f>
        <v>403.06000000000012</v>
      </c>
      <c r="C547" s="4" t="e">
        <f>VLOOKUP($A547,'extended_recharge_2003-2015'!$A$1:$AH$265,$D$1,FALSE)</f>
        <v>#N/A</v>
      </c>
      <c r="G547" s="6"/>
      <c r="L547" s="6"/>
    </row>
    <row r="548" spans="1:12" x14ac:dyDescent="0.2">
      <c r="A548" s="3">
        <v>24592</v>
      </c>
      <c r="B548" s="4">
        <f>VLOOKUP($A548,'existing_gw_inflows_1921-2003'!$A$1:$AH$1129,$D$1,FALSE)</f>
        <v>888.33</v>
      </c>
      <c r="C548" s="4" t="e">
        <f>VLOOKUP($A548,'extended_recharge_2003-2015'!$A$1:$AH$265,$D$1,FALSE)</f>
        <v>#N/A</v>
      </c>
      <c r="G548" s="6"/>
      <c r="L548" s="6"/>
    </row>
    <row r="549" spans="1:12" x14ac:dyDescent="0.2">
      <c r="A549" s="3">
        <v>24623</v>
      </c>
      <c r="B549" s="4">
        <f>VLOOKUP($A549,'existing_gw_inflows_1921-2003'!$A$1:$AH$1129,$D$1,FALSE)</f>
        <v>602.93000000000006</v>
      </c>
      <c r="C549" s="4" t="e">
        <f>VLOOKUP($A549,'extended_recharge_2003-2015'!$A$1:$AH$265,$D$1,FALSE)</f>
        <v>#N/A</v>
      </c>
      <c r="G549" s="6"/>
      <c r="L549" s="6"/>
    </row>
    <row r="550" spans="1:12" x14ac:dyDescent="0.2">
      <c r="A550" s="3">
        <v>24653</v>
      </c>
      <c r="B550" s="4">
        <f>VLOOKUP($A550,'existing_gw_inflows_1921-2003'!$A$1:$AH$1129,$D$1,FALSE)</f>
        <v>477.1</v>
      </c>
      <c r="C550" s="4" t="e">
        <f>VLOOKUP($A550,'extended_recharge_2003-2015'!$A$1:$AH$265,$D$1,FALSE)</f>
        <v>#N/A</v>
      </c>
      <c r="G550" s="6"/>
      <c r="L550" s="6"/>
    </row>
    <row r="551" spans="1:12" x14ac:dyDescent="0.2">
      <c r="A551" s="3">
        <v>24684</v>
      </c>
      <c r="B551" s="4">
        <f>VLOOKUP($A551,'existing_gw_inflows_1921-2003'!$A$1:$AH$1129,$D$1,FALSE)</f>
        <v>191.3</v>
      </c>
      <c r="C551" s="4" t="e">
        <f>VLOOKUP($A551,'extended_recharge_2003-2015'!$A$1:$AH$265,$D$1,FALSE)</f>
        <v>#N/A</v>
      </c>
      <c r="G551" s="6"/>
      <c r="L551" s="6"/>
    </row>
    <row r="552" spans="1:12" x14ac:dyDescent="0.2">
      <c r="A552" s="3">
        <v>24715</v>
      </c>
      <c r="B552" s="4">
        <f>VLOOKUP($A552,'existing_gw_inflows_1921-2003'!$A$1:$AH$1129,$D$1,FALSE)</f>
        <v>192.52</v>
      </c>
      <c r="C552" s="4" t="e">
        <f>VLOOKUP($A552,'extended_recharge_2003-2015'!$A$1:$AH$265,$D$1,FALSE)</f>
        <v>#N/A</v>
      </c>
      <c r="G552" s="6"/>
      <c r="L552" s="6"/>
    </row>
    <row r="553" spans="1:12" x14ac:dyDescent="0.2">
      <c r="A553" s="3">
        <v>24745</v>
      </c>
      <c r="B553" s="4">
        <f>VLOOKUP($A553,'existing_gw_inflows_1921-2003'!$A$1:$AH$1129,$D$1,FALSE)</f>
        <v>167.76</v>
      </c>
      <c r="C553" s="4" t="e">
        <f>VLOOKUP($A553,'extended_recharge_2003-2015'!$A$1:$AH$265,$D$1,FALSE)</f>
        <v>#N/A</v>
      </c>
      <c r="G553" s="6"/>
      <c r="L553" s="6"/>
    </row>
    <row r="554" spans="1:12" x14ac:dyDescent="0.2">
      <c r="A554" s="3">
        <v>24776</v>
      </c>
      <c r="B554" s="4">
        <f>VLOOKUP($A554,'existing_gw_inflows_1921-2003'!$A$1:$AH$1129,$D$1,FALSE)</f>
        <v>190.02999999999997</v>
      </c>
      <c r="C554" s="4" t="e">
        <f>VLOOKUP($A554,'extended_recharge_2003-2015'!$A$1:$AH$265,$D$1,FALSE)</f>
        <v>#N/A</v>
      </c>
      <c r="G554" s="6"/>
      <c r="L554" s="6"/>
    </row>
    <row r="555" spans="1:12" x14ac:dyDescent="0.2">
      <c r="A555" s="3">
        <v>24806</v>
      </c>
      <c r="B555" s="4">
        <f>VLOOKUP($A555,'existing_gw_inflows_1921-2003'!$A$1:$AH$1129,$D$1,FALSE)</f>
        <v>224.68999999999997</v>
      </c>
      <c r="C555" s="4" t="e">
        <f>VLOOKUP($A555,'extended_recharge_2003-2015'!$A$1:$AH$265,$D$1,FALSE)</f>
        <v>#N/A</v>
      </c>
      <c r="G555" s="6"/>
      <c r="L555" s="6"/>
    </row>
    <row r="556" spans="1:12" x14ac:dyDescent="0.2">
      <c r="A556" s="3">
        <v>24837</v>
      </c>
      <c r="B556" s="4">
        <f>VLOOKUP($A556,'existing_gw_inflows_1921-2003'!$A$1:$AH$1129,$D$1,FALSE)</f>
        <v>198.70000000000002</v>
      </c>
      <c r="C556" s="4" t="e">
        <f>VLOOKUP($A556,'extended_recharge_2003-2015'!$A$1:$AH$265,$D$1,FALSE)</f>
        <v>#N/A</v>
      </c>
      <c r="G556" s="6"/>
      <c r="L556" s="6"/>
    </row>
    <row r="557" spans="1:12" x14ac:dyDescent="0.2">
      <c r="A557" s="3">
        <v>24868</v>
      </c>
      <c r="B557" s="4">
        <f>VLOOKUP($A557,'existing_gw_inflows_1921-2003'!$A$1:$AH$1129,$D$1,FALSE)</f>
        <v>394.92</v>
      </c>
      <c r="C557" s="4" t="e">
        <f>VLOOKUP($A557,'extended_recharge_2003-2015'!$A$1:$AH$265,$D$1,FALSE)</f>
        <v>#N/A</v>
      </c>
      <c r="G557" s="6"/>
      <c r="L557" s="6"/>
    </row>
    <row r="558" spans="1:12" x14ac:dyDescent="0.2">
      <c r="A558" s="3">
        <v>24897</v>
      </c>
      <c r="B558" s="4">
        <f>VLOOKUP($A558,'existing_gw_inflows_1921-2003'!$A$1:$AH$1129,$D$1,FALSE)</f>
        <v>447.58</v>
      </c>
      <c r="C558" s="4" t="e">
        <f>VLOOKUP($A558,'extended_recharge_2003-2015'!$A$1:$AH$265,$D$1,FALSE)</f>
        <v>#N/A</v>
      </c>
      <c r="G558" s="6"/>
      <c r="L558" s="6"/>
    </row>
    <row r="559" spans="1:12" x14ac:dyDescent="0.2">
      <c r="A559" s="3">
        <v>24928</v>
      </c>
      <c r="B559" s="4">
        <f>VLOOKUP($A559,'existing_gw_inflows_1921-2003'!$A$1:$AH$1129,$D$1,FALSE)</f>
        <v>162.28</v>
      </c>
      <c r="C559" s="4" t="e">
        <f>VLOOKUP($A559,'extended_recharge_2003-2015'!$A$1:$AH$265,$D$1,FALSE)</f>
        <v>#N/A</v>
      </c>
      <c r="G559" s="6"/>
      <c r="L559" s="6"/>
    </row>
    <row r="560" spans="1:12" x14ac:dyDescent="0.2">
      <c r="A560" s="3">
        <v>24958</v>
      </c>
      <c r="B560" s="4">
        <f>VLOOKUP($A560,'existing_gw_inflows_1921-2003'!$A$1:$AH$1129,$D$1,FALSE)</f>
        <v>0.24000000000000199</v>
      </c>
      <c r="C560" s="4" t="e">
        <f>VLOOKUP($A560,'extended_recharge_2003-2015'!$A$1:$AH$265,$D$1,FALSE)</f>
        <v>#N/A</v>
      </c>
      <c r="G560" s="6"/>
      <c r="L560" s="6"/>
    </row>
    <row r="561" spans="1:12" x14ac:dyDescent="0.2">
      <c r="A561" s="3">
        <v>24989</v>
      </c>
      <c r="B561" s="4">
        <f>VLOOKUP($A561,'existing_gw_inflows_1921-2003'!$A$1:$AH$1129,$D$1,FALSE)</f>
        <v>139.6</v>
      </c>
      <c r="C561" s="4" t="e">
        <f>VLOOKUP($A561,'extended_recharge_2003-2015'!$A$1:$AH$265,$D$1,FALSE)</f>
        <v>#N/A</v>
      </c>
      <c r="G561" s="6"/>
      <c r="L561" s="6"/>
    </row>
    <row r="562" spans="1:12" x14ac:dyDescent="0.2">
      <c r="A562" s="3">
        <v>25019</v>
      </c>
      <c r="B562" s="4">
        <f>VLOOKUP($A562,'existing_gw_inflows_1921-2003'!$A$1:$AH$1129,$D$1,FALSE)</f>
        <v>423.27</v>
      </c>
      <c r="C562" s="4" t="e">
        <f>VLOOKUP($A562,'extended_recharge_2003-2015'!$A$1:$AH$265,$D$1,FALSE)</f>
        <v>#N/A</v>
      </c>
      <c r="G562" s="6"/>
      <c r="L562" s="6"/>
    </row>
    <row r="563" spans="1:12" x14ac:dyDescent="0.2">
      <c r="A563" s="3">
        <v>25050</v>
      </c>
      <c r="B563" s="4">
        <f>VLOOKUP($A563,'existing_gw_inflows_1921-2003'!$A$1:$AH$1129,$D$1,FALSE)</f>
        <v>596.03</v>
      </c>
      <c r="C563" s="4" t="e">
        <f>VLOOKUP($A563,'extended_recharge_2003-2015'!$A$1:$AH$265,$D$1,FALSE)</f>
        <v>#N/A</v>
      </c>
      <c r="G563" s="6"/>
      <c r="L563" s="6"/>
    </row>
    <row r="564" spans="1:12" x14ac:dyDescent="0.2">
      <c r="A564" s="3">
        <v>25081</v>
      </c>
      <c r="B564" s="4">
        <f>VLOOKUP($A564,'existing_gw_inflows_1921-2003'!$A$1:$AH$1129,$D$1,FALSE)</f>
        <v>521.18000000000006</v>
      </c>
      <c r="C564" s="4" t="e">
        <f>VLOOKUP($A564,'extended_recharge_2003-2015'!$A$1:$AH$265,$D$1,FALSE)</f>
        <v>#N/A</v>
      </c>
      <c r="G564" s="6"/>
      <c r="L564" s="6"/>
    </row>
    <row r="565" spans="1:12" x14ac:dyDescent="0.2">
      <c r="A565" s="3">
        <v>25111</v>
      </c>
      <c r="B565" s="4">
        <f>VLOOKUP($A565,'existing_gw_inflows_1921-2003'!$A$1:$AH$1129,$D$1,FALSE)</f>
        <v>269.76</v>
      </c>
      <c r="C565" s="4" t="e">
        <f>VLOOKUP($A565,'extended_recharge_2003-2015'!$A$1:$AH$265,$D$1,FALSE)</f>
        <v>#N/A</v>
      </c>
      <c r="G565" s="6"/>
      <c r="L565" s="6"/>
    </row>
    <row r="566" spans="1:12" x14ac:dyDescent="0.2">
      <c r="A566" s="3">
        <v>25142</v>
      </c>
      <c r="B566" s="4">
        <f>VLOOKUP($A566,'existing_gw_inflows_1921-2003'!$A$1:$AH$1129,$D$1,FALSE)</f>
        <v>196.45000000000002</v>
      </c>
      <c r="C566" s="4" t="e">
        <f>VLOOKUP($A566,'extended_recharge_2003-2015'!$A$1:$AH$265,$D$1,FALSE)</f>
        <v>#N/A</v>
      </c>
      <c r="G566" s="6"/>
      <c r="L566" s="6"/>
    </row>
    <row r="567" spans="1:12" x14ac:dyDescent="0.2">
      <c r="A567" s="3">
        <v>25172</v>
      </c>
      <c r="B567" s="4">
        <f>VLOOKUP($A567,'existing_gw_inflows_1921-2003'!$A$1:$AH$1129,$D$1,FALSE)</f>
        <v>285.3</v>
      </c>
      <c r="C567" s="4" t="e">
        <f>VLOOKUP($A567,'extended_recharge_2003-2015'!$A$1:$AH$265,$D$1,FALSE)</f>
        <v>#N/A</v>
      </c>
      <c r="G567" s="6"/>
      <c r="L567" s="6"/>
    </row>
    <row r="568" spans="1:12" x14ac:dyDescent="0.2">
      <c r="A568" s="3">
        <v>25203</v>
      </c>
      <c r="B568" s="4">
        <f>VLOOKUP($A568,'existing_gw_inflows_1921-2003'!$A$1:$AH$1129,$D$1,FALSE)</f>
        <v>566.34999999999991</v>
      </c>
      <c r="C568" s="4" t="e">
        <f>VLOOKUP($A568,'extended_recharge_2003-2015'!$A$1:$AH$265,$D$1,FALSE)</f>
        <v>#N/A</v>
      </c>
      <c r="G568" s="6"/>
      <c r="L568" s="6"/>
    </row>
    <row r="569" spans="1:12" x14ac:dyDescent="0.2">
      <c r="A569" s="3">
        <v>25234</v>
      </c>
      <c r="B569" s="4">
        <f>VLOOKUP($A569,'existing_gw_inflows_1921-2003'!$A$1:$AH$1129,$D$1,FALSE)</f>
        <v>2714.98</v>
      </c>
      <c r="C569" s="4" t="e">
        <f>VLOOKUP($A569,'extended_recharge_2003-2015'!$A$1:$AH$265,$D$1,FALSE)</f>
        <v>#N/A</v>
      </c>
      <c r="G569" s="6"/>
      <c r="L569" s="6"/>
    </row>
    <row r="570" spans="1:12" x14ac:dyDescent="0.2">
      <c r="A570" s="3">
        <v>25262</v>
      </c>
      <c r="B570" s="4">
        <f>VLOOKUP($A570,'existing_gw_inflows_1921-2003'!$A$1:$AH$1129,$D$1,FALSE)</f>
        <v>1890.3799999999999</v>
      </c>
      <c r="C570" s="4" t="e">
        <f>VLOOKUP($A570,'extended_recharge_2003-2015'!$A$1:$AH$265,$D$1,FALSE)</f>
        <v>#N/A</v>
      </c>
      <c r="G570" s="6"/>
      <c r="L570" s="6"/>
    </row>
    <row r="571" spans="1:12" x14ac:dyDescent="0.2">
      <c r="A571" s="3">
        <v>25293</v>
      </c>
      <c r="B571" s="4">
        <f>VLOOKUP($A571,'existing_gw_inflows_1921-2003'!$A$1:$AH$1129,$D$1,FALSE)</f>
        <v>197.67000000000002</v>
      </c>
      <c r="C571" s="4" t="e">
        <f>VLOOKUP($A571,'extended_recharge_2003-2015'!$A$1:$AH$265,$D$1,FALSE)</f>
        <v>#N/A</v>
      </c>
      <c r="G571" s="6"/>
      <c r="L571" s="6"/>
    </row>
    <row r="572" spans="1:12" x14ac:dyDescent="0.2">
      <c r="A572" s="3">
        <v>25323</v>
      </c>
      <c r="B572" s="4">
        <f>VLOOKUP($A572,'existing_gw_inflows_1921-2003'!$A$1:$AH$1129,$D$1,FALSE)</f>
        <v>585.67000000000007</v>
      </c>
      <c r="C572" s="4" t="e">
        <f>VLOOKUP($A572,'extended_recharge_2003-2015'!$A$1:$AH$265,$D$1,FALSE)</f>
        <v>#N/A</v>
      </c>
      <c r="G572" s="6"/>
      <c r="L572" s="6"/>
    </row>
    <row r="573" spans="1:12" x14ac:dyDescent="0.2">
      <c r="A573" s="3">
        <v>25354</v>
      </c>
      <c r="B573" s="4">
        <f>VLOOKUP($A573,'existing_gw_inflows_1921-2003'!$A$1:$AH$1129,$D$1,FALSE)</f>
        <v>733.69</v>
      </c>
      <c r="C573" s="4" t="e">
        <f>VLOOKUP($A573,'extended_recharge_2003-2015'!$A$1:$AH$265,$D$1,FALSE)</f>
        <v>#N/A</v>
      </c>
      <c r="G573" s="6"/>
      <c r="L573" s="6"/>
    </row>
    <row r="574" spans="1:12" x14ac:dyDescent="0.2">
      <c r="A574" s="3">
        <v>25384</v>
      </c>
      <c r="B574" s="4">
        <f>VLOOKUP($A574,'existing_gw_inflows_1921-2003'!$A$1:$AH$1129,$D$1,FALSE)</f>
        <v>805.63</v>
      </c>
      <c r="C574" s="4" t="e">
        <f>VLOOKUP($A574,'extended_recharge_2003-2015'!$A$1:$AH$265,$D$1,FALSE)</f>
        <v>#N/A</v>
      </c>
      <c r="G574" s="6"/>
      <c r="L574" s="6"/>
    </row>
    <row r="575" spans="1:12" x14ac:dyDescent="0.2">
      <c r="A575" s="3">
        <v>25415</v>
      </c>
      <c r="B575" s="4">
        <f>VLOOKUP($A575,'existing_gw_inflows_1921-2003'!$A$1:$AH$1129,$D$1,FALSE)</f>
        <v>220.49999999999997</v>
      </c>
      <c r="C575" s="4" t="e">
        <f>VLOOKUP($A575,'extended_recharge_2003-2015'!$A$1:$AH$265,$D$1,FALSE)</f>
        <v>#N/A</v>
      </c>
      <c r="G575" s="6"/>
      <c r="L575" s="6"/>
    </row>
    <row r="576" spans="1:12" x14ac:dyDescent="0.2">
      <c r="A576" s="3">
        <v>25446</v>
      </c>
      <c r="B576" s="4">
        <f>VLOOKUP($A576,'existing_gw_inflows_1921-2003'!$A$1:$AH$1129,$D$1,FALSE)</f>
        <v>382.14</v>
      </c>
      <c r="C576" s="4" t="e">
        <f>VLOOKUP($A576,'extended_recharge_2003-2015'!$A$1:$AH$265,$D$1,FALSE)</f>
        <v>#N/A</v>
      </c>
      <c r="G576" s="6"/>
      <c r="L576" s="6"/>
    </row>
    <row r="577" spans="1:12" x14ac:dyDescent="0.2">
      <c r="A577" s="3">
        <v>25476</v>
      </c>
      <c r="B577" s="4">
        <f>VLOOKUP($A577,'existing_gw_inflows_1921-2003'!$A$1:$AH$1129,$D$1,FALSE)</f>
        <v>301.28999999999996</v>
      </c>
      <c r="C577" s="4" t="e">
        <f>VLOOKUP($A577,'extended_recharge_2003-2015'!$A$1:$AH$265,$D$1,FALSE)</f>
        <v>#N/A</v>
      </c>
      <c r="G577" s="6"/>
      <c r="L577" s="6"/>
    </row>
    <row r="578" spans="1:12" x14ac:dyDescent="0.2">
      <c r="A578" s="3">
        <v>25507</v>
      </c>
      <c r="B578" s="4">
        <f>VLOOKUP($A578,'existing_gw_inflows_1921-2003'!$A$1:$AH$1129,$D$1,FALSE)</f>
        <v>254.65000000000003</v>
      </c>
      <c r="C578" s="4" t="e">
        <f>VLOOKUP($A578,'extended_recharge_2003-2015'!$A$1:$AH$265,$D$1,FALSE)</f>
        <v>#N/A</v>
      </c>
      <c r="G578" s="6"/>
      <c r="L578" s="6"/>
    </row>
    <row r="579" spans="1:12" x14ac:dyDescent="0.2">
      <c r="A579" s="3">
        <v>25537</v>
      </c>
      <c r="B579" s="4">
        <f>VLOOKUP($A579,'existing_gw_inflows_1921-2003'!$A$1:$AH$1129,$D$1,FALSE)</f>
        <v>188.61</v>
      </c>
      <c r="C579" s="4" t="e">
        <f>VLOOKUP($A579,'extended_recharge_2003-2015'!$A$1:$AH$265,$D$1,FALSE)</f>
        <v>#N/A</v>
      </c>
      <c r="G579" s="6"/>
      <c r="L579" s="6"/>
    </row>
    <row r="580" spans="1:12" x14ac:dyDescent="0.2">
      <c r="A580" s="3">
        <v>25568</v>
      </c>
      <c r="B580" s="4">
        <f>VLOOKUP($A580,'existing_gw_inflows_1921-2003'!$A$1:$AH$1129,$D$1,FALSE)</f>
        <v>760.42</v>
      </c>
      <c r="C580" s="4" t="e">
        <f>VLOOKUP($A580,'extended_recharge_2003-2015'!$A$1:$AH$265,$D$1,FALSE)</f>
        <v>#N/A</v>
      </c>
      <c r="G580" s="6"/>
      <c r="L580" s="6"/>
    </row>
    <row r="581" spans="1:12" x14ac:dyDescent="0.2">
      <c r="A581" s="3">
        <v>25599</v>
      </c>
      <c r="B581" s="4">
        <f>VLOOKUP($A581,'existing_gw_inflows_1921-2003'!$A$1:$AH$1129,$D$1,FALSE)</f>
        <v>1904.3999999999996</v>
      </c>
      <c r="C581" s="4" t="e">
        <f>VLOOKUP($A581,'extended_recharge_2003-2015'!$A$1:$AH$265,$D$1,FALSE)</f>
        <v>#N/A</v>
      </c>
      <c r="G581" s="6"/>
      <c r="L581" s="6"/>
    </row>
    <row r="582" spans="1:12" x14ac:dyDescent="0.2">
      <c r="A582" s="3">
        <v>25627</v>
      </c>
      <c r="B582" s="4">
        <f>VLOOKUP($A582,'existing_gw_inflows_1921-2003'!$A$1:$AH$1129,$D$1,FALSE)</f>
        <v>-188.10000000000002</v>
      </c>
      <c r="C582" s="4" t="e">
        <f>VLOOKUP($A582,'extended_recharge_2003-2015'!$A$1:$AH$265,$D$1,FALSE)</f>
        <v>#N/A</v>
      </c>
      <c r="G582" s="6"/>
      <c r="L582" s="6"/>
    </row>
    <row r="583" spans="1:12" x14ac:dyDescent="0.2">
      <c r="A583" s="3">
        <v>25658</v>
      </c>
      <c r="B583" s="4">
        <f>VLOOKUP($A583,'existing_gw_inflows_1921-2003'!$A$1:$AH$1129,$D$1,FALSE)</f>
        <v>-69.569999999999922</v>
      </c>
      <c r="C583" s="4" t="e">
        <f>VLOOKUP($A583,'extended_recharge_2003-2015'!$A$1:$AH$265,$D$1,FALSE)</f>
        <v>#N/A</v>
      </c>
      <c r="G583" s="6"/>
      <c r="L583" s="6"/>
    </row>
    <row r="584" spans="1:12" x14ac:dyDescent="0.2">
      <c r="A584" s="3">
        <v>25688</v>
      </c>
      <c r="B584" s="4">
        <f>VLOOKUP($A584,'existing_gw_inflows_1921-2003'!$A$1:$AH$1129,$D$1,FALSE)</f>
        <v>-226.34999999999994</v>
      </c>
      <c r="C584" s="4" t="e">
        <f>VLOOKUP($A584,'extended_recharge_2003-2015'!$A$1:$AH$265,$D$1,FALSE)</f>
        <v>#N/A</v>
      </c>
      <c r="G584" s="6"/>
      <c r="L584" s="6"/>
    </row>
    <row r="585" spans="1:12" x14ac:dyDescent="0.2">
      <c r="A585" s="3">
        <v>25719</v>
      </c>
      <c r="B585" s="4">
        <f>VLOOKUP($A585,'existing_gw_inflows_1921-2003'!$A$1:$AH$1129,$D$1,FALSE)</f>
        <v>96.84</v>
      </c>
      <c r="C585" s="4" t="e">
        <f>VLOOKUP($A585,'extended_recharge_2003-2015'!$A$1:$AH$265,$D$1,FALSE)</f>
        <v>#N/A</v>
      </c>
      <c r="G585" s="6"/>
      <c r="L585" s="6"/>
    </row>
    <row r="586" spans="1:12" x14ac:dyDescent="0.2">
      <c r="A586" s="3">
        <v>25749</v>
      </c>
      <c r="B586" s="4">
        <f>VLOOKUP($A586,'existing_gw_inflows_1921-2003'!$A$1:$AH$1129,$D$1,FALSE)</f>
        <v>404.05999999999995</v>
      </c>
      <c r="C586" s="4" t="e">
        <f>VLOOKUP($A586,'extended_recharge_2003-2015'!$A$1:$AH$265,$D$1,FALSE)</f>
        <v>#N/A</v>
      </c>
      <c r="G586" s="6"/>
      <c r="L586" s="6"/>
    </row>
    <row r="587" spans="1:12" x14ac:dyDescent="0.2">
      <c r="A587" s="3">
        <v>25780</v>
      </c>
      <c r="B587" s="4">
        <f>VLOOKUP($A587,'existing_gw_inflows_1921-2003'!$A$1:$AH$1129,$D$1,FALSE)</f>
        <v>420.84000000000003</v>
      </c>
      <c r="C587" s="4" t="e">
        <f>VLOOKUP($A587,'extended_recharge_2003-2015'!$A$1:$AH$265,$D$1,FALSE)</f>
        <v>#N/A</v>
      </c>
      <c r="G587" s="6"/>
      <c r="L587" s="6"/>
    </row>
    <row r="588" spans="1:12" x14ac:dyDescent="0.2">
      <c r="A588" s="3">
        <v>25811</v>
      </c>
      <c r="B588" s="4">
        <f>VLOOKUP($A588,'existing_gw_inflows_1921-2003'!$A$1:$AH$1129,$D$1,FALSE)</f>
        <v>419.66</v>
      </c>
      <c r="C588" s="4" t="e">
        <f>VLOOKUP($A588,'extended_recharge_2003-2015'!$A$1:$AH$265,$D$1,FALSE)</f>
        <v>#N/A</v>
      </c>
      <c r="G588" s="6"/>
      <c r="L588" s="6"/>
    </row>
    <row r="589" spans="1:12" x14ac:dyDescent="0.2">
      <c r="A589" s="3">
        <v>25841</v>
      </c>
      <c r="B589" s="4">
        <f>VLOOKUP($A589,'existing_gw_inflows_1921-2003'!$A$1:$AH$1129,$D$1,FALSE)</f>
        <v>249.18</v>
      </c>
      <c r="C589" s="4" t="e">
        <f>VLOOKUP($A589,'extended_recharge_2003-2015'!$A$1:$AH$265,$D$1,FALSE)</f>
        <v>#N/A</v>
      </c>
      <c r="G589" s="6"/>
      <c r="L589" s="6"/>
    </row>
    <row r="590" spans="1:12" x14ac:dyDescent="0.2">
      <c r="A590" s="3">
        <v>25872</v>
      </c>
      <c r="B590" s="4">
        <f>VLOOKUP($A590,'existing_gw_inflows_1921-2003'!$A$1:$AH$1129,$D$1,FALSE)</f>
        <v>201.93</v>
      </c>
      <c r="C590" s="4" t="e">
        <f>VLOOKUP($A590,'extended_recharge_2003-2015'!$A$1:$AH$265,$D$1,FALSE)</f>
        <v>#N/A</v>
      </c>
      <c r="G590" s="6"/>
      <c r="L590" s="6"/>
    </row>
    <row r="591" spans="1:12" x14ac:dyDescent="0.2">
      <c r="A591" s="3">
        <v>25902</v>
      </c>
      <c r="B591" s="4">
        <f>VLOOKUP($A591,'existing_gw_inflows_1921-2003'!$A$1:$AH$1129,$D$1,FALSE)</f>
        <v>799.39000000000021</v>
      </c>
      <c r="C591" s="4" t="e">
        <f>VLOOKUP($A591,'extended_recharge_2003-2015'!$A$1:$AH$265,$D$1,FALSE)</f>
        <v>#N/A</v>
      </c>
      <c r="G591" s="6"/>
      <c r="L591" s="6"/>
    </row>
    <row r="592" spans="1:12" x14ac:dyDescent="0.2">
      <c r="A592" s="3">
        <v>25933</v>
      </c>
      <c r="B592" s="4">
        <f>VLOOKUP($A592,'existing_gw_inflows_1921-2003'!$A$1:$AH$1129,$D$1,FALSE)</f>
        <v>834.19999999999982</v>
      </c>
      <c r="C592" s="4" t="e">
        <f>VLOOKUP($A592,'extended_recharge_2003-2015'!$A$1:$AH$265,$D$1,FALSE)</f>
        <v>#N/A</v>
      </c>
      <c r="G592" s="6"/>
      <c r="L592" s="6"/>
    </row>
    <row r="593" spans="1:12" x14ac:dyDescent="0.2">
      <c r="A593" s="3">
        <v>25964</v>
      </c>
      <c r="B593" s="4">
        <f>VLOOKUP($A593,'existing_gw_inflows_1921-2003'!$A$1:$AH$1129,$D$1,FALSE)</f>
        <v>279.47000000000003</v>
      </c>
      <c r="C593" s="4" t="e">
        <f>VLOOKUP($A593,'extended_recharge_2003-2015'!$A$1:$AH$265,$D$1,FALSE)</f>
        <v>#N/A</v>
      </c>
      <c r="G593" s="6"/>
      <c r="L593" s="6"/>
    </row>
    <row r="594" spans="1:12" x14ac:dyDescent="0.2">
      <c r="A594" s="3">
        <v>25992</v>
      </c>
      <c r="B594" s="4">
        <f>VLOOKUP($A594,'existing_gw_inflows_1921-2003'!$A$1:$AH$1129,$D$1,FALSE)</f>
        <v>-74.289999999999992</v>
      </c>
      <c r="C594" s="4" t="e">
        <f>VLOOKUP($A594,'extended_recharge_2003-2015'!$A$1:$AH$265,$D$1,FALSE)</f>
        <v>#N/A</v>
      </c>
      <c r="G594" s="6"/>
      <c r="L594" s="6"/>
    </row>
    <row r="595" spans="1:12" x14ac:dyDescent="0.2">
      <c r="A595" s="3">
        <v>26023</v>
      </c>
      <c r="B595" s="4">
        <f>VLOOKUP($A595,'existing_gw_inflows_1921-2003'!$A$1:$AH$1129,$D$1,FALSE)</f>
        <v>322.44</v>
      </c>
      <c r="C595" s="4" t="e">
        <f>VLOOKUP($A595,'extended_recharge_2003-2015'!$A$1:$AH$265,$D$1,FALSE)</f>
        <v>#N/A</v>
      </c>
      <c r="G595" s="6"/>
      <c r="L595" s="6"/>
    </row>
    <row r="596" spans="1:12" x14ac:dyDescent="0.2">
      <c r="A596" s="3">
        <v>26053</v>
      </c>
      <c r="B596" s="4">
        <f>VLOOKUP($A596,'existing_gw_inflows_1921-2003'!$A$1:$AH$1129,$D$1,FALSE)</f>
        <v>165.58</v>
      </c>
      <c r="C596" s="4" t="e">
        <f>VLOOKUP($A596,'extended_recharge_2003-2015'!$A$1:$AH$265,$D$1,FALSE)</f>
        <v>#N/A</v>
      </c>
      <c r="G596" s="6"/>
      <c r="L596" s="6"/>
    </row>
    <row r="597" spans="1:12" x14ac:dyDescent="0.2">
      <c r="A597" s="3">
        <v>26084</v>
      </c>
      <c r="B597" s="4">
        <f>VLOOKUP($A597,'existing_gw_inflows_1921-2003'!$A$1:$AH$1129,$D$1,FALSE)</f>
        <v>171.8</v>
      </c>
      <c r="C597" s="4" t="e">
        <f>VLOOKUP($A597,'extended_recharge_2003-2015'!$A$1:$AH$265,$D$1,FALSE)</f>
        <v>#N/A</v>
      </c>
      <c r="G597" s="6"/>
      <c r="L597" s="6"/>
    </row>
    <row r="598" spans="1:12" x14ac:dyDescent="0.2">
      <c r="A598" s="3">
        <v>26114</v>
      </c>
      <c r="B598" s="4">
        <f>VLOOKUP($A598,'existing_gw_inflows_1921-2003'!$A$1:$AH$1129,$D$1,FALSE)</f>
        <v>443.61</v>
      </c>
      <c r="C598" s="4" t="e">
        <f>VLOOKUP($A598,'extended_recharge_2003-2015'!$A$1:$AH$265,$D$1,FALSE)</f>
        <v>#N/A</v>
      </c>
      <c r="G598" s="6"/>
      <c r="L598" s="6"/>
    </row>
    <row r="599" spans="1:12" x14ac:dyDescent="0.2">
      <c r="A599" s="3">
        <v>26145</v>
      </c>
      <c r="B599" s="4">
        <f>VLOOKUP($A599,'existing_gw_inflows_1921-2003'!$A$1:$AH$1129,$D$1,FALSE)</f>
        <v>406.2</v>
      </c>
      <c r="C599" s="4" t="e">
        <f>VLOOKUP($A599,'extended_recharge_2003-2015'!$A$1:$AH$265,$D$1,FALSE)</f>
        <v>#N/A</v>
      </c>
      <c r="G599" s="6"/>
      <c r="L599" s="6"/>
    </row>
    <row r="600" spans="1:12" x14ac:dyDescent="0.2">
      <c r="A600" s="3">
        <v>26176</v>
      </c>
      <c r="B600" s="4">
        <f>VLOOKUP($A600,'existing_gw_inflows_1921-2003'!$A$1:$AH$1129,$D$1,FALSE)</f>
        <v>427.18</v>
      </c>
      <c r="C600" s="4" t="e">
        <f>VLOOKUP($A600,'extended_recharge_2003-2015'!$A$1:$AH$265,$D$1,FALSE)</f>
        <v>#N/A</v>
      </c>
      <c r="G600" s="6"/>
      <c r="L600" s="6"/>
    </row>
    <row r="601" spans="1:12" x14ac:dyDescent="0.2">
      <c r="A601" s="3">
        <v>26206</v>
      </c>
      <c r="B601" s="4">
        <f>VLOOKUP($A601,'existing_gw_inflows_1921-2003'!$A$1:$AH$1129,$D$1,FALSE)</f>
        <v>254.59999999999997</v>
      </c>
      <c r="C601" s="4" t="e">
        <f>VLOOKUP($A601,'extended_recharge_2003-2015'!$A$1:$AH$265,$D$1,FALSE)</f>
        <v>#N/A</v>
      </c>
      <c r="G601" s="6"/>
      <c r="L601" s="6"/>
    </row>
    <row r="602" spans="1:12" x14ac:dyDescent="0.2">
      <c r="A602" s="3">
        <v>26237</v>
      </c>
      <c r="B602" s="4">
        <f>VLOOKUP($A602,'existing_gw_inflows_1921-2003'!$A$1:$AH$1129,$D$1,FALSE)</f>
        <v>163.46999999999997</v>
      </c>
      <c r="C602" s="4" t="e">
        <f>VLOOKUP($A602,'extended_recharge_2003-2015'!$A$1:$AH$265,$D$1,FALSE)</f>
        <v>#N/A</v>
      </c>
      <c r="G602" s="6"/>
      <c r="L602" s="6"/>
    </row>
    <row r="603" spans="1:12" x14ac:dyDescent="0.2">
      <c r="A603" s="3">
        <v>26267</v>
      </c>
      <c r="B603" s="4">
        <f>VLOOKUP($A603,'existing_gw_inflows_1921-2003'!$A$1:$AH$1129,$D$1,FALSE)</f>
        <v>174.79</v>
      </c>
      <c r="C603" s="4" t="e">
        <f>VLOOKUP($A603,'extended_recharge_2003-2015'!$A$1:$AH$265,$D$1,FALSE)</f>
        <v>#N/A</v>
      </c>
      <c r="G603" s="6"/>
      <c r="L603" s="6"/>
    </row>
    <row r="604" spans="1:12" x14ac:dyDescent="0.2">
      <c r="A604" s="3">
        <v>26298</v>
      </c>
      <c r="B604" s="4">
        <f>VLOOKUP($A604,'existing_gw_inflows_1921-2003'!$A$1:$AH$1129,$D$1,FALSE)</f>
        <v>530.99</v>
      </c>
      <c r="C604" s="4" t="e">
        <f>VLOOKUP($A604,'extended_recharge_2003-2015'!$A$1:$AH$265,$D$1,FALSE)</f>
        <v>#N/A</v>
      </c>
      <c r="G604" s="6"/>
      <c r="L604" s="6"/>
    </row>
    <row r="605" spans="1:12" x14ac:dyDescent="0.2">
      <c r="A605" s="3">
        <v>26329</v>
      </c>
      <c r="B605" s="4">
        <f>VLOOKUP($A605,'existing_gw_inflows_1921-2003'!$A$1:$AH$1129,$D$1,FALSE)</f>
        <v>116.25</v>
      </c>
      <c r="C605" s="4" t="e">
        <f>VLOOKUP($A605,'extended_recharge_2003-2015'!$A$1:$AH$265,$D$1,FALSE)</f>
        <v>#N/A</v>
      </c>
      <c r="G605" s="6"/>
      <c r="L605" s="6"/>
    </row>
    <row r="606" spans="1:12" x14ac:dyDescent="0.2">
      <c r="A606" s="3">
        <v>26358</v>
      </c>
      <c r="B606" s="4">
        <f>VLOOKUP($A606,'existing_gw_inflows_1921-2003'!$A$1:$AH$1129,$D$1,FALSE)</f>
        <v>173.60999999999999</v>
      </c>
      <c r="C606" s="4" t="e">
        <f>VLOOKUP($A606,'extended_recharge_2003-2015'!$A$1:$AH$265,$D$1,FALSE)</f>
        <v>#N/A</v>
      </c>
      <c r="G606" s="6"/>
      <c r="L606" s="6"/>
    </row>
    <row r="607" spans="1:12" x14ac:dyDescent="0.2">
      <c r="A607" s="3">
        <v>26389</v>
      </c>
      <c r="B607" s="4">
        <f>VLOOKUP($A607,'existing_gw_inflows_1921-2003'!$A$1:$AH$1129,$D$1,FALSE)</f>
        <v>317.99</v>
      </c>
      <c r="C607" s="4" t="e">
        <f>VLOOKUP($A607,'extended_recharge_2003-2015'!$A$1:$AH$265,$D$1,FALSE)</f>
        <v>#N/A</v>
      </c>
      <c r="G607" s="6"/>
      <c r="L607" s="6"/>
    </row>
    <row r="608" spans="1:12" x14ac:dyDescent="0.2">
      <c r="A608" s="3">
        <v>26419</v>
      </c>
      <c r="B608" s="4">
        <f>VLOOKUP($A608,'existing_gw_inflows_1921-2003'!$A$1:$AH$1129,$D$1,FALSE)</f>
        <v>142.80000000000001</v>
      </c>
      <c r="C608" s="4" t="e">
        <f>VLOOKUP($A608,'extended_recharge_2003-2015'!$A$1:$AH$265,$D$1,FALSE)</f>
        <v>#N/A</v>
      </c>
      <c r="G608" s="6"/>
      <c r="L608" s="6"/>
    </row>
    <row r="609" spans="1:12" x14ac:dyDescent="0.2">
      <c r="A609" s="3">
        <v>26450</v>
      </c>
      <c r="B609" s="4">
        <f>VLOOKUP($A609,'existing_gw_inflows_1921-2003'!$A$1:$AH$1129,$D$1,FALSE)</f>
        <v>218.79</v>
      </c>
      <c r="C609" s="4" t="e">
        <f>VLOOKUP($A609,'extended_recharge_2003-2015'!$A$1:$AH$265,$D$1,FALSE)</f>
        <v>#N/A</v>
      </c>
      <c r="G609" s="6"/>
      <c r="L609" s="6"/>
    </row>
    <row r="610" spans="1:12" x14ac:dyDescent="0.2">
      <c r="A610" s="3">
        <v>26480</v>
      </c>
      <c r="B610" s="4">
        <f>VLOOKUP($A610,'existing_gw_inflows_1921-2003'!$A$1:$AH$1129,$D$1,FALSE)</f>
        <v>511.11</v>
      </c>
      <c r="C610" s="4" t="e">
        <f>VLOOKUP($A610,'extended_recharge_2003-2015'!$A$1:$AH$265,$D$1,FALSE)</f>
        <v>#N/A</v>
      </c>
      <c r="G610" s="6"/>
      <c r="L610" s="6"/>
    </row>
    <row r="611" spans="1:12" x14ac:dyDescent="0.2">
      <c r="A611" s="3">
        <v>26511</v>
      </c>
      <c r="B611" s="4">
        <f>VLOOKUP($A611,'existing_gw_inflows_1921-2003'!$A$1:$AH$1129,$D$1,FALSE)</f>
        <v>563.65</v>
      </c>
      <c r="C611" s="4" t="e">
        <f>VLOOKUP($A611,'extended_recharge_2003-2015'!$A$1:$AH$265,$D$1,FALSE)</f>
        <v>#N/A</v>
      </c>
      <c r="G611" s="6"/>
      <c r="L611" s="6"/>
    </row>
    <row r="612" spans="1:12" x14ac:dyDescent="0.2">
      <c r="A612" s="3">
        <v>26542</v>
      </c>
      <c r="B612" s="4">
        <f>VLOOKUP($A612,'existing_gw_inflows_1921-2003'!$A$1:$AH$1129,$D$1,FALSE)</f>
        <v>477.74000000000007</v>
      </c>
      <c r="C612" s="4" t="e">
        <f>VLOOKUP($A612,'extended_recharge_2003-2015'!$A$1:$AH$265,$D$1,FALSE)</f>
        <v>#N/A</v>
      </c>
      <c r="G612" s="6"/>
      <c r="L612" s="6"/>
    </row>
    <row r="613" spans="1:12" x14ac:dyDescent="0.2">
      <c r="A613" s="3">
        <v>26572</v>
      </c>
      <c r="B613" s="4">
        <f>VLOOKUP($A613,'existing_gw_inflows_1921-2003'!$A$1:$AH$1129,$D$1,FALSE)</f>
        <v>260.58</v>
      </c>
      <c r="C613" s="4" t="e">
        <f>VLOOKUP($A613,'extended_recharge_2003-2015'!$A$1:$AH$265,$D$1,FALSE)</f>
        <v>#N/A</v>
      </c>
      <c r="G613" s="6"/>
      <c r="L613" s="6"/>
    </row>
    <row r="614" spans="1:12" x14ac:dyDescent="0.2">
      <c r="A614" s="3">
        <v>26603</v>
      </c>
      <c r="B614" s="4">
        <f>VLOOKUP($A614,'existing_gw_inflows_1921-2003'!$A$1:$AH$1129,$D$1,FALSE)</f>
        <v>231.59999999999994</v>
      </c>
      <c r="C614" s="4" t="e">
        <f>VLOOKUP($A614,'extended_recharge_2003-2015'!$A$1:$AH$265,$D$1,FALSE)</f>
        <v>#N/A</v>
      </c>
      <c r="G614" s="6"/>
      <c r="L614" s="6"/>
    </row>
    <row r="615" spans="1:12" x14ac:dyDescent="0.2">
      <c r="A615" s="3">
        <v>26633</v>
      </c>
      <c r="B615" s="4">
        <f>VLOOKUP($A615,'existing_gw_inflows_1921-2003'!$A$1:$AH$1129,$D$1,FALSE)</f>
        <v>698.41999999999985</v>
      </c>
      <c r="C615" s="4" t="e">
        <f>VLOOKUP($A615,'extended_recharge_2003-2015'!$A$1:$AH$265,$D$1,FALSE)</f>
        <v>#N/A</v>
      </c>
      <c r="G615" s="6"/>
      <c r="L615" s="6"/>
    </row>
    <row r="616" spans="1:12" x14ac:dyDescent="0.2">
      <c r="A616" s="3">
        <v>26664</v>
      </c>
      <c r="B616" s="4">
        <f>VLOOKUP($A616,'existing_gw_inflows_1921-2003'!$A$1:$AH$1129,$D$1,FALSE)</f>
        <v>249.82000000000008</v>
      </c>
      <c r="C616" s="4" t="e">
        <f>VLOOKUP($A616,'extended_recharge_2003-2015'!$A$1:$AH$265,$D$1,FALSE)</f>
        <v>#N/A</v>
      </c>
      <c r="G616" s="6"/>
      <c r="L616" s="6"/>
    </row>
    <row r="617" spans="1:12" x14ac:dyDescent="0.2">
      <c r="A617" s="3">
        <v>26695</v>
      </c>
      <c r="B617" s="4">
        <f>VLOOKUP($A617,'existing_gw_inflows_1921-2003'!$A$1:$AH$1129,$D$1,FALSE)</f>
        <v>1477.4699999999998</v>
      </c>
      <c r="C617" s="4" t="e">
        <f>VLOOKUP($A617,'extended_recharge_2003-2015'!$A$1:$AH$265,$D$1,FALSE)</f>
        <v>#N/A</v>
      </c>
      <c r="G617" s="6"/>
      <c r="L617" s="6"/>
    </row>
    <row r="618" spans="1:12" x14ac:dyDescent="0.2">
      <c r="A618" s="3">
        <v>26723</v>
      </c>
      <c r="B618" s="4">
        <f>VLOOKUP($A618,'existing_gw_inflows_1921-2003'!$A$1:$AH$1129,$D$1,FALSE)</f>
        <v>958.4</v>
      </c>
      <c r="C618" s="4" t="e">
        <f>VLOOKUP($A618,'extended_recharge_2003-2015'!$A$1:$AH$265,$D$1,FALSE)</f>
        <v>#N/A</v>
      </c>
      <c r="G618" s="6"/>
      <c r="L618" s="6"/>
    </row>
    <row r="619" spans="1:12" x14ac:dyDescent="0.2">
      <c r="A619" s="3">
        <v>26754</v>
      </c>
      <c r="B619" s="4">
        <f>VLOOKUP($A619,'existing_gw_inflows_1921-2003'!$A$1:$AH$1129,$D$1,FALSE)</f>
        <v>337.12</v>
      </c>
      <c r="C619" s="4" t="e">
        <f>VLOOKUP($A619,'extended_recharge_2003-2015'!$A$1:$AH$265,$D$1,FALSE)</f>
        <v>#N/A</v>
      </c>
      <c r="G619" s="6"/>
      <c r="L619" s="6"/>
    </row>
    <row r="620" spans="1:12" x14ac:dyDescent="0.2">
      <c r="A620" s="3">
        <v>26784</v>
      </c>
      <c r="B620" s="4">
        <f>VLOOKUP($A620,'existing_gw_inflows_1921-2003'!$A$1:$AH$1129,$D$1,FALSE)</f>
        <v>-2.259999999999998</v>
      </c>
      <c r="C620" s="4" t="e">
        <f>VLOOKUP($A620,'extended_recharge_2003-2015'!$A$1:$AH$265,$D$1,FALSE)</f>
        <v>#N/A</v>
      </c>
      <c r="G620" s="6"/>
      <c r="L620" s="6"/>
    </row>
    <row r="621" spans="1:12" x14ac:dyDescent="0.2">
      <c r="A621" s="3">
        <v>26815</v>
      </c>
      <c r="B621" s="4">
        <f>VLOOKUP($A621,'existing_gw_inflows_1921-2003'!$A$1:$AH$1129,$D$1,FALSE)</f>
        <v>161.59</v>
      </c>
      <c r="C621" s="4" t="e">
        <f>VLOOKUP($A621,'extended_recharge_2003-2015'!$A$1:$AH$265,$D$1,FALSE)</f>
        <v>#N/A</v>
      </c>
      <c r="G621" s="6"/>
      <c r="L621" s="6"/>
    </row>
    <row r="622" spans="1:12" x14ac:dyDescent="0.2">
      <c r="A622" s="3">
        <v>26845</v>
      </c>
      <c r="B622" s="4">
        <f>VLOOKUP($A622,'existing_gw_inflows_1921-2003'!$A$1:$AH$1129,$D$1,FALSE)</f>
        <v>402.56</v>
      </c>
      <c r="C622" s="4" t="e">
        <f>VLOOKUP($A622,'extended_recharge_2003-2015'!$A$1:$AH$265,$D$1,FALSE)</f>
        <v>#N/A</v>
      </c>
      <c r="G622" s="6"/>
      <c r="L622" s="6"/>
    </row>
    <row r="623" spans="1:12" x14ac:dyDescent="0.2">
      <c r="A623" s="3">
        <v>26876</v>
      </c>
      <c r="B623" s="4">
        <f>VLOOKUP($A623,'existing_gw_inflows_1921-2003'!$A$1:$AH$1129,$D$1,FALSE)</f>
        <v>504.41</v>
      </c>
      <c r="C623" s="4" t="e">
        <f>VLOOKUP($A623,'extended_recharge_2003-2015'!$A$1:$AH$265,$D$1,FALSE)</f>
        <v>#N/A</v>
      </c>
      <c r="G623" s="6"/>
      <c r="L623" s="6"/>
    </row>
    <row r="624" spans="1:12" x14ac:dyDescent="0.2">
      <c r="A624" s="3">
        <v>26907</v>
      </c>
      <c r="B624" s="4">
        <f>VLOOKUP($A624,'existing_gw_inflows_1921-2003'!$A$1:$AH$1129,$D$1,FALSE)</f>
        <v>459.78000000000009</v>
      </c>
      <c r="C624" s="4" t="e">
        <f>VLOOKUP($A624,'extended_recharge_2003-2015'!$A$1:$AH$265,$D$1,FALSE)</f>
        <v>#N/A</v>
      </c>
      <c r="G624" s="6"/>
      <c r="L624" s="6"/>
    </row>
    <row r="625" spans="1:12" x14ac:dyDescent="0.2">
      <c r="A625" s="3">
        <v>26937</v>
      </c>
      <c r="B625" s="4">
        <f>VLOOKUP($A625,'existing_gw_inflows_1921-2003'!$A$1:$AH$1129,$D$1,FALSE)</f>
        <v>283.09999999999997</v>
      </c>
      <c r="C625" s="4" t="e">
        <f>VLOOKUP($A625,'extended_recharge_2003-2015'!$A$1:$AH$265,$D$1,FALSE)</f>
        <v>#N/A</v>
      </c>
      <c r="G625" s="6"/>
      <c r="L625" s="6"/>
    </row>
    <row r="626" spans="1:12" x14ac:dyDescent="0.2">
      <c r="A626" s="3">
        <v>26968</v>
      </c>
      <c r="B626" s="4">
        <f>VLOOKUP($A626,'existing_gw_inflows_1921-2003'!$A$1:$AH$1129,$D$1,FALSE)</f>
        <v>289.39999999999998</v>
      </c>
      <c r="C626" s="4" t="e">
        <f>VLOOKUP($A626,'extended_recharge_2003-2015'!$A$1:$AH$265,$D$1,FALSE)</f>
        <v>#N/A</v>
      </c>
      <c r="G626" s="6"/>
      <c r="L626" s="6"/>
    </row>
    <row r="627" spans="1:12" x14ac:dyDescent="0.2">
      <c r="A627" s="3">
        <v>26998</v>
      </c>
      <c r="B627" s="4">
        <f>VLOOKUP($A627,'existing_gw_inflows_1921-2003'!$A$1:$AH$1129,$D$1,FALSE)</f>
        <v>977.40999999999985</v>
      </c>
      <c r="C627" s="4" t="e">
        <f>VLOOKUP($A627,'extended_recharge_2003-2015'!$A$1:$AH$265,$D$1,FALSE)</f>
        <v>#N/A</v>
      </c>
      <c r="G627" s="6"/>
      <c r="L627" s="6"/>
    </row>
    <row r="628" spans="1:12" x14ac:dyDescent="0.2">
      <c r="A628" s="3">
        <v>27029</v>
      </c>
      <c r="B628" s="4">
        <f>VLOOKUP($A628,'existing_gw_inflows_1921-2003'!$A$1:$AH$1129,$D$1,FALSE)</f>
        <v>681.86000000000013</v>
      </c>
      <c r="C628" s="4" t="e">
        <f>VLOOKUP($A628,'extended_recharge_2003-2015'!$A$1:$AH$265,$D$1,FALSE)</f>
        <v>#N/A</v>
      </c>
      <c r="G628" s="6"/>
      <c r="L628" s="6"/>
    </row>
    <row r="629" spans="1:12" x14ac:dyDescent="0.2">
      <c r="A629" s="3">
        <v>27060</v>
      </c>
      <c r="B629" s="4">
        <f>VLOOKUP($A629,'existing_gw_inflows_1921-2003'!$A$1:$AH$1129,$D$1,FALSE)</f>
        <v>1157.3200000000002</v>
      </c>
      <c r="C629" s="4" t="e">
        <f>VLOOKUP($A629,'extended_recharge_2003-2015'!$A$1:$AH$265,$D$1,FALSE)</f>
        <v>#N/A</v>
      </c>
      <c r="G629" s="6"/>
      <c r="L629" s="6"/>
    </row>
    <row r="630" spans="1:12" x14ac:dyDescent="0.2">
      <c r="A630" s="3">
        <v>27088</v>
      </c>
      <c r="B630" s="4">
        <f>VLOOKUP($A630,'existing_gw_inflows_1921-2003'!$A$1:$AH$1129,$D$1,FALSE)</f>
        <v>-259.13</v>
      </c>
      <c r="C630" s="4" t="e">
        <f>VLOOKUP($A630,'extended_recharge_2003-2015'!$A$1:$AH$265,$D$1,FALSE)</f>
        <v>#N/A</v>
      </c>
      <c r="G630" s="6"/>
      <c r="L630" s="6"/>
    </row>
    <row r="631" spans="1:12" x14ac:dyDescent="0.2">
      <c r="A631" s="3">
        <v>27119</v>
      </c>
      <c r="B631" s="4">
        <f>VLOOKUP($A631,'existing_gw_inflows_1921-2003'!$A$1:$AH$1129,$D$1,FALSE)</f>
        <v>790.79</v>
      </c>
      <c r="C631" s="4" t="e">
        <f>VLOOKUP($A631,'extended_recharge_2003-2015'!$A$1:$AH$265,$D$1,FALSE)</f>
        <v>#N/A</v>
      </c>
      <c r="G631" s="6"/>
      <c r="L631" s="6"/>
    </row>
    <row r="632" spans="1:12" x14ac:dyDescent="0.2">
      <c r="A632" s="3">
        <v>27149</v>
      </c>
      <c r="B632" s="4">
        <f>VLOOKUP($A632,'existing_gw_inflows_1921-2003'!$A$1:$AH$1129,$D$1,FALSE)</f>
        <v>293.77999999999997</v>
      </c>
      <c r="C632" s="4" t="e">
        <f>VLOOKUP($A632,'extended_recharge_2003-2015'!$A$1:$AH$265,$D$1,FALSE)</f>
        <v>#N/A</v>
      </c>
      <c r="G632" s="6"/>
      <c r="L632" s="6"/>
    </row>
    <row r="633" spans="1:12" x14ac:dyDescent="0.2">
      <c r="A633" s="3">
        <v>27180</v>
      </c>
      <c r="B633" s="4">
        <f>VLOOKUP($A633,'existing_gw_inflows_1921-2003'!$A$1:$AH$1129,$D$1,FALSE)</f>
        <v>-93.620000000000033</v>
      </c>
      <c r="C633" s="4" t="e">
        <f>VLOOKUP($A633,'extended_recharge_2003-2015'!$A$1:$AH$265,$D$1,FALSE)</f>
        <v>#N/A</v>
      </c>
      <c r="G633" s="6"/>
      <c r="L633" s="6"/>
    </row>
    <row r="634" spans="1:12" x14ac:dyDescent="0.2">
      <c r="A634" s="3">
        <v>27210</v>
      </c>
      <c r="B634" s="4">
        <f>VLOOKUP($A634,'existing_gw_inflows_1921-2003'!$A$1:$AH$1129,$D$1,FALSE)</f>
        <v>322.07000000000005</v>
      </c>
      <c r="C634" s="4" t="e">
        <f>VLOOKUP($A634,'extended_recharge_2003-2015'!$A$1:$AH$265,$D$1,FALSE)</f>
        <v>#N/A</v>
      </c>
      <c r="G634" s="6"/>
      <c r="L634" s="6"/>
    </row>
    <row r="635" spans="1:12" x14ac:dyDescent="0.2">
      <c r="A635" s="3">
        <v>27241</v>
      </c>
      <c r="B635" s="4">
        <f>VLOOKUP($A635,'existing_gw_inflows_1921-2003'!$A$1:$AH$1129,$D$1,FALSE)</f>
        <v>427.83</v>
      </c>
      <c r="C635" s="4" t="e">
        <f>VLOOKUP($A635,'extended_recharge_2003-2015'!$A$1:$AH$265,$D$1,FALSE)</f>
        <v>#N/A</v>
      </c>
      <c r="G635" s="6"/>
      <c r="L635" s="6"/>
    </row>
    <row r="636" spans="1:12" x14ac:dyDescent="0.2">
      <c r="A636" s="3">
        <v>27272</v>
      </c>
      <c r="B636" s="4">
        <f>VLOOKUP($A636,'existing_gw_inflows_1921-2003'!$A$1:$AH$1129,$D$1,FALSE)</f>
        <v>424.48</v>
      </c>
      <c r="C636" s="4" t="e">
        <f>VLOOKUP($A636,'extended_recharge_2003-2015'!$A$1:$AH$265,$D$1,FALSE)</f>
        <v>#N/A</v>
      </c>
      <c r="G636" s="6"/>
      <c r="L636" s="6"/>
    </row>
    <row r="637" spans="1:12" x14ac:dyDescent="0.2">
      <c r="A637" s="3">
        <v>27302</v>
      </c>
      <c r="B637" s="4">
        <f>VLOOKUP($A637,'existing_gw_inflows_1921-2003'!$A$1:$AH$1129,$D$1,FALSE)</f>
        <v>287.12000000000006</v>
      </c>
      <c r="C637" s="4" t="e">
        <f>VLOOKUP($A637,'extended_recharge_2003-2015'!$A$1:$AH$265,$D$1,FALSE)</f>
        <v>#N/A</v>
      </c>
      <c r="G637" s="6"/>
      <c r="L637" s="6"/>
    </row>
    <row r="638" spans="1:12" x14ac:dyDescent="0.2">
      <c r="A638" s="3">
        <v>27333</v>
      </c>
      <c r="B638" s="4">
        <f>VLOOKUP($A638,'existing_gw_inflows_1921-2003'!$A$1:$AH$1129,$D$1,FALSE)</f>
        <v>221.04</v>
      </c>
      <c r="C638" s="4" t="e">
        <f>VLOOKUP($A638,'extended_recharge_2003-2015'!$A$1:$AH$265,$D$1,FALSE)</f>
        <v>#N/A</v>
      </c>
      <c r="G638" s="6"/>
      <c r="L638" s="6"/>
    </row>
    <row r="639" spans="1:12" x14ac:dyDescent="0.2">
      <c r="A639" s="3">
        <v>27363</v>
      </c>
      <c r="B639" s="4">
        <f>VLOOKUP($A639,'existing_gw_inflows_1921-2003'!$A$1:$AH$1129,$D$1,FALSE)</f>
        <v>194.99</v>
      </c>
      <c r="C639" s="4" t="e">
        <f>VLOOKUP($A639,'extended_recharge_2003-2015'!$A$1:$AH$265,$D$1,FALSE)</f>
        <v>#N/A</v>
      </c>
      <c r="G639" s="6"/>
      <c r="L639" s="6"/>
    </row>
    <row r="640" spans="1:12" x14ac:dyDescent="0.2">
      <c r="A640" s="3">
        <v>27394</v>
      </c>
      <c r="B640" s="4">
        <f>VLOOKUP($A640,'existing_gw_inflows_1921-2003'!$A$1:$AH$1129,$D$1,FALSE)</f>
        <v>378.62</v>
      </c>
      <c r="C640" s="4" t="e">
        <f>VLOOKUP($A640,'extended_recharge_2003-2015'!$A$1:$AH$265,$D$1,FALSE)</f>
        <v>#N/A</v>
      </c>
      <c r="G640" s="6"/>
      <c r="L640" s="6"/>
    </row>
    <row r="641" spans="1:12" x14ac:dyDescent="0.2">
      <c r="A641" s="3">
        <v>27425</v>
      </c>
      <c r="B641" s="4">
        <f>VLOOKUP($A641,'existing_gw_inflows_1921-2003'!$A$1:$AH$1129,$D$1,FALSE)</f>
        <v>118.11000000000001</v>
      </c>
      <c r="C641" s="4" t="e">
        <f>VLOOKUP($A641,'extended_recharge_2003-2015'!$A$1:$AH$265,$D$1,FALSE)</f>
        <v>#N/A</v>
      </c>
      <c r="G641" s="6"/>
      <c r="L641" s="6"/>
    </row>
    <row r="642" spans="1:12" x14ac:dyDescent="0.2">
      <c r="A642" s="3">
        <v>27453</v>
      </c>
      <c r="B642" s="4">
        <f>VLOOKUP($A642,'existing_gw_inflows_1921-2003'!$A$1:$AH$1129,$D$1,FALSE)</f>
        <v>803.49</v>
      </c>
      <c r="C642" s="4" t="e">
        <f>VLOOKUP($A642,'extended_recharge_2003-2015'!$A$1:$AH$265,$D$1,FALSE)</f>
        <v>#N/A</v>
      </c>
      <c r="G642" s="6"/>
      <c r="L642" s="6"/>
    </row>
    <row r="643" spans="1:12" x14ac:dyDescent="0.2">
      <c r="A643" s="3">
        <v>27484</v>
      </c>
      <c r="B643" s="4">
        <f>VLOOKUP($A643,'existing_gw_inflows_1921-2003'!$A$1:$AH$1129,$D$1,FALSE)</f>
        <v>784.01999999999987</v>
      </c>
      <c r="C643" s="4" t="e">
        <f>VLOOKUP($A643,'extended_recharge_2003-2015'!$A$1:$AH$265,$D$1,FALSE)</f>
        <v>#N/A</v>
      </c>
      <c r="G643" s="6"/>
      <c r="L643" s="6"/>
    </row>
    <row r="644" spans="1:12" x14ac:dyDescent="0.2">
      <c r="A644" s="3">
        <v>27514</v>
      </c>
      <c r="B644" s="4">
        <f>VLOOKUP($A644,'existing_gw_inflows_1921-2003'!$A$1:$AH$1129,$D$1,FALSE)</f>
        <v>-64.240000000000009</v>
      </c>
      <c r="C644" s="4" t="e">
        <f>VLOOKUP($A644,'extended_recharge_2003-2015'!$A$1:$AH$265,$D$1,FALSE)</f>
        <v>#N/A</v>
      </c>
      <c r="G644" s="6"/>
      <c r="L644" s="6"/>
    </row>
    <row r="645" spans="1:12" x14ac:dyDescent="0.2">
      <c r="A645" s="3">
        <v>27545</v>
      </c>
      <c r="B645" s="4">
        <f>VLOOKUP($A645,'existing_gw_inflows_1921-2003'!$A$1:$AH$1129,$D$1,FALSE)</f>
        <v>244.80999999999997</v>
      </c>
      <c r="C645" s="4" t="e">
        <f>VLOOKUP($A645,'extended_recharge_2003-2015'!$A$1:$AH$265,$D$1,FALSE)</f>
        <v>#N/A</v>
      </c>
      <c r="G645" s="6"/>
      <c r="L645" s="6"/>
    </row>
    <row r="646" spans="1:12" x14ac:dyDescent="0.2">
      <c r="A646" s="3">
        <v>27575</v>
      </c>
      <c r="B646" s="4">
        <f>VLOOKUP($A646,'existing_gw_inflows_1921-2003'!$A$1:$AH$1129,$D$1,FALSE)</f>
        <v>426.23</v>
      </c>
      <c r="C646" s="4" t="e">
        <f>VLOOKUP($A646,'extended_recharge_2003-2015'!$A$1:$AH$265,$D$1,FALSE)</f>
        <v>#N/A</v>
      </c>
      <c r="G646" s="6"/>
      <c r="L646" s="6"/>
    </row>
    <row r="647" spans="1:12" x14ac:dyDescent="0.2">
      <c r="A647" s="3">
        <v>27606</v>
      </c>
      <c r="B647" s="4">
        <f>VLOOKUP($A647,'existing_gw_inflows_1921-2003'!$A$1:$AH$1129,$D$1,FALSE)</f>
        <v>370.73</v>
      </c>
      <c r="C647" s="4" t="e">
        <f>VLOOKUP($A647,'extended_recharge_2003-2015'!$A$1:$AH$265,$D$1,FALSE)</f>
        <v>#N/A</v>
      </c>
      <c r="G647" s="6"/>
      <c r="L647" s="6"/>
    </row>
    <row r="648" spans="1:12" x14ac:dyDescent="0.2">
      <c r="A648" s="3">
        <v>27637</v>
      </c>
      <c r="B648" s="4">
        <f>VLOOKUP($A648,'existing_gw_inflows_1921-2003'!$A$1:$AH$1129,$D$1,FALSE)</f>
        <v>431.90999999999997</v>
      </c>
      <c r="C648" s="4" t="e">
        <f>VLOOKUP($A648,'extended_recharge_2003-2015'!$A$1:$AH$265,$D$1,FALSE)</f>
        <v>#N/A</v>
      </c>
      <c r="G648" s="6"/>
      <c r="L648" s="6"/>
    </row>
    <row r="649" spans="1:12" x14ac:dyDescent="0.2">
      <c r="A649" s="3">
        <v>27667</v>
      </c>
      <c r="B649" s="4">
        <f>VLOOKUP($A649,'existing_gw_inflows_1921-2003'!$A$1:$AH$1129,$D$1,FALSE)</f>
        <v>277.71999999999997</v>
      </c>
      <c r="C649" s="4" t="e">
        <f>VLOOKUP($A649,'extended_recharge_2003-2015'!$A$1:$AH$265,$D$1,FALSE)</f>
        <v>#N/A</v>
      </c>
      <c r="G649" s="6"/>
      <c r="L649" s="6"/>
    </row>
    <row r="650" spans="1:12" x14ac:dyDescent="0.2">
      <c r="A650" s="3">
        <v>27698</v>
      </c>
      <c r="B650" s="4">
        <f>VLOOKUP($A650,'existing_gw_inflows_1921-2003'!$A$1:$AH$1129,$D$1,FALSE)</f>
        <v>303</v>
      </c>
      <c r="C650" s="4" t="e">
        <f>VLOOKUP($A650,'extended_recharge_2003-2015'!$A$1:$AH$265,$D$1,FALSE)</f>
        <v>#N/A</v>
      </c>
      <c r="G650" s="6"/>
      <c r="L650" s="6"/>
    </row>
    <row r="651" spans="1:12" x14ac:dyDescent="0.2">
      <c r="A651" s="3">
        <v>27728</v>
      </c>
      <c r="B651" s="4">
        <f>VLOOKUP($A651,'existing_gw_inflows_1921-2003'!$A$1:$AH$1129,$D$1,FALSE)</f>
        <v>184.22999999999996</v>
      </c>
      <c r="C651" s="4" t="e">
        <f>VLOOKUP($A651,'extended_recharge_2003-2015'!$A$1:$AH$265,$D$1,FALSE)</f>
        <v>#N/A</v>
      </c>
      <c r="G651" s="6"/>
      <c r="L651" s="6"/>
    </row>
    <row r="652" spans="1:12" x14ac:dyDescent="0.2">
      <c r="A652" s="3">
        <v>27759</v>
      </c>
      <c r="B652" s="4">
        <f>VLOOKUP($A652,'existing_gw_inflows_1921-2003'!$A$1:$AH$1129,$D$1,FALSE)</f>
        <v>208.85</v>
      </c>
      <c r="C652" s="4" t="e">
        <f>VLOOKUP($A652,'extended_recharge_2003-2015'!$A$1:$AH$265,$D$1,FALSE)</f>
        <v>#N/A</v>
      </c>
      <c r="G652" s="6"/>
      <c r="L652" s="6"/>
    </row>
    <row r="653" spans="1:12" x14ac:dyDescent="0.2">
      <c r="A653" s="3">
        <v>27790</v>
      </c>
      <c r="B653" s="4">
        <f>VLOOKUP($A653,'existing_gw_inflows_1921-2003'!$A$1:$AH$1129,$D$1,FALSE)</f>
        <v>108.11</v>
      </c>
      <c r="C653" s="4" t="e">
        <f>VLOOKUP($A653,'extended_recharge_2003-2015'!$A$1:$AH$265,$D$1,FALSE)</f>
        <v>#N/A</v>
      </c>
      <c r="G653" s="6"/>
      <c r="L653" s="6"/>
    </row>
    <row r="654" spans="1:12" x14ac:dyDescent="0.2">
      <c r="A654" s="3">
        <v>27819</v>
      </c>
      <c r="B654" s="4">
        <f>VLOOKUP($A654,'existing_gw_inflows_1921-2003'!$A$1:$AH$1129,$D$1,FALSE)</f>
        <v>308.03000000000003</v>
      </c>
      <c r="C654" s="4" t="e">
        <f>VLOOKUP($A654,'extended_recharge_2003-2015'!$A$1:$AH$265,$D$1,FALSE)</f>
        <v>#N/A</v>
      </c>
      <c r="G654" s="6"/>
      <c r="L654" s="6"/>
    </row>
    <row r="655" spans="1:12" x14ac:dyDescent="0.2">
      <c r="A655" s="3">
        <v>27850</v>
      </c>
      <c r="B655" s="4">
        <f>VLOOKUP($A655,'existing_gw_inflows_1921-2003'!$A$1:$AH$1129,$D$1,FALSE)</f>
        <v>225.48999999999998</v>
      </c>
      <c r="C655" s="4" t="e">
        <f>VLOOKUP($A655,'extended_recharge_2003-2015'!$A$1:$AH$265,$D$1,FALSE)</f>
        <v>#N/A</v>
      </c>
      <c r="G655" s="6"/>
      <c r="L655" s="6"/>
    </row>
    <row r="656" spans="1:12" x14ac:dyDescent="0.2">
      <c r="A656" s="3">
        <v>27880</v>
      </c>
      <c r="B656" s="4">
        <f>VLOOKUP($A656,'existing_gw_inflows_1921-2003'!$A$1:$AH$1129,$D$1,FALSE)</f>
        <v>179.07</v>
      </c>
      <c r="C656" s="4" t="e">
        <f>VLOOKUP($A656,'extended_recharge_2003-2015'!$A$1:$AH$265,$D$1,FALSE)</f>
        <v>#N/A</v>
      </c>
      <c r="G656" s="6"/>
      <c r="L656" s="6"/>
    </row>
    <row r="657" spans="1:12" x14ac:dyDescent="0.2">
      <c r="A657" s="3">
        <v>27911</v>
      </c>
      <c r="B657" s="4">
        <f>VLOOKUP($A657,'existing_gw_inflows_1921-2003'!$A$1:$AH$1129,$D$1,FALSE)</f>
        <v>209.53999999999996</v>
      </c>
      <c r="C657" s="4" t="e">
        <f>VLOOKUP($A657,'extended_recharge_2003-2015'!$A$1:$AH$265,$D$1,FALSE)</f>
        <v>#N/A</v>
      </c>
      <c r="G657" s="6"/>
      <c r="L657" s="6"/>
    </row>
    <row r="658" spans="1:12" x14ac:dyDescent="0.2">
      <c r="A658" s="3">
        <v>27941</v>
      </c>
      <c r="B658" s="4">
        <f>VLOOKUP($A658,'existing_gw_inflows_1921-2003'!$A$1:$AH$1129,$D$1,FALSE)</f>
        <v>474.48000000000008</v>
      </c>
      <c r="C658" s="4" t="e">
        <f>VLOOKUP($A658,'extended_recharge_2003-2015'!$A$1:$AH$265,$D$1,FALSE)</f>
        <v>#N/A</v>
      </c>
      <c r="G658" s="6"/>
      <c r="L658" s="6"/>
    </row>
    <row r="659" spans="1:12" x14ac:dyDescent="0.2">
      <c r="A659" s="3">
        <v>27972</v>
      </c>
      <c r="B659" s="4">
        <f>VLOOKUP($A659,'existing_gw_inflows_1921-2003'!$A$1:$AH$1129,$D$1,FALSE)</f>
        <v>543.47</v>
      </c>
      <c r="C659" s="4" t="e">
        <f>VLOOKUP($A659,'extended_recharge_2003-2015'!$A$1:$AH$265,$D$1,FALSE)</f>
        <v>#N/A</v>
      </c>
      <c r="G659" s="6"/>
      <c r="L659" s="6"/>
    </row>
    <row r="660" spans="1:12" x14ac:dyDescent="0.2">
      <c r="A660" s="3">
        <v>28003</v>
      </c>
      <c r="B660" s="4">
        <f>VLOOKUP($A660,'existing_gw_inflows_1921-2003'!$A$1:$AH$1129,$D$1,FALSE)</f>
        <v>496.08</v>
      </c>
      <c r="C660" s="4" t="e">
        <f>VLOOKUP($A660,'extended_recharge_2003-2015'!$A$1:$AH$265,$D$1,FALSE)</f>
        <v>#N/A</v>
      </c>
      <c r="G660" s="6"/>
      <c r="L660" s="6"/>
    </row>
    <row r="661" spans="1:12" x14ac:dyDescent="0.2">
      <c r="A661" s="3">
        <v>28033</v>
      </c>
      <c r="B661" s="4">
        <f>VLOOKUP($A661,'existing_gw_inflows_1921-2003'!$A$1:$AH$1129,$D$1,FALSE)</f>
        <v>282.18</v>
      </c>
      <c r="C661" s="4" t="e">
        <f>VLOOKUP($A661,'extended_recharge_2003-2015'!$A$1:$AH$265,$D$1,FALSE)</f>
        <v>#N/A</v>
      </c>
      <c r="G661" s="6"/>
      <c r="L661" s="6"/>
    </row>
    <row r="662" spans="1:12" x14ac:dyDescent="0.2">
      <c r="A662" s="3">
        <v>28064</v>
      </c>
      <c r="B662" s="4">
        <f>VLOOKUP($A662,'existing_gw_inflows_1921-2003'!$A$1:$AH$1129,$D$1,FALSE)</f>
        <v>107.42999999999998</v>
      </c>
      <c r="C662" s="4" t="e">
        <f>VLOOKUP($A662,'extended_recharge_2003-2015'!$A$1:$AH$265,$D$1,FALSE)</f>
        <v>#N/A</v>
      </c>
      <c r="G662" s="6"/>
      <c r="L662" s="6"/>
    </row>
    <row r="663" spans="1:12" x14ac:dyDescent="0.2">
      <c r="A663" s="3">
        <v>28094</v>
      </c>
      <c r="B663" s="4">
        <f>VLOOKUP($A663,'existing_gw_inflows_1921-2003'!$A$1:$AH$1129,$D$1,FALSE)</f>
        <v>135.62</v>
      </c>
      <c r="C663" s="4" t="e">
        <f>VLOOKUP($A663,'extended_recharge_2003-2015'!$A$1:$AH$265,$D$1,FALSE)</f>
        <v>#N/A</v>
      </c>
      <c r="G663" s="6"/>
      <c r="L663" s="6"/>
    </row>
    <row r="664" spans="1:12" x14ac:dyDescent="0.2">
      <c r="A664" s="3">
        <v>28125</v>
      </c>
      <c r="B664" s="4">
        <f>VLOOKUP($A664,'existing_gw_inflows_1921-2003'!$A$1:$AH$1129,$D$1,FALSE)</f>
        <v>155.87000000000003</v>
      </c>
      <c r="C664" s="4" t="e">
        <f>VLOOKUP($A664,'extended_recharge_2003-2015'!$A$1:$AH$265,$D$1,FALSE)</f>
        <v>#N/A</v>
      </c>
      <c r="G664" s="6"/>
      <c r="L664" s="6"/>
    </row>
    <row r="665" spans="1:12" x14ac:dyDescent="0.2">
      <c r="A665" s="3">
        <v>28156</v>
      </c>
      <c r="B665" s="4">
        <f>VLOOKUP($A665,'existing_gw_inflows_1921-2003'!$A$1:$AH$1129,$D$1,FALSE)</f>
        <v>217.58</v>
      </c>
      <c r="C665" s="4" t="e">
        <f>VLOOKUP($A665,'extended_recharge_2003-2015'!$A$1:$AH$265,$D$1,FALSE)</f>
        <v>#N/A</v>
      </c>
      <c r="G665" s="6"/>
      <c r="L665" s="6"/>
    </row>
    <row r="666" spans="1:12" x14ac:dyDescent="0.2">
      <c r="A666" s="3">
        <v>28184</v>
      </c>
      <c r="B666" s="4">
        <f>VLOOKUP($A666,'existing_gw_inflows_1921-2003'!$A$1:$AH$1129,$D$1,FALSE)</f>
        <v>121.12</v>
      </c>
      <c r="C666" s="4" t="e">
        <f>VLOOKUP($A666,'extended_recharge_2003-2015'!$A$1:$AH$265,$D$1,FALSE)</f>
        <v>#N/A</v>
      </c>
      <c r="G666" s="6"/>
      <c r="L666" s="6"/>
    </row>
    <row r="667" spans="1:12" x14ac:dyDescent="0.2">
      <c r="A667" s="3">
        <v>28215</v>
      </c>
      <c r="B667" s="4">
        <f>VLOOKUP($A667,'existing_gw_inflows_1921-2003'!$A$1:$AH$1129,$D$1,FALSE)</f>
        <v>298.9799999999999</v>
      </c>
      <c r="C667" s="4" t="e">
        <f>VLOOKUP($A667,'extended_recharge_2003-2015'!$A$1:$AH$265,$D$1,FALSE)</f>
        <v>#N/A</v>
      </c>
      <c r="G667" s="6"/>
      <c r="L667" s="6"/>
    </row>
    <row r="668" spans="1:12" x14ac:dyDescent="0.2">
      <c r="A668" s="3">
        <v>28245</v>
      </c>
      <c r="B668" s="4">
        <f>VLOOKUP($A668,'existing_gw_inflows_1921-2003'!$A$1:$AH$1129,$D$1,FALSE)</f>
        <v>242.08</v>
      </c>
      <c r="C668" s="4" t="e">
        <f>VLOOKUP($A668,'extended_recharge_2003-2015'!$A$1:$AH$265,$D$1,FALSE)</f>
        <v>#N/A</v>
      </c>
      <c r="G668" s="6"/>
      <c r="L668" s="6"/>
    </row>
    <row r="669" spans="1:12" x14ac:dyDescent="0.2">
      <c r="A669" s="3">
        <v>28276</v>
      </c>
      <c r="B669" s="4">
        <f>VLOOKUP($A669,'existing_gw_inflows_1921-2003'!$A$1:$AH$1129,$D$1,FALSE)</f>
        <v>282.28000000000003</v>
      </c>
      <c r="C669" s="4" t="e">
        <f>VLOOKUP($A669,'extended_recharge_2003-2015'!$A$1:$AH$265,$D$1,FALSE)</f>
        <v>#N/A</v>
      </c>
      <c r="G669" s="6"/>
      <c r="L669" s="6"/>
    </row>
    <row r="670" spans="1:12" x14ac:dyDescent="0.2">
      <c r="A670" s="3">
        <v>28306</v>
      </c>
      <c r="B670" s="4">
        <f>VLOOKUP($A670,'existing_gw_inflows_1921-2003'!$A$1:$AH$1129,$D$1,FALSE)</f>
        <v>538.35</v>
      </c>
      <c r="C670" s="4" t="e">
        <f>VLOOKUP($A670,'extended_recharge_2003-2015'!$A$1:$AH$265,$D$1,FALSE)</f>
        <v>#N/A</v>
      </c>
      <c r="G670" s="6"/>
      <c r="L670" s="6"/>
    </row>
    <row r="671" spans="1:12" x14ac:dyDescent="0.2">
      <c r="A671" s="3">
        <v>28337</v>
      </c>
      <c r="B671" s="4">
        <f>VLOOKUP($A671,'existing_gw_inflows_1921-2003'!$A$1:$AH$1129,$D$1,FALSE)</f>
        <v>737.34</v>
      </c>
      <c r="C671" s="4" t="e">
        <f>VLOOKUP($A671,'extended_recharge_2003-2015'!$A$1:$AH$265,$D$1,FALSE)</f>
        <v>#N/A</v>
      </c>
      <c r="G671" s="6"/>
      <c r="L671" s="6"/>
    </row>
    <row r="672" spans="1:12" x14ac:dyDescent="0.2">
      <c r="A672" s="3">
        <v>28368</v>
      </c>
      <c r="B672" s="4">
        <f>VLOOKUP($A672,'existing_gw_inflows_1921-2003'!$A$1:$AH$1129,$D$1,FALSE)</f>
        <v>607.56000000000006</v>
      </c>
      <c r="C672" s="4" t="e">
        <f>VLOOKUP($A672,'extended_recharge_2003-2015'!$A$1:$AH$265,$D$1,FALSE)</f>
        <v>#N/A</v>
      </c>
      <c r="G672" s="6"/>
      <c r="L672" s="6"/>
    </row>
    <row r="673" spans="1:12" x14ac:dyDescent="0.2">
      <c r="A673" s="3">
        <v>28398</v>
      </c>
      <c r="B673" s="4">
        <f>VLOOKUP($A673,'existing_gw_inflows_1921-2003'!$A$1:$AH$1129,$D$1,FALSE)</f>
        <v>193.35</v>
      </c>
      <c r="C673" s="4" t="e">
        <f>VLOOKUP($A673,'extended_recharge_2003-2015'!$A$1:$AH$265,$D$1,FALSE)</f>
        <v>#N/A</v>
      </c>
      <c r="G673" s="6"/>
      <c r="L673" s="6"/>
    </row>
    <row r="674" spans="1:12" x14ac:dyDescent="0.2">
      <c r="A674" s="3">
        <v>28429</v>
      </c>
      <c r="B674" s="4">
        <f>VLOOKUP($A674,'existing_gw_inflows_1921-2003'!$A$1:$AH$1129,$D$1,FALSE)</f>
        <v>188.59999999999997</v>
      </c>
      <c r="C674" s="4" t="e">
        <f>VLOOKUP($A674,'extended_recharge_2003-2015'!$A$1:$AH$265,$D$1,FALSE)</f>
        <v>#N/A</v>
      </c>
      <c r="G674" s="6"/>
      <c r="L674" s="6"/>
    </row>
    <row r="675" spans="1:12" x14ac:dyDescent="0.2">
      <c r="A675" s="3">
        <v>28459</v>
      </c>
      <c r="B675" s="4">
        <f>VLOOKUP($A675,'existing_gw_inflows_1921-2003'!$A$1:$AH$1129,$D$1,FALSE)</f>
        <v>229.01</v>
      </c>
      <c r="C675" s="4" t="e">
        <f>VLOOKUP($A675,'extended_recharge_2003-2015'!$A$1:$AH$265,$D$1,FALSE)</f>
        <v>#N/A</v>
      </c>
      <c r="G675" s="6"/>
      <c r="L675" s="6"/>
    </row>
    <row r="676" spans="1:12" x14ac:dyDescent="0.2">
      <c r="A676" s="3">
        <v>28490</v>
      </c>
      <c r="B676" s="4">
        <f>VLOOKUP($A676,'existing_gw_inflows_1921-2003'!$A$1:$AH$1129,$D$1,FALSE)</f>
        <v>615.45000000000005</v>
      </c>
      <c r="C676" s="4" t="e">
        <f>VLOOKUP($A676,'extended_recharge_2003-2015'!$A$1:$AH$265,$D$1,FALSE)</f>
        <v>#N/A</v>
      </c>
      <c r="G676" s="6"/>
      <c r="L676" s="6"/>
    </row>
    <row r="677" spans="1:12" x14ac:dyDescent="0.2">
      <c r="A677" s="3">
        <v>28521</v>
      </c>
      <c r="B677" s="4">
        <f>VLOOKUP($A677,'existing_gw_inflows_1921-2003'!$A$1:$AH$1129,$D$1,FALSE)</f>
        <v>1287.1099999999999</v>
      </c>
      <c r="C677" s="4" t="e">
        <f>VLOOKUP($A677,'extended_recharge_2003-2015'!$A$1:$AH$265,$D$1,FALSE)</f>
        <v>#N/A</v>
      </c>
      <c r="G677" s="6"/>
      <c r="L677" s="6"/>
    </row>
    <row r="678" spans="1:12" x14ac:dyDescent="0.2">
      <c r="A678" s="3">
        <v>28549</v>
      </c>
      <c r="B678" s="4">
        <f>VLOOKUP($A678,'existing_gw_inflows_1921-2003'!$A$1:$AH$1129,$D$1,FALSE)</f>
        <v>1100.7800000000002</v>
      </c>
      <c r="C678" s="4" t="e">
        <f>VLOOKUP($A678,'extended_recharge_2003-2015'!$A$1:$AH$265,$D$1,FALSE)</f>
        <v>#N/A</v>
      </c>
      <c r="G678" s="6"/>
      <c r="L678" s="6"/>
    </row>
    <row r="679" spans="1:12" x14ac:dyDescent="0.2">
      <c r="A679" s="3">
        <v>28580</v>
      </c>
      <c r="B679" s="4">
        <f>VLOOKUP($A679,'existing_gw_inflows_1921-2003'!$A$1:$AH$1129,$D$1,FALSE)</f>
        <v>1309.03</v>
      </c>
      <c r="C679" s="4" t="e">
        <f>VLOOKUP($A679,'extended_recharge_2003-2015'!$A$1:$AH$265,$D$1,FALSE)</f>
        <v>#N/A</v>
      </c>
      <c r="G679" s="6"/>
      <c r="L679" s="6"/>
    </row>
    <row r="680" spans="1:12" x14ac:dyDescent="0.2">
      <c r="A680" s="3">
        <v>28610</v>
      </c>
      <c r="B680" s="4">
        <f>VLOOKUP($A680,'existing_gw_inflows_1921-2003'!$A$1:$AH$1129,$D$1,FALSE)</f>
        <v>563.41999999999996</v>
      </c>
      <c r="C680" s="4" t="e">
        <f>VLOOKUP($A680,'extended_recharge_2003-2015'!$A$1:$AH$265,$D$1,FALSE)</f>
        <v>#N/A</v>
      </c>
      <c r="G680" s="6"/>
      <c r="L680" s="6"/>
    </row>
    <row r="681" spans="1:12" x14ac:dyDescent="0.2">
      <c r="A681" s="3">
        <v>28641</v>
      </c>
      <c r="B681" s="4">
        <f>VLOOKUP($A681,'existing_gw_inflows_1921-2003'!$A$1:$AH$1129,$D$1,FALSE)</f>
        <v>502.06999999999988</v>
      </c>
      <c r="C681" s="4" t="e">
        <f>VLOOKUP($A681,'extended_recharge_2003-2015'!$A$1:$AH$265,$D$1,FALSE)</f>
        <v>#N/A</v>
      </c>
      <c r="G681" s="6"/>
      <c r="L681" s="6"/>
    </row>
    <row r="682" spans="1:12" x14ac:dyDescent="0.2">
      <c r="A682" s="3">
        <v>28671</v>
      </c>
      <c r="B682" s="4">
        <f>VLOOKUP($A682,'existing_gw_inflows_1921-2003'!$A$1:$AH$1129,$D$1,FALSE)</f>
        <v>307.58000000000004</v>
      </c>
      <c r="C682" s="4" t="e">
        <f>VLOOKUP($A682,'extended_recharge_2003-2015'!$A$1:$AH$265,$D$1,FALSE)</f>
        <v>#N/A</v>
      </c>
      <c r="G682" s="6"/>
      <c r="L682" s="6"/>
    </row>
    <row r="683" spans="1:12" x14ac:dyDescent="0.2">
      <c r="A683" s="3">
        <v>28702</v>
      </c>
      <c r="B683" s="4">
        <f>VLOOKUP($A683,'existing_gw_inflows_1921-2003'!$A$1:$AH$1129,$D$1,FALSE)</f>
        <v>400.61</v>
      </c>
      <c r="C683" s="4" t="e">
        <f>VLOOKUP($A683,'extended_recharge_2003-2015'!$A$1:$AH$265,$D$1,FALSE)</f>
        <v>#N/A</v>
      </c>
      <c r="G683" s="6"/>
      <c r="L683" s="6"/>
    </row>
    <row r="684" spans="1:12" x14ac:dyDescent="0.2">
      <c r="A684" s="3">
        <v>28733</v>
      </c>
      <c r="B684" s="4">
        <f>VLOOKUP($A684,'existing_gw_inflows_1921-2003'!$A$1:$AH$1129,$D$1,FALSE)</f>
        <v>488.21000000000009</v>
      </c>
      <c r="C684" s="4" t="e">
        <f>VLOOKUP($A684,'extended_recharge_2003-2015'!$A$1:$AH$265,$D$1,FALSE)</f>
        <v>#N/A</v>
      </c>
      <c r="G684" s="6"/>
      <c r="L684" s="6"/>
    </row>
    <row r="685" spans="1:12" x14ac:dyDescent="0.2">
      <c r="A685" s="3">
        <v>28763</v>
      </c>
      <c r="B685" s="4">
        <f>VLOOKUP($A685,'existing_gw_inflows_1921-2003'!$A$1:$AH$1129,$D$1,FALSE)</f>
        <v>319.53999999999996</v>
      </c>
      <c r="C685" s="4" t="e">
        <f>VLOOKUP($A685,'extended_recharge_2003-2015'!$A$1:$AH$265,$D$1,FALSE)</f>
        <v>#N/A</v>
      </c>
      <c r="G685" s="6"/>
      <c r="L685" s="6"/>
    </row>
    <row r="686" spans="1:12" x14ac:dyDescent="0.2">
      <c r="A686" s="3">
        <v>28794</v>
      </c>
      <c r="B686" s="4">
        <f>VLOOKUP($A686,'existing_gw_inflows_1921-2003'!$A$1:$AH$1129,$D$1,FALSE)</f>
        <v>240.44000000000003</v>
      </c>
      <c r="C686" s="4" t="e">
        <f>VLOOKUP($A686,'extended_recharge_2003-2015'!$A$1:$AH$265,$D$1,FALSE)</f>
        <v>#N/A</v>
      </c>
      <c r="G686" s="6"/>
      <c r="L686" s="6"/>
    </row>
    <row r="687" spans="1:12" x14ac:dyDescent="0.2">
      <c r="A687" s="3">
        <v>28824</v>
      </c>
      <c r="B687" s="4">
        <f>VLOOKUP($A687,'existing_gw_inflows_1921-2003'!$A$1:$AH$1129,$D$1,FALSE)</f>
        <v>283.03000000000003</v>
      </c>
      <c r="C687" s="4" t="e">
        <f>VLOOKUP($A687,'extended_recharge_2003-2015'!$A$1:$AH$265,$D$1,FALSE)</f>
        <v>#N/A</v>
      </c>
      <c r="G687" s="6"/>
      <c r="L687" s="6"/>
    </row>
    <row r="688" spans="1:12" x14ac:dyDescent="0.2">
      <c r="A688" s="3">
        <v>28855</v>
      </c>
      <c r="B688" s="4">
        <f>VLOOKUP($A688,'existing_gw_inflows_1921-2003'!$A$1:$AH$1129,$D$1,FALSE)</f>
        <v>217.75000000000003</v>
      </c>
      <c r="C688" s="4" t="e">
        <f>VLOOKUP($A688,'extended_recharge_2003-2015'!$A$1:$AH$265,$D$1,FALSE)</f>
        <v>#N/A</v>
      </c>
      <c r="G688" s="6"/>
      <c r="L688" s="6"/>
    </row>
    <row r="689" spans="1:12" x14ac:dyDescent="0.2">
      <c r="A689" s="3">
        <v>28886</v>
      </c>
      <c r="B689" s="4">
        <f>VLOOKUP($A689,'existing_gw_inflows_1921-2003'!$A$1:$AH$1129,$D$1,FALSE)</f>
        <v>782.69</v>
      </c>
      <c r="C689" s="4" t="e">
        <f>VLOOKUP($A689,'extended_recharge_2003-2015'!$A$1:$AH$265,$D$1,FALSE)</f>
        <v>#N/A</v>
      </c>
      <c r="G689" s="6"/>
      <c r="L689" s="6"/>
    </row>
    <row r="690" spans="1:12" x14ac:dyDescent="0.2">
      <c r="A690" s="3">
        <v>28914</v>
      </c>
      <c r="B690" s="4">
        <f>VLOOKUP($A690,'existing_gw_inflows_1921-2003'!$A$1:$AH$1129,$D$1,FALSE)</f>
        <v>587.52</v>
      </c>
      <c r="C690" s="4" t="e">
        <f>VLOOKUP($A690,'extended_recharge_2003-2015'!$A$1:$AH$265,$D$1,FALSE)</f>
        <v>#N/A</v>
      </c>
      <c r="G690" s="6"/>
      <c r="L690" s="6"/>
    </row>
    <row r="691" spans="1:12" x14ac:dyDescent="0.2">
      <c r="A691" s="3">
        <v>28945</v>
      </c>
      <c r="B691" s="4">
        <f>VLOOKUP($A691,'existing_gw_inflows_1921-2003'!$A$1:$AH$1129,$D$1,FALSE)</f>
        <v>394.81</v>
      </c>
      <c r="C691" s="4" t="e">
        <f>VLOOKUP($A691,'extended_recharge_2003-2015'!$A$1:$AH$265,$D$1,FALSE)</f>
        <v>#N/A</v>
      </c>
      <c r="G691" s="6"/>
      <c r="L691" s="6"/>
    </row>
    <row r="692" spans="1:12" x14ac:dyDescent="0.2">
      <c r="A692" s="3">
        <v>28975</v>
      </c>
      <c r="B692" s="4">
        <f>VLOOKUP($A692,'existing_gw_inflows_1921-2003'!$A$1:$AH$1129,$D$1,FALSE)</f>
        <v>59.369999999999976</v>
      </c>
      <c r="C692" s="4" t="e">
        <f>VLOOKUP($A692,'extended_recharge_2003-2015'!$A$1:$AH$265,$D$1,FALSE)</f>
        <v>#N/A</v>
      </c>
      <c r="G692" s="6"/>
      <c r="L692" s="6"/>
    </row>
    <row r="693" spans="1:12" x14ac:dyDescent="0.2">
      <c r="A693" s="3">
        <v>29006</v>
      </c>
      <c r="B693" s="4">
        <f>VLOOKUP($A693,'existing_gw_inflows_1921-2003'!$A$1:$AH$1129,$D$1,FALSE)</f>
        <v>348.46000000000009</v>
      </c>
      <c r="C693" s="4" t="e">
        <f>VLOOKUP($A693,'extended_recharge_2003-2015'!$A$1:$AH$265,$D$1,FALSE)</f>
        <v>#N/A</v>
      </c>
      <c r="G693" s="6"/>
      <c r="L693" s="6"/>
    </row>
    <row r="694" spans="1:12" x14ac:dyDescent="0.2">
      <c r="A694" s="3">
        <v>29036</v>
      </c>
      <c r="B694" s="4">
        <f>VLOOKUP($A694,'existing_gw_inflows_1921-2003'!$A$1:$AH$1129,$D$1,FALSE)</f>
        <v>430.14</v>
      </c>
      <c r="C694" s="4" t="e">
        <f>VLOOKUP($A694,'extended_recharge_2003-2015'!$A$1:$AH$265,$D$1,FALSE)</f>
        <v>#N/A</v>
      </c>
      <c r="G694" s="6"/>
      <c r="L694" s="6"/>
    </row>
    <row r="695" spans="1:12" x14ac:dyDescent="0.2">
      <c r="A695" s="3">
        <v>29067</v>
      </c>
      <c r="B695" s="4">
        <f>VLOOKUP($A695,'existing_gw_inflows_1921-2003'!$A$1:$AH$1129,$D$1,FALSE)</f>
        <v>512.75</v>
      </c>
      <c r="C695" s="4" t="e">
        <f>VLOOKUP($A695,'extended_recharge_2003-2015'!$A$1:$AH$265,$D$1,FALSE)</f>
        <v>#N/A</v>
      </c>
      <c r="G695" s="6"/>
      <c r="L695" s="6"/>
    </row>
    <row r="696" spans="1:12" x14ac:dyDescent="0.2">
      <c r="A696" s="3">
        <v>29098</v>
      </c>
      <c r="B696" s="4">
        <f>VLOOKUP($A696,'existing_gw_inflows_1921-2003'!$A$1:$AH$1129,$D$1,FALSE)</f>
        <v>451.61000000000007</v>
      </c>
      <c r="C696" s="4" t="e">
        <f>VLOOKUP($A696,'extended_recharge_2003-2015'!$A$1:$AH$265,$D$1,FALSE)</f>
        <v>#N/A</v>
      </c>
      <c r="G696" s="6"/>
      <c r="L696" s="6"/>
    </row>
    <row r="697" spans="1:12" x14ac:dyDescent="0.2">
      <c r="A697" s="3">
        <v>29128</v>
      </c>
      <c r="B697" s="4">
        <f>VLOOKUP($A697,'existing_gw_inflows_1921-2003'!$A$1:$AH$1129,$D$1,FALSE)</f>
        <v>270.21999999999997</v>
      </c>
      <c r="C697" s="4" t="e">
        <f>VLOOKUP($A697,'extended_recharge_2003-2015'!$A$1:$AH$265,$D$1,FALSE)</f>
        <v>#N/A</v>
      </c>
      <c r="G697" s="6"/>
      <c r="L697" s="6"/>
    </row>
    <row r="698" spans="1:12" x14ac:dyDescent="0.2">
      <c r="A698" s="3">
        <v>29159</v>
      </c>
      <c r="B698" s="4">
        <f>VLOOKUP($A698,'existing_gw_inflows_1921-2003'!$A$1:$AH$1129,$D$1,FALSE)</f>
        <v>332.03</v>
      </c>
      <c r="C698" s="4" t="e">
        <f>VLOOKUP($A698,'extended_recharge_2003-2015'!$A$1:$AH$265,$D$1,FALSE)</f>
        <v>#N/A</v>
      </c>
      <c r="G698" s="6"/>
      <c r="L698" s="6"/>
    </row>
    <row r="699" spans="1:12" x14ac:dyDescent="0.2">
      <c r="A699" s="3">
        <v>29189</v>
      </c>
      <c r="B699" s="4">
        <f>VLOOKUP($A699,'existing_gw_inflows_1921-2003'!$A$1:$AH$1129,$D$1,FALSE)</f>
        <v>316.60000000000002</v>
      </c>
      <c r="C699" s="4" t="e">
        <f>VLOOKUP($A699,'extended_recharge_2003-2015'!$A$1:$AH$265,$D$1,FALSE)</f>
        <v>#N/A</v>
      </c>
      <c r="G699" s="6"/>
      <c r="L699" s="6"/>
    </row>
    <row r="700" spans="1:12" x14ac:dyDescent="0.2">
      <c r="A700" s="3">
        <v>29220</v>
      </c>
      <c r="B700" s="4">
        <f>VLOOKUP($A700,'existing_gw_inflows_1921-2003'!$A$1:$AH$1129,$D$1,FALSE)</f>
        <v>507.65000000000015</v>
      </c>
      <c r="C700" s="4" t="e">
        <f>VLOOKUP($A700,'extended_recharge_2003-2015'!$A$1:$AH$265,$D$1,FALSE)</f>
        <v>#N/A</v>
      </c>
      <c r="G700" s="6"/>
      <c r="L700" s="6"/>
    </row>
    <row r="701" spans="1:12" x14ac:dyDescent="0.2">
      <c r="A701" s="3">
        <v>29251</v>
      </c>
      <c r="B701" s="4">
        <f>VLOOKUP($A701,'existing_gw_inflows_1921-2003'!$A$1:$AH$1129,$D$1,FALSE)</f>
        <v>1700.5900000000006</v>
      </c>
      <c r="C701" s="4" t="e">
        <f>VLOOKUP($A701,'extended_recharge_2003-2015'!$A$1:$AH$265,$D$1,FALSE)</f>
        <v>#N/A</v>
      </c>
      <c r="G701" s="6"/>
      <c r="L701" s="6"/>
    </row>
    <row r="702" spans="1:12" x14ac:dyDescent="0.2">
      <c r="A702" s="3">
        <v>29280</v>
      </c>
      <c r="B702" s="4">
        <f>VLOOKUP($A702,'existing_gw_inflows_1921-2003'!$A$1:$AH$1129,$D$1,FALSE)</f>
        <v>1266.96</v>
      </c>
      <c r="C702" s="4" t="e">
        <f>VLOOKUP($A702,'extended_recharge_2003-2015'!$A$1:$AH$265,$D$1,FALSE)</f>
        <v>#N/A</v>
      </c>
      <c r="G702" s="6"/>
      <c r="L702" s="6"/>
    </row>
    <row r="703" spans="1:12" x14ac:dyDescent="0.2">
      <c r="A703" s="3">
        <v>29311</v>
      </c>
      <c r="B703" s="4">
        <f>VLOOKUP($A703,'existing_gw_inflows_1921-2003'!$A$1:$AH$1129,$D$1,FALSE)</f>
        <v>381.23999999999995</v>
      </c>
      <c r="C703" s="4" t="e">
        <f>VLOOKUP($A703,'extended_recharge_2003-2015'!$A$1:$AH$265,$D$1,FALSE)</f>
        <v>#N/A</v>
      </c>
      <c r="G703" s="6"/>
      <c r="L703" s="6"/>
    </row>
    <row r="704" spans="1:12" x14ac:dyDescent="0.2">
      <c r="A704" s="3">
        <v>29341</v>
      </c>
      <c r="B704" s="4">
        <f>VLOOKUP($A704,'existing_gw_inflows_1921-2003'!$A$1:$AH$1129,$D$1,FALSE)</f>
        <v>-32.920000000000016</v>
      </c>
      <c r="C704" s="4" t="e">
        <f>VLOOKUP($A704,'extended_recharge_2003-2015'!$A$1:$AH$265,$D$1,FALSE)</f>
        <v>#N/A</v>
      </c>
      <c r="G704" s="6"/>
      <c r="L704" s="6"/>
    </row>
    <row r="705" spans="1:12" x14ac:dyDescent="0.2">
      <c r="A705" s="3">
        <v>29372</v>
      </c>
      <c r="B705" s="4">
        <f>VLOOKUP($A705,'existing_gw_inflows_1921-2003'!$A$1:$AH$1129,$D$1,FALSE)</f>
        <v>225.97000000000003</v>
      </c>
      <c r="C705" s="4" t="e">
        <f>VLOOKUP($A705,'extended_recharge_2003-2015'!$A$1:$AH$265,$D$1,FALSE)</f>
        <v>#N/A</v>
      </c>
      <c r="G705" s="6"/>
      <c r="L705" s="6"/>
    </row>
    <row r="706" spans="1:12" x14ac:dyDescent="0.2">
      <c r="A706" s="3">
        <v>29402</v>
      </c>
      <c r="B706" s="4">
        <f>VLOOKUP($A706,'existing_gw_inflows_1921-2003'!$A$1:$AH$1129,$D$1,FALSE)</f>
        <v>343.99</v>
      </c>
      <c r="C706" s="4" t="e">
        <f>VLOOKUP($A706,'extended_recharge_2003-2015'!$A$1:$AH$265,$D$1,FALSE)</f>
        <v>#N/A</v>
      </c>
      <c r="G706" s="6"/>
      <c r="L706" s="6"/>
    </row>
    <row r="707" spans="1:12" x14ac:dyDescent="0.2">
      <c r="A707" s="3">
        <v>29433</v>
      </c>
      <c r="B707" s="4">
        <f>VLOOKUP($A707,'existing_gw_inflows_1921-2003'!$A$1:$AH$1129,$D$1,FALSE)</f>
        <v>558.63999999999987</v>
      </c>
      <c r="C707" s="4" t="e">
        <f>VLOOKUP($A707,'extended_recharge_2003-2015'!$A$1:$AH$265,$D$1,FALSE)</f>
        <v>#N/A</v>
      </c>
      <c r="G707" s="6"/>
      <c r="L707" s="6"/>
    </row>
    <row r="708" spans="1:12" x14ac:dyDescent="0.2">
      <c r="A708" s="3">
        <v>29464</v>
      </c>
      <c r="B708" s="4">
        <f>VLOOKUP($A708,'existing_gw_inflows_1921-2003'!$A$1:$AH$1129,$D$1,FALSE)</f>
        <v>429.1</v>
      </c>
      <c r="C708" s="4" t="e">
        <f>VLOOKUP($A708,'extended_recharge_2003-2015'!$A$1:$AH$265,$D$1,FALSE)</f>
        <v>#N/A</v>
      </c>
      <c r="G708" s="6"/>
      <c r="L708" s="6"/>
    </row>
    <row r="709" spans="1:12" x14ac:dyDescent="0.2">
      <c r="A709" s="3">
        <v>29494</v>
      </c>
      <c r="B709" s="4">
        <f>VLOOKUP($A709,'existing_gw_inflows_1921-2003'!$A$1:$AH$1129,$D$1,FALSE)</f>
        <v>319.34999999999997</v>
      </c>
      <c r="C709" s="4" t="e">
        <f>VLOOKUP($A709,'extended_recharge_2003-2015'!$A$1:$AH$265,$D$1,FALSE)</f>
        <v>#N/A</v>
      </c>
      <c r="G709" s="6"/>
      <c r="L709" s="6"/>
    </row>
    <row r="710" spans="1:12" x14ac:dyDescent="0.2">
      <c r="A710" s="3">
        <v>29525</v>
      </c>
      <c r="B710" s="4">
        <f>VLOOKUP($A710,'existing_gw_inflows_1921-2003'!$A$1:$AH$1129,$D$1,FALSE)</f>
        <v>215.83999999999997</v>
      </c>
      <c r="C710" s="4" t="e">
        <f>VLOOKUP($A710,'extended_recharge_2003-2015'!$A$1:$AH$265,$D$1,FALSE)</f>
        <v>#N/A</v>
      </c>
      <c r="G710" s="6"/>
      <c r="L710" s="6"/>
    </row>
    <row r="711" spans="1:12" x14ac:dyDescent="0.2">
      <c r="A711" s="3">
        <v>29555</v>
      </c>
      <c r="B711" s="4">
        <f>VLOOKUP($A711,'existing_gw_inflows_1921-2003'!$A$1:$AH$1129,$D$1,FALSE)</f>
        <v>213.22</v>
      </c>
      <c r="C711" s="4" t="e">
        <f>VLOOKUP($A711,'extended_recharge_2003-2015'!$A$1:$AH$265,$D$1,FALSE)</f>
        <v>#N/A</v>
      </c>
      <c r="G711" s="6"/>
      <c r="L711" s="6"/>
    </row>
    <row r="712" spans="1:12" x14ac:dyDescent="0.2">
      <c r="A712" s="3">
        <v>29586</v>
      </c>
      <c r="B712" s="4">
        <f>VLOOKUP($A712,'existing_gw_inflows_1921-2003'!$A$1:$AH$1129,$D$1,FALSE)</f>
        <v>379.22999999999996</v>
      </c>
      <c r="C712" s="4" t="e">
        <f>VLOOKUP($A712,'extended_recharge_2003-2015'!$A$1:$AH$265,$D$1,FALSE)</f>
        <v>#N/A</v>
      </c>
      <c r="G712" s="6"/>
      <c r="L712" s="6"/>
    </row>
    <row r="713" spans="1:12" x14ac:dyDescent="0.2">
      <c r="A713" s="3">
        <v>29617</v>
      </c>
      <c r="B713" s="4">
        <f>VLOOKUP($A713,'existing_gw_inflows_1921-2003'!$A$1:$AH$1129,$D$1,FALSE)</f>
        <v>663.17</v>
      </c>
      <c r="C713" s="4" t="e">
        <f>VLOOKUP($A713,'extended_recharge_2003-2015'!$A$1:$AH$265,$D$1,FALSE)</f>
        <v>#N/A</v>
      </c>
      <c r="G713" s="6"/>
      <c r="L713" s="6"/>
    </row>
    <row r="714" spans="1:12" x14ac:dyDescent="0.2">
      <c r="A714" s="3">
        <v>29645</v>
      </c>
      <c r="B714" s="4">
        <f>VLOOKUP($A714,'existing_gw_inflows_1921-2003'!$A$1:$AH$1129,$D$1,FALSE)</f>
        <v>86.39</v>
      </c>
      <c r="C714" s="4" t="e">
        <f>VLOOKUP($A714,'extended_recharge_2003-2015'!$A$1:$AH$265,$D$1,FALSE)</f>
        <v>#N/A</v>
      </c>
      <c r="G714" s="6"/>
      <c r="L714" s="6"/>
    </row>
    <row r="715" spans="1:12" x14ac:dyDescent="0.2">
      <c r="A715" s="3">
        <v>29676</v>
      </c>
      <c r="B715" s="4">
        <f>VLOOKUP($A715,'existing_gw_inflows_1921-2003'!$A$1:$AH$1129,$D$1,FALSE)</f>
        <v>577.62000000000012</v>
      </c>
      <c r="C715" s="4" t="e">
        <f>VLOOKUP($A715,'extended_recharge_2003-2015'!$A$1:$AH$265,$D$1,FALSE)</f>
        <v>#N/A</v>
      </c>
      <c r="G715" s="6"/>
      <c r="L715" s="6"/>
    </row>
    <row r="716" spans="1:12" x14ac:dyDescent="0.2">
      <c r="A716" s="3">
        <v>29706</v>
      </c>
      <c r="B716" s="4">
        <f>VLOOKUP($A716,'existing_gw_inflows_1921-2003'!$A$1:$AH$1129,$D$1,FALSE)</f>
        <v>123.59000000000002</v>
      </c>
      <c r="C716" s="4" t="e">
        <f>VLOOKUP($A716,'extended_recharge_2003-2015'!$A$1:$AH$265,$D$1,FALSE)</f>
        <v>#N/A</v>
      </c>
      <c r="G716" s="6"/>
      <c r="L716" s="6"/>
    </row>
    <row r="717" spans="1:12" x14ac:dyDescent="0.2">
      <c r="A717" s="3">
        <v>29737</v>
      </c>
      <c r="B717" s="4">
        <f>VLOOKUP($A717,'existing_gw_inflows_1921-2003'!$A$1:$AH$1129,$D$1,FALSE)</f>
        <v>249.26999999999998</v>
      </c>
      <c r="C717" s="4" t="e">
        <f>VLOOKUP($A717,'extended_recharge_2003-2015'!$A$1:$AH$265,$D$1,FALSE)</f>
        <v>#N/A</v>
      </c>
      <c r="G717" s="6"/>
      <c r="L717" s="6"/>
    </row>
    <row r="718" spans="1:12" x14ac:dyDescent="0.2">
      <c r="A718" s="3">
        <v>29767</v>
      </c>
      <c r="B718" s="4">
        <f>VLOOKUP($A718,'existing_gw_inflows_1921-2003'!$A$1:$AH$1129,$D$1,FALSE)</f>
        <v>394.55999999999995</v>
      </c>
      <c r="C718" s="4" t="e">
        <f>VLOOKUP($A718,'extended_recharge_2003-2015'!$A$1:$AH$265,$D$1,FALSE)</f>
        <v>#N/A</v>
      </c>
      <c r="G718" s="6"/>
      <c r="L718" s="6"/>
    </row>
    <row r="719" spans="1:12" x14ac:dyDescent="0.2">
      <c r="A719" s="3">
        <v>29798</v>
      </c>
      <c r="B719" s="4">
        <f>VLOOKUP($A719,'existing_gw_inflows_1921-2003'!$A$1:$AH$1129,$D$1,FALSE)</f>
        <v>521.44000000000005</v>
      </c>
      <c r="C719" s="4" t="e">
        <f>VLOOKUP($A719,'extended_recharge_2003-2015'!$A$1:$AH$265,$D$1,FALSE)</f>
        <v>#N/A</v>
      </c>
      <c r="G719" s="6"/>
      <c r="L719" s="6"/>
    </row>
    <row r="720" spans="1:12" x14ac:dyDescent="0.2">
      <c r="A720" s="3">
        <v>29829</v>
      </c>
      <c r="B720" s="4">
        <f>VLOOKUP($A720,'existing_gw_inflows_1921-2003'!$A$1:$AH$1129,$D$1,FALSE)</f>
        <v>470.28</v>
      </c>
      <c r="C720" s="4" t="e">
        <f>VLOOKUP($A720,'extended_recharge_2003-2015'!$A$1:$AH$265,$D$1,FALSE)</f>
        <v>#N/A</v>
      </c>
      <c r="G720" s="6"/>
      <c r="L720" s="6"/>
    </row>
    <row r="721" spans="1:12" x14ac:dyDescent="0.2">
      <c r="A721" s="3">
        <v>29859</v>
      </c>
      <c r="B721" s="4">
        <f>VLOOKUP($A721,'existing_gw_inflows_1921-2003'!$A$1:$AH$1129,$D$1,FALSE)</f>
        <v>215.25000000000003</v>
      </c>
      <c r="C721" s="4" t="e">
        <f>VLOOKUP($A721,'extended_recharge_2003-2015'!$A$1:$AH$265,$D$1,FALSE)</f>
        <v>#N/A</v>
      </c>
      <c r="G721" s="6"/>
      <c r="L721" s="6"/>
    </row>
    <row r="722" spans="1:12" x14ac:dyDescent="0.2">
      <c r="A722" s="3">
        <v>29890</v>
      </c>
      <c r="B722" s="4">
        <f>VLOOKUP($A722,'existing_gw_inflows_1921-2003'!$A$1:$AH$1129,$D$1,FALSE)</f>
        <v>234.76000000000002</v>
      </c>
      <c r="C722" s="4" t="e">
        <f>VLOOKUP($A722,'extended_recharge_2003-2015'!$A$1:$AH$265,$D$1,FALSE)</f>
        <v>#N/A</v>
      </c>
      <c r="G722" s="6"/>
      <c r="L722" s="6"/>
    </row>
    <row r="723" spans="1:12" x14ac:dyDescent="0.2">
      <c r="A723" s="3">
        <v>29920</v>
      </c>
      <c r="B723" s="4">
        <f>VLOOKUP($A723,'existing_gw_inflows_1921-2003'!$A$1:$AH$1129,$D$1,FALSE)</f>
        <v>829.0400000000003</v>
      </c>
      <c r="C723" s="4" t="e">
        <f>VLOOKUP($A723,'extended_recharge_2003-2015'!$A$1:$AH$265,$D$1,FALSE)</f>
        <v>#N/A</v>
      </c>
      <c r="G723" s="6"/>
      <c r="L723" s="6"/>
    </row>
    <row r="724" spans="1:12" x14ac:dyDescent="0.2">
      <c r="A724" s="3">
        <v>29951</v>
      </c>
      <c r="B724" s="4">
        <f>VLOOKUP($A724,'existing_gw_inflows_1921-2003'!$A$1:$AH$1129,$D$1,FALSE)</f>
        <v>795.0899999999998</v>
      </c>
      <c r="C724" s="4" t="e">
        <f>VLOOKUP($A724,'extended_recharge_2003-2015'!$A$1:$AH$265,$D$1,FALSE)</f>
        <v>#N/A</v>
      </c>
      <c r="G724" s="6"/>
      <c r="L724" s="6"/>
    </row>
    <row r="725" spans="1:12" x14ac:dyDescent="0.2">
      <c r="A725" s="3">
        <v>29982</v>
      </c>
      <c r="B725" s="4">
        <f>VLOOKUP($A725,'existing_gw_inflows_1921-2003'!$A$1:$AH$1129,$D$1,FALSE)</f>
        <v>546.6099999999999</v>
      </c>
      <c r="C725" s="4" t="e">
        <f>VLOOKUP($A725,'extended_recharge_2003-2015'!$A$1:$AH$265,$D$1,FALSE)</f>
        <v>#N/A</v>
      </c>
      <c r="G725" s="6"/>
      <c r="L725" s="6"/>
    </row>
    <row r="726" spans="1:12" x14ac:dyDescent="0.2">
      <c r="A726" s="3">
        <v>30010</v>
      </c>
      <c r="B726" s="4">
        <f>VLOOKUP($A726,'existing_gw_inflows_1921-2003'!$A$1:$AH$1129,$D$1,FALSE)</f>
        <v>458.12000000000006</v>
      </c>
      <c r="C726" s="4" t="e">
        <f>VLOOKUP($A726,'extended_recharge_2003-2015'!$A$1:$AH$265,$D$1,FALSE)</f>
        <v>#N/A</v>
      </c>
      <c r="G726" s="6"/>
      <c r="L726" s="6"/>
    </row>
    <row r="727" spans="1:12" x14ac:dyDescent="0.2">
      <c r="A727" s="3">
        <v>30041</v>
      </c>
      <c r="B727" s="4">
        <f>VLOOKUP($A727,'existing_gw_inflows_1921-2003'!$A$1:$AH$1129,$D$1,FALSE)</f>
        <v>866.47000000000014</v>
      </c>
      <c r="C727" s="4" t="e">
        <f>VLOOKUP($A727,'extended_recharge_2003-2015'!$A$1:$AH$265,$D$1,FALSE)</f>
        <v>#N/A</v>
      </c>
      <c r="G727" s="6"/>
      <c r="L727" s="6"/>
    </row>
    <row r="728" spans="1:12" x14ac:dyDescent="0.2">
      <c r="A728" s="3">
        <v>30071</v>
      </c>
      <c r="B728" s="4">
        <f>VLOOKUP($A728,'existing_gw_inflows_1921-2003'!$A$1:$AH$1129,$D$1,FALSE)</f>
        <v>994.05000000000007</v>
      </c>
      <c r="C728" s="4" t="e">
        <f>VLOOKUP($A728,'extended_recharge_2003-2015'!$A$1:$AH$265,$D$1,FALSE)</f>
        <v>#N/A</v>
      </c>
      <c r="G728" s="6"/>
      <c r="L728" s="6"/>
    </row>
    <row r="729" spans="1:12" x14ac:dyDescent="0.2">
      <c r="A729" s="3">
        <v>30102</v>
      </c>
      <c r="B729" s="4">
        <f>VLOOKUP($A729,'existing_gw_inflows_1921-2003'!$A$1:$AH$1129,$D$1,FALSE)</f>
        <v>58.869999999999926</v>
      </c>
      <c r="C729" s="4" t="e">
        <f>VLOOKUP($A729,'extended_recharge_2003-2015'!$A$1:$AH$265,$D$1,FALSE)</f>
        <v>#N/A</v>
      </c>
      <c r="G729" s="6"/>
      <c r="L729" s="6"/>
    </row>
    <row r="730" spans="1:12" x14ac:dyDescent="0.2">
      <c r="A730" s="3">
        <v>30132</v>
      </c>
      <c r="B730" s="4">
        <f>VLOOKUP($A730,'existing_gw_inflows_1921-2003'!$A$1:$AH$1129,$D$1,FALSE)</f>
        <v>41.030000000000044</v>
      </c>
      <c r="C730" s="4" t="e">
        <f>VLOOKUP($A730,'extended_recharge_2003-2015'!$A$1:$AH$265,$D$1,FALSE)</f>
        <v>#N/A</v>
      </c>
      <c r="G730" s="6"/>
      <c r="L730" s="6"/>
    </row>
    <row r="731" spans="1:12" x14ac:dyDescent="0.2">
      <c r="A731" s="3">
        <v>30163</v>
      </c>
      <c r="B731" s="4">
        <f>VLOOKUP($A731,'existing_gw_inflows_1921-2003'!$A$1:$AH$1129,$D$1,FALSE)</f>
        <v>314.39999999999998</v>
      </c>
      <c r="C731" s="4" t="e">
        <f>VLOOKUP($A731,'extended_recharge_2003-2015'!$A$1:$AH$265,$D$1,FALSE)</f>
        <v>#N/A</v>
      </c>
      <c r="G731" s="6"/>
      <c r="L731" s="6"/>
    </row>
    <row r="732" spans="1:12" x14ac:dyDescent="0.2">
      <c r="A732" s="3">
        <v>30194</v>
      </c>
      <c r="B732" s="4">
        <f>VLOOKUP($A732,'existing_gw_inflows_1921-2003'!$A$1:$AH$1129,$D$1,FALSE)</f>
        <v>425.15</v>
      </c>
      <c r="C732" s="4" t="e">
        <f>VLOOKUP($A732,'extended_recharge_2003-2015'!$A$1:$AH$265,$D$1,FALSE)</f>
        <v>#N/A</v>
      </c>
      <c r="G732" s="6"/>
      <c r="L732" s="6"/>
    </row>
    <row r="733" spans="1:12" x14ac:dyDescent="0.2">
      <c r="A733" s="3">
        <v>30224</v>
      </c>
      <c r="B733" s="4">
        <f>VLOOKUP($A733,'existing_gw_inflows_1921-2003'!$A$1:$AH$1129,$D$1,FALSE)</f>
        <v>347.09000000000003</v>
      </c>
      <c r="C733" s="4" t="e">
        <f>VLOOKUP($A733,'extended_recharge_2003-2015'!$A$1:$AH$265,$D$1,FALSE)</f>
        <v>#N/A</v>
      </c>
      <c r="G733" s="6"/>
      <c r="L733" s="6"/>
    </row>
    <row r="734" spans="1:12" x14ac:dyDescent="0.2">
      <c r="A734" s="3">
        <v>30255</v>
      </c>
      <c r="B734" s="4">
        <f>VLOOKUP($A734,'existing_gw_inflows_1921-2003'!$A$1:$AH$1129,$D$1,FALSE)</f>
        <v>306.07</v>
      </c>
      <c r="C734" s="4" t="e">
        <f>VLOOKUP($A734,'extended_recharge_2003-2015'!$A$1:$AH$265,$D$1,FALSE)</f>
        <v>#N/A</v>
      </c>
      <c r="G734" s="6"/>
      <c r="L734" s="6"/>
    </row>
    <row r="735" spans="1:12" x14ac:dyDescent="0.2">
      <c r="A735" s="3">
        <v>30285</v>
      </c>
      <c r="B735" s="4">
        <f>VLOOKUP($A735,'existing_gw_inflows_1921-2003'!$A$1:$AH$1129,$D$1,FALSE)</f>
        <v>757.32999999999993</v>
      </c>
      <c r="C735" s="4" t="e">
        <f>VLOOKUP($A735,'extended_recharge_2003-2015'!$A$1:$AH$265,$D$1,FALSE)</f>
        <v>#N/A</v>
      </c>
      <c r="G735" s="6"/>
      <c r="L735" s="6"/>
    </row>
    <row r="736" spans="1:12" x14ac:dyDescent="0.2">
      <c r="A736" s="3">
        <v>30316</v>
      </c>
      <c r="B736" s="4">
        <f>VLOOKUP($A736,'existing_gw_inflows_1921-2003'!$A$1:$AH$1129,$D$1,FALSE)</f>
        <v>948.5200000000001</v>
      </c>
      <c r="C736" s="4" t="e">
        <f>VLOOKUP($A736,'extended_recharge_2003-2015'!$A$1:$AH$265,$D$1,FALSE)</f>
        <v>#N/A</v>
      </c>
      <c r="G736" s="6"/>
      <c r="L736" s="6"/>
    </row>
    <row r="737" spans="1:12" x14ac:dyDescent="0.2">
      <c r="A737" s="3">
        <v>30347</v>
      </c>
      <c r="B737" s="4">
        <f>VLOOKUP($A737,'existing_gw_inflows_1921-2003'!$A$1:$AH$1129,$D$1,FALSE)</f>
        <v>1310.9899999999998</v>
      </c>
      <c r="C737" s="4" t="e">
        <f>VLOOKUP($A737,'extended_recharge_2003-2015'!$A$1:$AH$265,$D$1,FALSE)</f>
        <v>#N/A</v>
      </c>
      <c r="G737" s="6"/>
      <c r="L737" s="6"/>
    </row>
    <row r="738" spans="1:12" x14ac:dyDescent="0.2">
      <c r="A738" s="3">
        <v>30375</v>
      </c>
      <c r="B738" s="4">
        <f>VLOOKUP($A738,'existing_gw_inflows_1921-2003'!$A$1:$AH$1129,$D$1,FALSE)</f>
        <v>1566.4</v>
      </c>
      <c r="C738" s="4" t="e">
        <f>VLOOKUP($A738,'extended_recharge_2003-2015'!$A$1:$AH$265,$D$1,FALSE)</f>
        <v>#N/A</v>
      </c>
      <c r="G738" s="6"/>
      <c r="L738" s="6"/>
    </row>
    <row r="739" spans="1:12" x14ac:dyDescent="0.2">
      <c r="A739" s="3">
        <v>30406</v>
      </c>
      <c r="B739" s="4">
        <f>VLOOKUP($A739,'existing_gw_inflows_1921-2003'!$A$1:$AH$1129,$D$1,FALSE)</f>
        <v>2339.94</v>
      </c>
      <c r="C739" s="4" t="e">
        <f>VLOOKUP($A739,'extended_recharge_2003-2015'!$A$1:$AH$265,$D$1,FALSE)</f>
        <v>#N/A</v>
      </c>
      <c r="G739" s="6"/>
      <c r="L739" s="6"/>
    </row>
    <row r="740" spans="1:12" x14ac:dyDescent="0.2">
      <c r="A740" s="3">
        <v>30436</v>
      </c>
      <c r="B740" s="4">
        <f>VLOOKUP($A740,'existing_gw_inflows_1921-2003'!$A$1:$AH$1129,$D$1,FALSE)</f>
        <v>121.69999999999997</v>
      </c>
      <c r="C740" s="4" t="e">
        <f>VLOOKUP($A740,'extended_recharge_2003-2015'!$A$1:$AH$265,$D$1,FALSE)</f>
        <v>#N/A</v>
      </c>
      <c r="G740" s="6"/>
      <c r="L740" s="6"/>
    </row>
    <row r="741" spans="1:12" x14ac:dyDescent="0.2">
      <c r="A741" s="3">
        <v>30467</v>
      </c>
      <c r="B741" s="4">
        <f>VLOOKUP($A741,'existing_gw_inflows_1921-2003'!$A$1:$AH$1129,$D$1,FALSE)</f>
        <v>475.34</v>
      </c>
      <c r="C741" s="4" t="e">
        <f>VLOOKUP($A741,'extended_recharge_2003-2015'!$A$1:$AH$265,$D$1,FALSE)</f>
        <v>#N/A</v>
      </c>
      <c r="G741" s="6"/>
      <c r="L741" s="6"/>
    </row>
    <row r="742" spans="1:12" x14ac:dyDescent="0.2">
      <c r="A742" s="3">
        <v>30497</v>
      </c>
      <c r="B742" s="4">
        <f>VLOOKUP($A742,'existing_gw_inflows_1921-2003'!$A$1:$AH$1129,$D$1,FALSE)</f>
        <v>657.68999999999994</v>
      </c>
      <c r="C742" s="4" t="e">
        <f>VLOOKUP($A742,'extended_recharge_2003-2015'!$A$1:$AH$265,$D$1,FALSE)</f>
        <v>#N/A</v>
      </c>
      <c r="G742" s="6"/>
      <c r="L742" s="6"/>
    </row>
    <row r="743" spans="1:12" x14ac:dyDescent="0.2">
      <c r="A743" s="3">
        <v>30528</v>
      </c>
      <c r="B743" s="4">
        <f>VLOOKUP($A743,'existing_gw_inflows_1921-2003'!$A$1:$AH$1129,$D$1,FALSE)</f>
        <v>486.87</v>
      </c>
      <c r="C743" s="4" t="e">
        <f>VLOOKUP($A743,'extended_recharge_2003-2015'!$A$1:$AH$265,$D$1,FALSE)</f>
        <v>#N/A</v>
      </c>
      <c r="G743" s="6"/>
      <c r="L743" s="6"/>
    </row>
    <row r="744" spans="1:12" x14ac:dyDescent="0.2">
      <c r="A744" s="3">
        <v>30559</v>
      </c>
      <c r="B744" s="4">
        <f>VLOOKUP($A744,'existing_gw_inflows_1921-2003'!$A$1:$AH$1129,$D$1,FALSE)</f>
        <v>225.93000000000004</v>
      </c>
      <c r="C744" s="4" t="e">
        <f>VLOOKUP($A744,'extended_recharge_2003-2015'!$A$1:$AH$265,$D$1,FALSE)</f>
        <v>#N/A</v>
      </c>
      <c r="G744" s="6"/>
      <c r="L744" s="6"/>
    </row>
    <row r="745" spans="1:12" x14ac:dyDescent="0.2">
      <c r="A745" s="3">
        <v>30589</v>
      </c>
      <c r="B745" s="4">
        <f>VLOOKUP($A745,'existing_gw_inflows_1921-2003'!$A$1:$AH$1129,$D$1,FALSE)</f>
        <v>338.42000000000007</v>
      </c>
      <c r="C745" s="4" t="e">
        <f>VLOOKUP($A745,'extended_recharge_2003-2015'!$A$1:$AH$265,$D$1,FALSE)</f>
        <v>#N/A</v>
      </c>
      <c r="G745" s="6"/>
      <c r="L745" s="6"/>
    </row>
    <row r="746" spans="1:12" x14ac:dyDescent="0.2">
      <c r="A746" s="3">
        <v>30620</v>
      </c>
      <c r="B746" s="4">
        <f>VLOOKUP($A746,'existing_gw_inflows_1921-2003'!$A$1:$AH$1129,$D$1,FALSE)</f>
        <v>276.08</v>
      </c>
      <c r="C746" s="4" t="e">
        <f>VLOOKUP($A746,'extended_recharge_2003-2015'!$A$1:$AH$265,$D$1,FALSE)</f>
        <v>#N/A</v>
      </c>
      <c r="G746" s="6"/>
      <c r="L746" s="6"/>
    </row>
    <row r="747" spans="1:12" x14ac:dyDescent="0.2">
      <c r="A747" s="3">
        <v>30650</v>
      </c>
      <c r="B747" s="4">
        <f>VLOOKUP($A747,'existing_gw_inflows_1921-2003'!$A$1:$AH$1129,$D$1,FALSE)</f>
        <v>890.90999999999985</v>
      </c>
      <c r="C747" s="4" t="e">
        <f>VLOOKUP($A747,'extended_recharge_2003-2015'!$A$1:$AH$265,$D$1,FALSE)</f>
        <v>#N/A</v>
      </c>
      <c r="G747" s="6"/>
      <c r="L747" s="6"/>
    </row>
    <row r="748" spans="1:12" x14ac:dyDescent="0.2">
      <c r="A748" s="3">
        <v>30681</v>
      </c>
      <c r="B748" s="4">
        <f>VLOOKUP($A748,'existing_gw_inflows_1921-2003'!$A$1:$AH$1129,$D$1,FALSE)</f>
        <v>1629.65</v>
      </c>
      <c r="C748" s="4" t="e">
        <f>VLOOKUP($A748,'extended_recharge_2003-2015'!$A$1:$AH$265,$D$1,FALSE)</f>
        <v>#N/A</v>
      </c>
      <c r="G748" s="6"/>
      <c r="L748" s="6"/>
    </row>
    <row r="749" spans="1:12" x14ac:dyDescent="0.2">
      <c r="A749" s="3">
        <v>30712</v>
      </c>
      <c r="B749" s="4">
        <f>VLOOKUP($A749,'existing_gw_inflows_1921-2003'!$A$1:$AH$1129,$D$1,FALSE)</f>
        <v>8.719999999999942</v>
      </c>
      <c r="C749" s="4" t="e">
        <f>VLOOKUP($A749,'extended_recharge_2003-2015'!$A$1:$AH$265,$D$1,FALSE)</f>
        <v>#N/A</v>
      </c>
      <c r="G749" s="6"/>
      <c r="L749" s="6"/>
    </row>
    <row r="750" spans="1:12" x14ac:dyDescent="0.2">
      <c r="A750" s="3">
        <v>30741</v>
      </c>
      <c r="B750" s="4">
        <f>VLOOKUP($A750,'existing_gw_inflows_1921-2003'!$A$1:$AH$1129,$D$1,FALSE)</f>
        <v>-242.74</v>
      </c>
      <c r="C750" s="4" t="e">
        <f>VLOOKUP($A750,'extended_recharge_2003-2015'!$A$1:$AH$265,$D$1,FALSE)</f>
        <v>#N/A</v>
      </c>
      <c r="G750" s="6"/>
      <c r="L750" s="6"/>
    </row>
    <row r="751" spans="1:12" x14ac:dyDescent="0.2">
      <c r="A751" s="3">
        <v>30772</v>
      </c>
      <c r="B751" s="4">
        <f>VLOOKUP($A751,'existing_gw_inflows_1921-2003'!$A$1:$AH$1129,$D$1,FALSE)</f>
        <v>152.57</v>
      </c>
      <c r="C751" s="4" t="e">
        <f>VLOOKUP($A751,'extended_recharge_2003-2015'!$A$1:$AH$265,$D$1,FALSE)</f>
        <v>#N/A</v>
      </c>
      <c r="G751" s="6"/>
      <c r="L751" s="6"/>
    </row>
    <row r="752" spans="1:12" x14ac:dyDescent="0.2">
      <c r="A752" s="3">
        <v>30802</v>
      </c>
      <c r="B752" s="4">
        <f>VLOOKUP($A752,'existing_gw_inflows_1921-2003'!$A$1:$AH$1129,$D$1,FALSE)</f>
        <v>9.8899999999999793</v>
      </c>
      <c r="C752" s="4" t="e">
        <f>VLOOKUP($A752,'extended_recharge_2003-2015'!$A$1:$AH$265,$D$1,FALSE)</f>
        <v>#N/A</v>
      </c>
      <c r="G752" s="6"/>
      <c r="L752" s="6"/>
    </row>
    <row r="753" spans="1:12" x14ac:dyDescent="0.2">
      <c r="A753" s="3">
        <v>30833</v>
      </c>
      <c r="B753" s="4">
        <f>VLOOKUP($A753,'existing_gw_inflows_1921-2003'!$A$1:$AH$1129,$D$1,FALSE)</f>
        <v>164.25</v>
      </c>
      <c r="C753" s="4" t="e">
        <f>VLOOKUP($A753,'extended_recharge_2003-2015'!$A$1:$AH$265,$D$1,FALSE)</f>
        <v>#N/A</v>
      </c>
      <c r="G753" s="6"/>
      <c r="L753" s="6"/>
    </row>
    <row r="754" spans="1:12" x14ac:dyDescent="0.2">
      <c r="A754" s="3">
        <v>30863</v>
      </c>
      <c r="B754" s="4">
        <f>VLOOKUP($A754,'existing_gw_inflows_1921-2003'!$A$1:$AH$1129,$D$1,FALSE)</f>
        <v>298.75</v>
      </c>
      <c r="C754" s="4" t="e">
        <f>VLOOKUP($A754,'extended_recharge_2003-2015'!$A$1:$AH$265,$D$1,FALSE)</f>
        <v>#N/A</v>
      </c>
      <c r="G754" s="6"/>
      <c r="L754" s="6"/>
    </row>
    <row r="755" spans="1:12" x14ac:dyDescent="0.2">
      <c r="A755" s="3">
        <v>30894</v>
      </c>
      <c r="B755" s="4">
        <f>VLOOKUP($A755,'existing_gw_inflows_1921-2003'!$A$1:$AH$1129,$D$1,FALSE)</f>
        <v>465.63</v>
      </c>
      <c r="C755" s="4" t="e">
        <f>VLOOKUP($A755,'extended_recharge_2003-2015'!$A$1:$AH$265,$D$1,FALSE)</f>
        <v>#N/A</v>
      </c>
      <c r="G755" s="6"/>
      <c r="L755" s="6"/>
    </row>
    <row r="756" spans="1:12" x14ac:dyDescent="0.2">
      <c r="A756" s="3">
        <v>30925</v>
      </c>
      <c r="B756" s="4">
        <f>VLOOKUP($A756,'existing_gw_inflows_1921-2003'!$A$1:$AH$1129,$D$1,FALSE)</f>
        <v>431.69</v>
      </c>
      <c r="C756" s="4" t="e">
        <f>VLOOKUP($A756,'extended_recharge_2003-2015'!$A$1:$AH$265,$D$1,FALSE)</f>
        <v>#N/A</v>
      </c>
      <c r="G756" s="6"/>
      <c r="L756" s="6"/>
    </row>
    <row r="757" spans="1:12" x14ac:dyDescent="0.2">
      <c r="A757" s="3">
        <v>30955</v>
      </c>
      <c r="B757" s="4">
        <f>VLOOKUP($A757,'existing_gw_inflows_1921-2003'!$A$1:$AH$1129,$D$1,FALSE)</f>
        <v>249.89</v>
      </c>
      <c r="C757" s="4" t="e">
        <f>VLOOKUP($A757,'extended_recharge_2003-2015'!$A$1:$AH$265,$D$1,FALSE)</f>
        <v>#N/A</v>
      </c>
      <c r="G757" s="6"/>
      <c r="L757" s="6"/>
    </row>
    <row r="758" spans="1:12" x14ac:dyDescent="0.2">
      <c r="A758" s="3">
        <v>30986</v>
      </c>
      <c r="B758" s="4">
        <f>VLOOKUP($A758,'existing_gw_inflows_1921-2003'!$A$1:$AH$1129,$D$1,FALSE)</f>
        <v>216.76999999999998</v>
      </c>
      <c r="C758" s="4" t="e">
        <f>VLOOKUP($A758,'extended_recharge_2003-2015'!$A$1:$AH$265,$D$1,FALSE)</f>
        <v>#N/A</v>
      </c>
      <c r="G758" s="6"/>
      <c r="L758" s="6"/>
    </row>
    <row r="759" spans="1:12" x14ac:dyDescent="0.2">
      <c r="A759" s="3">
        <v>31016</v>
      </c>
      <c r="B759" s="4">
        <f>VLOOKUP($A759,'existing_gw_inflows_1921-2003'!$A$1:$AH$1129,$D$1,FALSE)</f>
        <v>688.63000000000022</v>
      </c>
      <c r="C759" s="4" t="e">
        <f>VLOOKUP($A759,'extended_recharge_2003-2015'!$A$1:$AH$265,$D$1,FALSE)</f>
        <v>#N/A</v>
      </c>
      <c r="G759" s="6"/>
      <c r="L759" s="6"/>
    </row>
    <row r="760" spans="1:12" x14ac:dyDescent="0.2">
      <c r="A760" s="3">
        <v>31047</v>
      </c>
      <c r="B760" s="4">
        <f>VLOOKUP($A760,'existing_gw_inflows_1921-2003'!$A$1:$AH$1129,$D$1,FALSE)</f>
        <v>341.84</v>
      </c>
      <c r="C760" s="4" t="e">
        <f>VLOOKUP($A760,'extended_recharge_2003-2015'!$A$1:$AH$265,$D$1,FALSE)</f>
        <v>#N/A</v>
      </c>
      <c r="G760" s="6"/>
      <c r="L760" s="6"/>
    </row>
    <row r="761" spans="1:12" x14ac:dyDescent="0.2">
      <c r="A761" s="3">
        <v>31078</v>
      </c>
      <c r="B761" s="4">
        <f>VLOOKUP($A761,'existing_gw_inflows_1921-2003'!$A$1:$AH$1129,$D$1,FALSE)</f>
        <v>30.920000000000016</v>
      </c>
      <c r="C761" s="4" t="e">
        <f>VLOOKUP($A761,'extended_recharge_2003-2015'!$A$1:$AH$265,$D$1,FALSE)</f>
        <v>#N/A</v>
      </c>
      <c r="G761" s="6"/>
      <c r="L761" s="6"/>
    </row>
    <row r="762" spans="1:12" x14ac:dyDescent="0.2">
      <c r="A762" s="3">
        <v>31106</v>
      </c>
      <c r="B762" s="4">
        <f>VLOOKUP($A762,'existing_gw_inflows_1921-2003'!$A$1:$AH$1129,$D$1,FALSE)</f>
        <v>138.35000000000002</v>
      </c>
      <c r="C762" s="4" t="e">
        <f>VLOOKUP($A762,'extended_recharge_2003-2015'!$A$1:$AH$265,$D$1,FALSE)</f>
        <v>#N/A</v>
      </c>
      <c r="G762" s="6"/>
      <c r="L762" s="6"/>
    </row>
    <row r="763" spans="1:12" x14ac:dyDescent="0.2">
      <c r="A763" s="3">
        <v>31137</v>
      </c>
      <c r="B763" s="4">
        <f>VLOOKUP($A763,'existing_gw_inflows_1921-2003'!$A$1:$AH$1129,$D$1,FALSE)</f>
        <v>336.06</v>
      </c>
      <c r="C763" s="4" t="e">
        <f>VLOOKUP($A763,'extended_recharge_2003-2015'!$A$1:$AH$265,$D$1,FALSE)</f>
        <v>#N/A</v>
      </c>
      <c r="G763" s="6"/>
      <c r="L763" s="6"/>
    </row>
    <row r="764" spans="1:12" x14ac:dyDescent="0.2">
      <c r="A764" s="3">
        <v>31167</v>
      </c>
      <c r="B764" s="4">
        <f>VLOOKUP($A764,'existing_gw_inflows_1921-2003'!$A$1:$AH$1129,$D$1,FALSE)</f>
        <v>134.11000000000001</v>
      </c>
      <c r="C764" s="4" t="e">
        <f>VLOOKUP($A764,'extended_recharge_2003-2015'!$A$1:$AH$265,$D$1,FALSE)</f>
        <v>#N/A</v>
      </c>
      <c r="G764" s="6"/>
      <c r="L764" s="6"/>
    </row>
    <row r="765" spans="1:12" x14ac:dyDescent="0.2">
      <c r="A765" s="3">
        <v>31198</v>
      </c>
      <c r="B765" s="4">
        <f>VLOOKUP($A765,'existing_gw_inflows_1921-2003'!$A$1:$AH$1129,$D$1,FALSE)</f>
        <v>242.18000000000004</v>
      </c>
      <c r="C765" s="4" t="e">
        <f>VLOOKUP($A765,'extended_recharge_2003-2015'!$A$1:$AH$265,$D$1,FALSE)</f>
        <v>#N/A</v>
      </c>
      <c r="G765" s="6"/>
      <c r="L765" s="6"/>
    </row>
    <row r="766" spans="1:12" x14ac:dyDescent="0.2">
      <c r="A766" s="3">
        <v>31228</v>
      </c>
      <c r="B766" s="4">
        <f>VLOOKUP($A766,'existing_gw_inflows_1921-2003'!$A$1:$AH$1129,$D$1,FALSE)</f>
        <v>377.59</v>
      </c>
      <c r="C766" s="4" t="e">
        <f>VLOOKUP($A766,'extended_recharge_2003-2015'!$A$1:$AH$265,$D$1,FALSE)</f>
        <v>#N/A</v>
      </c>
      <c r="G766" s="6"/>
      <c r="L766" s="6"/>
    </row>
    <row r="767" spans="1:12" x14ac:dyDescent="0.2">
      <c r="A767" s="3">
        <v>31259</v>
      </c>
      <c r="B767" s="4">
        <f>VLOOKUP($A767,'existing_gw_inflows_1921-2003'!$A$1:$AH$1129,$D$1,FALSE)</f>
        <v>522.09</v>
      </c>
      <c r="C767" s="4" t="e">
        <f>VLOOKUP($A767,'extended_recharge_2003-2015'!$A$1:$AH$265,$D$1,FALSE)</f>
        <v>#N/A</v>
      </c>
      <c r="G767" s="6"/>
      <c r="L767" s="6"/>
    </row>
    <row r="768" spans="1:12" x14ac:dyDescent="0.2">
      <c r="A768" s="3">
        <v>31290</v>
      </c>
      <c r="B768" s="4">
        <f>VLOOKUP($A768,'existing_gw_inflows_1921-2003'!$A$1:$AH$1129,$D$1,FALSE)</f>
        <v>407.9</v>
      </c>
      <c r="C768" s="4" t="e">
        <f>VLOOKUP($A768,'extended_recharge_2003-2015'!$A$1:$AH$265,$D$1,FALSE)</f>
        <v>#N/A</v>
      </c>
      <c r="G768" s="6"/>
      <c r="L768" s="6"/>
    </row>
    <row r="769" spans="1:12" x14ac:dyDescent="0.2">
      <c r="A769" s="3">
        <v>31320</v>
      </c>
      <c r="B769" s="4">
        <f>VLOOKUP($A769,'existing_gw_inflows_1921-2003'!$A$1:$AH$1129,$D$1,FALSE)</f>
        <v>177.75</v>
      </c>
      <c r="C769" s="4" t="e">
        <f>VLOOKUP($A769,'extended_recharge_2003-2015'!$A$1:$AH$265,$D$1,FALSE)</f>
        <v>#N/A</v>
      </c>
      <c r="G769" s="6"/>
      <c r="L769" s="6"/>
    </row>
    <row r="770" spans="1:12" x14ac:dyDescent="0.2">
      <c r="A770" s="3">
        <v>31351</v>
      </c>
      <c r="B770" s="4">
        <f>VLOOKUP($A770,'existing_gw_inflows_1921-2003'!$A$1:$AH$1129,$D$1,FALSE)</f>
        <v>123.99000000000002</v>
      </c>
      <c r="C770" s="4" t="e">
        <f>VLOOKUP($A770,'extended_recharge_2003-2015'!$A$1:$AH$265,$D$1,FALSE)</f>
        <v>#N/A</v>
      </c>
      <c r="G770" s="6"/>
      <c r="L770" s="6"/>
    </row>
    <row r="771" spans="1:12" x14ac:dyDescent="0.2">
      <c r="A771" s="3">
        <v>31381</v>
      </c>
      <c r="B771" s="4">
        <f>VLOOKUP($A771,'existing_gw_inflows_1921-2003'!$A$1:$AH$1129,$D$1,FALSE)</f>
        <v>450.73000000000008</v>
      </c>
      <c r="C771" s="4" t="e">
        <f>VLOOKUP($A771,'extended_recharge_2003-2015'!$A$1:$AH$265,$D$1,FALSE)</f>
        <v>#N/A</v>
      </c>
      <c r="G771" s="6"/>
      <c r="L771" s="6"/>
    </row>
    <row r="772" spans="1:12" x14ac:dyDescent="0.2">
      <c r="A772" s="3">
        <v>31412</v>
      </c>
      <c r="B772" s="4">
        <f>VLOOKUP($A772,'existing_gw_inflows_1921-2003'!$A$1:$AH$1129,$D$1,FALSE)</f>
        <v>210.25000000000003</v>
      </c>
      <c r="C772" s="4" t="e">
        <f>VLOOKUP($A772,'extended_recharge_2003-2015'!$A$1:$AH$265,$D$1,FALSE)</f>
        <v>#N/A</v>
      </c>
      <c r="G772" s="6"/>
      <c r="L772" s="6"/>
    </row>
    <row r="773" spans="1:12" x14ac:dyDescent="0.2">
      <c r="A773" s="3">
        <v>31443</v>
      </c>
      <c r="B773" s="4">
        <f>VLOOKUP($A773,'existing_gw_inflows_1921-2003'!$A$1:$AH$1129,$D$1,FALSE)</f>
        <v>408.90999999999997</v>
      </c>
      <c r="C773" s="4" t="e">
        <f>VLOOKUP($A773,'extended_recharge_2003-2015'!$A$1:$AH$265,$D$1,FALSE)</f>
        <v>#N/A</v>
      </c>
      <c r="G773" s="6"/>
      <c r="L773" s="6"/>
    </row>
    <row r="774" spans="1:12" x14ac:dyDescent="0.2">
      <c r="A774" s="3">
        <v>31471</v>
      </c>
      <c r="B774" s="4">
        <f>VLOOKUP($A774,'existing_gw_inflows_1921-2003'!$A$1:$AH$1129,$D$1,FALSE)</f>
        <v>2163.5500000000002</v>
      </c>
      <c r="C774" s="4" t="e">
        <f>VLOOKUP($A774,'extended_recharge_2003-2015'!$A$1:$AH$265,$D$1,FALSE)</f>
        <v>#N/A</v>
      </c>
      <c r="G774" s="6"/>
      <c r="L774" s="6"/>
    </row>
    <row r="775" spans="1:12" x14ac:dyDescent="0.2">
      <c r="A775" s="3">
        <v>31502</v>
      </c>
      <c r="B775" s="4">
        <f>VLOOKUP($A775,'existing_gw_inflows_1921-2003'!$A$1:$AH$1129,$D$1,FALSE)</f>
        <v>1131.94</v>
      </c>
      <c r="C775" s="4" t="e">
        <f>VLOOKUP($A775,'extended_recharge_2003-2015'!$A$1:$AH$265,$D$1,FALSE)</f>
        <v>#N/A</v>
      </c>
      <c r="G775" s="6"/>
      <c r="L775" s="6"/>
    </row>
    <row r="776" spans="1:12" x14ac:dyDescent="0.2">
      <c r="A776" s="3">
        <v>31532</v>
      </c>
      <c r="B776" s="4">
        <f>VLOOKUP($A776,'existing_gw_inflows_1921-2003'!$A$1:$AH$1129,$D$1,FALSE)</f>
        <v>-326.23999999999995</v>
      </c>
      <c r="C776" s="4" t="e">
        <f>VLOOKUP($A776,'extended_recharge_2003-2015'!$A$1:$AH$265,$D$1,FALSE)</f>
        <v>#N/A</v>
      </c>
      <c r="G776" s="6"/>
      <c r="L776" s="6"/>
    </row>
    <row r="777" spans="1:12" x14ac:dyDescent="0.2">
      <c r="A777" s="3">
        <v>31563</v>
      </c>
      <c r="B777" s="4">
        <f>VLOOKUP($A777,'existing_gw_inflows_1921-2003'!$A$1:$AH$1129,$D$1,FALSE)</f>
        <v>-51.139999999999972</v>
      </c>
      <c r="C777" s="4" t="e">
        <f>VLOOKUP($A777,'extended_recharge_2003-2015'!$A$1:$AH$265,$D$1,FALSE)</f>
        <v>#N/A</v>
      </c>
      <c r="G777" s="6"/>
      <c r="L777" s="6"/>
    </row>
    <row r="778" spans="1:12" x14ac:dyDescent="0.2">
      <c r="A778" s="3">
        <v>31593</v>
      </c>
      <c r="B778" s="4">
        <f>VLOOKUP($A778,'existing_gw_inflows_1921-2003'!$A$1:$AH$1129,$D$1,FALSE)</f>
        <v>220.28</v>
      </c>
      <c r="C778" s="4" t="e">
        <f>VLOOKUP($A778,'extended_recharge_2003-2015'!$A$1:$AH$265,$D$1,FALSE)</f>
        <v>#N/A</v>
      </c>
      <c r="G778" s="6"/>
      <c r="L778" s="6"/>
    </row>
    <row r="779" spans="1:12" x14ac:dyDescent="0.2">
      <c r="A779" s="3">
        <v>31624</v>
      </c>
      <c r="B779" s="4">
        <f>VLOOKUP($A779,'existing_gw_inflows_1921-2003'!$A$1:$AH$1129,$D$1,FALSE)</f>
        <v>347.09</v>
      </c>
      <c r="C779" s="4" t="e">
        <f>VLOOKUP($A779,'extended_recharge_2003-2015'!$A$1:$AH$265,$D$1,FALSE)</f>
        <v>#N/A</v>
      </c>
      <c r="G779" s="6"/>
      <c r="L779" s="6"/>
    </row>
    <row r="780" spans="1:12" x14ac:dyDescent="0.2">
      <c r="A780" s="3">
        <v>31655</v>
      </c>
      <c r="B780" s="4">
        <f>VLOOKUP($A780,'existing_gw_inflows_1921-2003'!$A$1:$AH$1129,$D$1,FALSE)</f>
        <v>362.43</v>
      </c>
      <c r="C780" s="4" t="e">
        <f>VLOOKUP($A780,'extended_recharge_2003-2015'!$A$1:$AH$265,$D$1,FALSE)</f>
        <v>#N/A</v>
      </c>
      <c r="G780" s="6"/>
      <c r="L780" s="6"/>
    </row>
    <row r="781" spans="1:12" x14ac:dyDescent="0.2">
      <c r="A781" s="3">
        <v>31685</v>
      </c>
      <c r="B781" s="4">
        <f>VLOOKUP($A781,'existing_gw_inflows_1921-2003'!$A$1:$AH$1129,$D$1,FALSE)</f>
        <v>289.51000000000005</v>
      </c>
      <c r="C781" s="4" t="e">
        <f>VLOOKUP($A781,'extended_recharge_2003-2015'!$A$1:$AH$265,$D$1,FALSE)</f>
        <v>#N/A</v>
      </c>
      <c r="G781" s="6"/>
      <c r="L781" s="6"/>
    </row>
    <row r="782" spans="1:12" x14ac:dyDescent="0.2">
      <c r="A782" s="3">
        <v>31716</v>
      </c>
      <c r="B782" s="4">
        <f>VLOOKUP($A782,'existing_gw_inflows_1921-2003'!$A$1:$AH$1129,$D$1,FALSE)</f>
        <v>184.40999999999997</v>
      </c>
      <c r="C782" s="4" t="e">
        <f>VLOOKUP($A782,'extended_recharge_2003-2015'!$A$1:$AH$265,$D$1,FALSE)</f>
        <v>#N/A</v>
      </c>
      <c r="G782" s="6"/>
      <c r="L782" s="6"/>
    </row>
    <row r="783" spans="1:12" x14ac:dyDescent="0.2">
      <c r="A783" s="3">
        <v>31746</v>
      </c>
      <c r="B783" s="4">
        <f>VLOOKUP($A783,'existing_gw_inflows_1921-2003'!$A$1:$AH$1129,$D$1,FALSE)</f>
        <v>153.89000000000001</v>
      </c>
      <c r="C783" s="4" t="e">
        <f>VLOOKUP($A783,'extended_recharge_2003-2015'!$A$1:$AH$265,$D$1,FALSE)</f>
        <v>#N/A</v>
      </c>
      <c r="G783" s="6"/>
      <c r="L783" s="6"/>
    </row>
    <row r="784" spans="1:12" x14ac:dyDescent="0.2">
      <c r="A784" s="3">
        <v>31777</v>
      </c>
      <c r="B784" s="4">
        <f>VLOOKUP($A784,'existing_gw_inflows_1921-2003'!$A$1:$AH$1129,$D$1,FALSE)</f>
        <v>233.17</v>
      </c>
      <c r="C784" s="4" t="e">
        <f>VLOOKUP($A784,'extended_recharge_2003-2015'!$A$1:$AH$265,$D$1,FALSE)</f>
        <v>#N/A</v>
      </c>
      <c r="G784" s="6"/>
      <c r="L784" s="6"/>
    </row>
    <row r="785" spans="1:12" x14ac:dyDescent="0.2">
      <c r="A785" s="3">
        <v>31808</v>
      </c>
      <c r="B785" s="4">
        <f>VLOOKUP($A785,'existing_gw_inflows_1921-2003'!$A$1:$AH$1129,$D$1,FALSE)</f>
        <v>253.63000000000002</v>
      </c>
      <c r="C785" s="4" t="e">
        <f>VLOOKUP($A785,'extended_recharge_2003-2015'!$A$1:$AH$265,$D$1,FALSE)</f>
        <v>#N/A</v>
      </c>
      <c r="G785" s="6"/>
      <c r="L785" s="6"/>
    </row>
    <row r="786" spans="1:12" x14ac:dyDescent="0.2">
      <c r="A786" s="3">
        <v>31836</v>
      </c>
      <c r="B786" s="4">
        <f>VLOOKUP($A786,'existing_gw_inflows_1921-2003'!$A$1:$AH$1129,$D$1,FALSE)</f>
        <v>286.61</v>
      </c>
      <c r="C786" s="4" t="e">
        <f>VLOOKUP($A786,'extended_recharge_2003-2015'!$A$1:$AH$265,$D$1,FALSE)</f>
        <v>#N/A</v>
      </c>
      <c r="G786" s="6"/>
      <c r="L786" s="6"/>
    </row>
    <row r="787" spans="1:12" x14ac:dyDescent="0.2">
      <c r="A787" s="3">
        <v>31867</v>
      </c>
      <c r="B787" s="4">
        <f>VLOOKUP($A787,'existing_gw_inflows_1921-2003'!$A$1:$AH$1129,$D$1,FALSE)</f>
        <v>436.16999999999996</v>
      </c>
      <c r="C787" s="4" t="e">
        <f>VLOOKUP($A787,'extended_recharge_2003-2015'!$A$1:$AH$265,$D$1,FALSE)</f>
        <v>#N/A</v>
      </c>
      <c r="G787" s="6"/>
      <c r="L787" s="6"/>
    </row>
    <row r="788" spans="1:12" x14ac:dyDescent="0.2">
      <c r="A788" s="3">
        <v>31897</v>
      </c>
      <c r="B788" s="4">
        <f>VLOOKUP($A788,'existing_gw_inflows_1921-2003'!$A$1:$AH$1129,$D$1,FALSE)</f>
        <v>89.710000000000008</v>
      </c>
      <c r="C788" s="4" t="e">
        <f>VLOOKUP($A788,'extended_recharge_2003-2015'!$A$1:$AH$265,$D$1,FALSE)</f>
        <v>#N/A</v>
      </c>
      <c r="G788" s="6"/>
      <c r="L788" s="6"/>
    </row>
    <row r="789" spans="1:12" x14ac:dyDescent="0.2">
      <c r="A789" s="3">
        <v>31928</v>
      </c>
      <c r="B789" s="4">
        <f>VLOOKUP($A789,'existing_gw_inflows_1921-2003'!$A$1:$AH$1129,$D$1,FALSE)</f>
        <v>193.59000000000003</v>
      </c>
      <c r="C789" s="4" t="e">
        <f>VLOOKUP($A789,'extended_recharge_2003-2015'!$A$1:$AH$265,$D$1,FALSE)</f>
        <v>#N/A</v>
      </c>
      <c r="G789" s="6"/>
      <c r="L789" s="6"/>
    </row>
    <row r="790" spans="1:12" x14ac:dyDescent="0.2">
      <c r="A790" s="3">
        <v>31958</v>
      </c>
      <c r="B790" s="4">
        <f>VLOOKUP($A790,'existing_gw_inflows_1921-2003'!$A$1:$AH$1129,$D$1,FALSE)</f>
        <v>364.03</v>
      </c>
      <c r="C790" s="4" t="e">
        <f>VLOOKUP($A790,'extended_recharge_2003-2015'!$A$1:$AH$265,$D$1,FALSE)</f>
        <v>#N/A</v>
      </c>
      <c r="G790" s="6"/>
      <c r="L790" s="6"/>
    </row>
    <row r="791" spans="1:12" x14ac:dyDescent="0.2">
      <c r="A791" s="3">
        <v>31989</v>
      </c>
      <c r="B791" s="4">
        <f>VLOOKUP($A791,'existing_gw_inflows_1921-2003'!$A$1:$AH$1129,$D$1,FALSE)</f>
        <v>464.38000000000005</v>
      </c>
      <c r="C791" s="4" t="e">
        <f>VLOOKUP($A791,'extended_recharge_2003-2015'!$A$1:$AH$265,$D$1,FALSE)</f>
        <v>#N/A</v>
      </c>
      <c r="G791" s="6"/>
      <c r="L791" s="6"/>
    </row>
    <row r="792" spans="1:12" x14ac:dyDescent="0.2">
      <c r="A792" s="3">
        <v>32020</v>
      </c>
      <c r="B792" s="4">
        <f>VLOOKUP($A792,'existing_gw_inflows_1921-2003'!$A$1:$AH$1129,$D$1,FALSE)</f>
        <v>394.30000000000007</v>
      </c>
      <c r="C792" s="4" t="e">
        <f>VLOOKUP($A792,'extended_recharge_2003-2015'!$A$1:$AH$265,$D$1,FALSE)</f>
        <v>#N/A</v>
      </c>
      <c r="G792" s="6"/>
      <c r="L792" s="6"/>
    </row>
    <row r="793" spans="1:12" x14ac:dyDescent="0.2">
      <c r="A793" s="3">
        <v>32050</v>
      </c>
      <c r="B793" s="4">
        <f>VLOOKUP($A793,'existing_gw_inflows_1921-2003'!$A$1:$AH$1129,$D$1,FALSE)</f>
        <v>177.97999999999996</v>
      </c>
      <c r="C793" s="4" t="e">
        <f>VLOOKUP($A793,'extended_recharge_2003-2015'!$A$1:$AH$265,$D$1,FALSE)</f>
        <v>#N/A</v>
      </c>
      <c r="G793" s="6"/>
      <c r="L793" s="6"/>
    </row>
    <row r="794" spans="1:12" x14ac:dyDescent="0.2">
      <c r="A794" s="3">
        <v>32081</v>
      </c>
      <c r="B794" s="4">
        <f>VLOOKUP($A794,'existing_gw_inflows_1921-2003'!$A$1:$AH$1129,$D$1,FALSE)</f>
        <v>140.27999999999997</v>
      </c>
      <c r="C794" s="4" t="e">
        <f>VLOOKUP($A794,'extended_recharge_2003-2015'!$A$1:$AH$265,$D$1,FALSE)</f>
        <v>#N/A</v>
      </c>
      <c r="G794" s="6"/>
      <c r="L794" s="6"/>
    </row>
    <row r="795" spans="1:12" x14ac:dyDescent="0.2">
      <c r="A795" s="3">
        <v>32111</v>
      </c>
      <c r="B795" s="4">
        <f>VLOOKUP($A795,'existing_gw_inflows_1921-2003'!$A$1:$AH$1129,$D$1,FALSE)</f>
        <v>207.56000000000003</v>
      </c>
      <c r="C795" s="4" t="e">
        <f>VLOOKUP($A795,'extended_recharge_2003-2015'!$A$1:$AH$265,$D$1,FALSE)</f>
        <v>#N/A</v>
      </c>
      <c r="G795" s="6"/>
      <c r="L795" s="6"/>
    </row>
    <row r="796" spans="1:12" x14ac:dyDescent="0.2">
      <c r="A796" s="3">
        <v>32142</v>
      </c>
      <c r="B796" s="4">
        <f>VLOOKUP($A796,'existing_gw_inflows_1921-2003'!$A$1:$AH$1129,$D$1,FALSE)</f>
        <v>509.33999999999992</v>
      </c>
      <c r="C796" s="4" t="e">
        <f>VLOOKUP($A796,'extended_recharge_2003-2015'!$A$1:$AH$265,$D$1,FALSE)</f>
        <v>#N/A</v>
      </c>
      <c r="G796" s="6"/>
      <c r="L796" s="6"/>
    </row>
    <row r="797" spans="1:12" x14ac:dyDescent="0.2">
      <c r="A797" s="3">
        <v>32173</v>
      </c>
      <c r="B797" s="4">
        <f>VLOOKUP($A797,'existing_gw_inflows_1921-2003'!$A$1:$AH$1129,$D$1,FALSE)</f>
        <v>410.13</v>
      </c>
      <c r="C797" s="4" t="e">
        <f>VLOOKUP($A797,'extended_recharge_2003-2015'!$A$1:$AH$265,$D$1,FALSE)</f>
        <v>#N/A</v>
      </c>
      <c r="G797" s="6"/>
      <c r="L797" s="6"/>
    </row>
    <row r="798" spans="1:12" x14ac:dyDescent="0.2">
      <c r="A798" s="3">
        <v>32202</v>
      </c>
      <c r="B798" s="4">
        <f>VLOOKUP($A798,'existing_gw_inflows_1921-2003'!$A$1:$AH$1129,$D$1,FALSE)</f>
        <v>71.289999999999992</v>
      </c>
      <c r="C798" s="4" t="e">
        <f>VLOOKUP($A798,'extended_recharge_2003-2015'!$A$1:$AH$265,$D$1,FALSE)</f>
        <v>#N/A</v>
      </c>
      <c r="G798" s="6"/>
      <c r="L798" s="6"/>
    </row>
    <row r="799" spans="1:12" x14ac:dyDescent="0.2">
      <c r="A799" s="3">
        <v>32233</v>
      </c>
      <c r="B799" s="4">
        <f>VLOOKUP($A799,'existing_gw_inflows_1921-2003'!$A$1:$AH$1129,$D$1,FALSE)</f>
        <v>242.70999999999998</v>
      </c>
      <c r="C799" s="4" t="e">
        <f>VLOOKUP($A799,'extended_recharge_2003-2015'!$A$1:$AH$265,$D$1,FALSE)</f>
        <v>#N/A</v>
      </c>
      <c r="G799" s="6"/>
      <c r="L799" s="6"/>
    </row>
    <row r="800" spans="1:12" x14ac:dyDescent="0.2">
      <c r="A800" s="3">
        <v>32263</v>
      </c>
      <c r="B800" s="4">
        <f>VLOOKUP($A800,'existing_gw_inflows_1921-2003'!$A$1:$AH$1129,$D$1,FALSE)</f>
        <v>364.29</v>
      </c>
      <c r="C800" s="4" t="e">
        <f>VLOOKUP($A800,'extended_recharge_2003-2015'!$A$1:$AH$265,$D$1,FALSE)</f>
        <v>#N/A</v>
      </c>
      <c r="G800" s="6"/>
      <c r="L800" s="6"/>
    </row>
    <row r="801" spans="1:12" x14ac:dyDescent="0.2">
      <c r="A801" s="3">
        <v>32294</v>
      </c>
      <c r="B801" s="4">
        <f>VLOOKUP($A801,'existing_gw_inflows_1921-2003'!$A$1:$AH$1129,$D$1,FALSE)</f>
        <v>180.04</v>
      </c>
      <c r="C801" s="4" t="e">
        <f>VLOOKUP($A801,'extended_recharge_2003-2015'!$A$1:$AH$265,$D$1,FALSE)</f>
        <v>#N/A</v>
      </c>
      <c r="G801" s="6"/>
      <c r="L801" s="6"/>
    </row>
    <row r="802" spans="1:12" x14ac:dyDescent="0.2">
      <c r="A802" s="3">
        <v>32324</v>
      </c>
      <c r="B802" s="4">
        <f>VLOOKUP($A802,'existing_gw_inflows_1921-2003'!$A$1:$AH$1129,$D$1,FALSE)</f>
        <v>339.18000000000006</v>
      </c>
      <c r="C802" s="4" t="e">
        <f>VLOOKUP($A802,'extended_recharge_2003-2015'!$A$1:$AH$265,$D$1,FALSE)</f>
        <v>#N/A</v>
      </c>
      <c r="G802" s="6"/>
      <c r="L802" s="6"/>
    </row>
    <row r="803" spans="1:12" x14ac:dyDescent="0.2">
      <c r="A803" s="3">
        <v>32355</v>
      </c>
      <c r="B803" s="4">
        <f>VLOOKUP($A803,'existing_gw_inflows_1921-2003'!$A$1:$AH$1129,$D$1,FALSE)</f>
        <v>497.86</v>
      </c>
      <c r="C803" s="4" t="e">
        <f>VLOOKUP($A803,'extended_recharge_2003-2015'!$A$1:$AH$265,$D$1,FALSE)</f>
        <v>#N/A</v>
      </c>
      <c r="G803" s="6"/>
      <c r="L803" s="6"/>
    </row>
    <row r="804" spans="1:12" x14ac:dyDescent="0.2">
      <c r="A804" s="3">
        <v>32386</v>
      </c>
      <c r="B804" s="4">
        <f>VLOOKUP($A804,'existing_gw_inflows_1921-2003'!$A$1:$AH$1129,$D$1,FALSE)</f>
        <v>435.59000000000003</v>
      </c>
      <c r="C804" s="4" t="e">
        <f>VLOOKUP($A804,'extended_recharge_2003-2015'!$A$1:$AH$265,$D$1,FALSE)</f>
        <v>#N/A</v>
      </c>
      <c r="G804" s="6"/>
      <c r="L804" s="6"/>
    </row>
    <row r="805" spans="1:12" x14ac:dyDescent="0.2">
      <c r="A805" s="3">
        <v>32416</v>
      </c>
      <c r="B805" s="4">
        <f>VLOOKUP($A805,'existing_gw_inflows_1921-2003'!$A$1:$AH$1129,$D$1,FALSE)</f>
        <v>196.94000000000003</v>
      </c>
      <c r="C805" s="4" t="e">
        <f>VLOOKUP($A805,'extended_recharge_2003-2015'!$A$1:$AH$265,$D$1,FALSE)</f>
        <v>#N/A</v>
      </c>
      <c r="G805" s="6"/>
      <c r="L805" s="6"/>
    </row>
    <row r="806" spans="1:12" x14ac:dyDescent="0.2">
      <c r="A806" s="3">
        <v>32447</v>
      </c>
      <c r="B806" s="4">
        <f>VLOOKUP($A806,'existing_gw_inflows_1921-2003'!$A$1:$AH$1129,$D$1,FALSE)</f>
        <v>156.51000000000002</v>
      </c>
      <c r="C806" s="4" t="e">
        <f>VLOOKUP($A806,'extended_recharge_2003-2015'!$A$1:$AH$265,$D$1,FALSE)</f>
        <v>#N/A</v>
      </c>
      <c r="G806" s="6"/>
      <c r="L806" s="6"/>
    </row>
    <row r="807" spans="1:12" x14ac:dyDescent="0.2">
      <c r="A807" s="3">
        <v>32477</v>
      </c>
      <c r="B807" s="4">
        <f>VLOOKUP($A807,'existing_gw_inflows_1921-2003'!$A$1:$AH$1129,$D$1,FALSE)</f>
        <v>328.65000000000003</v>
      </c>
      <c r="C807" s="4" t="e">
        <f>VLOOKUP($A807,'extended_recharge_2003-2015'!$A$1:$AH$265,$D$1,FALSE)</f>
        <v>#N/A</v>
      </c>
      <c r="G807" s="6"/>
      <c r="L807" s="6"/>
    </row>
    <row r="808" spans="1:12" x14ac:dyDescent="0.2">
      <c r="A808" s="3">
        <v>32508</v>
      </c>
      <c r="B808" s="4">
        <f>VLOOKUP($A808,'existing_gw_inflows_1921-2003'!$A$1:$AH$1129,$D$1,FALSE)</f>
        <v>301.52000000000004</v>
      </c>
      <c r="C808" s="4" t="e">
        <f>VLOOKUP($A808,'extended_recharge_2003-2015'!$A$1:$AH$265,$D$1,FALSE)</f>
        <v>#N/A</v>
      </c>
      <c r="G808" s="6"/>
      <c r="L808" s="6"/>
    </row>
    <row r="809" spans="1:12" x14ac:dyDescent="0.2">
      <c r="A809" s="3">
        <v>32539</v>
      </c>
      <c r="B809" s="4">
        <f>VLOOKUP($A809,'existing_gw_inflows_1921-2003'!$A$1:$AH$1129,$D$1,FALSE)</f>
        <v>88.990000000000009</v>
      </c>
      <c r="C809" s="4" t="e">
        <f>VLOOKUP($A809,'extended_recharge_2003-2015'!$A$1:$AH$265,$D$1,FALSE)</f>
        <v>#N/A</v>
      </c>
      <c r="G809" s="6"/>
      <c r="L809" s="6"/>
    </row>
    <row r="810" spans="1:12" x14ac:dyDescent="0.2">
      <c r="A810" s="3">
        <v>32567</v>
      </c>
      <c r="B810" s="4">
        <f>VLOOKUP($A810,'existing_gw_inflows_1921-2003'!$A$1:$AH$1129,$D$1,FALSE)</f>
        <v>212.98999999999995</v>
      </c>
      <c r="C810" s="4" t="e">
        <f>VLOOKUP($A810,'extended_recharge_2003-2015'!$A$1:$AH$265,$D$1,FALSE)</f>
        <v>#N/A</v>
      </c>
      <c r="G810" s="6"/>
      <c r="L810" s="6"/>
    </row>
    <row r="811" spans="1:12" x14ac:dyDescent="0.2">
      <c r="A811" s="3">
        <v>32598</v>
      </c>
      <c r="B811" s="4">
        <f>VLOOKUP($A811,'existing_gw_inflows_1921-2003'!$A$1:$AH$1129,$D$1,FALSE)</f>
        <v>722.22000000000014</v>
      </c>
      <c r="C811" s="4" t="e">
        <f>VLOOKUP($A811,'extended_recharge_2003-2015'!$A$1:$AH$265,$D$1,FALSE)</f>
        <v>#N/A</v>
      </c>
      <c r="G811" s="6"/>
      <c r="L811" s="6"/>
    </row>
    <row r="812" spans="1:12" x14ac:dyDescent="0.2">
      <c r="A812" s="3">
        <v>32628</v>
      </c>
      <c r="B812" s="4">
        <f>VLOOKUP($A812,'existing_gw_inflows_1921-2003'!$A$1:$AH$1129,$D$1,FALSE)</f>
        <v>53.019999999999982</v>
      </c>
      <c r="C812" s="4" t="e">
        <f>VLOOKUP($A812,'extended_recharge_2003-2015'!$A$1:$AH$265,$D$1,FALSE)</f>
        <v>#N/A</v>
      </c>
      <c r="G812" s="6"/>
      <c r="L812" s="6"/>
    </row>
    <row r="813" spans="1:12" x14ac:dyDescent="0.2">
      <c r="A813" s="3">
        <v>32659</v>
      </c>
      <c r="B813" s="4">
        <f>VLOOKUP($A813,'existing_gw_inflows_1921-2003'!$A$1:$AH$1129,$D$1,FALSE)</f>
        <v>252.64000000000001</v>
      </c>
      <c r="C813" s="4" t="e">
        <f>VLOOKUP($A813,'extended_recharge_2003-2015'!$A$1:$AH$265,$D$1,FALSE)</f>
        <v>#N/A</v>
      </c>
      <c r="G813" s="6"/>
      <c r="L813" s="6"/>
    </row>
    <row r="814" spans="1:12" x14ac:dyDescent="0.2">
      <c r="A814" s="3">
        <v>32689</v>
      </c>
      <c r="B814" s="4">
        <f>VLOOKUP($A814,'existing_gw_inflows_1921-2003'!$A$1:$AH$1129,$D$1,FALSE)</f>
        <v>396.23</v>
      </c>
      <c r="C814" s="4" t="e">
        <f>VLOOKUP($A814,'extended_recharge_2003-2015'!$A$1:$AH$265,$D$1,FALSE)</f>
        <v>#N/A</v>
      </c>
      <c r="G814" s="6"/>
      <c r="L814" s="6"/>
    </row>
    <row r="815" spans="1:12" x14ac:dyDescent="0.2">
      <c r="A815" s="3">
        <v>32720</v>
      </c>
      <c r="B815" s="4">
        <f>VLOOKUP($A815,'existing_gw_inflows_1921-2003'!$A$1:$AH$1129,$D$1,FALSE)</f>
        <v>467.38</v>
      </c>
      <c r="C815" s="4" t="e">
        <f>VLOOKUP($A815,'extended_recharge_2003-2015'!$A$1:$AH$265,$D$1,FALSE)</f>
        <v>#N/A</v>
      </c>
      <c r="G815" s="6"/>
      <c r="L815" s="6"/>
    </row>
    <row r="816" spans="1:12" x14ac:dyDescent="0.2">
      <c r="A816" s="3">
        <v>32751</v>
      </c>
      <c r="B816" s="4">
        <f>VLOOKUP($A816,'existing_gw_inflows_1921-2003'!$A$1:$AH$1129,$D$1,FALSE)</f>
        <v>401.11</v>
      </c>
      <c r="C816" s="4" t="e">
        <f>VLOOKUP($A816,'extended_recharge_2003-2015'!$A$1:$AH$265,$D$1,FALSE)</f>
        <v>#N/A</v>
      </c>
      <c r="G816" s="6"/>
      <c r="L816" s="6"/>
    </row>
    <row r="817" spans="1:12" x14ac:dyDescent="0.2">
      <c r="A817" s="3">
        <v>32781</v>
      </c>
      <c r="B817" s="4">
        <f>VLOOKUP($A817,'existing_gw_inflows_1921-2003'!$A$1:$AH$1129,$D$1,FALSE)</f>
        <v>226.42</v>
      </c>
      <c r="C817" s="4" t="e">
        <f>VLOOKUP($A817,'extended_recharge_2003-2015'!$A$1:$AH$265,$D$1,FALSE)</f>
        <v>#N/A</v>
      </c>
      <c r="G817" s="6"/>
      <c r="L817" s="6"/>
    </row>
    <row r="818" spans="1:12" x14ac:dyDescent="0.2">
      <c r="A818" s="3">
        <v>32812</v>
      </c>
      <c r="B818" s="4">
        <f>VLOOKUP($A818,'existing_gw_inflows_1921-2003'!$A$1:$AH$1129,$D$1,FALSE)</f>
        <v>198.28999999999996</v>
      </c>
      <c r="C818" s="4" t="e">
        <f>VLOOKUP($A818,'extended_recharge_2003-2015'!$A$1:$AH$265,$D$1,FALSE)</f>
        <v>#N/A</v>
      </c>
      <c r="G818" s="6"/>
      <c r="L818" s="6"/>
    </row>
    <row r="819" spans="1:12" x14ac:dyDescent="0.2">
      <c r="A819" s="3">
        <v>32842</v>
      </c>
      <c r="B819" s="4">
        <f>VLOOKUP($A819,'existing_gw_inflows_1921-2003'!$A$1:$AH$1129,$D$1,FALSE)</f>
        <v>159.37999999999997</v>
      </c>
      <c r="C819" s="4" t="e">
        <f>VLOOKUP($A819,'extended_recharge_2003-2015'!$A$1:$AH$265,$D$1,FALSE)</f>
        <v>#N/A</v>
      </c>
      <c r="G819" s="6"/>
      <c r="L819" s="6"/>
    </row>
    <row r="820" spans="1:12" x14ac:dyDescent="0.2">
      <c r="A820" s="3">
        <v>32873</v>
      </c>
      <c r="B820" s="4">
        <f>VLOOKUP($A820,'existing_gw_inflows_1921-2003'!$A$1:$AH$1129,$D$1,FALSE)</f>
        <v>137.28</v>
      </c>
      <c r="C820" s="4" t="e">
        <f>VLOOKUP($A820,'extended_recharge_2003-2015'!$A$1:$AH$265,$D$1,FALSE)</f>
        <v>#N/A</v>
      </c>
      <c r="G820" s="6"/>
      <c r="L820" s="6"/>
    </row>
    <row r="821" spans="1:12" x14ac:dyDescent="0.2">
      <c r="A821" s="3">
        <v>32904</v>
      </c>
      <c r="B821" s="4">
        <f>VLOOKUP($A821,'existing_gw_inflows_1921-2003'!$A$1:$AH$1129,$D$1,FALSE)</f>
        <v>327.41999999999996</v>
      </c>
      <c r="C821" s="4" t="e">
        <f>VLOOKUP($A821,'extended_recharge_2003-2015'!$A$1:$AH$265,$D$1,FALSE)</f>
        <v>#N/A</v>
      </c>
      <c r="G821" s="6"/>
      <c r="L821" s="6"/>
    </row>
    <row r="822" spans="1:12" x14ac:dyDescent="0.2">
      <c r="A822" s="3">
        <v>32932</v>
      </c>
      <c r="B822" s="4">
        <f>VLOOKUP($A822,'existing_gw_inflows_1921-2003'!$A$1:$AH$1129,$D$1,FALSE)</f>
        <v>110.45</v>
      </c>
      <c r="C822" s="4" t="e">
        <f>VLOOKUP($A822,'extended_recharge_2003-2015'!$A$1:$AH$265,$D$1,FALSE)</f>
        <v>#N/A</v>
      </c>
      <c r="G822" s="6"/>
      <c r="L822" s="6"/>
    </row>
    <row r="823" spans="1:12" x14ac:dyDescent="0.2">
      <c r="A823" s="3">
        <v>32963</v>
      </c>
      <c r="B823" s="4">
        <f>VLOOKUP($A823,'existing_gw_inflows_1921-2003'!$A$1:$AH$1129,$D$1,FALSE)</f>
        <v>307.72999999999996</v>
      </c>
      <c r="C823" s="4" t="e">
        <f>VLOOKUP($A823,'extended_recharge_2003-2015'!$A$1:$AH$265,$D$1,FALSE)</f>
        <v>#N/A</v>
      </c>
      <c r="G823" s="6"/>
      <c r="L823" s="6"/>
    </row>
    <row r="824" spans="1:12" x14ac:dyDescent="0.2">
      <c r="A824" s="3">
        <v>32993</v>
      </c>
      <c r="B824" s="4">
        <f>VLOOKUP($A824,'existing_gw_inflows_1921-2003'!$A$1:$AH$1129,$D$1,FALSE)</f>
        <v>263.99000000000007</v>
      </c>
      <c r="C824" s="4" t="e">
        <f>VLOOKUP($A824,'extended_recharge_2003-2015'!$A$1:$AH$265,$D$1,FALSE)</f>
        <v>#N/A</v>
      </c>
      <c r="G824" s="6"/>
      <c r="L824" s="6"/>
    </row>
    <row r="825" spans="1:12" x14ac:dyDescent="0.2">
      <c r="A825" s="3">
        <v>33024</v>
      </c>
      <c r="B825" s="4">
        <f>VLOOKUP($A825,'existing_gw_inflows_1921-2003'!$A$1:$AH$1129,$D$1,FALSE)</f>
        <v>327.67</v>
      </c>
      <c r="C825" s="4" t="e">
        <f>VLOOKUP($A825,'extended_recharge_2003-2015'!$A$1:$AH$265,$D$1,FALSE)</f>
        <v>#N/A</v>
      </c>
      <c r="G825" s="6"/>
      <c r="L825" s="6"/>
    </row>
    <row r="826" spans="1:12" x14ac:dyDescent="0.2">
      <c r="A826" s="3">
        <v>33054</v>
      </c>
      <c r="B826" s="4">
        <f>VLOOKUP($A826,'existing_gw_inflows_1921-2003'!$A$1:$AH$1129,$D$1,FALSE)</f>
        <v>375.24</v>
      </c>
      <c r="C826" s="4" t="e">
        <f>VLOOKUP($A826,'extended_recharge_2003-2015'!$A$1:$AH$265,$D$1,FALSE)</f>
        <v>#N/A</v>
      </c>
      <c r="G826" s="6"/>
      <c r="L826" s="6"/>
    </row>
    <row r="827" spans="1:12" x14ac:dyDescent="0.2">
      <c r="A827" s="3">
        <v>33085</v>
      </c>
      <c r="B827" s="4">
        <f>VLOOKUP($A827,'existing_gw_inflows_1921-2003'!$A$1:$AH$1129,$D$1,FALSE)</f>
        <v>493.63</v>
      </c>
      <c r="C827" s="4" t="e">
        <f>VLOOKUP($A827,'extended_recharge_2003-2015'!$A$1:$AH$265,$D$1,FALSE)</f>
        <v>#N/A</v>
      </c>
      <c r="G827" s="6"/>
      <c r="L827" s="6"/>
    </row>
    <row r="828" spans="1:12" x14ac:dyDescent="0.2">
      <c r="A828" s="3">
        <v>33116</v>
      </c>
      <c r="B828" s="4">
        <f>VLOOKUP($A828,'existing_gw_inflows_1921-2003'!$A$1:$AH$1129,$D$1,FALSE)</f>
        <v>488.39000000000004</v>
      </c>
      <c r="C828" s="4" t="e">
        <f>VLOOKUP($A828,'extended_recharge_2003-2015'!$A$1:$AH$265,$D$1,FALSE)</f>
        <v>#N/A</v>
      </c>
      <c r="G828" s="6"/>
      <c r="L828" s="6"/>
    </row>
    <row r="829" spans="1:12" x14ac:dyDescent="0.2">
      <c r="A829" s="3">
        <v>33146</v>
      </c>
      <c r="B829" s="4">
        <f>VLOOKUP($A829,'existing_gw_inflows_1921-2003'!$A$1:$AH$1129,$D$1,FALSE)</f>
        <v>166.23999999999998</v>
      </c>
      <c r="C829" s="4" t="e">
        <f>VLOOKUP($A829,'extended_recharge_2003-2015'!$A$1:$AH$265,$D$1,FALSE)</f>
        <v>#N/A</v>
      </c>
      <c r="G829" s="6"/>
      <c r="L829" s="6"/>
    </row>
    <row r="830" spans="1:12" x14ac:dyDescent="0.2">
      <c r="A830" s="3">
        <v>33177</v>
      </c>
      <c r="B830" s="4">
        <f>VLOOKUP($A830,'existing_gw_inflows_1921-2003'!$A$1:$AH$1129,$D$1,FALSE)</f>
        <v>130.15999999999997</v>
      </c>
      <c r="C830" s="4" t="e">
        <f>VLOOKUP($A830,'extended_recharge_2003-2015'!$A$1:$AH$265,$D$1,FALSE)</f>
        <v>#N/A</v>
      </c>
      <c r="G830" s="6"/>
      <c r="L830" s="6"/>
    </row>
    <row r="831" spans="1:12" x14ac:dyDescent="0.2">
      <c r="A831" s="3">
        <v>33207</v>
      </c>
      <c r="B831" s="4">
        <f>VLOOKUP($A831,'existing_gw_inflows_1921-2003'!$A$1:$AH$1129,$D$1,FALSE)</f>
        <v>140.37</v>
      </c>
      <c r="C831" s="4" t="e">
        <f>VLOOKUP($A831,'extended_recharge_2003-2015'!$A$1:$AH$265,$D$1,FALSE)</f>
        <v>#N/A</v>
      </c>
      <c r="G831" s="6"/>
      <c r="L831" s="6"/>
    </row>
    <row r="832" spans="1:12" x14ac:dyDescent="0.2">
      <c r="A832" s="3">
        <v>33238</v>
      </c>
      <c r="B832" s="4">
        <f>VLOOKUP($A832,'existing_gw_inflows_1921-2003'!$A$1:$AH$1129,$D$1,FALSE)</f>
        <v>179.93</v>
      </c>
      <c r="C832" s="4" t="e">
        <f>VLOOKUP($A832,'extended_recharge_2003-2015'!$A$1:$AH$265,$D$1,FALSE)</f>
        <v>#N/A</v>
      </c>
      <c r="G832" s="6"/>
      <c r="L832" s="6"/>
    </row>
    <row r="833" spans="1:12" x14ac:dyDescent="0.2">
      <c r="A833" s="3">
        <v>33269</v>
      </c>
      <c r="B833" s="4">
        <f>VLOOKUP($A833,'existing_gw_inflows_1921-2003'!$A$1:$AH$1129,$D$1,FALSE)</f>
        <v>144.51</v>
      </c>
      <c r="C833" s="4" t="e">
        <f>VLOOKUP($A833,'extended_recharge_2003-2015'!$A$1:$AH$265,$D$1,FALSE)</f>
        <v>#N/A</v>
      </c>
      <c r="G833" s="6"/>
      <c r="L833" s="6"/>
    </row>
    <row r="834" spans="1:12" x14ac:dyDescent="0.2">
      <c r="A834" s="3">
        <v>33297</v>
      </c>
      <c r="B834" s="4">
        <f>VLOOKUP($A834,'existing_gw_inflows_1921-2003'!$A$1:$AH$1129,$D$1,FALSE)</f>
        <v>177.52999999999997</v>
      </c>
      <c r="C834" s="4" t="e">
        <f>VLOOKUP($A834,'extended_recharge_2003-2015'!$A$1:$AH$265,$D$1,FALSE)</f>
        <v>#N/A</v>
      </c>
      <c r="G834" s="6"/>
      <c r="L834" s="6"/>
    </row>
    <row r="835" spans="1:12" x14ac:dyDescent="0.2">
      <c r="A835" s="3">
        <v>33328</v>
      </c>
      <c r="B835" s="4">
        <f>VLOOKUP($A835,'existing_gw_inflows_1921-2003'!$A$1:$AH$1129,$D$1,FALSE)</f>
        <v>1497.14</v>
      </c>
      <c r="C835" s="4" t="e">
        <f>VLOOKUP($A835,'extended_recharge_2003-2015'!$A$1:$AH$265,$D$1,FALSE)</f>
        <v>#N/A</v>
      </c>
      <c r="G835" s="6"/>
      <c r="L835" s="6"/>
    </row>
    <row r="836" spans="1:12" x14ac:dyDescent="0.2">
      <c r="A836" s="3">
        <v>33358</v>
      </c>
      <c r="B836" s="4">
        <f>VLOOKUP($A836,'existing_gw_inflows_1921-2003'!$A$1:$AH$1129,$D$1,FALSE)</f>
        <v>-97.749999999999957</v>
      </c>
      <c r="C836" s="4" t="e">
        <f>VLOOKUP($A836,'extended_recharge_2003-2015'!$A$1:$AH$265,$D$1,FALSE)</f>
        <v>#N/A</v>
      </c>
      <c r="G836" s="6"/>
      <c r="L836" s="6"/>
    </row>
    <row r="837" spans="1:12" x14ac:dyDescent="0.2">
      <c r="A837" s="3">
        <v>33389</v>
      </c>
      <c r="B837" s="4">
        <f>VLOOKUP($A837,'existing_gw_inflows_1921-2003'!$A$1:$AH$1129,$D$1,FALSE)</f>
        <v>217.67000000000002</v>
      </c>
      <c r="C837" s="4" t="e">
        <f>VLOOKUP($A837,'extended_recharge_2003-2015'!$A$1:$AH$265,$D$1,FALSE)</f>
        <v>#N/A</v>
      </c>
      <c r="G837" s="6"/>
      <c r="L837" s="6"/>
    </row>
    <row r="838" spans="1:12" x14ac:dyDescent="0.2">
      <c r="A838" s="3">
        <v>33419</v>
      </c>
      <c r="B838" s="4">
        <f>VLOOKUP($A838,'existing_gw_inflows_1921-2003'!$A$1:$AH$1129,$D$1,FALSE)</f>
        <v>475.43</v>
      </c>
      <c r="C838" s="4" t="e">
        <f>VLOOKUP($A838,'extended_recharge_2003-2015'!$A$1:$AH$265,$D$1,FALSE)</f>
        <v>#N/A</v>
      </c>
      <c r="G838" s="6"/>
      <c r="L838" s="6"/>
    </row>
    <row r="839" spans="1:12" x14ac:dyDescent="0.2">
      <c r="A839" s="3">
        <v>33450</v>
      </c>
      <c r="B839" s="4">
        <f>VLOOKUP($A839,'existing_gw_inflows_1921-2003'!$A$1:$AH$1129,$D$1,FALSE)</f>
        <v>580.63999999999987</v>
      </c>
      <c r="C839" s="4" t="e">
        <f>VLOOKUP($A839,'extended_recharge_2003-2015'!$A$1:$AH$265,$D$1,FALSE)</f>
        <v>#N/A</v>
      </c>
      <c r="G839" s="6"/>
      <c r="L839" s="6"/>
    </row>
    <row r="840" spans="1:12" x14ac:dyDescent="0.2">
      <c r="A840" s="3">
        <v>33481</v>
      </c>
      <c r="B840" s="4">
        <f>VLOOKUP($A840,'existing_gw_inflows_1921-2003'!$A$1:$AH$1129,$D$1,FALSE)</f>
        <v>508.89000000000004</v>
      </c>
      <c r="C840" s="4" t="e">
        <f>VLOOKUP($A840,'extended_recharge_2003-2015'!$A$1:$AH$265,$D$1,FALSE)</f>
        <v>#N/A</v>
      </c>
      <c r="G840" s="6"/>
      <c r="L840" s="6"/>
    </row>
    <row r="841" spans="1:12" x14ac:dyDescent="0.2">
      <c r="A841" s="3">
        <v>33511</v>
      </c>
      <c r="B841" s="4">
        <f>VLOOKUP($A841,'existing_gw_inflows_1921-2003'!$A$1:$AH$1129,$D$1,FALSE)</f>
        <v>218.77</v>
      </c>
      <c r="C841" s="4" t="e">
        <f>VLOOKUP($A841,'extended_recharge_2003-2015'!$A$1:$AH$265,$D$1,FALSE)</f>
        <v>#N/A</v>
      </c>
      <c r="G841" s="6"/>
      <c r="L841" s="6"/>
    </row>
    <row r="842" spans="1:12" x14ac:dyDescent="0.2">
      <c r="A842" s="3">
        <v>33542</v>
      </c>
      <c r="B842" s="4">
        <f>VLOOKUP($A842,'existing_gw_inflows_1921-2003'!$A$1:$AH$1129,$D$1,FALSE)</f>
        <v>229.83</v>
      </c>
      <c r="C842" s="4" t="e">
        <f>VLOOKUP($A842,'extended_recharge_2003-2015'!$A$1:$AH$265,$D$1,FALSE)</f>
        <v>#N/A</v>
      </c>
      <c r="G842" s="6"/>
      <c r="L842" s="6"/>
    </row>
    <row r="843" spans="1:12" x14ac:dyDescent="0.2">
      <c r="A843" s="3">
        <v>33572</v>
      </c>
      <c r="B843" s="4">
        <f>VLOOKUP($A843,'existing_gw_inflows_1921-2003'!$A$1:$AH$1129,$D$1,FALSE)</f>
        <v>162.75</v>
      </c>
      <c r="C843" s="4" t="e">
        <f>VLOOKUP($A843,'extended_recharge_2003-2015'!$A$1:$AH$265,$D$1,FALSE)</f>
        <v>#N/A</v>
      </c>
      <c r="G843" s="6"/>
      <c r="L843" s="6"/>
    </row>
    <row r="844" spans="1:12" x14ac:dyDescent="0.2">
      <c r="A844" s="3">
        <v>33603</v>
      </c>
      <c r="B844" s="4">
        <f>VLOOKUP($A844,'existing_gw_inflows_1921-2003'!$A$1:$AH$1129,$D$1,FALSE)</f>
        <v>271.18999999999994</v>
      </c>
      <c r="C844" s="4" t="e">
        <f>VLOOKUP($A844,'extended_recharge_2003-2015'!$A$1:$AH$265,$D$1,FALSE)</f>
        <v>#N/A</v>
      </c>
      <c r="G844" s="6"/>
      <c r="L844" s="6"/>
    </row>
    <row r="845" spans="1:12" x14ac:dyDescent="0.2">
      <c r="A845" s="3">
        <v>33634</v>
      </c>
      <c r="B845" s="4">
        <f>VLOOKUP($A845,'existing_gw_inflows_1921-2003'!$A$1:$AH$1129,$D$1,FALSE)</f>
        <v>162.61000000000001</v>
      </c>
      <c r="C845" s="4" t="e">
        <f>VLOOKUP($A845,'extended_recharge_2003-2015'!$A$1:$AH$265,$D$1,FALSE)</f>
        <v>#N/A</v>
      </c>
      <c r="G845" s="6"/>
      <c r="L845" s="6"/>
    </row>
    <row r="846" spans="1:12" x14ac:dyDescent="0.2">
      <c r="A846" s="3">
        <v>33663</v>
      </c>
      <c r="B846" s="4">
        <f>VLOOKUP($A846,'existing_gw_inflows_1921-2003'!$A$1:$AH$1129,$D$1,FALSE)</f>
        <v>780.51</v>
      </c>
      <c r="C846" s="4" t="e">
        <f>VLOOKUP($A846,'extended_recharge_2003-2015'!$A$1:$AH$265,$D$1,FALSE)</f>
        <v>#N/A</v>
      </c>
      <c r="G846" s="6"/>
      <c r="L846" s="6"/>
    </row>
    <row r="847" spans="1:12" x14ac:dyDescent="0.2">
      <c r="A847" s="3">
        <v>33694</v>
      </c>
      <c r="B847" s="4">
        <f>VLOOKUP($A847,'existing_gw_inflows_1921-2003'!$A$1:$AH$1129,$D$1,FALSE)</f>
        <v>174.69000000000003</v>
      </c>
      <c r="C847" s="4" t="e">
        <f>VLOOKUP($A847,'extended_recharge_2003-2015'!$A$1:$AH$265,$D$1,FALSE)</f>
        <v>#N/A</v>
      </c>
      <c r="G847" s="6"/>
      <c r="L847" s="6"/>
    </row>
    <row r="848" spans="1:12" x14ac:dyDescent="0.2">
      <c r="A848" s="3">
        <v>33724</v>
      </c>
      <c r="B848" s="4">
        <f>VLOOKUP($A848,'existing_gw_inflows_1921-2003'!$A$1:$AH$1129,$D$1,FALSE)</f>
        <v>118.17999999999999</v>
      </c>
      <c r="C848" s="4" t="e">
        <f>VLOOKUP($A848,'extended_recharge_2003-2015'!$A$1:$AH$265,$D$1,FALSE)</f>
        <v>#N/A</v>
      </c>
      <c r="G848" s="6"/>
      <c r="L848" s="6"/>
    </row>
    <row r="849" spans="1:12" x14ac:dyDescent="0.2">
      <c r="A849" s="3">
        <v>33755</v>
      </c>
      <c r="B849" s="4">
        <f>VLOOKUP($A849,'existing_gw_inflows_1921-2003'!$A$1:$AH$1129,$D$1,FALSE)</f>
        <v>270.68</v>
      </c>
      <c r="C849" s="4" t="e">
        <f>VLOOKUP($A849,'extended_recharge_2003-2015'!$A$1:$AH$265,$D$1,FALSE)</f>
        <v>#N/A</v>
      </c>
      <c r="G849" s="6"/>
      <c r="L849" s="6"/>
    </row>
    <row r="850" spans="1:12" x14ac:dyDescent="0.2">
      <c r="A850" s="3">
        <v>33785</v>
      </c>
      <c r="B850" s="4">
        <f>VLOOKUP($A850,'existing_gw_inflows_1921-2003'!$A$1:$AH$1129,$D$1,FALSE)</f>
        <v>433.61999999999995</v>
      </c>
      <c r="C850" s="4" t="e">
        <f>VLOOKUP($A850,'extended_recharge_2003-2015'!$A$1:$AH$265,$D$1,FALSE)</f>
        <v>#N/A</v>
      </c>
      <c r="G850" s="6"/>
      <c r="L850" s="6"/>
    </row>
    <row r="851" spans="1:12" x14ac:dyDescent="0.2">
      <c r="A851" s="3">
        <v>33816</v>
      </c>
      <c r="B851" s="4">
        <f>VLOOKUP($A851,'existing_gw_inflows_1921-2003'!$A$1:$AH$1129,$D$1,FALSE)</f>
        <v>570.76999999999987</v>
      </c>
      <c r="C851" s="4" t="e">
        <f>VLOOKUP($A851,'extended_recharge_2003-2015'!$A$1:$AH$265,$D$1,FALSE)</f>
        <v>#N/A</v>
      </c>
      <c r="G851" s="6"/>
      <c r="L851" s="6"/>
    </row>
    <row r="852" spans="1:12" x14ac:dyDescent="0.2">
      <c r="A852" s="3">
        <v>33847</v>
      </c>
      <c r="B852" s="4">
        <f>VLOOKUP($A852,'existing_gw_inflows_1921-2003'!$A$1:$AH$1129,$D$1,FALSE)</f>
        <v>584.62</v>
      </c>
      <c r="C852" s="4" t="e">
        <f>VLOOKUP($A852,'extended_recharge_2003-2015'!$A$1:$AH$265,$D$1,FALSE)</f>
        <v>#N/A</v>
      </c>
      <c r="G852" s="6"/>
      <c r="L852" s="6"/>
    </row>
    <row r="853" spans="1:12" x14ac:dyDescent="0.2">
      <c r="A853" s="3">
        <v>33877</v>
      </c>
      <c r="B853" s="4">
        <f>VLOOKUP($A853,'existing_gw_inflows_1921-2003'!$A$1:$AH$1129,$D$1,FALSE)</f>
        <v>241.36</v>
      </c>
      <c r="C853" s="4" t="e">
        <f>VLOOKUP($A853,'extended_recharge_2003-2015'!$A$1:$AH$265,$D$1,FALSE)</f>
        <v>#N/A</v>
      </c>
      <c r="G853" s="6"/>
      <c r="L853" s="6"/>
    </row>
    <row r="854" spans="1:12" x14ac:dyDescent="0.2">
      <c r="A854" s="3">
        <v>33908</v>
      </c>
      <c r="B854" s="4">
        <f>VLOOKUP($A854,'existing_gw_inflows_1921-2003'!$A$1:$AH$1129,$D$1,FALSE)</f>
        <v>239.61</v>
      </c>
      <c r="C854" s="4" t="e">
        <f>VLOOKUP($A854,'extended_recharge_2003-2015'!$A$1:$AH$265,$D$1,FALSE)</f>
        <v>#N/A</v>
      </c>
      <c r="G854" s="6"/>
      <c r="L854" s="6"/>
    </row>
    <row r="855" spans="1:12" x14ac:dyDescent="0.2">
      <c r="A855" s="3">
        <v>33938</v>
      </c>
      <c r="B855" s="4">
        <f>VLOOKUP($A855,'existing_gw_inflows_1921-2003'!$A$1:$AH$1129,$D$1,FALSE)</f>
        <v>151.13000000000002</v>
      </c>
      <c r="C855" s="4" t="e">
        <f>VLOOKUP($A855,'extended_recharge_2003-2015'!$A$1:$AH$265,$D$1,FALSE)</f>
        <v>#N/A</v>
      </c>
      <c r="G855" s="6"/>
      <c r="L855" s="6"/>
    </row>
    <row r="856" spans="1:12" x14ac:dyDescent="0.2">
      <c r="A856" s="3">
        <v>33969</v>
      </c>
      <c r="B856" s="4">
        <f>VLOOKUP($A856,'existing_gw_inflows_1921-2003'!$A$1:$AH$1129,$D$1,FALSE)</f>
        <v>624.63</v>
      </c>
      <c r="C856" s="4" t="e">
        <f>VLOOKUP($A856,'extended_recharge_2003-2015'!$A$1:$AH$265,$D$1,FALSE)</f>
        <v>#N/A</v>
      </c>
      <c r="G856" s="6"/>
      <c r="L856" s="6"/>
    </row>
    <row r="857" spans="1:12" x14ac:dyDescent="0.2">
      <c r="A857" s="3">
        <v>34000</v>
      </c>
      <c r="B857" s="4">
        <f>VLOOKUP($A857,'existing_gw_inflows_1921-2003'!$A$1:$AH$1129,$D$1,FALSE)</f>
        <v>1340.1899999999998</v>
      </c>
      <c r="C857" s="4" t="e">
        <f>VLOOKUP($A857,'extended_recharge_2003-2015'!$A$1:$AH$265,$D$1,FALSE)</f>
        <v>#N/A</v>
      </c>
      <c r="G857" s="6"/>
      <c r="L857" s="6"/>
    </row>
    <row r="858" spans="1:12" x14ac:dyDescent="0.2">
      <c r="A858" s="3">
        <v>34028</v>
      </c>
      <c r="B858" s="4">
        <f>VLOOKUP($A858,'existing_gw_inflows_1921-2003'!$A$1:$AH$1129,$D$1,FALSE)</f>
        <v>524.15999999999985</v>
      </c>
      <c r="C858" s="4" t="e">
        <f>VLOOKUP($A858,'extended_recharge_2003-2015'!$A$1:$AH$265,$D$1,FALSE)</f>
        <v>#N/A</v>
      </c>
      <c r="G858" s="6"/>
      <c r="L858" s="6"/>
    </row>
    <row r="859" spans="1:12" x14ac:dyDescent="0.2">
      <c r="A859" s="3">
        <v>34059</v>
      </c>
      <c r="B859" s="4">
        <f>VLOOKUP($A859,'existing_gw_inflows_1921-2003'!$A$1:$AH$1129,$D$1,FALSE)</f>
        <v>559.36</v>
      </c>
      <c r="C859" s="4" t="e">
        <f>VLOOKUP($A859,'extended_recharge_2003-2015'!$A$1:$AH$265,$D$1,FALSE)</f>
        <v>#N/A</v>
      </c>
      <c r="G859" s="6"/>
      <c r="L859" s="6"/>
    </row>
    <row r="860" spans="1:12" x14ac:dyDescent="0.2">
      <c r="A860" s="3">
        <v>34089</v>
      </c>
      <c r="B860" s="4">
        <f>VLOOKUP($A860,'existing_gw_inflows_1921-2003'!$A$1:$AH$1129,$D$1,FALSE)</f>
        <v>209.29</v>
      </c>
      <c r="C860" s="4" t="e">
        <f>VLOOKUP($A860,'extended_recharge_2003-2015'!$A$1:$AH$265,$D$1,FALSE)</f>
        <v>#N/A</v>
      </c>
      <c r="G860" s="6"/>
      <c r="L860" s="6"/>
    </row>
    <row r="861" spans="1:12" x14ac:dyDescent="0.2">
      <c r="A861" s="3">
        <v>34120</v>
      </c>
      <c r="B861" s="4">
        <f>VLOOKUP($A861,'existing_gw_inflows_1921-2003'!$A$1:$AH$1129,$D$1,FALSE)</f>
        <v>336.47999999999996</v>
      </c>
      <c r="C861" s="4" t="e">
        <f>VLOOKUP($A861,'extended_recharge_2003-2015'!$A$1:$AH$265,$D$1,FALSE)</f>
        <v>#N/A</v>
      </c>
      <c r="G861" s="6"/>
      <c r="L861" s="6"/>
    </row>
    <row r="862" spans="1:12" x14ac:dyDescent="0.2">
      <c r="A862" s="3">
        <v>34150</v>
      </c>
      <c r="B862" s="4">
        <f>VLOOKUP($A862,'existing_gw_inflows_1921-2003'!$A$1:$AH$1129,$D$1,FALSE)</f>
        <v>475.91999999999996</v>
      </c>
      <c r="C862" s="4" t="e">
        <f>VLOOKUP($A862,'extended_recharge_2003-2015'!$A$1:$AH$265,$D$1,FALSE)</f>
        <v>#N/A</v>
      </c>
      <c r="G862" s="6"/>
      <c r="L862" s="6"/>
    </row>
    <row r="863" spans="1:12" x14ac:dyDescent="0.2">
      <c r="A863" s="3">
        <v>34181</v>
      </c>
      <c r="B863" s="4">
        <f>VLOOKUP($A863,'existing_gw_inflows_1921-2003'!$A$1:$AH$1129,$D$1,FALSE)</f>
        <v>534.3900000000001</v>
      </c>
      <c r="C863" s="4" t="e">
        <f>VLOOKUP($A863,'extended_recharge_2003-2015'!$A$1:$AH$265,$D$1,FALSE)</f>
        <v>#N/A</v>
      </c>
      <c r="G863" s="6"/>
      <c r="L863" s="6"/>
    </row>
    <row r="864" spans="1:12" x14ac:dyDescent="0.2">
      <c r="A864" s="3">
        <v>34212</v>
      </c>
      <c r="B864" s="4">
        <f>VLOOKUP($A864,'existing_gw_inflows_1921-2003'!$A$1:$AH$1129,$D$1,FALSE)</f>
        <v>507.23</v>
      </c>
      <c r="C864" s="4" t="e">
        <f>VLOOKUP($A864,'extended_recharge_2003-2015'!$A$1:$AH$265,$D$1,FALSE)</f>
        <v>#N/A</v>
      </c>
      <c r="G864" s="6"/>
      <c r="L864" s="6"/>
    </row>
    <row r="865" spans="1:12" x14ac:dyDescent="0.2">
      <c r="A865" s="3">
        <v>34242</v>
      </c>
      <c r="B865" s="4">
        <f>VLOOKUP($A865,'existing_gw_inflows_1921-2003'!$A$1:$AH$1129,$D$1,FALSE)</f>
        <v>343.1</v>
      </c>
      <c r="C865" s="4" t="e">
        <f>VLOOKUP($A865,'extended_recharge_2003-2015'!$A$1:$AH$265,$D$1,FALSE)</f>
        <v>#N/A</v>
      </c>
      <c r="G865" s="6"/>
      <c r="L865" s="6"/>
    </row>
    <row r="866" spans="1:12" x14ac:dyDescent="0.2">
      <c r="A866" s="3">
        <v>34273</v>
      </c>
      <c r="B866" s="4">
        <f>VLOOKUP($A866,'existing_gw_inflows_1921-2003'!$A$1:$AH$1129,$D$1,FALSE)</f>
        <v>303.07</v>
      </c>
      <c r="C866" s="4" t="e">
        <f>VLOOKUP($A866,'extended_recharge_2003-2015'!$A$1:$AH$265,$D$1,FALSE)</f>
        <v>#N/A</v>
      </c>
      <c r="G866" s="6"/>
      <c r="L866" s="6"/>
    </row>
    <row r="867" spans="1:12" x14ac:dyDescent="0.2">
      <c r="A867" s="3">
        <v>34303</v>
      </c>
      <c r="B867" s="4">
        <f>VLOOKUP($A867,'existing_gw_inflows_1921-2003'!$A$1:$AH$1129,$D$1,FALSE)</f>
        <v>225.26</v>
      </c>
      <c r="C867" s="4" t="e">
        <f>VLOOKUP($A867,'extended_recharge_2003-2015'!$A$1:$AH$265,$D$1,FALSE)</f>
        <v>#N/A</v>
      </c>
      <c r="G867" s="6"/>
      <c r="L867" s="6"/>
    </row>
    <row r="868" spans="1:12" x14ac:dyDescent="0.2">
      <c r="A868" s="3">
        <v>34334</v>
      </c>
      <c r="B868" s="4">
        <f>VLOOKUP($A868,'existing_gw_inflows_1921-2003'!$A$1:$AH$1129,$D$1,FALSE)</f>
        <v>360.01</v>
      </c>
      <c r="C868" s="4" t="e">
        <f>VLOOKUP($A868,'extended_recharge_2003-2015'!$A$1:$AH$265,$D$1,FALSE)</f>
        <v>#N/A</v>
      </c>
      <c r="G868" s="6"/>
      <c r="L868" s="6"/>
    </row>
    <row r="869" spans="1:12" x14ac:dyDescent="0.2">
      <c r="A869" s="3">
        <v>34365</v>
      </c>
      <c r="B869" s="4">
        <f>VLOOKUP($A869,'existing_gw_inflows_1921-2003'!$A$1:$AH$1129,$D$1,FALSE)</f>
        <v>237.42</v>
      </c>
      <c r="C869" s="4" t="e">
        <f>VLOOKUP($A869,'extended_recharge_2003-2015'!$A$1:$AH$265,$D$1,FALSE)</f>
        <v>#N/A</v>
      </c>
      <c r="G869" s="6"/>
      <c r="L869" s="6"/>
    </row>
    <row r="870" spans="1:12" x14ac:dyDescent="0.2">
      <c r="A870" s="3">
        <v>34393</v>
      </c>
      <c r="B870" s="4">
        <f>VLOOKUP($A870,'existing_gw_inflows_1921-2003'!$A$1:$AH$1129,$D$1,FALSE)</f>
        <v>459.85</v>
      </c>
      <c r="C870" s="4" t="e">
        <f>VLOOKUP($A870,'extended_recharge_2003-2015'!$A$1:$AH$265,$D$1,FALSE)</f>
        <v>#N/A</v>
      </c>
      <c r="G870" s="6"/>
      <c r="L870" s="6"/>
    </row>
    <row r="871" spans="1:12" x14ac:dyDescent="0.2">
      <c r="A871" s="3">
        <v>34424</v>
      </c>
      <c r="B871" s="4">
        <f>VLOOKUP($A871,'existing_gw_inflows_1921-2003'!$A$1:$AH$1129,$D$1,FALSE)</f>
        <v>191.43</v>
      </c>
      <c r="C871" s="4" t="e">
        <f>VLOOKUP($A871,'extended_recharge_2003-2015'!$A$1:$AH$265,$D$1,FALSE)</f>
        <v>#N/A</v>
      </c>
      <c r="G871" s="6"/>
      <c r="L871" s="6"/>
    </row>
    <row r="872" spans="1:12" x14ac:dyDescent="0.2">
      <c r="A872" s="3">
        <v>34454</v>
      </c>
      <c r="B872" s="4">
        <f>VLOOKUP($A872,'existing_gw_inflows_1921-2003'!$A$1:$AH$1129,$D$1,FALSE)</f>
        <v>305.23999999999995</v>
      </c>
      <c r="C872" s="4" t="e">
        <f>VLOOKUP($A872,'extended_recharge_2003-2015'!$A$1:$AH$265,$D$1,FALSE)</f>
        <v>#N/A</v>
      </c>
      <c r="G872" s="6"/>
      <c r="L872" s="6"/>
    </row>
    <row r="873" spans="1:12" x14ac:dyDescent="0.2">
      <c r="A873" s="3">
        <v>34485</v>
      </c>
      <c r="B873" s="4">
        <f>VLOOKUP($A873,'existing_gw_inflows_1921-2003'!$A$1:$AH$1129,$D$1,FALSE)</f>
        <v>326.44</v>
      </c>
      <c r="C873" s="4" t="e">
        <f>VLOOKUP($A873,'extended_recharge_2003-2015'!$A$1:$AH$265,$D$1,FALSE)</f>
        <v>#N/A</v>
      </c>
      <c r="G873" s="6"/>
      <c r="L873" s="6"/>
    </row>
    <row r="874" spans="1:12" x14ac:dyDescent="0.2">
      <c r="A874" s="3">
        <v>34515</v>
      </c>
      <c r="B874" s="4">
        <f>VLOOKUP($A874,'existing_gw_inflows_1921-2003'!$A$1:$AH$1129,$D$1,FALSE)</f>
        <v>499.5499999999999</v>
      </c>
      <c r="C874" s="4" t="e">
        <f>VLOOKUP($A874,'extended_recharge_2003-2015'!$A$1:$AH$265,$D$1,FALSE)</f>
        <v>#N/A</v>
      </c>
      <c r="G874" s="6"/>
      <c r="L874" s="6"/>
    </row>
    <row r="875" spans="1:12" x14ac:dyDescent="0.2">
      <c r="A875" s="3">
        <v>34546</v>
      </c>
      <c r="B875" s="4">
        <f>VLOOKUP($A875,'existing_gw_inflows_1921-2003'!$A$1:$AH$1129,$D$1,FALSE)</f>
        <v>638.61999999999989</v>
      </c>
      <c r="C875" s="4" t="e">
        <f>VLOOKUP($A875,'extended_recharge_2003-2015'!$A$1:$AH$265,$D$1,FALSE)</f>
        <v>#N/A</v>
      </c>
      <c r="G875" s="6"/>
      <c r="L875" s="6"/>
    </row>
    <row r="876" spans="1:12" x14ac:dyDescent="0.2">
      <c r="A876" s="3">
        <v>34577</v>
      </c>
      <c r="B876" s="4">
        <f>VLOOKUP($A876,'existing_gw_inflows_1921-2003'!$A$1:$AH$1129,$D$1,FALSE)</f>
        <v>589.72</v>
      </c>
      <c r="C876" s="4" t="e">
        <f>VLOOKUP($A876,'extended_recharge_2003-2015'!$A$1:$AH$265,$D$1,FALSE)</f>
        <v>#N/A</v>
      </c>
      <c r="G876" s="6"/>
      <c r="L876" s="6"/>
    </row>
    <row r="877" spans="1:12" x14ac:dyDescent="0.2">
      <c r="A877" s="3">
        <v>34607</v>
      </c>
      <c r="B877" s="4">
        <f>VLOOKUP($A877,'existing_gw_inflows_1921-2003'!$A$1:$AH$1129,$D$1,FALSE)</f>
        <v>308.31000000000006</v>
      </c>
      <c r="C877" s="4" t="e">
        <f>VLOOKUP($A877,'extended_recharge_2003-2015'!$A$1:$AH$265,$D$1,FALSE)</f>
        <v>#N/A</v>
      </c>
      <c r="G877" s="6"/>
      <c r="L877" s="6"/>
    </row>
    <row r="878" spans="1:12" x14ac:dyDescent="0.2">
      <c r="A878" s="3">
        <v>34638</v>
      </c>
      <c r="B878" s="4">
        <f>VLOOKUP($A878,'existing_gw_inflows_1921-2003'!$A$1:$AH$1129,$D$1,FALSE)</f>
        <v>205.88</v>
      </c>
      <c r="C878" s="4" t="e">
        <f>VLOOKUP($A878,'extended_recharge_2003-2015'!$A$1:$AH$265,$D$1,FALSE)</f>
        <v>#N/A</v>
      </c>
      <c r="G878" s="6"/>
      <c r="L878" s="6"/>
    </row>
    <row r="879" spans="1:12" x14ac:dyDescent="0.2">
      <c r="A879" s="3">
        <v>34668</v>
      </c>
      <c r="B879" s="4">
        <f>VLOOKUP($A879,'existing_gw_inflows_1921-2003'!$A$1:$AH$1129,$D$1,FALSE)</f>
        <v>343.91000000000008</v>
      </c>
      <c r="C879" s="4" t="e">
        <f>VLOOKUP($A879,'extended_recharge_2003-2015'!$A$1:$AH$265,$D$1,FALSE)</f>
        <v>#N/A</v>
      </c>
      <c r="G879" s="6"/>
      <c r="L879" s="6"/>
    </row>
    <row r="880" spans="1:12" x14ac:dyDescent="0.2">
      <c r="A880" s="3">
        <v>34699</v>
      </c>
      <c r="B880" s="4">
        <f>VLOOKUP($A880,'existing_gw_inflows_1921-2003'!$A$1:$AH$1129,$D$1,FALSE)</f>
        <v>346.06</v>
      </c>
      <c r="C880" s="4" t="e">
        <f>VLOOKUP($A880,'extended_recharge_2003-2015'!$A$1:$AH$265,$D$1,FALSE)</f>
        <v>#N/A</v>
      </c>
      <c r="G880" s="6"/>
      <c r="L880" s="6"/>
    </row>
    <row r="881" spans="1:12" x14ac:dyDescent="0.2">
      <c r="A881" s="3">
        <v>34730</v>
      </c>
      <c r="B881" s="4">
        <f>VLOOKUP($A881,'existing_gw_inflows_1921-2003'!$A$1:$AH$1129,$D$1,FALSE)</f>
        <v>2417.8599999999997</v>
      </c>
      <c r="C881" s="4" t="e">
        <f>VLOOKUP($A881,'extended_recharge_2003-2015'!$A$1:$AH$265,$D$1,FALSE)</f>
        <v>#N/A</v>
      </c>
      <c r="G881" s="6"/>
      <c r="L881" s="6"/>
    </row>
    <row r="882" spans="1:12" x14ac:dyDescent="0.2">
      <c r="A882" s="3">
        <v>34758</v>
      </c>
      <c r="B882" s="4">
        <f>VLOOKUP($A882,'existing_gw_inflows_1921-2003'!$A$1:$AH$1129,$D$1,FALSE)</f>
        <v>-49.460000000000008</v>
      </c>
      <c r="C882" s="4" t="e">
        <f>VLOOKUP($A882,'extended_recharge_2003-2015'!$A$1:$AH$265,$D$1,FALSE)</f>
        <v>#N/A</v>
      </c>
      <c r="G882" s="6"/>
      <c r="L882" s="6"/>
    </row>
    <row r="883" spans="1:12" x14ac:dyDescent="0.2">
      <c r="A883" s="3">
        <v>34789</v>
      </c>
      <c r="B883" s="4">
        <f>VLOOKUP($A883,'existing_gw_inflows_1921-2003'!$A$1:$AH$1129,$D$1,FALSE)</f>
        <v>2232.2599999999998</v>
      </c>
      <c r="C883" s="4" t="e">
        <f>VLOOKUP($A883,'extended_recharge_2003-2015'!$A$1:$AH$265,$D$1,FALSE)</f>
        <v>#N/A</v>
      </c>
      <c r="G883" s="6"/>
      <c r="L883" s="6"/>
    </row>
    <row r="884" spans="1:12" x14ac:dyDescent="0.2">
      <c r="A884" s="3">
        <v>34819</v>
      </c>
      <c r="B884" s="4">
        <f>VLOOKUP($A884,'existing_gw_inflows_1921-2003'!$A$1:$AH$1129,$D$1,FALSE)</f>
        <v>45.250000000000057</v>
      </c>
      <c r="C884" s="4" t="e">
        <f>VLOOKUP($A884,'extended_recharge_2003-2015'!$A$1:$AH$265,$D$1,FALSE)</f>
        <v>#N/A</v>
      </c>
      <c r="G884" s="6"/>
      <c r="L884" s="6"/>
    </row>
    <row r="885" spans="1:12" x14ac:dyDescent="0.2">
      <c r="A885" s="3">
        <v>34850</v>
      </c>
      <c r="B885" s="4">
        <f>VLOOKUP($A885,'existing_gw_inflows_1921-2003'!$A$1:$AH$1129,$D$1,FALSE)</f>
        <v>607.09</v>
      </c>
      <c r="C885" s="4" t="e">
        <f>VLOOKUP($A885,'extended_recharge_2003-2015'!$A$1:$AH$265,$D$1,FALSE)</f>
        <v>#N/A</v>
      </c>
      <c r="G885" s="6"/>
      <c r="L885" s="6"/>
    </row>
    <row r="886" spans="1:12" x14ac:dyDescent="0.2">
      <c r="A886" s="3">
        <v>34880</v>
      </c>
      <c r="B886" s="4">
        <f>VLOOKUP($A886,'existing_gw_inflows_1921-2003'!$A$1:$AH$1129,$D$1,FALSE)</f>
        <v>129.12000000000003</v>
      </c>
      <c r="C886" s="4" t="e">
        <f>VLOOKUP($A886,'extended_recharge_2003-2015'!$A$1:$AH$265,$D$1,FALSE)</f>
        <v>#N/A</v>
      </c>
      <c r="G886" s="6"/>
      <c r="L886" s="6"/>
    </row>
    <row r="887" spans="1:12" x14ac:dyDescent="0.2">
      <c r="A887" s="3">
        <v>34911</v>
      </c>
      <c r="B887" s="4">
        <f>VLOOKUP($A887,'existing_gw_inflows_1921-2003'!$A$1:$AH$1129,$D$1,FALSE)</f>
        <v>408.5</v>
      </c>
      <c r="C887" s="4" t="e">
        <f>VLOOKUP($A887,'extended_recharge_2003-2015'!$A$1:$AH$265,$D$1,FALSE)</f>
        <v>#N/A</v>
      </c>
      <c r="G887" s="6"/>
      <c r="L887" s="6"/>
    </row>
    <row r="888" spans="1:12" x14ac:dyDescent="0.2">
      <c r="A888" s="3">
        <v>34942</v>
      </c>
      <c r="B888" s="4">
        <f>VLOOKUP($A888,'existing_gw_inflows_1921-2003'!$A$1:$AH$1129,$D$1,FALSE)</f>
        <v>214.02999999999997</v>
      </c>
      <c r="C888" s="4" t="e">
        <f>VLOOKUP($A888,'extended_recharge_2003-2015'!$A$1:$AH$265,$D$1,FALSE)</f>
        <v>#N/A</v>
      </c>
      <c r="G888" s="6"/>
      <c r="L888" s="6"/>
    </row>
    <row r="889" spans="1:12" x14ac:dyDescent="0.2">
      <c r="A889" s="3">
        <v>34972</v>
      </c>
      <c r="B889" s="4">
        <f>VLOOKUP($A889,'existing_gw_inflows_1921-2003'!$A$1:$AH$1129,$D$1,FALSE)</f>
        <v>322.71000000000004</v>
      </c>
      <c r="C889" s="4" t="e">
        <f>VLOOKUP($A889,'extended_recharge_2003-2015'!$A$1:$AH$265,$D$1,FALSE)</f>
        <v>#N/A</v>
      </c>
      <c r="G889" s="6"/>
      <c r="L889" s="6"/>
    </row>
    <row r="890" spans="1:12" x14ac:dyDescent="0.2">
      <c r="A890" s="3">
        <v>35003</v>
      </c>
      <c r="B890" s="4">
        <f>VLOOKUP($A890,'existing_gw_inflows_1921-2003'!$A$1:$AH$1129,$D$1,FALSE)</f>
        <v>247.09000000000003</v>
      </c>
      <c r="C890" s="4" t="e">
        <f>VLOOKUP($A890,'extended_recharge_2003-2015'!$A$1:$AH$265,$D$1,FALSE)</f>
        <v>#N/A</v>
      </c>
      <c r="G890" s="6"/>
      <c r="L890" s="6"/>
    </row>
    <row r="891" spans="1:12" x14ac:dyDescent="0.2">
      <c r="A891" s="3">
        <v>35033</v>
      </c>
      <c r="B891" s="4">
        <f>VLOOKUP($A891,'existing_gw_inflows_1921-2003'!$A$1:$AH$1129,$D$1,FALSE)</f>
        <v>165.30999999999997</v>
      </c>
      <c r="C891" s="4" t="e">
        <f>VLOOKUP($A891,'extended_recharge_2003-2015'!$A$1:$AH$265,$D$1,FALSE)</f>
        <v>#N/A</v>
      </c>
      <c r="G891" s="6"/>
      <c r="L891" s="6"/>
    </row>
    <row r="892" spans="1:12" x14ac:dyDescent="0.2">
      <c r="A892" s="3">
        <v>35064</v>
      </c>
      <c r="B892" s="4">
        <f>VLOOKUP($A892,'existing_gw_inflows_1921-2003'!$A$1:$AH$1129,$D$1,FALSE)</f>
        <v>693.76</v>
      </c>
      <c r="C892" s="4" t="e">
        <f>VLOOKUP($A892,'extended_recharge_2003-2015'!$A$1:$AH$265,$D$1,FALSE)</f>
        <v>#N/A</v>
      </c>
      <c r="G892" s="6"/>
      <c r="L892" s="6"/>
    </row>
    <row r="893" spans="1:12" x14ac:dyDescent="0.2">
      <c r="A893" s="3">
        <v>35095</v>
      </c>
      <c r="B893" s="4">
        <f>VLOOKUP($A893,'existing_gw_inflows_1921-2003'!$A$1:$AH$1129,$D$1,FALSE)</f>
        <v>648.90999999999985</v>
      </c>
      <c r="C893" s="4" t="e">
        <f>VLOOKUP($A893,'extended_recharge_2003-2015'!$A$1:$AH$265,$D$1,FALSE)</f>
        <v>#N/A</v>
      </c>
      <c r="G893" s="6"/>
      <c r="L893" s="6"/>
    </row>
    <row r="894" spans="1:12" x14ac:dyDescent="0.2">
      <c r="A894" s="3">
        <v>35124</v>
      </c>
      <c r="B894" s="4">
        <f>VLOOKUP($A894,'existing_gw_inflows_1921-2003'!$A$1:$AH$1129,$D$1,FALSE)</f>
        <v>1425.1300000000003</v>
      </c>
      <c r="C894" s="4" t="e">
        <f>VLOOKUP($A894,'extended_recharge_2003-2015'!$A$1:$AH$265,$D$1,FALSE)</f>
        <v>#N/A</v>
      </c>
      <c r="G894" s="6"/>
      <c r="L894" s="6"/>
    </row>
    <row r="895" spans="1:12" x14ac:dyDescent="0.2">
      <c r="A895" s="3">
        <v>35155</v>
      </c>
      <c r="B895" s="4">
        <f>VLOOKUP($A895,'existing_gw_inflows_1921-2003'!$A$1:$AH$1129,$D$1,FALSE)</f>
        <v>287.79999999999995</v>
      </c>
      <c r="C895" s="4" t="e">
        <f>VLOOKUP($A895,'extended_recharge_2003-2015'!$A$1:$AH$265,$D$1,FALSE)</f>
        <v>#N/A</v>
      </c>
      <c r="G895" s="6"/>
      <c r="L895" s="6"/>
    </row>
    <row r="896" spans="1:12" x14ac:dyDescent="0.2">
      <c r="A896" s="3">
        <v>35185</v>
      </c>
      <c r="B896" s="4">
        <f>VLOOKUP($A896,'existing_gw_inflows_1921-2003'!$A$1:$AH$1129,$D$1,FALSE)</f>
        <v>130.25</v>
      </c>
      <c r="C896" s="4" t="e">
        <f>VLOOKUP($A896,'extended_recharge_2003-2015'!$A$1:$AH$265,$D$1,FALSE)</f>
        <v>#N/A</v>
      </c>
      <c r="G896" s="6"/>
      <c r="L896" s="6"/>
    </row>
    <row r="897" spans="1:12" x14ac:dyDescent="0.2">
      <c r="A897" s="3">
        <v>35216</v>
      </c>
      <c r="B897" s="4">
        <f>VLOOKUP($A897,'existing_gw_inflows_1921-2003'!$A$1:$AH$1129,$D$1,FALSE)</f>
        <v>543.09999999999991</v>
      </c>
      <c r="C897" s="4" t="e">
        <f>VLOOKUP($A897,'extended_recharge_2003-2015'!$A$1:$AH$265,$D$1,FALSE)</f>
        <v>#N/A</v>
      </c>
      <c r="G897" s="6"/>
      <c r="L897" s="6"/>
    </row>
    <row r="898" spans="1:12" x14ac:dyDescent="0.2">
      <c r="A898" s="3">
        <v>35246</v>
      </c>
      <c r="B898" s="4">
        <f>VLOOKUP($A898,'existing_gw_inflows_1921-2003'!$A$1:$AH$1129,$D$1,FALSE)</f>
        <v>179.59</v>
      </c>
      <c r="C898" s="4" t="e">
        <f>VLOOKUP($A898,'extended_recharge_2003-2015'!$A$1:$AH$265,$D$1,FALSE)</f>
        <v>#N/A</v>
      </c>
      <c r="G898" s="6"/>
      <c r="L898" s="6"/>
    </row>
    <row r="899" spans="1:12" x14ac:dyDescent="0.2">
      <c r="A899" s="3">
        <v>35277</v>
      </c>
      <c r="B899" s="4">
        <f>VLOOKUP($A899,'existing_gw_inflows_1921-2003'!$A$1:$AH$1129,$D$1,FALSE)</f>
        <v>415.67999999999995</v>
      </c>
      <c r="C899" s="4" t="e">
        <f>VLOOKUP($A899,'extended_recharge_2003-2015'!$A$1:$AH$265,$D$1,FALSE)</f>
        <v>#N/A</v>
      </c>
      <c r="G899" s="6"/>
      <c r="L899" s="6"/>
    </row>
    <row r="900" spans="1:12" x14ac:dyDescent="0.2">
      <c r="A900" s="3">
        <v>35308</v>
      </c>
      <c r="B900" s="4">
        <f>VLOOKUP($A900,'existing_gw_inflows_1921-2003'!$A$1:$AH$1129,$D$1,FALSE)</f>
        <v>523.82999999999993</v>
      </c>
      <c r="C900" s="4" t="e">
        <f>VLOOKUP($A900,'extended_recharge_2003-2015'!$A$1:$AH$265,$D$1,FALSE)</f>
        <v>#N/A</v>
      </c>
      <c r="G900" s="6"/>
      <c r="L900" s="6"/>
    </row>
    <row r="901" spans="1:12" x14ac:dyDescent="0.2">
      <c r="A901" s="3">
        <v>35338</v>
      </c>
      <c r="B901" s="4">
        <f>VLOOKUP($A901,'existing_gw_inflows_1921-2003'!$A$1:$AH$1129,$D$1,FALSE)</f>
        <v>334.39</v>
      </c>
      <c r="C901" s="4" t="e">
        <f>VLOOKUP($A901,'extended_recharge_2003-2015'!$A$1:$AH$265,$D$1,FALSE)</f>
        <v>#N/A</v>
      </c>
      <c r="G901" s="6"/>
      <c r="L901" s="6"/>
    </row>
    <row r="902" spans="1:12" x14ac:dyDescent="0.2">
      <c r="A902" s="3">
        <v>35369</v>
      </c>
      <c r="B902" s="4">
        <f>VLOOKUP($A902,'existing_gw_inflows_1921-2003'!$A$1:$AH$1129,$D$1,FALSE)</f>
        <v>287.53000000000003</v>
      </c>
      <c r="C902" s="4" t="e">
        <f>VLOOKUP($A902,'extended_recharge_2003-2015'!$A$1:$AH$265,$D$1,FALSE)</f>
        <v>#N/A</v>
      </c>
      <c r="G902" s="6"/>
      <c r="L902" s="6"/>
    </row>
    <row r="903" spans="1:12" x14ac:dyDescent="0.2">
      <c r="A903" s="3">
        <v>35399</v>
      </c>
      <c r="B903" s="4">
        <f>VLOOKUP($A903,'existing_gw_inflows_1921-2003'!$A$1:$AH$1129,$D$1,FALSE)</f>
        <v>355.75999999999993</v>
      </c>
      <c r="C903" s="4" t="e">
        <f>VLOOKUP($A903,'extended_recharge_2003-2015'!$A$1:$AH$265,$D$1,FALSE)</f>
        <v>#N/A</v>
      </c>
      <c r="G903" s="6"/>
      <c r="L903" s="6"/>
    </row>
    <row r="904" spans="1:12" x14ac:dyDescent="0.2">
      <c r="A904" s="3">
        <v>35430</v>
      </c>
      <c r="B904" s="4">
        <f>VLOOKUP($A904,'existing_gw_inflows_1921-2003'!$A$1:$AH$1129,$D$1,FALSE)</f>
        <v>1722.9299999999996</v>
      </c>
      <c r="C904" s="4" t="e">
        <f>VLOOKUP($A904,'extended_recharge_2003-2015'!$A$1:$AH$265,$D$1,FALSE)</f>
        <v>#N/A</v>
      </c>
      <c r="G904" s="6"/>
      <c r="L904" s="6"/>
    </row>
    <row r="905" spans="1:12" x14ac:dyDescent="0.2">
      <c r="A905" s="3">
        <v>35461</v>
      </c>
      <c r="B905" s="4">
        <f>VLOOKUP($A905,'existing_gw_inflows_1921-2003'!$A$1:$AH$1129,$D$1,FALSE)</f>
        <v>2643.7000000000003</v>
      </c>
      <c r="C905" s="4" t="e">
        <f>VLOOKUP($A905,'extended_recharge_2003-2015'!$A$1:$AH$265,$D$1,FALSE)</f>
        <v>#N/A</v>
      </c>
      <c r="G905" s="6"/>
      <c r="L905" s="6"/>
    </row>
    <row r="906" spans="1:12" x14ac:dyDescent="0.2">
      <c r="A906" s="3">
        <v>35489</v>
      </c>
      <c r="B906" s="4">
        <f>VLOOKUP($A906,'existing_gw_inflows_1921-2003'!$A$1:$AH$1129,$D$1,FALSE)</f>
        <v>-111.11000000000001</v>
      </c>
      <c r="C906" s="4" t="e">
        <f>VLOOKUP($A906,'extended_recharge_2003-2015'!$A$1:$AH$265,$D$1,FALSE)</f>
        <v>#N/A</v>
      </c>
      <c r="G906" s="6"/>
      <c r="L906" s="6"/>
    </row>
    <row r="907" spans="1:12" x14ac:dyDescent="0.2">
      <c r="A907" s="3">
        <v>35520</v>
      </c>
      <c r="B907" s="4">
        <f>VLOOKUP($A907,'existing_gw_inflows_1921-2003'!$A$1:$AH$1129,$D$1,FALSE)</f>
        <v>-312.63999999999987</v>
      </c>
      <c r="C907" s="4" t="e">
        <f>VLOOKUP($A907,'extended_recharge_2003-2015'!$A$1:$AH$265,$D$1,FALSE)</f>
        <v>#N/A</v>
      </c>
      <c r="G907" s="6"/>
      <c r="L907" s="6"/>
    </row>
    <row r="908" spans="1:12" x14ac:dyDescent="0.2">
      <c r="A908" s="3">
        <v>35550</v>
      </c>
      <c r="B908" s="4">
        <f>VLOOKUP($A908,'existing_gw_inflows_1921-2003'!$A$1:$AH$1129,$D$1,FALSE)</f>
        <v>26.780000000000012</v>
      </c>
      <c r="C908" s="4" t="e">
        <f>VLOOKUP($A908,'extended_recharge_2003-2015'!$A$1:$AH$265,$D$1,FALSE)</f>
        <v>#N/A</v>
      </c>
      <c r="G908" s="6"/>
      <c r="L908" s="6"/>
    </row>
    <row r="909" spans="1:12" x14ac:dyDescent="0.2">
      <c r="A909" s="3">
        <v>35581</v>
      </c>
      <c r="B909" s="4">
        <f>VLOOKUP($A909,'existing_gw_inflows_1921-2003'!$A$1:$AH$1129,$D$1,FALSE)</f>
        <v>291.78000000000003</v>
      </c>
      <c r="C909" s="4" t="e">
        <f>VLOOKUP($A909,'extended_recharge_2003-2015'!$A$1:$AH$265,$D$1,FALSE)</f>
        <v>#N/A</v>
      </c>
      <c r="G909" s="6"/>
      <c r="L909" s="6"/>
    </row>
    <row r="910" spans="1:12" x14ac:dyDescent="0.2">
      <c r="A910" s="3">
        <v>35611</v>
      </c>
      <c r="B910" s="4">
        <f>VLOOKUP($A910,'existing_gw_inflows_1921-2003'!$A$1:$AH$1129,$D$1,FALSE)</f>
        <v>429.03</v>
      </c>
      <c r="C910" s="4" t="e">
        <f>VLOOKUP($A910,'extended_recharge_2003-2015'!$A$1:$AH$265,$D$1,FALSE)</f>
        <v>#N/A</v>
      </c>
      <c r="G910" s="6"/>
      <c r="L910" s="6"/>
    </row>
    <row r="911" spans="1:12" x14ac:dyDescent="0.2">
      <c r="A911" s="3">
        <v>35642</v>
      </c>
      <c r="B911" s="4">
        <f>VLOOKUP($A911,'existing_gw_inflows_1921-2003'!$A$1:$AH$1129,$D$1,FALSE)</f>
        <v>547.56999999999994</v>
      </c>
      <c r="C911" s="4" t="e">
        <f>VLOOKUP($A911,'extended_recharge_2003-2015'!$A$1:$AH$265,$D$1,FALSE)</f>
        <v>#N/A</v>
      </c>
      <c r="G911" s="6"/>
      <c r="L911" s="6"/>
    </row>
    <row r="912" spans="1:12" x14ac:dyDescent="0.2">
      <c r="A912" s="3">
        <v>35673</v>
      </c>
      <c r="B912" s="4">
        <f>VLOOKUP($A912,'existing_gw_inflows_1921-2003'!$A$1:$AH$1129,$D$1,FALSE)</f>
        <v>541.40000000000009</v>
      </c>
      <c r="C912" s="4" t="e">
        <f>VLOOKUP($A912,'extended_recharge_2003-2015'!$A$1:$AH$265,$D$1,FALSE)</f>
        <v>#N/A</v>
      </c>
      <c r="G912" s="6"/>
      <c r="L912" s="6"/>
    </row>
    <row r="913" spans="1:12" x14ac:dyDescent="0.2">
      <c r="A913" s="3">
        <v>35703</v>
      </c>
      <c r="B913" s="4">
        <f>VLOOKUP($A913,'existing_gw_inflows_1921-2003'!$A$1:$AH$1129,$D$1,FALSE)</f>
        <v>357.39000000000004</v>
      </c>
      <c r="C913" s="4" t="e">
        <f>VLOOKUP($A913,'extended_recharge_2003-2015'!$A$1:$AH$265,$D$1,FALSE)</f>
        <v>#N/A</v>
      </c>
      <c r="G913" s="6"/>
      <c r="L913" s="6"/>
    </row>
    <row r="914" spans="1:12" x14ac:dyDescent="0.2">
      <c r="A914" s="3">
        <v>35734</v>
      </c>
      <c r="B914" s="4">
        <f>VLOOKUP($A914,'existing_gw_inflows_1921-2003'!$A$1:$AH$1129,$D$1,FALSE)</f>
        <v>271.00000000000006</v>
      </c>
      <c r="C914" s="4" t="e">
        <f>VLOOKUP($A914,'extended_recharge_2003-2015'!$A$1:$AH$265,$D$1,FALSE)</f>
        <v>#N/A</v>
      </c>
      <c r="G914" s="6"/>
      <c r="L914" s="6"/>
    </row>
    <row r="915" spans="1:12" x14ac:dyDescent="0.2">
      <c r="A915" s="3">
        <v>35764</v>
      </c>
      <c r="B915" s="4">
        <f>VLOOKUP($A915,'existing_gw_inflows_1921-2003'!$A$1:$AH$1129,$D$1,FALSE)</f>
        <v>534.52</v>
      </c>
      <c r="C915" s="4" t="e">
        <f>VLOOKUP($A915,'extended_recharge_2003-2015'!$A$1:$AH$265,$D$1,FALSE)</f>
        <v>#N/A</v>
      </c>
      <c r="G915" s="6"/>
      <c r="L915" s="6"/>
    </row>
    <row r="916" spans="1:12" x14ac:dyDescent="0.2">
      <c r="A916" s="3">
        <v>35795</v>
      </c>
      <c r="B916" s="4">
        <f>VLOOKUP($A916,'existing_gw_inflows_1921-2003'!$A$1:$AH$1129,$D$1,FALSE)</f>
        <v>393.68</v>
      </c>
      <c r="C916" s="4" t="e">
        <f>VLOOKUP($A916,'extended_recharge_2003-2015'!$A$1:$AH$265,$D$1,FALSE)</f>
        <v>#N/A</v>
      </c>
      <c r="G916" s="6"/>
      <c r="L916" s="6"/>
    </row>
    <row r="917" spans="1:12" x14ac:dyDescent="0.2">
      <c r="A917" s="3">
        <v>35826</v>
      </c>
      <c r="B917" s="4">
        <f>VLOOKUP($A917,'existing_gw_inflows_1921-2003'!$A$1:$AH$1129,$D$1,FALSE)</f>
        <v>1449.0299999999995</v>
      </c>
      <c r="C917" s="4" t="e">
        <f>VLOOKUP($A917,'extended_recharge_2003-2015'!$A$1:$AH$265,$D$1,FALSE)</f>
        <v>#N/A</v>
      </c>
      <c r="G917" s="6"/>
      <c r="L917" s="6"/>
    </row>
    <row r="918" spans="1:12" x14ac:dyDescent="0.2">
      <c r="A918" s="3">
        <v>35854</v>
      </c>
      <c r="B918" s="4">
        <f>VLOOKUP($A918,'existing_gw_inflows_1921-2003'!$A$1:$AH$1129,$D$1,FALSE)</f>
        <v>3098.0699999999997</v>
      </c>
      <c r="C918" s="4" t="e">
        <f>VLOOKUP($A918,'extended_recharge_2003-2015'!$A$1:$AH$265,$D$1,FALSE)</f>
        <v>#N/A</v>
      </c>
      <c r="G918" s="6"/>
      <c r="L918" s="6"/>
    </row>
    <row r="919" spans="1:12" x14ac:dyDescent="0.2">
      <c r="A919" s="3">
        <v>35885</v>
      </c>
      <c r="B919" s="4">
        <f>VLOOKUP($A919,'existing_gw_inflows_1921-2003'!$A$1:$AH$1129,$D$1,FALSE)</f>
        <v>355.72999999999996</v>
      </c>
      <c r="C919" s="4" t="e">
        <f>VLOOKUP($A919,'extended_recharge_2003-2015'!$A$1:$AH$265,$D$1,FALSE)</f>
        <v>#N/A</v>
      </c>
      <c r="G919" s="6"/>
      <c r="L919" s="6"/>
    </row>
    <row r="920" spans="1:12" x14ac:dyDescent="0.2">
      <c r="A920" s="3">
        <v>35915</v>
      </c>
      <c r="B920" s="4">
        <f>VLOOKUP($A920,'existing_gw_inflows_1921-2003'!$A$1:$AH$1129,$D$1,FALSE)</f>
        <v>304.25000000000006</v>
      </c>
      <c r="C920" s="4" t="e">
        <f>VLOOKUP($A920,'extended_recharge_2003-2015'!$A$1:$AH$265,$D$1,FALSE)</f>
        <v>#N/A</v>
      </c>
      <c r="G920" s="6"/>
      <c r="L920" s="6"/>
    </row>
    <row r="921" spans="1:12" x14ac:dyDescent="0.2">
      <c r="A921" s="3">
        <v>35946</v>
      </c>
      <c r="B921" s="4">
        <f>VLOOKUP($A921,'existing_gw_inflows_1921-2003'!$A$1:$AH$1129,$D$1,FALSE)</f>
        <v>663.02</v>
      </c>
      <c r="C921" s="4" t="e">
        <f>VLOOKUP($A921,'extended_recharge_2003-2015'!$A$1:$AH$265,$D$1,FALSE)</f>
        <v>#N/A</v>
      </c>
      <c r="G921" s="6"/>
      <c r="L921" s="6"/>
    </row>
    <row r="922" spans="1:12" x14ac:dyDescent="0.2">
      <c r="A922" s="3">
        <v>35976</v>
      </c>
      <c r="B922" s="4">
        <f>VLOOKUP($A922,'existing_gw_inflows_1921-2003'!$A$1:$AH$1129,$D$1,FALSE)</f>
        <v>652.98</v>
      </c>
      <c r="C922" s="4" t="e">
        <f>VLOOKUP($A922,'extended_recharge_2003-2015'!$A$1:$AH$265,$D$1,FALSE)</f>
        <v>#N/A</v>
      </c>
      <c r="G922" s="6"/>
      <c r="L922" s="6"/>
    </row>
    <row r="923" spans="1:12" x14ac:dyDescent="0.2">
      <c r="A923" s="3">
        <v>36007</v>
      </c>
      <c r="B923" s="4">
        <f>VLOOKUP($A923,'existing_gw_inflows_1921-2003'!$A$1:$AH$1129,$D$1,FALSE)</f>
        <v>379.00000000000006</v>
      </c>
      <c r="C923" s="4" t="e">
        <f>VLOOKUP($A923,'extended_recharge_2003-2015'!$A$1:$AH$265,$D$1,FALSE)</f>
        <v>#N/A</v>
      </c>
      <c r="G923" s="6"/>
      <c r="L923" s="6"/>
    </row>
    <row r="924" spans="1:12" x14ac:dyDescent="0.2">
      <c r="A924" s="3">
        <v>36038</v>
      </c>
      <c r="B924" s="4">
        <f>VLOOKUP($A924,'existing_gw_inflows_1921-2003'!$A$1:$AH$1129,$D$1,FALSE)</f>
        <v>237.26</v>
      </c>
      <c r="C924" s="4" t="e">
        <f>VLOOKUP($A924,'extended_recharge_2003-2015'!$A$1:$AH$265,$D$1,FALSE)</f>
        <v>#N/A</v>
      </c>
      <c r="G924" s="6"/>
      <c r="L924" s="6"/>
    </row>
    <row r="925" spans="1:12" x14ac:dyDescent="0.2">
      <c r="A925" s="3">
        <v>36068</v>
      </c>
      <c r="B925" s="4">
        <f>VLOOKUP($A925,'existing_gw_inflows_1921-2003'!$A$1:$AH$1129,$D$1,FALSE)</f>
        <v>274.48</v>
      </c>
      <c r="C925" s="4" t="e">
        <f>VLOOKUP($A925,'extended_recharge_2003-2015'!$A$1:$AH$265,$D$1,FALSE)</f>
        <v>#N/A</v>
      </c>
      <c r="G925" s="6"/>
      <c r="L925" s="6"/>
    </row>
    <row r="926" spans="1:12" x14ac:dyDescent="0.2">
      <c r="A926" s="3">
        <v>36099</v>
      </c>
      <c r="B926" s="4">
        <f>VLOOKUP($A926,'existing_gw_inflows_1921-2003'!$A$1:$AH$1129,$D$1,FALSE)</f>
        <v>232.74</v>
      </c>
      <c r="C926" s="4" t="e">
        <f>VLOOKUP($A926,'extended_recharge_2003-2015'!$A$1:$AH$265,$D$1,FALSE)</f>
        <v>#N/A</v>
      </c>
      <c r="G926" s="6"/>
      <c r="L926" s="6"/>
    </row>
    <row r="927" spans="1:12" x14ac:dyDescent="0.2">
      <c r="A927" s="3">
        <v>36129</v>
      </c>
      <c r="B927" s="4">
        <f>VLOOKUP($A927,'existing_gw_inflows_1921-2003'!$A$1:$AH$1129,$D$1,FALSE)</f>
        <v>433.13000000000005</v>
      </c>
      <c r="C927" s="4" t="e">
        <f>VLOOKUP($A927,'extended_recharge_2003-2015'!$A$1:$AH$265,$D$1,FALSE)</f>
        <v>#N/A</v>
      </c>
      <c r="G927" s="6"/>
      <c r="L927" s="6"/>
    </row>
    <row r="928" spans="1:12" x14ac:dyDescent="0.2">
      <c r="A928" s="3">
        <v>36160</v>
      </c>
      <c r="B928" s="4">
        <f>VLOOKUP($A928,'existing_gw_inflows_1921-2003'!$A$1:$AH$1129,$D$1,FALSE)</f>
        <v>509.76999999999992</v>
      </c>
      <c r="C928" s="4" t="e">
        <f>VLOOKUP($A928,'extended_recharge_2003-2015'!$A$1:$AH$265,$D$1,FALSE)</f>
        <v>#N/A</v>
      </c>
      <c r="G928" s="6"/>
      <c r="L928" s="6"/>
    </row>
    <row r="929" spans="1:12" x14ac:dyDescent="0.2">
      <c r="A929" s="3">
        <v>36191</v>
      </c>
      <c r="B929" s="4">
        <f>VLOOKUP($A929,'existing_gw_inflows_1921-2003'!$A$1:$AH$1129,$D$1,FALSE)</f>
        <v>595.6400000000001</v>
      </c>
      <c r="C929" s="4" t="e">
        <f>VLOOKUP($A929,'extended_recharge_2003-2015'!$A$1:$AH$265,$D$1,FALSE)</f>
        <v>#N/A</v>
      </c>
      <c r="G929" s="6"/>
      <c r="L929" s="6"/>
    </row>
    <row r="930" spans="1:12" x14ac:dyDescent="0.2">
      <c r="A930" s="3">
        <v>36219</v>
      </c>
      <c r="B930" s="4">
        <f>VLOOKUP($A930,'existing_gw_inflows_1921-2003'!$A$1:$AH$1129,$D$1,FALSE)</f>
        <v>878.59</v>
      </c>
      <c r="C930" s="4" t="e">
        <f>VLOOKUP($A930,'extended_recharge_2003-2015'!$A$1:$AH$265,$D$1,FALSE)</f>
        <v>#N/A</v>
      </c>
      <c r="G930" s="6"/>
      <c r="L930" s="6"/>
    </row>
    <row r="931" spans="1:12" x14ac:dyDescent="0.2">
      <c r="A931" s="3">
        <v>36250</v>
      </c>
      <c r="B931" s="4">
        <f>VLOOKUP($A931,'existing_gw_inflows_1921-2003'!$A$1:$AH$1129,$D$1,FALSE)</f>
        <v>310.27</v>
      </c>
      <c r="C931" s="4" t="e">
        <f>VLOOKUP($A931,'extended_recharge_2003-2015'!$A$1:$AH$265,$D$1,FALSE)</f>
        <v>#N/A</v>
      </c>
      <c r="G931" s="6"/>
      <c r="L931" s="6"/>
    </row>
    <row r="932" spans="1:12" x14ac:dyDescent="0.2">
      <c r="A932" s="3">
        <v>36280</v>
      </c>
      <c r="B932" s="4">
        <f>VLOOKUP($A932,'existing_gw_inflows_1921-2003'!$A$1:$AH$1129,$D$1,FALSE)</f>
        <v>51.990000000000009</v>
      </c>
      <c r="C932" s="4" t="e">
        <f>VLOOKUP($A932,'extended_recharge_2003-2015'!$A$1:$AH$265,$D$1,FALSE)</f>
        <v>#N/A</v>
      </c>
      <c r="G932" s="6"/>
      <c r="L932" s="6"/>
    </row>
    <row r="933" spans="1:12" x14ac:dyDescent="0.2">
      <c r="A933" s="3">
        <v>36311</v>
      </c>
      <c r="B933" s="4">
        <f>VLOOKUP($A933,'existing_gw_inflows_1921-2003'!$A$1:$AH$1129,$D$1,FALSE)</f>
        <v>199.48000000000002</v>
      </c>
      <c r="C933" s="4" t="e">
        <f>VLOOKUP($A933,'extended_recharge_2003-2015'!$A$1:$AH$265,$D$1,FALSE)</f>
        <v>#N/A</v>
      </c>
      <c r="G933" s="6"/>
      <c r="L933" s="6"/>
    </row>
    <row r="934" spans="1:12" x14ac:dyDescent="0.2">
      <c r="A934" s="3">
        <v>36341</v>
      </c>
      <c r="B934" s="4">
        <f>VLOOKUP($A934,'existing_gw_inflows_1921-2003'!$A$1:$AH$1129,$D$1,FALSE)</f>
        <v>304.77</v>
      </c>
      <c r="C934" s="4" t="e">
        <f>VLOOKUP($A934,'extended_recharge_2003-2015'!$A$1:$AH$265,$D$1,FALSE)</f>
        <v>#N/A</v>
      </c>
      <c r="G934" s="6"/>
      <c r="L934" s="6"/>
    </row>
    <row r="935" spans="1:12" x14ac:dyDescent="0.2">
      <c r="A935" s="3">
        <v>36372</v>
      </c>
      <c r="B935" s="4">
        <f>VLOOKUP($A935,'existing_gw_inflows_1921-2003'!$A$1:$AH$1129,$D$1,FALSE)</f>
        <v>503.69999999999993</v>
      </c>
      <c r="C935" s="4" t="e">
        <f>VLOOKUP($A935,'extended_recharge_2003-2015'!$A$1:$AH$265,$D$1,FALSE)</f>
        <v>#N/A</v>
      </c>
      <c r="G935" s="6"/>
      <c r="L935" s="6"/>
    </row>
    <row r="936" spans="1:12" x14ac:dyDescent="0.2">
      <c r="A936" s="3">
        <v>36403</v>
      </c>
      <c r="B936" s="4">
        <f>VLOOKUP($A936,'existing_gw_inflows_1921-2003'!$A$1:$AH$1129,$D$1,FALSE)</f>
        <v>418.35000000000008</v>
      </c>
      <c r="C936" s="4" t="e">
        <f>VLOOKUP($A936,'extended_recharge_2003-2015'!$A$1:$AH$265,$D$1,FALSE)</f>
        <v>#N/A</v>
      </c>
      <c r="G936" s="6"/>
      <c r="L936" s="6"/>
    </row>
    <row r="937" spans="1:12" x14ac:dyDescent="0.2">
      <c r="A937" s="3">
        <v>36433</v>
      </c>
      <c r="B937" s="4">
        <f>VLOOKUP($A937,'existing_gw_inflows_1921-2003'!$A$1:$AH$1129,$D$1,FALSE)</f>
        <v>293.64999999999998</v>
      </c>
      <c r="C937" s="4" t="e">
        <f>VLOOKUP($A937,'extended_recharge_2003-2015'!$A$1:$AH$265,$D$1,FALSE)</f>
        <v>#N/A</v>
      </c>
      <c r="G937" s="6"/>
      <c r="L937" s="6"/>
    </row>
    <row r="938" spans="1:12" x14ac:dyDescent="0.2">
      <c r="A938" s="3">
        <v>36464</v>
      </c>
      <c r="B938" s="4">
        <f>VLOOKUP($A938,'existing_gw_inflows_1921-2003'!$A$1:$AH$1129,$D$1,FALSE)</f>
        <v>273.67</v>
      </c>
      <c r="C938" s="4" t="e">
        <f>VLOOKUP($A938,'extended_recharge_2003-2015'!$A$1:$AH$265,$D$1,FALSE)</f>
        <v>#N/A</v>
      </c>
      <c r="G938" s="6"/>
      <c r="L938" s="6"/>
    </row>
    <row r="939" spans="1:12" x14ac:dyDescent="0.2">
      <c r="A939" s="3">
        <v>36494</v>
      </c>
      <c r="B939" s="4">
        <f>VLOOKUP($A939,'existing_gw_inflows_1921-2003'!$A$1:$AH$1129,$D$1,FALSE)</f>
        <v>284.29999999999995</v>
      </c>
      <c r="C939" s="4" t="e">
        <f>VLOOKUP($A939,'extended_recharge_2003-2015'!$A$1:$AH$265,$D$1,FALSE)</f>
        <v>#N/A</v>
      </c>
      <c r="G939" s="6"/>
      <c r="L939" s="6"/>
    </row>
    <row r="940" spans="1:12" x14ac:dyDescent="0.2">
      <c r="A940" s="3">
        <v>36525</v>
      </c>
      <c r="B940" s="4">
        <f>VLOOKUP($A940,'existing_gw_inflows_1921-2003'!$A$1:$AH$1129,$D$1,FALSE)</f>
        <v>205.33999999999997</v>
      </c>
      <c r="C940" s="4" t="e">
        <f>VLOOKUP($A940,'extended_recharge_2003-2015'!$A$1:$AH$265,$D$1,FALSE)</f>
        <v>#N/A</v>
      </c>
      <c r="G940" s="6"/>
      <c r="L940" s="6"/>
    </row>
    <row r="941" spans="1:12" x14ac:dyDescent="0.2">
      <c r="A941" s="3">
        <v>36556</v>
      </c>
      <c r="B941" s="4">
        <f>VLOOKUP($A941,'existing_gw_inflows_1921-2003'!$A$1:$AH$1129,$D$1,FALSE)</f>
        <v>587.49999999999989</v>
      </c>
      <c r="C941" s="4" t="e">
        <f>VLOOKUP($A941,'extended_recharge_2003-2015'!$A$1:$AH$265,$D$1,FALSE)</f>
        <v>#N/A</v>
      </c>
      <c r="G941" s="6"/>
      <c r="L941" s="6"/>
    </row>
    <row r="942" spans="1:12" x14ac:dyDescent="0.2">
      <c r="A942" s="3">
        <v>36585</v>
      </c>
      <c r="B942" s="4">
        <f>VLOOKUP($A942,'existing_gw_inflows_1921-2003'!$A$1:$AH$1129,$D$1,FALSE)</f>
        <v>1353.3599999999997</v>
      </c>
      <c r="C942" s="4" t="e">
        <f>VLOOKUP($A942,'extended_recharge_2003-2015'!$A$1:$AH$265,$D$1,FALSE)</f>
        <v>#N/A</v>
      </c>
      <c r="G942" s="6"/>
      <c r="L942" s="6"/>
    </row>
    <row r="943" spans="1:12" x14ac:dyDescent="0.2">
      <c r="A943" s="3">
        <v>36616</v>
      </c>
      <c r="B943" s="4">
        <f>VLOOKUP($A943,'existing_gw_inflows_1921-2003'!$A$1:$AH$1129,$D$1,FALSE)</f>
        <v>431.17</v>
      </c>
      <c r="C943" s="4" t="e">
        <f>VLOOKUP($A943,'extended_recharge_2003-2015'!$A$1:$AH$265,$D$1,FALSE)</f>
        <v>#N/A</v>
      </c>
      <c r="G943" s="6"/>
      <c r="L943" s="6"/>
    </row>
    <row r="944" spans="1:12" x14ac:dyDescent="0.2">
      <c r="A944" s="3">
        <v>36646</v>
      </c>
      <c r="B944" s="4">
        <f>VLOOKUP($A944,'existing_gw_inflows_1921-2003'!$A$1:$AH$1129,$D$1,FALSE)</f>
        <v>-57.539999999999978</v>
      </c>
      <c r="C944" s="4" t="e">
        <f>VLOOKUP($A944,'extended_recharge_2003-2015'!$A$1:$AH$265,$D$1,FALSE)</f>
        <v>#N/A</v>
      </c>
      <c r="G944" s="6"/>
      <c r="L944" s="6"/>
    </row>
    <row r="945" spans="1:12" x14ac:dyDescent="0.2">
      <c r="A945" s="3">
        <v>36677</v>
      </c>
      <c r="B945" s="4">
        <f>VLOOKUP($A945,'existing_gw_inflows_1921-2003'!$A$1:$AH$1129,$D$1,FALSE)</f>
        <v>191.19</v>
      </c>
      <c r="C945" s="4" t="e">
        <f>VLOOKUP($A945,'extended_recharge_2003-2015'!$A$1:$AH$265,$D$1,FALSE)</f>
        <v>#N/A</v>
      </c>
      <c r="G945" s="6"/>
      <c r="L945" s="6"/>
    </row>
    <row r="946" spans="1:12" x14ac:dyDescent="0.2">
      <c r="A946" s="3">
        <v>36707</v>
      </c>
      <c r="B946" s="4">
        <f>VLOOKUP($A946,'existing_gw_inflows_1921-2003'!$A$1:$AH$1129,$D$1,FALSE)</f>
        <v>344.27</v>
      </c>
      <c r="C946" s="4" t="e">
        <f>VLOOKUP($A946,'extended_recharge_2003-2015'!$A$1:$AH$265,$D$1,FALSE)</f>
        <v>#N/A</v>
      </c>
      <c r="G946" s="6"/>
      <c r="L946" s="6"/>
    </row>
    <row r="947" spans="1:12" x14ac:dyDescent="0.2">
      <c r="A947" s="3">
        <v>36738</v>
      </c>
      <c r="B947" s="4">
        <f>VLOOKUP($A947,'existing_gw_inflows_1921-2003'!$A$1:$AH$1129,$D$1,FALSE)</f>
        <v>502.18999999999994</v>
      </c>
      <c r="C947" s="4" t="e">
        <f>VLOOKUP($A947,'extended_recharge_2003-2015'!$A$1:$AH$265,$D$1,FALSE)</f>
        <v>#N/A</v>
      </c>
      <c r="G947" s="6"/>
      <c r="L947" s="6"/>
    </row>
    <row r="948" spans="1:12" x14ac:dyDescent="0.2">
      <c r="A948" s="3">
        <v>36769</v>
      </c>
      <c r="B948" s="4">
        <f>VLOOKUP($A948,'existing_gw_inflows_1921-2003'!$A$1:$AH$1129,$D$1,FALSE)</f>
        <v>439.63</v>
      </c>
      <c r="C948" s="4" t="e">
        <f>VLOOKUP($A948,'extended_recharge_2003-2015'!$A$1:$AH$265,$D$1,FALSE)</f>
        <v>#N/A</v>
      </c>
      <c r="G948" s="6"/>
      <c r="L948" s="6"/>
    </row>
    <row r="949" spans="1:12" x14ac:dyDescent="0.2">
      <c r="A949" s="3">
        <v>36799</v>
      </c>
      <c r="B949" s="4">
        <f>VLOOKUP($A949,'existing_gw_inflows_1921-2003'!$A$1:$AH$1129,$D$1,FALSE)</f>
        <v>276.74999999999994</v>
      </c>
      <c r="C949" s="4" t="e">
        <f>VLOOKUP($A949,'extended_recharge_2003-2015'!$A$1:$AH$265,$D$1,FALSE)</f>
        <v>#N/A</v>
      </c>
      <c r="G949" s="6"/>
      <c r="L949" s="6"/>
    </row>
    <row r="950" spans="1:12" x14ac:dyDescent="0.2">
      <c r="A950" s="3">
        <v>36830</v>
      </c>
      <c r="B950" s="4">
        <f>VLOOKUP($A950,'existing_gw_inflows_1921-2003'!$A$1:$AH$1129,$D$1,FALSE)</f>
        <v>289.51</v>
      </c>
      <c r="C950" s="4" t="e">
        <f>VLOOKUP($A950,'extended_recharge_2003-2015'!$A$1:$AH$265,$D$1,FALSE)</f>
        <v>#N/A</v>
      </c>
      <c r="G950" s="6"/>
      <c r="L950" s="6"/>
    </row>
    <row r="951" spans="1:12" x14ac:dyDescent="0.2">
      <c r="A951" s="3">
        <v>36860</v>
      </c>
      <c r="B951" s="4">
        <f>VLOOKUP($A951,'existing_gw_inflows_1921-2003'!$A$1:$AH$1129,$D$1,FALSE)</f>
        <v>158.45999999999998</v>
      </c>
      <c r="C951" s="4" t="e">
        <f>VLOOKUP($A951,'extended_recharge_2003-2015'!$A$1:$AH$265,$D$1,FALSE)</f>
        <v>#N/A</v>
      </c>
      <c r="G951" s="6"/>
      <c r="L951" s="6"/>
    </row>
    <row r="952" spans="1:12" x14ac:dyDescent="0.2">
      <c r="A952" s="3">
        <v>36891</v>
      </c>
      <c r="B952" s="4">
        <f>VLOOKUP($A952,'existing_gw_inflows_1921-2003'!$A$1:$AH$1129,$D$1,FALSE)</f>
        <v>196.40000000000003</v>
      </c>
      <c r="C952" s="4" t="e">
        <f>VLOOKUP($A952,'extended_recharge_2003-2015'!$A$1:$AH$265,$D$1,FALSE)</f>
        <v>#N/A</v>
      </c>
      <c r="G952" s="6"/>
      <c r="L952" s="6"/>
    </row>
    <row r="953" spans="1:12" x14ac:dyDescent="0.2">
      <c r="A953" s="3">
        <v>36922</v>
      </c>
      <c r="B953" s="4">
        <f>VLOOKUP($A953,'existing_gw_inflows_1921-2003'!$A$1:$AH$1129,$D$1,FALSE)</f>
        <v>455.93999999999988</v>
      </c>
      <c r="C953" s="4" t="e">
        <f>VLOOKUP($A953,'extended_recharge_2003-2015'!$A$1:$AH$265,$D$1,FALSE)</f>
        <v>#N/A</v>
      </c>
      <c r="G953" s="6"/>
      <c r="L953" s="6"/>
    </row>
    <row r="954" spans="1:12" x14ac:dyDescent="0.2">
      <c r="A954" s="3">
        <v>36950</v>
      </c>
      <c r="B954" s="4">
        <f>VLOOKUP($A954,'existing_gw_inflows_1921-2003'!$A$1:$AH$1129,$D$1,FALSE)</f>
        <v>409.51999999999992</v>
      </c>
      <c r="C954" s="4" t="e">
        <f>VLOOKUP($A954,'extended_recharge_2003-2015'!$A$1:$AH$265,$D$1,FALSE)</f>
        <v>#N/A</v>
      </c>
      <c r="G954" s="6"/>
      <c r="L954" s="6"/>
    </row>
    <row r="955" spans="1:12" x14ac:dyDescent="0.2">
      <c r="A955" s="3">
        <v>36981</v>
      </c>
      <c r="B955" s="4">
        <f>VLOOKUP($A955,'existing_gw_inflows_1921-2003'!$A$1:$AH$1129,$D$1,FALSE)</f>
        <v>259.32000000000005</v>
      </c>
      <c r="C955" s="4" t="e">
        <f>VLOOKUP($A955,'extended_recharge_2003-2015'!$A$1:$AH$265,$D$1,FALSE)</f>
        <v>#N/A</v>
      </c>
      <c r="G955" s="6"/>
      <c r="L955" s="6"/>
    </row>
    <row r="956" spans="1:12" x14ac:dyDescent="0.2">
      <c r="A956" s="3">
        <v>37011</v>
      </c>
      <c r="B956" s="4">
        <f>VLOOKUP($A956,'existing_gw_inflows_1921-2003'!$A$1:$AH$1129,$D$1,FALSE)</f>
        <v>196.9</v>
      </c>
      <c r="C956" s="4" t="e">
        <f>VLOOKUP($A956,'extended_recharge_2003-2015'!$A$1:$AH$265,$D$1,FALSE)</f>
        <v>#N/A</v>
      </c>
      <c r="G956" s="6"/>
      <c r="L956" s="6"/>
    </row>
    <row r="957" spans="1:12" x14ac:dyDescent="0.2">
      <c r="A957" s="3">
        <v>37042</v>
      </c>
      <c r="B957" s="4">
        <f>VLOOKUP($A957,'existing_gw_inflows_1921-2003'!$A$1:$AH$1129,$D$1,FALSE)</f>
        <v>307.24</v>
      </c>
      <c r="C957" s="4" t="e">
        <f>VLOOKUP($A957,'extended_recharge_2003-2015'!$A$1:$AH$265,$D$1,FALSE)</f>
        <v>#N/A</v>
      </c>
      <c r="G957" s="6"/>
      <c r="L957" s="6"/>
    </row>
    <row r="958" spans="1:12" x14ac:dyDescent="0.2">
      <c r="A958" s="3">
        <v>37072</v>
      </c>
      <c r="B958" s="4">
        <f>VLOOKUP($A958,'existing_gw_inflows_1921-2003'!$A$1:$AH$1129,$D$1,FALSE)</f>
        <v>412.89000000000004</v>
      </c>
      <c r="C958" s="4" t="e">
        <f>VLOOKUP($A958,'extended_recharge_2003-2015'!$A$1:$AH$265,$D$1,FALSE)</f>
        <v>#N/A</v>
      </c>
      <c r="G958" s="6"/>
      <c r="L958" s="6"/>
    </row>
    <row r="959" spans="1:12" x14ac:dyDescent="0.2">
      <c r="A959" s="3">
        <v>37103</v>
      </c>
      <c r="B959" s="4">
        <f>VLOOKUP($A959,'existing_gw_inflows_1921-2003'!$A$1:$AH$1129,$D$1,FALSE)</f>
        <v>487.89</v>
      </c>
      <c r="C959" s="4" t="e">
        <f>VLOOKUP($A959,'extended_recharge_2003-2015'!$A$1:$AH$265,$D$1,FALSE)</f>
        <v>#N/A</v>
      </c>
      <c r="G959" s="6"/>
      <c r="L959" s="6"/>
    </row>
    <row r="960" spans="1:12" x14ac:dyDescent="0.2">
      <c r="A960" s="3">
        <v>37134</v>
      </c>
      <c r="B960" s="4">
        <f>VLOOKUP($A960,'existing_gw_inflows_1921-2003'!$A$1:$AH$1129,$D$1,FALSE)</f>
        <v>428.56000000000006</v>
      </c>
      <c r="C960" s="4" t="e">
        <f>VLOOKUP($A960,'extended_recharge_2003-2015'!$A$1:$AH$265,$D$1,FALSE)</f>
        <v>#N/A</v>
      </c>
      <c r="G960" s="6"/>
      <c r="L960" s="6"/>
    </row>
    <row r="961" spans="1:12" x14ac:dyDescent="0.2">
      <c r="A961" s="3">
        <v>37164</v>
      </c>
      <c r="B961" s="4">
        <f>VLOOKUP($A961,'existing_gw_inflows_1921-2003'!$A$1:$AH$1129,$D$1,FALSE)</f>
        <v>283.85999999999996</v>
      </c>
      <c r="C961" s="4" t="e">
        <f>VLOOKUP($A961,'extended_recharge_2003-2015'!$A$1:$AH$265,$D$1,FALSE)</f>
        <v>#N/A</v>
      </c>
      <c r="G961" s="6"/>
      <c r="L961" s="6"/>
    </row>
    <row r="962" spans="1:12" x14ac:dyDescent="0.2">
      <c r="A962" s="3">
        <v>37195</v>
      </c>
      <c r="B962" s="4">
        <f>VLOOKUP($A962,'existing_gw_inflows_1921-2003'!$A$1:$AH$1129,$D$1,FALSE)</f>
        <v>239.48</v>
      </c>
      <c r="C962" s="4" t="e">
        <f>VLOOKUP($A962,'extended_recharge_2003-2015'!$A$1:$AH$265,$D$1,FALSE)</f>
        <v>#N/A</v>
      </c>
      <c r="G962" s="6"/>
      <c r="L962" s="6"/>
    </row>
    <row r="963" spans="1:12" x14ac:dyDescent="0.2">
      <c r="A963" s="3">
        <v>37225</v>
      </c>
      <c r="B963" s="4">
        <f>VLOOKUP($A963,'existing_gw_inflows_1921-2003'!$A$1:$AH$1129,$D$1,FALSE)</f>
        <v>425.83</v>
      </c>
      <c r="C963" s="4" t="e">
        <f>VLOOKUP($A963,'extended_recharge_2003-2015'!$A$1:$AH$265,$D$1,FALSE)</f>
        <v>#N/A</v>
      </c>
      <c r="G963" s="6"/>
      <c r="L963" s="6"/>
    </row>
    <row r="964" spans="1:12" x14ac:dyDescent="0.2">
      <c r="A964" s="3">
        <v>37256</v>
      </c>
      <c r="B964" s="4">
        <f>VLOOKUP($A964,'existing_gw_inflows_1921-2003'!$A$1:$AH$1129,$D$1,FALSE)</f>
        <v>794.54</v>
      </c>
      <c r="C964" s="4" t="e">
        <f>VLOOKUP($A964,'extended_recharge_2003-2015'!$A$1:$AH$265,$D$1,FALSE)</f>
        <v>#N/A</v>
      </c>
      <c r="G964" s="6"/>
      <c r="L964" s="6"/>
    </row>
    <row r="965" spans="1:12" x14ac:dyDescent="0.2">
      <c r="A965" s="3">
        <v>37287</v>
      </c>
      <c r="B965" s="4">
        <f>VLOOKUP($A965,'existing_gw_inflows_1921-2003'!$A$1:$AH$1129,$D$1,FALSE)</f>
        <v>326.25</v>
      </c>
      <c r="C965" s="4" t="e">
        <f>VLOOKUP($A965,'extended_recharge_2003-2015'!$A$1:$AH$265,$D$1,FALSE)</f>
        <v>#N/A</v>
      </c>
      <c r="G965" s="6"/>
      <c r="L965" s="6"/>
    </row>
    <row r="966" spans="1:12" x14ac:dyDescent="0.2">
      <c r="A966" s="3">
        <v>37315</v>
      </c>
      <c r="B966" s="4">
        <f>VLOOKUP($A966,'existing_gw_inflows_1921-2003'!$A$1:$AH$1129,$D$1,FALSE)</f>
        <v>69.629999999999967</v>
      </c>
      <c r="C966" s="4" t="e">
        <f>VLOOKUP($A966,'extended_recharge_2003-2015'!$A$1:$AH$265,$D$1,FALSE)</f>
        <v>#N/A</v>
      </c>
      <c r="G966" s="6"/>
      <c r="L966" s="6"/>
    </row>
    <row r="967" spans="1:12" x14ac:dyDescent="0.2">
      <c r="A967" s="3">
        <v>37346</v>
      </c>
      <c r="B967" s="4">
        <f>VLOOKUP($A967,'existing_gw_inflows_1921-2003'!$A$1:$AH$1129,$D$1,FALSE)</f>
        <v>317.20999999999998</v>
      </c>
      <c r="C967" s="4" t="e">
        <f>VLOOKUP($A967,'extended_recharge_2003-2015'!$A$1:$AH$265,$D$1,FALSE)</f>
        <v>#N/A</v>
      </c>
      <c r="G967" s="6"/>
      <c r="L967" s="6"/>
    </row>
    <row r="968" spans="1:12" x14ac:dyDescent="0.2">
      <c r="A968" s="3">
        <v>37376</v>
      </c>
      <c r="B968" s="4">
        <f>VLOOKUP($A968,'existing_gw_inflows_1921-2003'!$A$1:$AH$1129,$D$1,FALSE)</f>
        <v>292.33999999999997</v>
      </c>
      <c r="C968" s="4" t="e">
        <f>VLOOKUP($A968,'extended_recharge_2003-2015'!$A$1:$AH$265,$D$1,FALSE)</f>
        <v>#N/A</v>
      </c>
      <c r="G968" s="6"/>
      <c r="L968" s="6"/>
    </row>
    <row r="969" spans="1:12" x14ac:dyDescent="0.2">
      <c r="A969" s="3">
        <v>37407</v>
      </c>
      <c r="B969" s="4">
        <f>VLOOKUP($A969,'existing_gw_inflows_1921-2003'!$A$1:$AH$1129,$D$1,FALSE)</f>
        <v>372.46</v>
      </c>
      <c r="C969" s="4" t="e">
        <f>VLOOKUP($A969,'extended_recharge_2003-2015'!$A$1:$AH$265,$D$1,FALSE)</f>
        <v>#N/A</v>
      </c>
      <c r="G969" s="6"/>
      <c r="L969" s="6"/>
    </row>
    <row r="970" spans="1:12" x14ac:dyDescent="0.2">
      <c r="A970" s="3">
        <v>37437</v>
      </c>
      <c r="B970" s="4">
        <f>VLOOKUP($A970,'existing_gw_inflows_1921-2003'!$A$1:$AH$1129,$D$1,FALSE)</f>
        <v>458.36999999999995</v>
      </c>
      <c r="C970" s="4" t="e">
        <f>VLOOKUP($A970,'extended_recharge_2003-2015'!$A$1:$AH$265,$D$1,FALSE)</f>
        <v>#N/A</v>
      </c>
      <c r="G970" s="6"/>
      <c r="L970" s="6"/>
    </row>
    <row r="971" spans="1:12" x14ac:dyDescent="0.2">
      <c r="A971" s="3">
        <v>37468</v>
      </c>
      <c r="B971" s="4">
        <f>VLOOKUP($A971,'existing_gw_inflows_1921-2003'!$A$1:$AH$1129,$D$1,FALSE)</f>
        <v>560.30999999999995</v>
      </c>
      <c r="C971" s="4" t="e">
        <f>VLOOKUP($A971,'extended_recharge_2003-2015'!$A$1:$AH$265,$D$1,FALSE)</f>
        <v>#N/A</v>
      </c>
      <c r="G971" s="6"/>
      <c r="L971" s="6"/>
    </row>
    <row r="972" spans="1:12" x14ac:dyDescent="0.2">
      <c r="A972" s="3">
        <v>37499</v>
      </c>
      <c r="B972" s="4">
        <f>VLOOKUP($A972,'existing_gw_inflows_1921-2003'!$A$1:$AH$1129,$D$1,FALSE)</f>
        <v>453.3</v>
      </c>
      <c r="C972" s="4" t="e">
        <f>VLOOKUP($A972,'extended_recharge_2003-2015'!$A$1:$AH$265,$D$1,FALSE)</f>
        <v>#N/A</v>
      </c>
      <c r="G972" s="6"/>
      <c r="L972" s="6"/>
    </row>
    <row r="973" spans="1:12" x14ac:dyDescent="0.2">
      <c r="A973" s="3">
        <v>37529</v>
      </c>
      <c r="B973" s="4">
        <f>VLOOKUP($A973,'existing_gw_inflows_1921-2003'!$A$1:$AH$1129,$D$1,FALSE)</f>
        <v>265.81</v>
      </c>
      <c r="C973" s="4" t="e">
        <f>VLOOKUP($A973,'extended_recharge_2003-2015'!$A$1:$AH$265,$D$1,FALSE)</f>
        <v>#N/A</v>
      </c>
      <c r="G973" s="6"/>
      <c r="L973" s="6"/>
    </row>
    <row r="974" spans="1:12" x14ac:dyDescent="0.2">
      <c r="A974" s="3">
        <v>37560</v>
      </c>
      <c r="B974" s="4">
        <f>VLOOKUP($A974,'existing_gw_inflows_1921-2003'!$A$1:$AH$1129,$D$1,FALSE)</f>
        <v>265.27</v>
      </c>
      <c r="C974" s="4" t="e">
        <f>VLOOKUP($A974,'extended_recharge_2003-2015'!$A$1:$AH$265,$D$1,FALSE)</f>
        <v>#N/A</v>
      </c>
      <c r="G974" s="6"/>
      <c r="L974" s="6"/>
    </row>
    <row r="975" spans="1:12" x14ac:dyDescent="0.2">
      <c r="A975" s="3">
        <v>37590</v>
      </c>
      <c r="B975" s="4">
        <f>VLOOKUP($A975,'existing_gw_inflows_1921-2003'!$A$1:$AH$1129,$D$1,FALSE)</f>
        <v>351.03000000000003</v>
      </c>
      <c r="C975" s="4" t="e">
        <f>VLOOKUP($A975,'extended_recharge_2003-2015'!$A$1:$AH$265,$D$1,FALSE)</f>
        <v>#N/A</v>
      </c>
      <c r="G975" s="6"/>
      <c r="L975" s="6"/>
    </row>
    <row r="976" spans="1:12" x14ac:dyDescent="0.2">
      <c r="A976" s="3">
        <v>37621</v>
      </c>
      <c r="B976" s="4">
        <f>VLOOKUP($A976,'existing_gw_inflows_1921-2003'!$A$1:$AH$1129,$D$1,FALSE)</f>
        <v>1030.1299999999999</v>
      </c>
      <c r="C976" s="4" t="e">
        <f>VLOOKUP($A976,'extended_recharge_2003-2015'!$A$1:$AH$265,$D$1,FALSE)</f>
        <v>#N/A</v>
      </c>
      <c r="G976" s="6"/>
      <c r="L976" s="6"/>
    </row>
    <row r="977" spans="1:12" x14ac:dyDescent="0.2">
      <c r="A977" s="3">
        <v>37652</v>
      </c>
      <c r="B977" s="4">
        <f>VLOOKUP($A977,'existing_gw_inflows_1921-2003'!$A$1:$AH$1129,$D$1,FALSE)</f>
        <v>322.5</v>
      </c>
      <c r="C977" s="4" t="e">
        <f>VLOOKUP($A977,'extended_recharge_2003-2015'!$A$1:$AH$265,$D$1,FALSE)</f>
        <v>#N/A</v>
      </c>
      <c r="G977" s="6"/>
      <c r="L977" s="6"/>
    </row>
    <row r="978" spans="1:12" x14ac:dyDescent="0.2">
      <c r="A978" s="3">
        <v>37680</v>
      </c>
      <c r="B978" s="4">
        <f>VLOOKUP($A978,'existing_gw_inflows_1921-2003'!$A$1:$AH$1129,$D$1,FALSE)</f>
        <v>98.199999999999989</v>
      </c>
      <c r="C978" s="4" t="e">
        <f>VLOOKUP($A978,'extended_recharge_2003-2015'!$A$1:$AH$265,$D$1,FALSE)</f>
        <v>#N/A</v>
      </c>
      <c r="G978" s="6"/>
      <c r="L978" s="6"/>
    </row>
    <row r="979" spans="1:12" x14ac:dyDescent="0.2">
      <c r="A979" s="3">
        <v>37711</v>
      </c>
      <c r="B979" s="4">
        <f>VLOOKUP($A979,'existing_gw_inflows_1921-2003'!$A$1:$AH$1129,$D$1,FALSE)</f>
        <v>184.52</v>
      </c>
      <c r="C979" s="4" t="e">
        <f>VLOOKUP($A979,'extended_recharge_2003-2015'!$A$1:$AH$265,$D$1,FALSE)</f>
        <v>#N/A</v>
      </c>
      <c r="G979" s="6"/>
      <c r="L979" s="6"/>
    </row>
    <row r="980" spans="1:12" x14ac:dyDescent="0.2">
      <c r="A980" s="3">
        <v>37741</v>
      </c>
      <c r="B980" s="4">
        <f>VLOOKUP($A980,'existing_gw_inflows_1921-2003'!$A$1:$AH$1129,$D$1,FALSE)</f>
        <v>401.83000000000004</v>
      </c>
      <c r="C980" s="4" t="e">
        <f>VLOOKUP($A980,'extended_recharge_2003-2015'!$A$1:$AH$265,$D$1,FALSE)</f>
        <v>#N/A</v>
      </c>
      <c r="G980" s="6"/>
      <c r="L980" s="6"/>
    </row>
    <row r="981" spans="1:12" x14ac:dyDescent="0.2">
      <c r="A981" s="3">
        <v>37772</v>
      </c>
      <c r="B981" s="4">
        <f>VLOOKUP($A981,'existing_gw_inflows_1921-2003'!$A$1:$AH$1129,$D$1,FALSE)</f>
        <v>479.72999999999996</v>
      </c>
      <c r="C981" s="4" t="e">
        <f>VLOOKUP($A981,'extended_recharge_2003-2015'!$A$1:$AH$265,$D$1,FALSE)</f>
        <v>#N/A</v>
      </c>
      <c r="G981" s="6"/>
      <c r="L981" s="6"/>
    </row>
    <row r="982" spans="1:12" x14ac:dyDescent="0.2">
      <c r="A982" s="3">
        <v>37802</v>
      </c>
      <c r="B982" s="4">
        <f>VLOOKUP($A982,'existing_gw_inflows_1921-2003'!$A$1:$AH$1129,$D$1,FALSE)</f>
        <v>429.01000000000005</v>
      </c>
      <c r="C982" s="4" t="e">
        <f>VLOOKUP($A982,'extended_recharge_2003-2015'!$A$1:$AH$265,$D$1,FALSE)</f>
        <v>#N/A</v>
      </c>
      <c r="G982" s="6"/>
      <c r="L982" s="6"/>
    </row>
    <row r="983" spans="1:12" x14ac:dyDescent="0.2">
      <c r="A983" s="3">
        <v>37833</v>
      </c>
      <c r="B983" s="4">
        <f>VLOOKUP($A983,'existing_gw_inflows_1921-2003'!$A$1:$AH$1129,$D$1,FALSE)</f>
        <v>530.65</v>
      </c>
      <c r="C983" s="4" t="e">
        <f>VLOOKUP($A983,'extended_recharge_2003-2015'!$A$1:$AH$265,$D$1,FALSE)</f>
        <v>#N/A</v>
      </c>
      <c r="G983" s="6"/>
      <c r="L983" s="6"/>
    </row>
    <row r="984" spans="1:12" x14ac:dyDescent="0.2">
      <c r="A984" s="3">
        <v>37864</v>
      </c>
      <c r="B984" s="4">
        <f>VLOOKUP($A984,'existing_gw_inflows_1921-2003'!$A$1:$AH$1129,$D$1,FALSE)</f>
        <v>451.05</v>
      </c>
      <c r="C984" s="4" t="e">
        <f>VLOOKUP($A984,'extended_recharge_2003-2015'!$A$1:$AH$265,$D$1,FALSE)</f>
        <v>#N/A</v>
      </c>
      <c r="G984" s="6"/>
      <c r="L984" s="6"/>
    </row>
    <row r="985" spans="1:12" x14ac:dyDescent="0.2">
      <c r="A985" s="3">
        <v>37894</v>
      </c>
      <c r="B985" s="4">
        <f>VLOOKUP($A985,'existing_gw_inflows_1921-2003'!$A$1:$AH$1129,$D$1,FALSE)</f>
        <v>271.73</v>
      </c>
      <c r="C985" s="4" t="e">
        <f>VLOOKUP($A985,'extended_recharge_2003-2015'!$A$1:$AH$265,$D$1,FALSE)</f>
        <v>#N/A</v>
      </c>
      <c r="G985" s="6"/>
      <c r="L985" s="6"/>
    </row>
    <row r="986" spans="1:12" x14ac:dyDescent="0.2">
      <c r="A986" s="3">
        <v>37925</v>
      </c>
      <c r="B986" s="4" t="e">
        <f>VLOOKUP($A986,'existing_gw_inflows_1921-2003'!$A$1:$AH$1129,$D$1,FALSE)</f>
        <v>#N/A</v>
      </c>
      <c r="C986" s="4">
        <f>VLOOKUP($A986,'extended_recharge_2003-2015'!$A$1:$AH$265,$D$1,FALSE)</f>
        <v>451.4349211</v>
      </c>
      <c r="G986" s="6"/>
      <c r="L986" s="6"/>
    </row>
    <row r="987" spans="1:12" x14ac:dyDescent="0.2">
      <c r="A987" s="3">
        <v>37955</v>
      </c>
      <c r="B987" s="4" t="e">
        <f>VLOOKUP($A987,'existing_gw_inflows_1921-2003'!$A$1:$AH$1129,$D$1,FALSE)</f>
        <v>#N/A</v>
      </c>
      <c r="C987" s="4">
        <f>VLOOKUP($A987,'extended_recharge_2003-2015'!$A$1:$AH$265,$D$1,FALSE)</f>
        <v>530.33447479000006</v>
      </c>
      <c r="G987" s="6"/>
      <c r="L987" s="6"/>
    </row>
    <row r="988" spans="1:12" x14ac:dyDescent="0.2">
      <c r="A988" s="3">
        <v>37986</v>
      </c>
      <c r="B988" s="4" t="e">
        <f>VLOOKUP($A988,'existing_gw_inflows_1921-2003'!$A$1:$AH$1129,$D$1,FALSE)</f>
        <v>#N/A</v>
      </c>
      <c r="C988" s="4">
        <f>VLOOKUP($A988,'extended_recharge_2003-2015'!$A$1:$AH$265,$D$1,FALSE)</f>
        <v>531.68579472999988</v>
      </c>
      <c r="G988" s="6"/>
      <c r="L988" s="6"/>
    </row>
    <row r="989" spans="1:12" x14ac:dyDescent="0.2">
      <c r="A989" s="3">
        <v>38017</v>
      </c>
      <c r="B989" s="4" t="e">
        <f>VLOOKUP($A989,'existing_gw_inflows_1921-2003'!$A$1:$AH$1129,$D$1,FALSE)</f>
        <v>#N/A</v>
      </c>
      <c r="C989" s="4">
        <f>VLOOKUP($A989,'extended_recharge_2003-2015'!$A$1:$AH$265,$D$1,FALSE)</f>
        <v>346.81208053000006</v>
      </c>
      <c r="G989" s="6"/>
      <c r="L989" s="6"/>
    </row>
    <row r="990" spans="1:12" x14ac:dyDescent="0.2">
      <c r="A990" s="3">
        <v>38046</v>
      </c>
      <c r="B990" s="4" t="e">
        <f>VLOOKUP($A990,'existing_gw_inflows_1921-2003'!$A$1:$AH$1129,$D$1,FALSE)</f>
        <v>#N/A</v>
      </c>
      <c r="C990" s="4">
        <f>VLOOKUP($A990,'extended_recharge_2003-2015'!$A$1:$AH$265,$D$1,FALSE)</f>
        <v>151.38785046999999</v>
      </c>
      <c r="G990" s="6"/>
      <c r="L990" s="6"/>
    </row>
    <row r="991" spans="1:12" x14ac:dyDescent="0.2">
      <c r="A991" s="3">
        <v>38077</v>
      </c>
      <c r="B991" s="4" t="e">
        <f>VLOOKUP($A991,'existing_gw_inflows_1921-2003'!$A$1:$AH$1129,$D$1,FALSE)</f>
        <v>#N/A</v>
      </c>
      <c r="C991" s="4">
        <f>VLOOKUP($A991,'extended_recharge_2003-2015'!$A$1:$AH$265,$D$1,FALSE)</f>
        <v>217.91189423000003</v>
      </c>
      <c r="G991" s="6"/>
      <c r="L991" s="6"/>
    </row>
    <row r="992" spans="1:12" x14ac:dyDescent="0.2">
      <c r="A992" s="3">
        <v>38107</v>
      </c>
      <c r="B992" s="4" t="e">
        <f>VLOOKUP($A992,'existing_gw_inflows_1921-2003'!$A$1:$AH$1129,$D$1,FALSE)</f>
        <v>#N/A</v>
      </c>
      <c r="C992" s="4">
        <f>VLOOKUP($A992,'extended_recharge_2003-2015'!$A$1:$AH$265,$D$1,FALSE)</f>
        <v>318.45148565000005</v>
      </c>
      <c r="G992" s="6"/>
      <c r="L992" s="6"/>
    </row>
    <row r="993" spans="1:12" x14ac:dyDescent="0.2">
      <c r="A993" s="3">
        <v>38138</v>
      </c>
      <c r="B993" s="4" t="e">
        <f>VLOOKUP($A993,'existing_gw_inflows_1921-2003'!$A$1:$AH$1129,$D$1,FALSE)</f>
        <v>#N/A</v>
      </c>
      <c r="C993" s="4">
        <f>VLOOKUP($A993,'extended_recharge_2003-2015'!$A$1:$AH$265,$D$1,FALSE)</f>
        <v>358.52453492999996</v>
      </c>
      <c r="G993" s="6"/>
      <c r="L993" s="6"/>
    </row>
    <row r="994" spans="1:12" x14ac:dyDescent="0.2">
      <c r="A994" s="3">
        <v>38168</v>
      </c>
      <c r="B994" s="4" t="e">
        <f>VLOOKUP($A994,'existing_gw_inflows_1921-2003'!$A$1:$AH$1129,$D$1,FALSE)</f>
        <v>#N/A</v>
      </c>
      <c r="C994" s="4">
        <f>VLOOKUP($A994,'extended_recharge_2003-2015'!$A$1:$AH$265,$D$1,FALSE)</f>
        <v>435.43102574</v>
      </c>
      <c r="G994" s="6"/>
      <c r="L994" s="6"/>
    </row>
    <row r="995" spans="1:12" x14ac:dyDescent="0.2">
      <c r="A995" s="3">
        <v>38199</v>
      </c>
      <c r="B995" s="4" t="e">
        <f>VLOOKUP($A995,'existing_gw_inflows_1921-2003'!$A$1:$AH$1129,$D$1,FALSE)</f>
        <v>#N/A</v>
      </c>
      <c r="C995" s="4">
        <f>VLOOKUP($A995,'extended_recharge_2003-2015'!$A$1:$AH$265,$D$1,FALSE)</f>
        <v>278.45566698699997</v>
      </c>
      <c r="G995" s="6"/>
      <c r="L995" s="6"/>
    </row>
    <row r="996" spans="1:12" x14ac:dyDescent="0.2">
      <c r="A996" s="3">
        <v>38230</v>
      </c>
      <c r="B996" s="4" t="e">
        <f>VLOOKUP($A996,'existing_gw_inflows_1921-2003'!$A$1:$AH$1129,$D$1,FALSE)</f>
        <v>#N/A</v>
      </c>
      <c r="C996" s="4">
        <f>VLOOKUP($A996,'extended_recharge_2003-2015'!$A$1:$AH$265,$D$1,FALSE)</f>
        <v>295.83666046999997</v>
      </c>
      <c r="G996" s="6"/>
      <c r="L996" s="6"/>
    </row>
    <row r="997" spans="1:12" x14ac:dyDescent="0.2">
      <c r="A997" s="3">
        <v>38260</v>
      </c>
      <c r="B997" s="4" t="e">
        <f>VLOOKUP($A997,'existing_gw_inflows_1921-2003'!$A$1:$AH$1129,$D$1,FALSE)</f>
        <v>#N/A</v>
      </c>
      <c r="C997" s="4">
        <f>VLOOKUP($A997,'extended_recharge_2003-2015'!$A$1:$AH$265,$D$1,FALSE)</f>
        <v>417.90564559999996</v>
      </c>
      <c r="G997" s="6"/>
      <c r="L997" s="6"/>
    </row>
    <row r="998" spans="1:12" x14ac:dyDescent="0.2">
      <c r="A998" s="3">
        <v>38291</v>
      </c>
      <c r="B998" s="4" t="e">
        <f>VLOOKUP($A998,'existing_gw_inflows_1921-2003'!$A$1:$AH$1129,$D$1,FALSE)</f>
        <v>#N/A</v>
      </c>
      <c r="C998" s="4">
        <f>VLOOKUP($A998,'extended_recharge_2003-2015'!$A$1:$AH$265,$D$1,FALSE)</f>
        <v>365.69411340000005</v>
      </c>
      <c r="G998" s="6"/>
      <c r="L998" s="6"/>
    </row>
    <row r="999" spans="1:12" x14ac:dyDescent="0.2">
      <c r="A999" s="3">
        <v>38321</v>
      </c>
      <c r="B999" s="4" t="e">
        <f>VLOOKUP($A999,'existing_gw_inflows_1921-2003'!$A$1:$AH$1129,$D$1,FALSE)</f>
        <v>#N/A</v>
      </c>
      <c r="C999" s="4">
        <f>VLOOKUP($A999,'extended_recharge_2003-2015'!$A$1:$AH$265,$D$1,FALSE)</f>
        <v>354.44540140999987</v>
      </c>
      <c r="G999" s="6"/>
      <c r="L999" s="6"/>
    </row>
    <row r="1000" spans="1:12" x14ac:dyDescent="0.2">
      <c r="A1000" s="3">
        <v>38352</v>
      </c>
      <c r="B1000" s="4" t="e">
        <f>VLOOKUP($A1000,'existing_gw_inflows_1921-2003'!$A$1:$AH$1129,$D$1,FALSE)</f>
        <v>#N/A</v>
      </c>
      <c r="C1000" s="4">
        <f>VLOOKUP($A1000,'extended_recharge_2003-2015'!$A$1:$AH$265,$D$1,FALSE)</f>
        <v>315.41827764999999</v>
      </c>
      <c r="G1000" s="6"/>
      <c r="L1000" s="6"/>
    </row>
    <row r="1001" spans="1:12" x14ac:dyDescent="0.2">
      <c r="A1001" s="3">
        <v>38383</v>
      </c>
      <c r="B1001" s="4" t="e">
        <f>VLOOKUP($A1001,'existing_gw_inflows_1921-2003'!$A$1:$AH$1129,$D$1,FALSE)</f>
        <v>#N/A</v>
      </c>
      <c r="C1001" s="4">
        <f>VLOOKUP($A1001,'extended_recharge_2003-2015'!$A$1:$AH$265,$D$1,FALSE)</f>
        <v>329.27339926999997</v>
      </c>
      <c r="G1001" s="6"/>
      <c r="L1001" s="6"/>
    </row>
    <row r="1002" spans="1:12" x14ac:dyDescent="0.2">
      <c r="A1002" s="3">
        <v>38411</v>
      </c>
      <c r="B1002" s="4" t="e">
        <f>VLOOKUP($A1002,'existing_gw_inflows_1921-2003'!$A$1:$AH$1129,$D$1,FALSE)</f>
        <v>#N/A</v>
      </c>
      <c r="C1002" s="4">
        <f>VLOOKUP($A1002,'extended_recharge_2003-2015'!$A$1:$AH$265,$D$1,FALSE)</f>
        <v>149.68365460000001</v>
      </c>
      <c r="G1002" s="6"/>
      <c r="L1002" s="6"/>
    </row>
    <row r="1003" spans="1:12" x14ac:dyDescent="0.2">
      <c r="A1003" s="3">
        <v>38442</v>
      </c>
      <c r="B1003" s="4" t="e">
        <f>VLOOKUP($A1003,'existing_gw_inflows_1921-2003'!$A$1:$AH$1129,$D$1,FALSE)</f>
        <v>#N/A</v>
      </c>
      <c r="C1003" s="4">
        <f>VLOOKUP($A1003,'extended_recharge_2003-2015'!$A$1:$AH$265,$D$1,FALSE)</f>
        <v>223.72179579000002</v>
      </c>
      <c r="G1003" s="6"/>
      <c r="L1003" s="6"/>
    </row>
    <row r="1004" spans="1:12" x14ac:dyDescent="0.2">
      <c r="A1004" s="3">
        <v>38472</v>
      </c>
      <c r="B1004" s="4" t="e">
        <f>VLOOKUP($A1004,'existing_gw_inflows_1921-2003'!$A$1:$AH$1129,$D$1,FALSE)</f>
        <v>#N/A</v>
      </c>
      <c r="C1004" s="4">
        <f>VLOOKUP($A1004,'extended_recharge_2003-2015'!$A$1:$AH$265,$D$1,FALSE)</f>
        <v>454.63509719999996</v>
      </c>
      <c r="G1004" s="6"/>
      <c r="L1004" s="6"/>
    </row>
    <row r="1005" spans="1:12" x14ac:dyDescent="0.2">
      <c r="A1005" s="3">
        <v>38503</v>
      </c>
      <c r="B1005" s="4" t="e">
        <f>VLOOKUP($A1005,'existing_gw_inflows_1921-2003'!$A$1:$AH$1129,$D$1,FALSE)</f>
        <v>#N/A</v>
      </c>
      <c r="C1005" s="4">
        <f>VLOOKUP($A1005,'extended_recharge_2003-2015'!$A$1:$AH$265,$D$1,FALSE)</f>
        <v>500.69189150000011</v>
      </c>
      <c r="G1005" s="6"/>
      <c r="L1005" s="6"/>
    </row>
    <row r="1006" spans="1:12" x14ac:dyDescent="0.2">
      <c r="A1006" s="3">
        <v>38533</v>
      </c>
      <c r="B1006" s="4" t="e">
        <f>VLOOKUP($A1006,'existing_gw_inflows_1921-2003'!$A$1:$AH$1129,$D$1,FALSE)</f>
        <v>#N/A</v>
      </c>
      <c r="C1006" s="4">
        <f>VLOOKUP($A1006,'extended_recharge_2003-2015'!$A$1:$AH$265,$D$1,FALSE)</f>
        <v>329.56286130000001</v>
      </c>
      <c r="G1006" s="6"/>
      <c r="L1006" s="6"/>
    </row>
    <row r="1007" spans="1:12" x14ac:dyDescent="0.2">
      <c r="A1007" s="3">
        <v>38564</v>
      </c>
      <c r="B1007" s="4" t="e">
        <f>VLOOKUP($A1007,'existing_gw_inflows_1921-2003'!$A$1:$AH$1129,$D$1,FALSE)</f>
        <v>#N/A</v>
      </c>
      <c r="C1007" s="4">
        <f>VLOOKUP($A1007,'extended_recharge_2003-2015'!$A$1:$AH$265,$D$1,FALSE)</f>
        <v>359.20946789999994</v>
      </c>
      <c r="G1007" s="6"/>
      <c r="L1007" s="6"/>
    </row>
    <row r="1008" spans="1:12" x14ac:dyDescent="0.2">
      <c r="A1008" s="3">
        <v>38595</v>
      </c>
      <c r="B1008" s="4" t="e">
        <f>VLOOKUP($A1008,'existing_gw_inflows_1921-2003'!$A$1:$AH$1129,$D$1,FALSE)</f>
        <v>#N/A</v>
      </c>
      <c r="C1008" s="4">
        <f>VLOOKUP($A1008,'extended_recharge_2003-2015'!$A$1:$AH$265,$D$1,FALSE)</f>
        <v>203.61560649999996</v>
      </c>
      <c r="G1008" s="6"/>
      <c r="L1008" s="6"/>
    </row>
    <row r="1009" spans="1:12" x14ac:dyDescent="0.2">
      <c r="A1009" s="3">
        <v>38625</v>
      </c>
      <c r="B1009" s="4" t="e">
        <f>VLOOKUP($A1009,'existing_gw_inflows_1921-2003'!$A$1:$AH$1129,$D$1,FALSE)</f>
        <v>#N/A</v>
      </c>
      <c r="C1009" s="4">
        <f>VLOOKUP($A1009,'extended_recharge_2003-2015'!$A$1:$AH$265,$D$1,FALSE)</f>
        <v>199.99229160000002</v>
      </c>
      <c r="G1009" s="6"/>
      <c r="L1009" s="6"/>
    </row>
    <row r="1010" spans="1:12" x14ac:dyDescent="0.2">
      <c r="A1010" s="3">
        <v>38656</v>
      </c>
      <c r="B1010" s="4" t="e">
        <f>VLOOKUP($A1010,'existing_gw_inflows_1921-2003'!$A$1:$AH$1129,$D$1,FALSE)</f>
        <v>#N/A</v>
      </c>
      <c r="C1010" s="4">
        <f>VLOOKUP($A1010,'extended_recharge_2003-2015'!$A$1:$AH$265,$D$1,FALSE)</f>
        <v>346.53688093000005</v>
      </c>
      <c r="G1010" s="6"/>
      <c r="L1010" s="6"/>
    </row>
    <row r="1011" spans="1:12" x14ac:dyDescent="0.2">
      <c r="A1011" s="3">
        <v>38686</v>
      </c>
      <c r="B1011" s="4" t="e">
        <f>VLOOKUP($A1011,'existing_gw_inflows_1921-2003'!$A$1:$AH$1129,$D$1,FALSE)</f>
        <v>#N/A</v>
      </c>
      <c r="C1011" s="4">
        <f>VLOOKUP($A1011,'extended_recharge_2003-2015'!$A$1:$AH$265,$D$1,FALSE)</f>
        <v>369.09058991999996</v>
      </c>
      <c r="G1011" s="6"/>
      <c r="L1011" s="6"/>
    </row>
    <row r="1012" spans="1:12" x14ac:dyDescent="0.2">
      <c r="A1012" s="3">
        <v>38717</v>
      </c>
      <c r="B1012" s="4" t="e">
        <f>VLOOKUP($A1012,'existing_gw_inflows_1921-2003'!$A$1:$AH$1129,$D$1,FALSE)</f>
        <v>#N/A</v>
      </c>
      <c r="C1012" s="4">
        <f>VLOOKUP($A1012,'extended_recharge_2003-2015'!$A$1:$AH$265,$D$1,FALSE)</f>
        <v>340.16741384999989</v>
      </c>
      <c r="G1012" s="6"/>
      <c r="L1012" s="6"/>
    </row>
    <row r="1013" spans="1:12" x14ac:dyDescent="0.2">
      <c r="A1013" s="3">
        <v>38748</v>
      </c>
      <c r="B1013" s="4" t="e">
        <f>VLOOKUP($A1013,'existing_gw_inflows_1921-2003'!$A$1:$AH$1129,$D$1,FALSE)</f>
        <v>#N/A</v>
      </c>
      <c r="C1013" s="4">
        <f>VLOOKUP($A1013,'extended_recharge_2003-2015'!$A$1:$AH$265,$D$1,FALSE)</f>
        <v>402.21435840000009</v>
      </c>
      <c r="G1013" s="6"/>
      <c r="L1013" s="6"/>
    </row>
    <row r="1014" spans="1:12" x14ac:dyDescent="0.2">
      <c r="A1014" s="3">
        <v>38776</v>
      </c>
      <c r="B1014" s="4" t="e">
        <f>VLOOKUP($A1014,'existing_gw_inflows_1921-2003'!$A$1:$AH$1129,$D$1,FALSE)</f>
        <v>#N/A</v>
      </c>
      <c r="C1014" s="4">
        <f>VLOOKUP($A1014,'extended_recharge_2003-2015'!$A$1:$AH$265,$D$1,FALSE)</f>
        <v>306.52333522000004</v>
      </c>
      <c r="G1014" s="6"/>
      <c r="L1014" s="6"/>
    </row>
    <row r="1015" spans="1:12" x14ac:dyDescent="0.2">
      <c r="A1015" s="3">
        <v>38807</v>
      </c>
      <c r="B1015" s="4" t="e">
        <f>VLOOKUP($A1015,'existing_gw_inflows_1921-2003'!$A$1:$AH$1129,$D$1,FALSE)</f>
        <v>#N/A</v>
      </c>
      <c r="C1015" s="4">
        <f>VLOOKUP($A1015,'extended_recharge_2003-2015'!$A$1:$AH$265,$D$1,FALSE)</f>
        <v>310.58228873000002</v>
      </c>
      <c r="G1015" s="6"/>
      <c r="L1015" s="6"/>
    </row>
    <row r="1016" spans="1:12" x14ac:dyDescent="0.2">
      <c r="A1016" s="3">
        <v>38837</v>
      </c>
      <c r="B1016" s="4" t="e">
        <f>VLOOKUP($A1016,'existing_gw_inflows_1921-2003'!$A$1:$AH$1129,$D$1,FALSE)</f>
        <v>#N/A</v>
      </c>
      <c r="C1016" s="4">
        <f>VLOOKUP($A1016,'extended_recharge_2003-2015'!$A$1:$AH$265,$D$1,FALSE)</f>
        <v>555.05328029999998</v>
      </c>
      <c r="G1016" s="6"/>
      <c r="L1016" s="6"/>
    </row>
    <row r="1017" spans="1:12" x14ac:dyDescent="0.2">
      <c r="A1017" s="3">
        <v>38868</v>
      </c>
      <c r="B1017" s="4" t="e">
        <f>VLOOKUP($A1017,'existing_gw_inflows_1921-2003'!$A$1:$AH$1129,$D$1,FALSE)</f>
        <v>#N/A</v>
      </c>
      <c r="C1017" s="4">
        <f>VLOOKUP($A1017,'extended_recharge_2003-2015'!$A$1:$AH$265,$D$1,FALSE)</f>
        <v>370.20212829999997</v>
      </c>
      <c r="G1017" s="6"/>
      <c r="L1017" s="6"/>
    </row>
    <row r="1018" spans="1:12" x14ac:dyDescent="0.2">
      <c r="A1018" s="3">
        <v>38898</v>
      </c>
      <c r="B1018" s="4" t="e">
        <f>VLOOKUP($A1018,'existing_gw_inflows_1921-2003'!$A$1:$AH$1129,$D$1,FALSE)</f>
        <v>#N/A</v>
      </c>
      <c r="C1018" s="4">
        <f>VLOOKUP($A1018,'extended_recharge_2003-2015'!$A$1:$AH$265,$D$1,FALSE)</f>
        <v>372.37732041600009</v>
      </c>
      <c r="G1018" s="6"/>
      <c r="L1018" s="6"/>
    </row>
    <row r="1019" spans="1:12" x14ac:dyDescent="0.2">
      <c r="A1019" s="3">
        <v>38929</v>
      </c>
      <c r="B1019" s="4" t="e">
        <f>VLOOKUP($A1019,'existing_gw_inflows_1921-2003'!$A$1:$AH$1129,$D$1,FALSE)</f>
        <v>#N/A</v>
      </c>
      <c r="C1019" s="4">
        <f>VLOOKUP($A1019,'extended_recharge_2003-2015'!$A$1:$AH$265,$D$1,FALSE)</f>
        <v>282.95990695</v>
      </c>
      <c r="G1019" s="6"/>
      <c r="L1019" s="6"/>
    </row>
    <row r="1020" spans="1:12" x14ac:dyDescent="0.2">
      <c r="A1020" s="3">
        <v>38960</v>
      </c>
      <c r="B1020" s="4" t="e">
        <f>VLOOKUP($A1020,'existing_gw_inflows_1921-2003'!$A$1:$AH$1129,$D$1,FALSE)</f>
        <v>#N/A</v>
      </c>
      <c r="C1020" s="4">
        <f>VLOOKUP($A1020,'extended_recharge_2003-2015'!$A$1:$AH$265,$D$1,FALSE)</f>
        <v>232.91698529999999</v>
      </c>
      <c r="G1020" s="6"/>
      <c r="L1020" s="6"/>
    </row>
    <row r="1021" spans="1:12" x14ac:dyDescent="0.2">
      <c r="A1021" s="3">
        <v>38990</v>
      </c>
      <c r="B1021" s="4" t="e">
        <f>VLOOKUP($A1021,'existing_gw_inflows_1921-2003'!$A$1:$AH$1129,$D$1,FALSE)</f>
        <v>#N/A</v>
      </c>
      <c r="C1021" s="4">
        <f>VLOOKUP($A1021,'extended_recharge_2003-2015'!$A$1:$AH$265,$D$1,FALSE)</f>
        <v>334.90985469999998</v>
      </c>
      <c r="G1021" s="6"/>
      <c r="L1021" s="6"/>
    </row>
    <row r="1022" spans="1:12" x14ac:dyDescent="0.2">
      <c r="A1022" s="3">
        <v>39021</v>
      </c>
      <c r="B1022" s="4" t="e">
        <f>VLOOKUP($A1022,'existing_gw_inflows_1921-2003'!$A$1:$AH$1129,$D$1,FALSE)</f>
        <v>#N/A</v>
      </c>
      <c r="C1022" s="4">
        <f>VLOOKUP($A1022,'extended_recharge_2003-2015'!$A$1:$AH$265,$D$1,FALSE)</f>
        <v>322.89823702000007</v>
      </c>
      <c r="G1022" s="6"/>
      <c r="L1022" s="6"/>
    </row>
    <row r="1023" spans="1:12" x14ac:dyDescent="0.2">
      <c r="A1023" s="3">
        <v>39051</v>
      </c>
      <c r="B1023" s="4" t="e">
        <f>VLOOKUP($A1023,'existing_gw_inflows_1921-2003'!$A$1:$AH$1129,$D$1,FALSE)</f>
        <v>#N/A</v>
      </c>
      <c r="C1023" s="4">
        <f>VLOOKUP($A1023,'extended_recharge_2003-2015'!$A$1:$AH$265,$D$1,FALSE)</f>
        <v>357.60256330599998</v>
      </c>
      <c r="G1023" s="6"/>
      <c r="L1023" s="6"/>
    </row>
    <row r="1024" spans="1:12" x14ac:dyDescent="0.2">
      <c r="A1024" s="3">
        <v>39082</v>
      </c>
      <c r="B1024" s="4" t="e">
        <f>VLOOKUP($A1024,'existing_gw_inflows_1921-2003'!$A$1:$AH$1129,$D$1,FALSE)</f>
        <v>#N/A</v>
      </c>
      <c r="C1024" s="4">
        <f>VLOOKUP($A1024,'extended_recharge_2003-2015'!$A$1:$AH$265,$D$1,FALSE)</f>
        <v>481.27586010000005</v>
      </c>
      <c r="G1024" s="6"/>
      <c r="L1024" s="6"/>
    </row>
    <row r="1025" spans="1:12" x14ac:dyDescent="0.2">
      <c r="A1025" s="3">
        <v>39113</v>
      </c>
      <c r="B1025" s="4" t="e">
        <f>VLOOKUP($A1025,'existing_gw_inflows_1921-2003'!$A$1:$AH$1129,$D$1,FALSE)</f>
        <v>#N/A</v>
      </c>
      <c r="C1025" s="4">
        <f>VLOOKUP($A1025,'extended_recharge_2003-2015'!$A$1:$AH$265,$D$1,FALSE)</f>
        <v>385.40244309999997</v>
      </c>
      <c r="G1025" s="6"/>
      <c r="L1025" s="6"/>
    </row>
    <row r="1026" spans="1:12" x14ac:dyDescent="0.2">
      <c r="A1026" s="3">
        <v>39141</v>
      </c>
      <c r="B1026" s="4" t="e">
        <f>VLOOKUP($A1026,'existing_gw_inflows_1921-2003'!$A$1:$AH$1129,$D$1,FALSE)</f>
        <v>#N/A</v>
      </c>
      <c r="C1026" s="4">
        <f>VLOOKUP($A1026,'extended_recharge_2003-2015'!$A$1:$AH$265,$D$1,FALSE)</f>
        <v>418.15459519999996</v>
      </c>
      <c r="G1026" s="6"/>
      <c r="L1026" s="6"/>
    </row>
    <row r="1027" spans="1:12" x14ac:dyDescent="0.2">
      <c r="A1027" s="3">
        <v>39172</v>
      </c>
      <c r="B1027" s="4" t="e">
        <f>VLOOKUP($A1027,'existing_gw_inflows_1921-2003'!$A$1:$AH$1129,$D$1,FALSE)</f>
        <v>#N/A</v>
      </c>
      <c r="C1027" s="4">
        <f>VLOOKUP($A1027,'extended_recharge_2003-2015'!$A$1:$AH$265,$D$1,FALSE)</f>
        <v>428.2528390999999</v>
      </c>
      <c r="G1027" s="6"/>
      <c r="L1027" s="6"/>
    </row>
    <row r="1028" spans="1:12" x14ac:dyDescent="0.2">
      <c r="A1028" s="3">
        <v>39202</v>
      </c>
      <c r="B1028" s="4" t="e">
        <f>VLOOKUP($A1028,'existing_gw_inflows_1921-2003'!$A$1:$AH$1129,$D$1,FALSE)</f>
        <v>#N/A</v>
      </c>
      <c r="C1028" s="4">
        <f>VLOOKUP($A1028,'extended_recharge_2003-2015'!$A$1:$AH$265,$D$1,FALSE)</f>
        <v>395.25883979999992</v>
      </c>
      <c r="G1028" s="6"/>
      <c r="L1028" s="6"/>
    </row>
    <row r="1029" spans="1:12" x14ac:dyDescent="0.2">
      <c r="A1029" s="3">
        <v>39233</v>
      </c>
      <c r="B1029" s="4" t="e">
        <f>VLOOKUP($A1029,'existing_gw_inflows_1921-2003'!$A$1:$AH$1129,$D$1,FALSE)</f>
        <v>#N/A</v>
      </c>
      <c r="C1029" s="4">
        <f>VLOOKUP($A1029,'extended_recharge_2003-2015'!$A$1:$AH$265,$D$1,FALSE)</f>
        <v>307.01909848000003</v>
      </c>
      <c r="G1029" s="6"/>
      <c r="L1029" s="6"/>
    </row>
    <row r="1030" spans="1:12" x14ac:dyDescent="0.2">
      <c r="A1030" s="3">
        <v>39263</v>
      </c>
      <c r="B1030" s="4" t="e">
        <f>VLOOKUP($A1030,'existing_gw_inflows_1921-2003'!$A$1:$AH$1129,$D$1,FALSE)</f>
        <v>#N/A</v>
      </c>
      <c r="C1030" s="4">
        <f>VLOOKUP($A1030,'extended_recharge_2003-2015'!$A$1:$AH$265,$D$1,FALSE)</f>
        <v>331.69300609999999</v>
      </c>
      <c r="G1030" s="6"/>
      <c r="L1030" s="6"/>
    </row>
    <row r="1031" spans="1:12" x14ac:dyDescent="0.2">
      <c r="A1031" s="3">
        <v>39294</v>
      </c>
      <c r="B1031" s="4" t="e">
        <f>VLOOKUP($A1031,'existing_gw_inflows_1921-2003'!$A$1:$AH$1129,$D$1,FALSE)</f>
        <v>#N/A</v>
      </c>
      <c r="C1031" s="4">
        <f>VLOOKUP($A1031,'extended_recharge_2003-2015'!$A$1:$AH$265,$D$1,FALSE)</f>
        <v>244.57496040000001</v>
      </c>
      <c r="G1031" s="6"/>
      <c r="L1031" s="6"/>
    </row>
    <row r="1032" spans="1:12" x14ac:dyDescent="0.2">
      <c r="A1032" s="3">
        <v>39325</v>
      </c>
      <c r="B1032" s="4" t="e">
        <f>VLOOKUP($A1032,'existing_gw_inflows_1921-2003'!$A$1:$AH$1129,$D$1,FALSE)</f>
        <v>#N/A</v>
      </c>
      <c r="C1032" s="4">
        <f>VLOOKUP($A1032,'extended_recharge_2003-2015'!$A$1:$AH$265,$D$1,FALSE)</f>
        <v>242.56250775999996</v>
      </c>
      <c r="G1032" s="6"/>
      <c r="L1032" s="6"/>
    </row>
    <row r="1033" spans="1:12" x14ac:dyDescent="0.2">
      <c r="A1033" s="3">
        <v>39355</v>
      </c>
      <c r="B1033" s="4" t="e">
        <f>VLOOKUP($A1033,'existing_gw_inflows_1921-2003'!$A$1:$AH$1129,$D$1,FALSE)</f>
        <v>#N/A</v>
      </c>
      <c r="C1033" s="4">
        <f>VLOOKUP($A1033,'extended_recharge_2003-2015'!$A$1:$AH$265,$D$1,FALSE)</f>
        <v>353.81540310000003</v>
      </c>
      <c r="G1033" s="6"/>
      <c r="L1033" s="6"/>
    </row>
    <row r="1034" spans="1:12" x14ac:dyDescent="0.2">
      <c r="A1034" s="3">
        <v>39386</v>
      </c>
      <c r="B1034" s="4" t="e">
        <f>VLOOKUP($A1034,'existing_gw_inflows_1921-2003'!$A$1:$AH$1129,$D$1,FALSE)</f>
        <v>#N/A</v>
      </c>
      <c r="C1034" s="4">
        <f>VLOOKUP($A1034,'extended_recharge_2003-2015'!$A$1:$AH$265,$D$1,FALSE)</f>
        <v>329.82274320000005</v>
      </c>
      <c r="G1034" s="6"/>
      <c r="L1034" s="6"/>
    </row>
    <row r="1035" spans="1:12" x14ac:dyDescent="0.2">
      <c r="A1035" s="3">
        <v>39416</v>
      </c>
      <c r="B1035" s="4" t="e">
        <f>VLOOKUP($A1035,'existing_gw_inflows_1921-2003'!$A$1:$AH$1129,$D$1,FALSE)</f>
        <v>#N/A</v>
      </c>
      <c r="C1035" s="4">
        <f>VLOOKUP($A1035,'extended_recharge_2003-2015'!$A$1:$AH$265,$D$1,FALSE)</f>
        <v>314.23808192000001</v>
      </c>
      <c r="G1035" s="6"/>
      <c r="L1035" s="6"/>
    </row>
    <row r="1036" spans="1:12" x14ac:dyDescent="0.2">
      <c r="A1036" s="3">
        <v>39447</v>
      </c>
      <c r="B1036" s="4" t="e">
        <f>VLOOKUP($A1036,'existing_gw_inflows_1921-2003'!$A$1:$AH$1129,$D$1,FALSE)</f>
        <v>#N/A</v>
      </c>
      <c r="C1036" s="4">
        <f>VLOOKUP($A1036,'extended_recharge_2003-2015'!$A$1:$AH$265,$D$1,FALSE)</f>
        <v>365.59579083999995</v>
      </c>
      <c r="G1036" s="6"/>
      <c r="L1036" s="6"/>
    </row>
    <row r="1037" spans="1:12" x14ac:dyDescent="0.2">
      <c r="A1037" s="3">
        <v>39478</v>
      </c>
      <c r="B1037" s="4" t="e">
        <f>VLOOKUP($A1037,'existing_gw_inflows_1921-2003'!$A$1:$AH$1129,$D$1,FALSE)</f>
        <v>#N/A</v>
      </c>
      <c r="C1037" s="4">
        <f>VLOOKUP($A1037,'extended_recharge_2003-2015'!$A$1:$AH$265,$D$1,FALSE)</f>
        <v>329.28850259999996</v>
      </c>
      <c r="G1037" s="6"/>
      <c r="L1037" s="6"/>
    </row>
    <row r="1038" spans="1:12" x14ac:dyDescent="0.2">
      <c r="A1038" s="3">
        <v>39507</v>
      </c>
      <c r="B1038" s="4" t="e">
        <f>VLOOKUP($A1038,'existing_gw_inflows_1921-2003'!$A$1:$AH$1129,$D$1,FALSE)</f>
        <v>#N/A</v>
      </c>
      <c r="C1038" s="4">
        <f>VLOOKUP($A1038,'extended_recharge_2003-2015'!$A$1:$AH$265,$D$1,FALSE)</f>
        <v>368.70759860000004</v>
      </c>
      <c r="G1038" s="6"/>
      <c r="L1038" s="6"/>
    </row>
    <row r="1039" spans="1:12" x14ac:dyDescent="0.2">
      <c r="A1039" s="3">
        <v>39538</v>
      </c>
      <c r="B1039" s="4" t="e">
        <f>VLOOKUP($A1039,'existing_gw_inflows_1921-2003'!$A$1:$AH$1129,$D$1,FALSE)</f>
        <v>#N/A</v>
      </c>
      <c r="C1039" s="4">
        <f>VLOOKUP($A1039,'extended_recharge_2003-2015'!$A$1:$AH$265,$D$1,FALSE)</f>
        <v>221.92982979999994</v>
      </c>
      <c r="G1039" s="6"/>
      <c r="L1039" s="6"/>
    </row>
    <row r="1040" spans="1:12" x14ac:dyDescent="0.2">
      <c r="A1040" s="3">
        <v>39568</v>
      </c>
      <c r="B1040" s="4" t="e">
        <f>VLOOKUP($A1040,'existing_gw_inflows_1921-2003'!$A$1:$AH$1129,$D$1,FALSE)</f>
        <v>#N/A</v>
      </c>
      <c r="C1040" s="4">
        <f>VLOOKUP($A1040,'extended_recharge_2003-2015'!$A$1:$AH$265,$D$1,FALSE)</f>
        <v>225.91430627999998</v>
      </c>
      <c r="G1040" s="6"/>
      <c r="L1040" s="6"/>
    </row>
    <row r="1041" spans="1:12" x14ac:dyDescent="0.2">
      <c r="A1041" s="3">
        <v>39599</v>
      </c>
      <c r="B1041" s="4" t="e">
        <f>VLOOKUP($A1041,'existing_gw_inflows_1921-2003'!$A$1:$AH$1129,$D$1,FALSE)</f>
        <v>#N/A</v>
      </c>
      <c r="C1041" s="4">
        <f>VLOOKUP($A1041,'extended_recharge_2003-2015'!$A$1:$AH$265,$D$1,FALSE)</f>
        <v>323.06058810000002</v>
      </c>
      <c r="G1041" s="6"/>
      <c r="L1041" s="6"/>
    </row>
    <row r="1042" spans="1:12" x14ac:dyDescent="0.2">
      <c r="A1042" s="3">
        <v>39629</v>
      </c>
      <c r="B1042" s="4" t="e">
        <f>VLOOKUP($A1042,'existing_gw_inflows_1921-2003'!$A$1:$AH$1129,$D$1,FALSE)</f>
        <v>#N/A</v>
      </c>
      <c r="C1042" s="4">
        <f>VLOOKUP($A1042,'extended_recharge_2003-2015'!$A$1:$AH$265,$D$1,FALSE)</f>
        <v>315.31994601999997</v>
      </c>
      <c r="G1042" s="6"/>
      <c r="L1042" s="6"/>
    </row>
    <row r="1043" spans="1:12" x14ac:dyDescent="0.2">
      <c r="A1043" s="3">
        <v>39660</v>
      </c>
      <c r="B1043" s="4" t="e">
        <f>VLOOKUP($A1043,'existing_gw_inflows_1921-2003'!$A$1:$AH$1129,$D$1,FALSE)</f>
        <v>#N/A</v>
      </c>
      <c r="C1043" s="4">
        <f>VLOOKUP($A1043,'extended_recharge_2003-2015'!$A$1:$AH$265,$D$1,FALSE)</f>
        <v>329.33039130000003</v>
      </c>
      <c r="G1043" s="6"/>
      <c r="L1043" s="6"/>
    </row>
    <row r="1044" spans="1:12" x14ac:dyDescent="0.2">
      <c r="A1044" s="3">
        <v>39691</v>
      </c>
      <c r="B1044" s="4" t="e">
        <f>VLOOKUP($A1044,'existing_gw_inflows_1921-2003'!$A$1:$AH$1129,$D$1,FALSE)</f>
        <v>#N/A</v>
      </c>
      <c r="C1044" s="4">
        <f>VLOOKUP($A1044,'extended_recharge_2003-2015'!$A$1:$AH$265,$D$1,FALSE)</f>
        <v>334.16808579999997</v>
      </c>
      <c r="G1044" s="6"/>
      <c r="L1044" s="6"/>
    </row>
    <row r="1045" spans="1:12" x14ac:dyDescent="0.2">
      <c r="A1045" s="3">
        <v>39721</v>
      </c>
      <c r="B1045" s="4" t="e">
        <f>VLOOKUP($A1045,'existing_gw_inflows_1921-2003'!$A$1:$AH$1129,$D$1,FALSE)</f>
        <v>#N/A</v>
      </c>
      <c r="C1045" s="4">
        <f>VLOOKUP($A1045,'extended_recharge_2003-2015'!$A$1:$AH$265,$D$1,FALSE)</f>
        <v>445.20725764000014</v>
      </c>
      <c r="G1045" s="6"/>
      <c r="L1045" s="6"/>
    </row>
    <row r="1046" spans="1:12" x14ac:dyDescent="0.2">
      <c r="A1046" s="3">
        <v>39752</v>
      </c>
      <c r="B1046" s="4" t="e">
        <f>VLOOKUP($A1046,'existing_gw_inflows_1921-2003'!$A$1:$AH$1129,$D$1,FALSE)</f>
        <v>#N/A</v>
      </c>
      <c r="C1046" s="4">
        <f>VLOOKUP($A1046,'extended_recharge_2003-2015'!$A$1:$AH$265,$D$1,FALSE)</f>
        <v>398.59409927000002</v>
      </c>
      <c r="G1046" s="6"/>
      <c r="L1046" s="6"/>
    </row>
    <row r="1047" spans="1:12" x14ac:dyDescent="0.2">
      <c r="A1047" s="3">
        <v>39782</v>
      </c>
      <c r="B1047" s="4" t="e">
        <f>VLOOKUP($A1047,'existing_gw_inflows_1921-2003'!$A$1:$AH$1129,$D$1,FALSE)</f>
        <v>#N/A</v>
      </c>
      <c r="C1047" s="4">
        <f>VLOOKUP($A1047,'extended_recharge_2003-2015'!$A$1:$AH$265,$D$1,FALSE)</f>
        <v>313.61029081999993</v>
      </c>
      <c r="G1047" s="6"/>
      <c r="L1047" s="6"/>
    </row>
    <row r="1048" spans="1:12" x14ac:dyDescent="0.2">
      <c r="A1048" s="3">
        <v>39813</v>
      </c>
      <c r="B1048" s="4" t="e">
        <f>VLOOKUP($A1048,'existing_gw_inflows_1921-2003'!$A$1:$AH$1129,$D$1,FALSE)</f>
        <v>#N/A</v>
      </c>
      <c r="C1048" s="4">
        <f>VLOOKUP($A1048,'extended_recharge_2003-2015'!$A$1:$AH$265,$D$1,FALSE)</f>
        <v>334.09071940000001</v>
      </c>
      <c r="G1048" s="6"/>
      <c r="L1048" s="6"/>
    </row>
    <row r="1049" spans="1:12" x14ac:dyDescent="0.2">
      <c r="A1049" s="3">
        <v>39844</v>
      </c>
      <c r="B1049" s="4" t="e">
        <f>VLOOKUP($A1049,'existing_gw_inflows_1921-2003'!$A$1:$AH$1129,$D$1,FALSE)</f>
        <v>#N/A</v>
      </c>
      <c r="C1049" s="4">
        <f>VLOOKUP($A1049,'extended_recharge_2003-2015'!$A$1:$AH$265,$D$1,FALSE)</f>
        <v>326.31176840000006</v>
      </c>
      <c r="G1049" s="6"/>
      <c r="L1049" s="6"/>
    </row>
    <row r="1050" spans="1:12" x14ac:dyDescent="0.2">
      <c r="A1050" s="3">
        <v>39872</v>
      </c>
      <c r="B1050" s="4" t="e">
        <f>VLOOKUP($A1050,'existing_gw_inflows_1921-2003'!$A$1:$AH$1129,$D$1,FALSE)</f>
        <v>#N/A</v>
      </c>
      <c r="C1050" s="4">
        <f>VLOOKUP($A1050,'extended_recharge_2003-2015'!$A$1:$AH$265,$D$1,FALSE)</f>
        <v>335.77006699999998</v>
      </c>
      <c r="G1050" s="6"/>
      <c r="L1050" s="6"/>
    </row>
    <row r="1051" spans="1:12" x14ac:dyDescent="0.2">
      <c r="A1051" s="3">
        <v>39903</v>
      </c>
      <c r="B1051" s="4" t="e">
        <f>VLOOKUP($A1051,'existing_gw_inflows_1921-2003'!$A$1:$AH$1129,$D$1,FALSE)</f>
        <v>#N/A</v>
      </c>
      <c r="C1051" s="4">
        <f>VLOOKUP($A1051,'extended_recharge_2003-2015'!$A$1:$AH$265,$D$1,FALSE)</f>
        <v>315.58185794999997</v>
      </c>
      <c r="G1051" s="6"/>
      <c r="L1051" s="6"/>
    </row>
    <row r="1052" spans="1:12" x14ac:dyDescent="0.2">
      <c r="A1052" s="3">
        <v>39933</v>
      </c>
      <c r="B1052" s="4" t="e">
        <f>VLOOKUP($A1052,'existing_gw_inflows_1921-2003'!$A$1:$AH$1129,$D$1,FALSE)</f>
        <v>#N/A</v>
      </c>
      <c r="C1052" s="4">
        <f>VLOOKUP($A1052,'extended_recharge_2003-2015'!$A$1:$AH$265,$D$1,FALSE)</f>
        <v>352.66689879999996</v>
      </c>
      <c r="G1052" s="6"/>
      <c r="L1052" s="6"/>
    </row>
    <row r="1053" spans="1:12" x14ac:dyDescent="0.2">
      <c r="A1053" s="3">
        <v>39964</v>
      </c>
      <c r="B1053" s="4" t="e">
        <f>VLOOKUP($A1053,'existing_gw_inflows_1921-2003'!$A$1:$AH$1129,$D$1,FALSE)</f>
        <v>#N/A</v>
      </c>
      <c r="C1053" s="4">
        <f>VLOOKUP($A1053,'extended_recharge_2003-2015'!$A$1:$AH$265,$D$1,FALSE)</f>
        <v>274.8194618</v>
      </c>
      <c r="G1053" s="6"/>
      <c r="L1053" s="6"/>
    </row>
    <row r="1054" spans="1:12" x14ac:dyDescent="0.2">
      <c r="A1054" s="3">
        <v>39994</v>
      </c>
      <c r="B1054" s="4" t="e">
        <f>VLOOKUP($A1054,'existing_gw_inflows_1921-2003'!$A$1:$AH$1129,$D$1,FALSE)</f>
        <v>#N/A</v>
      </c>
      <c r="C1054" s="4">
        <f>VLOOKUP($A1054,'extended_recharge_2003-2015'!$A$1:$AH$265,$D$1,FALSE)</f>
        <v>268.23955340000003</v>
      </c>
      <c r="G1054" s="6"/>
      <c r="L1054" s="6"/>
    </row>
    <row r="1055" spans="1:12" x14ac:dyDescent="0.2">
      <c r="A1055" s="3">
        <v>40025</v>
      </c>
      <c r="B1055" s="4" t="e">
        <f>VLOOKUP($A1055,'existing_gw_inflows_1921-2003'!$A$1:$AH$1129,$D$1,FALSE)</f>
        <v>#N/A</v>
      </c>
      <c r="C1055" s="4">
        <f>VLOOKUP($A1055,'extended_recharge_2003-2015'!$A$1:$AH$265,$D$1,FALSE)</f>
        <v>276.21258669999997</v>
      </c>
      <c r="G1055" s="6"/>
      <c r="L1055" s="6"/>
    </row>
    <row r="1056" spans="1:12" x14ac:dyDescent="0.2">
      <c r="A1056" s="3">
        <v>40056</v>
      </c>
      <c r="B1056" s="4" t="e">
        <f>VLOOKUP($A1056,'existing_gw_inflows_1921-2003'!$A$1:$AH$1129,$D$1,FALSE)</f>
        <v>#N/A</v>
      </c>
      <c r="C1056" s="4">
        <f>VLOOKUP($A1056,'extended_recharge_2003-2015'!$A$1:$AH$265,$D$1,FALSE)</f>
        <v>394.90357409999996</v>
      </c>
      <c r="G1056" s="6"/>
      <c r="L1056" s="6"/>
    </row>
    <row r="1057" spans="1:12" x14ac:dyDescent="0.2">
      <c r="A1057" s="3">
        <v>40086</v>
      </c>
      <c r="B1057" s="4" t="e">
        <f>VLOOKUP($A1057,'existing_gw_inflows_1921-2003'!$A$1:$AH$1129,$D$1,FALSE)</f>
        <v>#N/A</v>
      </c>
      <c r="C1057" s="4">
        <f>VLOOKUP($A1057,'extended_recharge_2003-2015'!$A$1:$AH$265,$D$1,FALSE)</f>
        <v>459.3044731</v>
      </c>
      <c r="G1057" s="6"/>
      <c r="L1057" s="6"/>
    </row>
    <row r="1058" spans="1:12" x14ac:dyDescent="0.2">
      <c r="A1058" s="3">
        <v>40117</v>
      </c>
      <c r="B1058" s="4" t="e">
        <f>VLOOKUP($A1058,'existing_gw_inflows_1921-2003'!$A$1:$AH$1129,$D$1,FALSE)</f>
        <v>#N/A</v>
      </c>
      <c r="C1058" s="4">
        <f>VLOOKUP($A1058,'extended_recharge_2003-2015'!$A$1:$AH$265,$D$1,FALSE)</f>
        <v>519.73953960000006</v>
      </c>
      <c r="G1058" s="6"/>
      <c r="L1058" s="6"/>
    </row>
    <row r="1059" spans="1:12" x14ac:dyDescent="0.2">
      <c r="A1059" s="3">
        <v>40147</v>
      </c>
      <c r="B1059" s="4" t="e">
        <f>VLOOKUP($A1059,'existing_gw_inflows_1921-2003'!$A$1:$AH$1129,$D$1,FALSE)</f>
        <v>#N/A</v>
      </c>
      <c r="C1059" s="4">
        <f>VLOOKUP($A1059,'extended_recharge_2003-2015'!$A$1:$AH$265,$D$1,FALSE)</f>
        <v>487.14565043000005</v>
      </c>
      <c r="G1059" s="6"/>
      <c r="L1059" s="6"/>
    </row>
    <row r="1060" spans="1:12" x14ac:dyDescent="0.2">
      <c r="A1060" s="3">
        <v>40178</v>
      </c>
      <c r="B1060" s="4" t="e">
        <f>VLOOKUP($A1060,'existing_gw_inflows_1921-2003'!$A$1:$AH$1129,$D$1,FALSE)</f>
        <v>#N/A</v>
      </c>
      <c r="C1060" s="4">
        <f>VLOOKUP($A1060,'extended_recharge_2003-2015'!$A$1:$AH$265,$D$1,FALSE)</f>
        <v>375.09849214999997</v>
      </c>
      <c r="G1060" s="6"/>
      <c r="L1060" s="6"/>
    </row>
    <row r="1061" spans="1:12" x14ac:dyDescent="0.2">
      <c r="A1061" s="3">
        <v>40209</v>
      </c>
      <c r="B1061" s="4" t="e">
        <f>VLOOKUP($A1061,'existing_gw_inflows_1921-2003'!$A$1:$AH$1129,$D$1,FALSE)</f>
        <v>#N/A</v>
      </c>
      <c r="C1061" s="4">
        <f>VLOOKUP($A1061,'extended_recharge_2003-2015'!$A$1:$AH$265,$D$1,FALSE)</f>
        <v>271.80061645000001</v>
      </c>
      <c r="G1061" s="6"/>
      <c r="L1061" s="6"/>
    </row>
    <row r="1062" spans="1:12" x14ac:dyDescent="0.2">
      <c r="A1062" s="3">
        <v>40237</v>
      </c>
      <c r="B1062" s="4" t="e">
        <f>VLOOKUP($A1062,'existing_gw_inflows_1921-2003'!$A$1:$AH$1129,$D$1,FALSE)</f>
        <v>#N/A</v>
      </c>
      <c r="C1062" s="4">
        <f>VLOOKUP($A1062,'extended_recharge_2003-2015'!$A$1:$AH$265,$D$1,FALSE)</f>
        <v>358.79519870000001</v>
      </c>
      <c r="G1062" s="6"/>
      <c r="L1062" s="6"/>
    </row>
    <row r="1063" spans="1:12" x14ac:dyDescent="0.2">
      <c r="A1063" s="3">
        <v>40268</v>
      </c>
      <c r="B1063" s="4" t="e">
        <f>VLOOKUP($A1063,'existing_gw_inflows_1921-2003'!$A$1:$AH$1129,$D$1,FALSE)</f>
        <v>#N/A</v>
      </c>
      <c r="C1063" s="4">
        <f>VLOOKUP($A1063,'extended_recharge_2003-2015'!$A$1:$AH$265,$D$1,FALSE)</f>
        <v>416.78310097000008</v>
      </c>
      <c r="G1063" s="6"/>
      <c r="L1063" s="6"/>
    </row>
    <row r="1064" spans="1:12" x14ac:dyDescent="0.2">
      <c r="A1064" s="3">
        <v>40298</v>
      </c>
      <c r="B1064" s="4" t="e">
        <f>VLOOKUP($A1064,'existing_gw_inflows_1921-2003'!$A$1:$AH$1129,$D$1,FALSE)</f>
        <v>#N/A</v>
      </c>
      <c r="C1064" s="4">
        <f>VLOOKUP($A1064,'extended_recharge_2003-2015'!$A$1:$AH$265,$D$1,FALSE)</f>
        <v>245.92767453000005</v>
      </c>
      <c r="G1064" s="6"/>
      <c r="L1064" s="6"/>
    </row>
    <row r="1065" spans="1:12" x14ac:dyDescent="0.2">
      <c r="A1065" s="3">
        <v>40329</v>
      </c>
      <c r="B1065" s="4" t="e">
        <f>VLOOKUP($A1065,'existing_gw_inflows_1921-2003'!$A$1:$AH$1129,$D$1,FALSE)</f>
        <v>#N/A</v>
      </c>
      <c r="C1065" s="4">
        <f>VLOOKUP($A1065,'extended_recharge_2003-2015'!$A$1:$AH$265,$D$1,FALSE)</f>
        <v>364.73563715999995</v>
      </c>
      <c r="G1065" s="6"/>
      <c r="L1065" s="6"/>
    </row>
    <row r="1066" spans="1:12" x14ac:dyDescent="0.2">
      <c r="A1066" s="3">
        <v>40359</v>
      </c>
      <c r="B1066" s="4" t="e">
        <f>VLOOKUP($A1066,'existing_gw_inflows_1921-2003'!$A$1:$AH$1129,$D$1,FALSE)</f>
        <v>#N/A</v>
      </c>
      <c r="C1066" s="4">
        <f>VLOOKUP($A1066,'extended_recharge_2003-2015'!$A$1:$AH$265,$D$1,FALSE)</f>
        <v>304.08004614000004</v>
      </c>
      <c r="G1066" s="6"/>
      <c r="L1066" s="6"/>
    </row>
    <row r="1067" spans="1:12" x14ac:dyDescent="0.2">
      <c r="A1067" s="3">
        <v>40390</v>
      </c>
      <c r="B1067" s="4" t="e">
        <f>VLOOKUP($A1067,'existing_gw_inflows_1921-2003'!$A$1:$AH$1129,$D$1,FALSE)</f>
        <v>#N/A</v>
      </c>
      <c r="C1067" s="4">
        <f>VLOOKUP($A1067,'extended_recharge_2003-2015'!$A$1:$AH$265,$D$1,FALSE)</f>
        <v>361.25998780000003</v>
      </c>
      <c r="G1067" s="6"/>
      <c r="L1067" s="6"/>
    </row>
    <row r="1068" spans="1:12" x14ac:dyDescent="0.2">
      <c r="A1068" s="3">
        <v>40421</v>
      </c>
      <c r="B1068" s="4" t="e">
        <f>VLOOKUP($A1068,'existing_gw_inflows_1921-2003'!$A$1:$AH$1129,$D$1,FALSE)</f>
        <v>#N/A</v>
      </c>
      <c r="C1068" s="4">
        <f>VLOOKUP($A1068,'extended_recharge_2003-2015'!$A$1:$AH$265,$D$1,FALSE)</f>
        <v>350.25258579999996</v>
      </c>
      <c r="G1068" s="6"/>
      <c r="L1068" s="6"/>
    </row>
    <row r="1069" spans="1:12" x14ac:dyDescent="0.2">
      <c r="A1069" s="3">
        <v>40451</v>
      </c>
      <c r="B1069" s="4" t="e">
        <f>VLOOKUP($A1069,'existing_gw_inflows_1921-2003'!$A$1:$AH$1129,$D$1,FALSE)</f>
        <v>#N/A</v>
      </c>
      <c r="C1069" s="4">
        <f>VLOOKUP($A1069,'extended_recharge_2003-2015'!$A$1:$AH$265,$D$1,FALSE)</f>
        <v>416.43423970000003</v>
      </c>
      <c r="G1069" s="6"/>
      <c r="L1069" s="6"/>
    </row>
    <row r="1070" spans="1:12" x14ac:dyDescent="0.2">
      <c r="A1070" s="3">
        <v>40482</v>
      </c>
      <c r="B1070" s="4" t="e">
        <f>VLOOKUP($A1070,'existing_gw_inflows_1921-2003'!$A$1:$AH$1129,$D$1,FALSE)</f>
        <v>#N/A</v>
      </c>
      <c r="C1070" s="4">
        <f>VLOOKUP($A1070,'extended_recharge_2003-2015'!$A$1:$AH$265,$D$1,FALSE)</f>
        <v>520.30865400000005</v>
      </c>
      <c r="G1070" s="6"/>
      <c r="L1070" s="6"/>
    </row>
    <row r="1071" spans="1:12" x14ac:dyDescent="0.2">
      <c r="A1071" s="3">
        <v>40512</v>
      </c>
      <c r="B1071" s="4" t="e">
        <f>VLOOKUP($A1071,'existing_gw_inflows_1921-2003'!$A$1:$AH$1129,$D$1,FALSE)</f>
        <v>#N/A</v>
      </c>
      <c r="C1071" s="4">
        <f>VLOOKUP($A1071,'extended_recharge_2003-2015'!$A$1:$AH$265,$D$1,FALSE)</f>
        <v>405.73326681999998</v>
      </c>
      <c r="G1071" s="6"/>
      <c r="L1071" s="6"/>
    </row>
    <row r="1072" spans="1:12" x14ac:dyDescent="0.2">
      <c r="A1072" s="3">
        <v>40543</v>
      </c>
      <c r="B1072" s="4" t="e">
        <f>VLOOKUP($A1072,'existing_gw_inflows_1921-2003'!$A$1:$AH$1129,$D$1,FALSE)</f>
        <v>#N/A</v>
      </c>
      <c r="C1072" s="4">
        <f>VLOOKUP($A1072,'extended_recharge_2003-2015'!$A$1:$AH$265,$D$1,FALSE)</f>
        <v>316.04686290000001</v>
      </c>
      <c r="G1072" s="6"/>
      <c r="L1072" s="6"/>
    </row>
    <row r="1073" spans="1:12" x14ac:dyDescent="0.2">
      <c r="A1073" s="3">
        <v>40574</v>
      </c>
      <c r="B1073" s="4" t="e">
        <f>VLOOKUP($A1073,'existing_gw_inflows_1921-2003'!$A$1:$AH$1129,$D$1,FALSE)</f>
        <v>#N/A</v>
      </c>
      <c r="C1073" s="4">
        <f>VLOOKUP($A1073,'extended_recharge_2003-2015'!$A$1:$AH$265,$D$1,FALSE)</f>
        <v>260.32095377999997</v>
      </c>
      <c r="G1073" s="6"/>
      <c r="L1073" s="6"/>
    </row>
    <row r="1074" spans="1:12" x14ac:dyDescent="0.2">
      <c r="A1074" s="3">
        <v>40602</v>
      </c>
      <c r="B1074" s="4" t="e">
        <f>VLOOKUP($A1074,'existing_gw_inflows_1921-2003'!$A$1:$AH$1129,$D$1,FALSE)</f>
        <v>#N/A</v>
      </c>
      <c r="C1074" s="4">
        <f>VLOOKUP($A1074,'extended_recharge_2003-2015'!$A$1:$AH$265,$D$1,FALSE)</f>
        <v>379.09901025000005</v>
      </c>
      <c r="G1074" s="6"/>
      <c r="L1074" s="6"/>
    </row>
    <row r="1075" spans="1:12" x14ac:dyDescent="0.2">
      <c r="A1075" s="3">
        <v>40633</v>
      </c>
      <c r="B1075" s="4" t="e">
        <f>VLOOKUP($A1075,'existing_gw_inflows_1921-2003'!$A$1:$AH$1129,$D$1,FALSE)</f>
        <v>#N/A</v>
      </c>
      <c r="C1075" s="4">
        <f>VLOOKUP($A1075,'extended_recharge_2003-2015'!$A$1:$AH$265,$D$1,FALSE)</f>
        <v>291.19400620000005</v>
      </c>
      <c r="G1075" s="6"/>
      <c r="L1075" s="6"/>
    </row>
    <row r="1076" spans="1:12" x14ac:dyDescent="0.2">
      <c r="A1076" s="3">
        <v>40663</v>
      </c>
      <c r="B1076" s="4" t="e">
        <f>VLOOKUP($A1076,'existing_gw_inflows_1921-2003'!$A$1:$AH$1129,$D$1,FALSE)</f>
        <v>#N/A</v>
      </c>
      <c r="C1076" s="4">
        <f>VLOOKUP($A1076,'extended_recharge_2003-2015'!$A$1:$AH$265,$D$1,FALSE)</f>
        <v>344.49713400000007</v>
      </c>
      <c r="G1076" s="6"/>
      <c r="L1076" s="6"/>
    </row>
    <row r="1077" spans="1:12" x14ac:dyDescent="0.2">
      <c r="A1077" s="3">
        <v>40694</v>
      </c>
      <c r="B1077" s="4" t="e">
        <f>VLOOKUP($A1077,'existing_gw_inflows_1921-2003'!$A$1:$AH$1129,$D$1,FALSE)</f>
        <v>#N/A</v>
      </c>
      <c r="C1077" s="4">
        <f>VLOOKUP($A1077,'extended_recharge_2003-2015'!$A$1:$AH$265,$D$1,FALSE)</f>
        <v>346.73630430000003</v>
      </c>
      <c r="G1077" s="6"/>
      <c r="L1077" s="6"/>
    </row>
    <row r="1078" spans="1:12" x14ac:dyDescent="0.2">
      <c r="A1078" s="3">
        <v>40724</v>
      </c>
      <c r="B1078" s="4" t="e">
        <f>VLOOKUP($A1078,'existing_gw_inflows_1921-2003'!$A$1:$AH$1129,$D$1,FALSE)</f>
        <v>#N/A</v>
      </c>
      <c r="C1078" s="4">
        <f>VLOOKUP($A1078,'extended_recharge_2003-2015'!$A$1:$AH$265,$D$1,FALSE)</f>
        <v>245.91032831999999</v>
      </c>
      <c r="G1078" s="6"/>
      <c r="L1078" s="6"/>
    </row>
    <row r="1079" spans="1:12" x14ac:dyDescent="0.2">
      <c r="A1079" s="3">
        <v>40755</v>
      </c>
      <c r="B1079" s="4" t="e">
        <f>VLOOKUP($A1079,'existing_gw_inflows_1921-2003'!$A$1:$AH$1129,$D$1,FALSE)</f>
        <v>#N/A</v>
      </c>
      <c r="C1079" s="4">
        <f>VLOOKUP($A1079,'extended_recharge_2003-2015'!$A$1:$AH$265,$D$1,FALSE)</f>
        <v>263.23200915000001</v>
      </c>
      <c r="G1079" s="6"/>
      <c r="L1079" s="6"/>
    </row>
    <row r="1080" spans="1:12" x14ac:dyDescent="0.2">
      <c r="A1080" s="3">
        <v>40786</v>
      </c>
      <c r="B1080" s="4" t="e">
        <f>VLOOKUP($A1080,'existing_gw_inflows_1921-2003'!$A$1:$AH$1129,$D$1,FALSE)</f>
        <v>#N/A</v>
      </c>
      <c r="C1080" s="4">
        <f>VLOOKUP($A1080,'extended_recharge_2003-2015'!$A$1:$AH$265,$D$1,FALSE)</f>
        <v>471.70466884000001</v>
      </c>
      <c r="G1080" s="6"/>
      <c r="L1080" s="6"/>
    </row>
    <row r="1081" spans="1:12" x14ac:dyDescent="0.2">
      <c r="A1081" s="3">
        <v>40816</v>
      </c>
      <c r="B1081" s="4" t="e">
        <f>VLOOKUP($A1081,'existing_gw_inflows_1921-2003'!$A$1:$AH$1129,$D$1,FALSE)</f>
        <v>#N/A</v>
      </c>
      <c r="C1081" s="4">
        <f>VLOOKUP($A1081,'extended_recharge_2003-2015'!$A$1:$AH$265,$D$1,FALSE)</f>
        <v>437.97434870000001</v>
      </c>
      <c r="G1081" s="6"/>
      <c r="L1081" s="6"/>
    </row>
    <row r="1082" spans="1:12" x14ac:dyDescent="0.2">
      <c r="A1082" s="3">
        <v>40847</v>
      </c>
      <c r="B1082" s="4" t="e">
        <f>VLOOKUP($A1082,'existing_gw_inflows_1921-2003'!$A$1:$AH$1129,$D$1,FALSE)</f>
        <v>#N/A</v>
      </c>
      <c r="C1082" s="4">
        <f>VLOOKUP($A1082,'extended_recharge_2003-2015'!$A$1:$AH$265,$D$1,FALSE)</f>
        <v>464.69720150000001</v>
      </c>
      <c r="G1082" s="6"/>
      <c r="L1082" s="6"/>
    </row>
    <row r="1083" spans="1:12" x14ac:dyDescent="0.2">
      <c r="A1083" s="3">
        <v>40877</v>
      </c>
      <c r="B1083" s="4" t="e">
        <f>VLOOKUP($A1083,'existing_gw_inflows_1921-2003'!$A$1:$AH$1129,$D$1,FALSE)</f>
        <v>#N/A</v>
      </c>
      <c r="C1083" s="4">
        <f>VLOOKUP($A1083,'extended_recharge_2003-2015'!$A$1:$AH$265,$D$1,FALSE)</f>
        <v>372.26875289999998</v>
      </c>
      <c r="G1083" s="6"/>
      <c r="L1083" s="6"/>
    </row>
    <row r="1084" spans="1:12" x14ac:dyDescent="0.2">
      <c r="A1084" s="3">
        <v>40908</v>
      </c>
      <c r="B1084" s="4" t="e">
        <f>VLOOKUP($A1084,'existing_gw_inflows_1921-2003'!$A$1:$AH$1129,$D$1,FALSE)</f>
        <v>#N/A</v>
      </c>
      <c r="C1084" s="4">
        <f>VLOOKUP($A1084,'extended_recharge_2003-2015'!$A$1:$AH$265,$D$1,FALSE)</f>
        <v>345.35376173999998</v>
      </c>
      <c r="G1084" s="6"/>
      <c r="L1084" s="6"/>
    </row>
    <row r="1085" spans="1:12" x14ac:dyDescent="0.2">
      <c r="A1085" s="3">
        <v>40939</v>
      </c>
      <c r="B1085" s="4" t="e">
        <f>VLOOKUP($A1085,'existing_gw_inflows_1921-2003'!$A$1:$AH$1129,$D$1,FALSE)</f>
        <v>#N/A</v>
      </c>
      <c r="C1085" s="4">
        <f>VLOOKUP($A1085,'extended_recharge_2003-2015'!$A$1:$AH$265,$D$1,FALSE)</f>
        <v>307.1549402</v>
      </c>
      <c r="G1085" s="6"/>
      <c r="L1085" s="6"/>
    </row>
    <row r="1086" spans="1:12" x14ac:dyDescent="0.2">
      <c r="A1086" s="3">
        <v>40968</v>
      </c>
      <c r="B1086" s="4" t="e">
        <f>VLOOKUP($A1086,'existing_gw_inflows_1921-2003'!$A$1:$AH$1129,$D$1,FALSE)</f>
        <v>#N/A</v>
      </c>
      <c r="C1086" s="4">
        <f>VLOOKUP($A1086,'extended_recharge_2003-2015'!$A$1:$AH$265,$D$1,FALSE)</f>
        <v>315.48752909999996</v>
      </c>
      <c r="G1086" s="6"/>
      <c r="L1086" s="6"/>
    </row>
    <row r="1087" spans="1:12" x14ac:dyDescent="0.2">
      <c r="A1087" s="3">
        <v>40999</v>
      </c>
      <c r="B1087" s="4" t="e">
        <f>VLOOKUP($A1087,'existing_gw_inflows_1921-2003'!$A$1:$AH$1129,$D$1,FALSE)</f>
        <v>#N/A</v>
      </c>
      <c r="C1087" s="4">
        <f>VLOOKUP($A1087,'extended_recharge_2003-2015'!$A$1:$AH$265,$D$1,FALSE)</f>
        <v>300.24117990000002</v>
      </c>
      <c r="G1087" s="6"/>
      <c r="L1087" s="6"/>
    </row>
    <row r="1088" spans="1:12" x14ac:dyDescent="0.2">
      <c r="A1088" s="3">
        <v>41029</v>
      </c>
      <c r="B1088" s="4" t="e">
        <f>VLOOKUP($A1088,'existing_gw_inflows_1921-2003'!$A$1:$AH$1129,$D$1,FALSE)</f>
        <v>#N/A</v>
      </c>
      <c r="C1088" s="4">
        <f>VLOOKUP($A1088,'extended_recharge_2003-2015'!$A$1:$AH$265,$D$1,FALSE)</f>
        <v>337.74417340000008</v>
      </c>
      <c r="G1088" s="6"/>
      <c r="L1088" s="6"/>
    </row>
    <row r="1089" spans="1:12" x14ac:dyDescent="0.2">
      <c r="A1089" s="3">
        <v>41060</v>
      </c>
      <c r="B1089" s="4" t="e">
        <f>VLOOKUP($A1089,'existing_gw_inflows_1921-2003'!$A$1:$AH$1129,$D$1,FALSE)</f>
        <v>#N/A</v>
      </c>
      <c r="C1089" s="4">
        <f>VLOOKUP($A1089,'extended_recharge_2003-2015'!$A$1:$AH$265,$D$1,FALSE)</f>
        <v>255.08807175999996</v>
      </c>
      <c r="G1089" s="6"/>
      <c r="L1089" s="6"/>
    </row>
    <row r="1090" spans="1:12" x14ac:dyDescent="0.2">
      <c r="A1090" s="3">
        <v>41090</v>
      </c>
      <c r="B1090" s="4" t="e">
        <f>VLOOKUP($A1090,'existing_gw_inflows_1921-2003'!$A$1:$AH$1129,$D$1,FALSE)</f>
        <v>#N/A</v>
      </c>
      <c r="C1090" s="4">
        <f>VLOOKUP($A1090,'extended_recharge_2003-2015'!$A$1:$AH$265,$D$1,FALSE)</f>
        <v>239.25373069859998</v>
      </c>
      <c r="G1090" s="6"/>
      <c r="L1090" s="6"/>
    </row>
    <row r="1091" spans="1:12" x14ac:dyDescent="0.2">
      <c r="A1091" s="3">
        <v>41121</v>
      </c>
      <c r="B1091" s="4" t="e">
        <f>VLOOKUP($A1091,'existing_gw_inflows_1921-2003'!$A$1:$AH$1129,$D$1,FALSE)</f>
        <v>#N/A</v>
      </c>
      <c r="C1091" s="4">
        <f>VLOOKUP($A1091,'extended_recharge_2003-2015'!$A$1:$AH$265,$D$1,FALSE)</f>
        <v>262.56178281200005</v>
      </c>
      <c r="G1091" s="6"/>
      <c r="L1091" s="6"/>
    </row>
    <row r="1092" spans="1:12" x14ac:dyDescent="0.2">
      <c r="A1092" s="3">
        <v>41152</v>
      </c>
      <c r="B1092" s="4" t="e">
        <f>VLOOKUP($A1092,'existing_gw_inflows_1921-2003'!$A$1:$AH$1129,$D$1,FALSE)</f>
        <v>#N/A</v>
      </c>
      <c r="C1092" s="4">
        <f>VLOOKUP($A1092,'extended_recharge_2003-2015'!$A$1:$AH$265,$D$1,FALSE)</f>
        <v>384.02976649999999</v>
      </c>
      <c r="G1092" s="6"/>
      <c r="L1092" s="6"/>
    </row>
    <row r="1093" spans="1:12" x14ac:dyDescent="0.2">
      <c r="A1093" s="3">
        <v>41182</v>
      </c>
      <c r="B1093" s="4" t="e">
        <f>VLOOKUP($A1093,'existing_gw_inflows_1921-2003'!$A$1:$AH$1129,$D$1,FALSE)</f>
        <v>#N/A</v>
      </c>
      <c r="C1093" s="4">
        <f>VLOOKUP($A1093,'extended_recharge_2003-2015'!$A$1:$AH$265,$D$1,FALSE)</f>
        <v>370.93172238000005</v>
      </c>
      <c r="G1093" s="6"/>
      <c r="L1093" s="6"/>
    </row>
    <row r="1094" spans="1:12" x14ac:dyDescent="0.2">
      <c r="A1094" s="3">
        <v>41213</v>
      </c>
      <c r="B1094" s="4" t="e">
        <f>VLOOKUP($A1094,'existing_gw_inflows_1921-2003'!$A$1:$AH$1129,$D$1,FALSE)</f>
        <v>#N/A</v>
      </c>
      <c r="C1094" s="4">
        <f>VLOOKUP($A1094,'extended_recharge_2003-2015'!$A$1:$AH$265,$D$1,FALSE)</f>
        <v>552.92389439999988</v>
      </c>
      <c r="G1094" s="6"/>
      <c r="L1094" s="6"/>
    </row>
    <row r="1095" spans="1:12" x14ac:dyDescent="0.2">
      <c r="A1095" s="3">
        <v>41243</v>
      </c>
      <c r="B1095" s="4" t="e">
        <f>VLOOKUP($A1095,'existing_gw_inflows_1921-2003'!$A$1:$AH$1129,$D$1,FALSE)</f>
        <v>#N/A</v>
      </c>
      <c r="C1095" s="4">
        <f>VLOOKUP($A1095,'extended_recharge_2003-2015'!$A$1:$AH$265,$D$1,FALSE)</f>
        <v>341.86266542999999</v>
      </c>
      <c r="G1095" s="6"/>
      <c r="L1095" s="6"/>
    </row>
    <row r="1096" spans="1:12" x14ac:dyDescent="0.2">
      <c r="A1096" s="3">
        <v>41274</v>
      </c>
      <c r="B1096" s="4" t="e">
        <f>VLOOKUP($A1096,'existing_gw_inflows_1921-2003'!$A$1:$AH$1129,$D$1,FALSE)</f>
        <v>#N/A</v>
      </c>
      <c r="C1096" s="4">
        <f>VLOOKUP($A1096,'extended_recharge_2003-2015'!$A$1:$AH$265,$D$1,FALSE)</f>
        <v>370.36000861000002</v>
      </c>
      <c r="G1096" s="6"/>
      <c r="L1096" s="6"/>
    </row>
    <row r="1097" spans="1:12" x14ac:dyDescent="0.2">
      <c r="A1097" s="3">
        <v>41305</v>
      </c>
      <c r="B1097" s="4" t="e">
        <f>VLOOKUP($A1097,'existing_gw_inflows_1921-2003'!$A$1:$AH$1129,$D$1,FALSE)</f>
        <v>#N/A</v>
      </c>
      <c r="C1097" s="4">
        <f>VLOOKUP($A1097,'extended_recharge_2003-2015'!$A$1:$AH$265,$D$1,FALSE)</f>
        <v>289.02268446000005</v>
      </c>
      <c r="G1097" s="6"/>
      <c r="L1097" s="6"/>
    </row>
    <row r="1098" spans="1:12" x14ac:dyDescent="0.2">
      <c r="A1098" s="3">
        <v>41333</v>
      </c>
      <c r="B1098" s="4" t="e">
        <f>VLOOKUP($A1098,'existing_gw_inflows_1921-2003'!$A$1:$AH$1129,$D$1,FALSE)</f>
        <v>#N/A</v>
      </c>
      <c r="C1098" s="4">
        <f>VLOOKUP($A1098,'extended_recharge_2003-2015'!$A$1:$AH$265,$D$1,FALSE)</f>
        <v>397.42217159999996</v>
      </c>
      <c r="G1098" s="6"/>
      <c r="L1098" s="6"/>
    </row>
    <row r="1099" spans="1:12" x14ac:dyDescent="0.2">
      <c r="A1099" s="3">
        <v>41364</v>
      </c>
      <c r="B1099" s="4" t="e">
        <f>VLOOKUP($A1099,'existing_gw_inflows_1921-2003'!$A$1:$AH$1129,$D$1,FALSE)</f>
        <v>#N/A</v>
      </c>
      <c r="C1099" s="4">
        <f>VLOOKUP($A1099,'extended_recharge_2003-2015'!$A$1:$AH$265,$D$1,FALSE)</f>
        <v>395.03710331999997</v>
      </c>
      <c r="G1099" s="6"/>
      <c r="L1099" s="6"/>
    </row>
    <row r="1100" spans="1:12" x14ac:dyDescent="0.2">
      <c r="A1100" s="3">
        <v>41394</v>
      </c>
      <c r="B1100" s="4" t="e">
        <f>VLOOKUP($A1100,'existing_gw_inflows_1921-2003'!$A$1:$AH$1129,$D$1,FALSE)</f>
        <v>#N/A</v>
      </c>
      <c r="C1100" s="4">
        <f>VLOOKUP($A1100,'extended_recharge_2003-2015'!$A$1:$AH$265,$D$1,FALSE)</f>
        <v>330.65692109999998</v>
      </c>
      <c r="G1100" s="6"/>
      <c r="L1100" s="6"/>
    </row>
    <row r="1101" spans="1:12" x14ac:dyDescent="0.2">
      <c r="A1101" s="3">
        <v>41425</v>
      </c>
      <c r="B1101" s="4" t="e">
        <f>VLOOKUP($A1101,'existing_gw_inflows_1921-2003'!$A$1:$AH$1129,$D$1,FALSE)</f>
        <v>#N/A</v>
      </c>
      <c r="C1101" s="4">
        <f>VLOOKUP($A1101,'extended_recharge_2003-2015'!$A$1:$AH$265,$D$1,FALSE)</f>
        <v>271.04160740000003</v>
      </c>
      <c r="G1101" s="6"/>
      <c r="L1101" s="6"/>
    </row>
    <row r="1102" spans="1:12" x14ac:dyDescent="0.2">
      <c r="A1102" s="3">
        <v>41455</v>
      </c>
      <c r="B1102" s="4" t="e">
        <f>VLOOKUP($A1102,'existing_gw_inflows_1921-2003'!$A$1:$AH$1129,$D$1,FALSE)</f>
        <v>#N/A</v>
      </c>
      <c r="C1102" s="4">
        <f>VLOOKUP($A1102,'extended_recharge_2003-2015'!$A$1:$AH$265,$D$1,FALSE)</f>
        <v>258.46493140000001</v>
      </c>
      <c r="G1102" s="6"/>
      <c r="L1102" s="6"/>
    </row>
    <row r="1103" spans="1:12" x14ac:dyDescent="0.2">
      <c r="A1103" s="3">
        <v>41486</v>
      </c>
      <c r="B1103" s="4" t="e">
        <f>VLOOKUP($A1103,'existing_gw_inflows_1921-2003'!$A$1:$AH$1129,$D$1,FALSE)</f>
        <v>#N/A</v>
      </c>
      <c r="C1103" s="4">
        <f>VLOOKUP($A1103,'extended_recharge_2003-2015'!$A$1:$AH$265,$D$1,FALSE)</f>
        <v>314.37745039999999</v>
      </c>
      <c r="G1103" s="6"/>
      <c r="L1103" s="6"/>
    </row>
    <row r="1104" spans="1:12" x14ac:dyDescent="0.2">
      <c r="A1104" s="3">
        <v>41517</v>
      </c>
      <c r="B1104" s="4" t="e">
        <f>VLOOKUP($A1104,'existing_gw_inflows_1921-2003'!$A$1:$AH$1129,$D$1,FALSE)</f>
        <v>#N/A</v>
      </c>
      <c r="C1104" s="4">
        <f>VLOOKUP($A1104,'extended_recharge_2003-2015'!$A$1:$AH$265,$D$1,FALSE)</f>
        <v>325.74107300000009</v>
      </c>
      <c r="G1104" s="6"/>
      <c r="L1104" s="6"/>
    </row>
    <row r="1105" spans="1:12" x14ac:dyDescent="0.2">
      <c r="A1105" s="3">
        <v>41547</v>
      </c>
      <c r="B1105" s="4" t="e">
        <f>VLOOKUP($A1105,'existing_gw_inflows_1921-2003'!$A$1:$AH$1129,$D$1,FALSE)</f>
        <v>#N/A</v>
      </c>
      <c r="C1105" s="4">
        <f>VLOOKUP($A1105,'extended_recharge_2003-2015'!$A$1:$AH$265,$D$1,FALSE)</f>
        <v>355.8241946</v>
      </c>
      <c r="G1105" s="6"/>
      <c r="L1105" s="6"/>
    </row>
    <row r="1106" spans="1:12" x14ac:dyDescent="0.2">
      <c r="A1106" s="3">
        <v>41578</v>
      </c>
      <c r="B1106" s="4" t="e">
        <f>VLOOKUP($A1106,'existing_gw_inflows_1921-2003'!$A$1:$AH$1129,$D$1,FALSE)</f>
        <v>#N/A</v>
      </c>
      <c r="C1106" s="4">
        <f>VLOOKUP($A1106,'extended_recharge_2003-2015'!$A$1:$AH$265,$D$1,FALSE)</f>
        <v>340.2060032</v>
      </c>
      <c r="G1106" s="6"/>
      <c r="L1106" s="6"/>
    </row>
    <row r="1107" spans="1:12" x14ac:dyDescent="0.2">
      <c r="A1107" s="3">
        <v>41608</v>
      </c>
      <c r="B1107" s="4" t="e">
        <f>VLOOKUP($A1107,'existing_gw_inflows_1921-2003'!$A$1:$AH$1129,$D$1,FALSE)</f>
        <v>#N/A</v>
      </c>
      <c r="C1107" s="4">
        <f>VLOOKUP($A1107,'extended_recharge_2003-2015'!$A$1:$AH$265,$D$1,FALSE)</f>
        <v>466.16383810000008</v>
      </c>
      <c r="G1107" s="6"/>
      <c r="L1107" s="6"/>
    </row>
    <row r="1108" spans="1:12" x14ac:dyDescent="0.2">
      <c r="A1108" s="3">
        <v>41639</v>
      </c>
      <c r="B1108" s="4" t="e">
        <f>VLOOKUP($A1108,'existing_gw_inflows_1921-2003'!$A$1:$AH$1129,$D$1,FALSE)</f>
        <v>#N/A</v>
      </c>
      <c r="C1108" s="4">
        <f>VLOOKUP($A1108,'extended_recharge_2003-2015'!$A$1:$AH$265,$D$1,FALSE)</f>
        <v>454.96631229999991</v>
      </c>
      <c r="G1108" s="6"/>
      <c r="L1108" s="6"/>
    </row>
    <row r="1109" spans="1:12" x14ac:dyDescent="0.2">
      <c r="A1109" s="3">
        <v>41670</v>
      </c>
      <c r="B1109" s="4" t="e">
        <f>VLOOKUP($A1109,'existing_gw_inflows_1921-2003'!$A$1:$AH$1129,$D$1,FALSE)</f>
        <v>#N/A</v>
      </c>
      <c r="C1109" s="4">
        <f>VLOOKUP($A1109,'extended_recharge_2003-2015'!$A$1:$AH$265,$D$1,FALSE)</f>
        <v>350.56522651999995</v>
      </c>
      <c r="G1109" s="6"/>
      <c r="L1109" s="6"/>
    </row>
    <row r="1110" spans="1:12" x14ac:dyDescent="0.2">
      <c r="A1110" s="3">
        <v>41698</v>
      </c>
      <c r="B1110" s="4" t="e">
        <f>VLOOKUP($A1110,'existing_gw_inflows_1921-2003'!$A$1:$AH$1129,$D$1,FALSE)</f>
        <v>#N/A</v>
      </c>
      <c r="C1110" s="4">
        <f>VLOOKUP($A1110,'extended_recharge_2003-2015'!$A$1:$AH$265,$D$1,FALSE)</f>
        <v>267.98517462999996</v>
      </c>
      <c r="G1110" s="6"/>
      <c r="L1110" s="6"/>
    </row>
    <row r="1111" spans="1:12" x14ac:dyDescent="0.2">
      <c r="A1111" s="3">
        <v>41729</v>
      </c>
      <c r="B1111" s="4" t="e">
        <f>VLOOKUP($A1111,'existing_gw_inflows_1921-2003'!$A$1:$AH$1129,$D$1,FALSE)</f>
        <v>#N/A</v>
      </c>
      <c r="C1111" s="4">
        <f>VLOOKUP($A1111,'extended_recharge_2003-2015'!$A$1:$AH$265,$D$1,FALSE)</f>
        <v>379.33306640000012</v>
      </c>
      <c r="G1111" s="6"/>
      <c r="L1111" s="6"/>
    </row>
    <row r="1112" spans="1:12" x14ac:dyDescent="0.2">
      <c r="A1112" s="3">
        <v>41759</v>
      </c>
      <c r="B1112" s="4" t="e">
        <f>VLOOKUP($A1112,'existing_gw_inflows_1921-2003'!$A$1:$AH$1129,$D$1,FALSE)</f>
        <v>#N/A</v>
      </c>
      <c r="C1112" s="4">
        <f>VLOOKUP($A1112,'extended_recharge_2003-2015'!$A$1:$AH$265,$D$1,FALSE)</f>
        <v>328.82529763000002</v>
      </c>
      <c r="G1112" s="6"/>
      <c r="L1112" s="6"/>
    </row>
    <row r="1113" spans="1:12" x14ac:dyDescent="0.2">
      <c r="A1113" s="3">
        <v>41790</v>
      </c>
      <c r="B1113" s="4" t="e">
        <f>VLOOKUP($A1113,'existing_gw_inflows_1921-2003'!$A$1:$AH$1129,$D$1,FALSE)</f>
        <v>#N/A</v>
      </c>
      <c r="C1113" s="4">
        <f>VLOOKUP($A1113,'extended_recharge_2003-2015'!$A$1:$AH$265,$D$1,FALSE)</f>
        <v>281.06955849999997</v>
      </c>
      <c r="G1113" s="6"/>
      <c r="L1113" s="6"/>
    </row>
    <row r="1114" spans="1:12" x14ac:dyDescent="0.2">
      <c r="A1114" s="3">
        <v>41820</v>
      </c>
      <c r="B1114" s="4" t="e">
        <f>VLOOKUP($A1114,'existing_gw_inflows_1921-2003'!$A$1:$AH$1129,$D$1,FALSE)</f>
        <v>#N/A</v>
      </c>
      <c r="C1114" s="4">
        <f>VLOOKUP($A1114,'extended_recharge_2003-2015'!$A$1:$AH$265,$D$1,FALSE)</f>
        <v>268.22701810000001</v>
      </c>
      <c r="G1114" s="6"/>
      <c r="L1114" s="6"/>
    </row>
    <row r="1115" spans="1:12" x14ac:dyDescent="0.2">
      <c r="A1115" s="3">
        <v>41851</v>
      </c>
      <c r="B1115" s="4" t="e">
        <f>VLOOKUP($A1115,'existing_gw_inflows_1921-2003'!$A$1:$AH$1129,$D$1,FALSE)</f>
        <v>#N/A</v>
      </c>
      <c r="C1115" s="4">
        <f>VLOOKUP($A1115,'extended_recharge_2003-2015'!$A$1:$AH$265,$D$1,FALSE)</f>
        <v>368.21013360000006</v>
      </c>
      <c r="G1115" s="6"/>
      <c r="L1115" s="6"/>
    </row>
    <row r="1116" spans="1:12" x14ac:dyDescent="0.2">
      <c r="A1116" s="3">
        <v>41882</v>
      </c>
      <c r="B1116" s="4" t="e">
        <f>VLOOKUP($A1116,'existing_gw_inflows_1921-2003'!$A$1:$AH$1129,$D$1,FALSE)</f>
        <v>#N/A</v>
      </c>
      <c r="C1116" s="4">
        <f>VLOOKUP($A1116,'extended_recharge_2003-2015'!$A$1:$AH$265,$D$1,FALSE)</f>
        <v>418.57521020000001</v>
      </c>
      <c r="G1116" s="6"/>
      <c r="L1116" s="6"/>
    </row>
    <row r="1117" spans="1:12" x14ac:dyDescent="0.2">
      <c r="A1117" s="3">
        <v>41912</v>
      </c>
      <c r="B1117" s="4" t="e">
        <f>VLOOKUP($A1117,'existing_gw_inflows_1921-2003'!$A$1:$AH$1129,$D$1,FALSE)</f>
        <v>#N/A</v>
      </c>
      <c r="C1117" s="4">
        <f>VLOOKUP($A1117,'extended_recharge_2003-2015'!$A$1:$AH$265,$D$1,FALSE)</f>
        <v>466.06504319999999</v>
      </c>
      <c r="G1117" s="6"/>
      <c r="L1117" s="6"/>
    </row>
    <row r="1118" spans="1:12" x14ac:dyDescent="0.2">
      <c r="A1118" s="3">
        <v>41943</v>
      </c>
      <c r="B1118" s="4" t="e">
        <f>VLOOKUP($A1118,'existing_gw_inflows_1921-2003'!$A$1:$AH$1129,$D$1,FALSE)</f>
        <v>#N/A</v>
      </c>
      <c r="C1118" s="4">
        <f>VLOOKUP($A1118,'extended_recharge_2003-2015'!$A$1:$AH$265,$D$1,FALSE)</f>
        <v>468.60145040000003</v>
      </c>
      <c r="G1118" s="6"/>
      <c r="L1118" s="6"/>
    </row>
    <row r="1119" spans="1:12" x14ac:dyDescent="0.2">
      <c r="A1119" s="3">
        <v>41973</v>
      </c>
      <c r="B1119" s="4" t="e">
        <f>VLOOKUP($A1119,'existing_gw_inflows_1921-2003'!$A$1:$AH$1129,$D$1,FALSE)</f>
        <v>#N/A</v>
      </c>
      <c r="C1119" s="4">
        <f>VLOOKUP($A1119,'extended_recharge_2003-2015'!$A$1:$AH$265,$D$1,FALSE)</f>
        <v>396.75373059999998</v>
      </c>
      <c r="G1119" s="6"/>
      <c r="L1119" s="6"/>
    </row>
    <row r="1120" spans="1:12" x14ac:dyDescent="0.2">
      <c r="A1120" s="3">
        <v>42004</v>
      </c>
      <c r="B1120" s="4" t="e">
        <f>VLOOKUP($A1120,'existing_gw_inflows_1921-2003'!$A$1:$AH$1129,$D$1,FALSE)</f>
        <v>#N/A</v>
      </c>
      <c r="C1120" s="4">
        <f>VLOOKUP($A1120,'extended_recharge_2003-2015'!$A$1:$AH$265,$D$1,FALSE)</f>
        <v>342.87513842999999</v>
      </c>
      <c r="G1120" s="6"/>
      <c r="L1120" s="6"/>
    </row>
    <row r="1121" spans="1:12" x14ac:dyDescent="0.2">
      <c r="A1121" s="3">
        <v>42035</v>
      </c>
      <c r="B1121" s="4" t="e">
        <f>VLOOKUP($A1121,'existing_gw_inflows_1921-2003'!$A$1:$AH$1129,$D$1,FALSE)</f>
        <v>#N/A</v>
      </c>
      <c r="C1121" s="4">
        <f>VLOOKUP($A1121,'extended_recharge_2003-2015'!$A$1:$AH$265,$D$1,FALSE)</f>
        <v>369.02740163999994</v>
      </c>
      <c r="G1121" s="6"/>
      <c r="L1121" s="6"/>
    </row>
    <row r="1122" spans="1:12" x14ac:dyDescent="0.2">
      <c r="A1122" s="3">
        <v>42063</v>
      </c>
      <c r="B1122" s="4" t="e">
        <f>VLOOKUP($A1122,'existing_gw_inflows_1921-2003'!$A$1:$AH$1129,$D$1,FALSE)</f>
        <v>#N/A</v>
      </c>
      <c r="C1122" s="4">
        <f>VLOOKUP($A1122,'extended_recharge_2003-2015'!$A$1:$AH$265,$D$1,FALSE)</f>
        <v>479.65234700000008</v>
      </c>
      <c r="G1122" s="6"/>
      <c r="L1122" s="6"/>
    </row>
    <row r="1123" spans="1:12" x14ac:dyDescent="0.2">
      <c r="A1123" s="3">
        <v>42094</v>
      </c>
      <c r="B1123" s="4" t="e">
        <f>VLOOKUP($A1123,'existing_gw_inflows_1921-2003'!$A$1:$AH$1129,$D$1,FALSE)</f>
        <v>#N/A</v>
      </c>
      <c r="C1123" s="4">
        <f>VLOOKUP($A1123,'extended_recharge_2003-2015'!$A$1:$AH$265,$D$1,FALSE)</f>
        <v>338.40363012999995</v>
      </c>
      <c r="G1123" s="6"/>
      <c r="L1123" s="6"/>
    </row>
    <row r="1124" spans="1:12" x14ac:dyDescent="0.2">
      <c r="A1124" s="3">
        <v>42124</v>
      </c>
      <c r="B1124" s="4" t="e">
        <f>VLOOKUP($A1124,'existing_gw_inflows_1921-2003'!$A$1:$AH$1129,$D$1,FALSE)</f>
        <v>#N/A</v>
      </c>
      <c r="C1124" s="4">
        <f>VLOOKUP($A1124,'extended_recharge_2003-2015'!$A$1:$AH$265,$D$1,FALSE)</f>
        <v>331.23217170000004</v>
      </c>
      <c r="G1124" s="6"/>
      <c r="L1124" s="6"/>
    </row>
    <row r="1125" spans="1:12" x14ac:dyDescent="0.2">
      <c r="A1125" s="3">
        <v>42155</v>
      </c>
      <c r="B1125" s="4" t="e">
        <f>VLOOKUP($A1125,'existing_gw_inflows_1921-2003'!$A$1:$AH$1129,$D$1,FALSE)</f>
        <v>#N/A</v>
      </c>
      <c r="C1125" s="4">
        <f>VLOOKUP($A1125,'extended_recharge_2003-2015'!$A$1:$AH$265,$D$1,FALSE)</f>
        <v>240.58301420000004</v>
      </c>
      <c r="G1125" s="6"/>
      <c r="L1125" s="6"/>
    </row>
    <row r="1126" spans="1:12" x14ac:dyDescent="0.2">
      <c r="A1126" s="3">
        <v>42185</v>
      </c>
      <c r="B1126" s="4" t="e">
        <f>VLOOKUP($A1126,'existing_gw_inflows_1921-2003'!$A$1:$AH$1129,$D$1,FALSE)</f>
        <v>#N/A</v>
      </c>
      <c r="C1126" s="4">
        <f>VLOOKUP($A1126,'extended_recharge_2003-2015'!$A$1:$AH$265,$D$1,FALSE)</f>
        <v>333.44290169999999</v>
      </c>
      <c r="G1126" s="6"/>
      <c r="L1126" s="6"/>
    </row>
    <row r="1127" spans="1:12" x14ac:dyDescent="0.2">
      <c r="A1127" s="3">
        <v>42216</v>
      </c>
      <c r="B1127" s="4" t="e">
        <f>VLOOKUP($A1127,'existing_gw_inflows_1921-2003'!$A$1:$AH$1129,$D$1,FALSE)</f>
        <v>#N/A</v>
      </c>
      <c r="C1127" s="4">
        <f>VLOOKUP($A1127,'extended_recharge_2003-2015'!$A$1:$AH$265,$D$1,FALSE)</f>
        <v>412.19238853900009</v>
      </c>
      <c r="G1127" s="6"/>
      <c r="L1127" s="6"/>
    </row>
    <row r="1128" spans="1:12" x14ac:dyDescent="0.2">
      <c r="A1128" s="3">
        <v>42247</v>
      </c>
      <c r="B1128" s="4" t="e">
        <f>VLOOKUP($A1128,'existing_gw_inflows_1921-2003'!$A$1:$AH$1129,$D$1,FALSE)</f>
        <v>#N/A</v>
      </c>
      <c r="C1128" s="4">
        <f>VLOOKUP($A1128,'extended_recharge_2003-2015'!$A$1:$AH$265,$D$1,FALSE)</f>
        <v>278.00802898000001</v>
      </c>
      <c r="G1128" s="6"/>
      <c r="L1128" s="6"/>
    </row>
    <row r="1129" spans="1:12" x14ac:dyDescent="0.2">
      <c r="A1129" s="3">
        <v>42277</v>
      </c>
      <c r="B1129" s="4" t="e">
        <f>VLOOKUP($A1129,'existing_gw_inflows_1921-2003'!$A$1:$AH$1129,$D$1,FALSE)</f>
        <v>#N/A</v>
      </c>
      <c r="C1129" s="4">
        <f>VLOOKUP($A1129,'extended_recharge_2003-2015'!$A$1:$AH$265,$D$1,FALSE)</f>
        <v>335.54248890000002</v>
      </c>
      <c r="G1129" s="6"/>
      <c r="L1129" s="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croll Bar 1">
              <controlPr defaultSize="0" autoPict="0">
                <anchor moveWithCells="1">
                  <from>
                    <xdr:col>4</xdr:col>
                    <xdr:colOff>12700</xdr:colOff>
                    <xdr:row>1</xdr:row>
                    <xdr:rowOff>177800</xdr:rowOff>
                  </from>
                  <to>
                    <xdr:col>7</xdr:col>
                    <xdr:colOff>0</xdr:colOff>
                    <xdr:row>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35AB-208F-724D-AFDD-6E1F383141A4}">
  <dimension ref="A1:AH985"/>
  <sheetViews>
    <sheetView topLeftCell="B936" workbookViewId="0">
      <selection activeCell="N2" sqref="N2:N985"/>
    </sheetView>
  </sheetViews>
  <sheetFormatPr baseColWidth="10" defaultRowHeight="16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</row>
    <row r="2" spans="1:34" x14ac:dyDescent="0.2">
      <c r="A2" s="3">
        <v>7975</v>
      </c>
      <c r="B2" s="2">
        <v>96.63</v>
      </c>
      <c r="C2" s="2">
        <v>141.13999999999999</v>
      </c>
      <c r="D2" s="2">
        <v>71.89</v>
      </c>
      <c r="E2" s="2">
        <v>-29.14</v>
      </c>
      <c r="F2" s="2">
        <v>22.14</v>
      </c>
      <c r="G2" s="2">
        <v>69.150000000000006</v>
      </c>
      <c r="H2" s="2">
        <v>10.92</v>
      </c>
      <c r="I2" s="2">
        <v>38.700000000000003</v>
      </c>
      <c r="J2" s="2">
        <v>-31.37</v>
      </c>
      <c r="K2" s="2">
        <v>10.34</v>
      </c>
      <c r="L2" s="2">
        <v>22.78</v>
      </c>
      <c r="M2" s="2">
        <v>-5.47</v>
      </c>
      <c r="N2" s="2">
        <v>0.99</v>
      </c>
      <c r="O2" s="2">
        <v>66.930000000000007</v>
      </c>
      <c r="P2" s="2">
        <v>-556.22</v>
      </c>
      <c r="Q2" s="2">
        <v>77.7</v>
      </c>
      <c r="R2" s="2">
        <v>20.04</v>
      </c>
      <c r="S2" s="2">
        <v>15.17</v>
      </c>
      <c r="T2" s="2">
        <v>171.53</v>
      </c>
      <c r="U2" s="2">
        <v>32</v>
      </c>
      <c r="V2" s="2">
        <v>165.45</v>
      </c>
      <c r="W2" s="2">
        <v>22.19</v>
      </c>
      <c r="X2" s="2">
        <v>11.19</v>
      </c>
      <c r="Y2" s="2">
        <v>11.03</v>
      </c>
      <c r="Z2" s="2">
        <v>0</v>
      </c>
      <c r="AA2" s="2">
        <v>0.86</v>
      </c>
      <c r="AB2" s="2">
        <v>2.39</v>
      </c>
      <c r="AC2" s="2">
        <v>0</v>
      </c>
      <c r="AD2" s="2">
        <v>3.86</v>
      </c>
      <c r="AE2" s="2">
        <v>9.8699999999999992</v>
      </c>
      <c r="AF2" s="2">
        <v>65.81</v>
      </c>
      <c r="AG2" s="2">
        <v>16.420000000000002</v>
      </c>
      <c r="AH2" s="4">
        <f>SUM(B2:V2)</f>
        <v>411.2999999999999</v>
      </c>
    </row>
    <row r="3" spans="1:34" x14ac:dyDescent="0.2">
      <c r="A3" s="3">
        <v>8005</v>
      </c>
      <c r="B3" s="2">
        <v>56.45</v>
      </c>
      <c r="C3" s="2">
        <v>76.47</v>
      </c>
      <c r="D3" s="2">
        <v>46.97</v>
      </c>
      <c r="E3" s="2">
        <v>-0.41</v>
      </c>
      <c r="F3" s="2">
        <v>22.28</v>
      </c>
      <c r="G3" s="2">
        <v>33.700000000000003</v>
      </c>
      <c r="H3" s="2">
        <v>5.68</v>
      </c>
      <c r="I3" s="2">
        <v>24.58</v>
      </c>
      <c r="J3" s="2">
        <v>-9.85</v>
      </c>
      <c r="K3" s="2">
        <v>12.66</v>
      </c>
      <c r="L3" s="2">
        <v>8.14</v>
      </c>
      <c r="M3" s="2">
        <v>-3.55</v>
      </c>
      <c r="N3" s="2">
        <v>4.96</v>
      </c>
      <c r="O3" s="2">
        <v>47.21</v>
      </c>
      <c r="P3" s="2">
        <v>10.38</v>
      </c>
      <c r="Q3" s="2">
        <v>46.4</v>
      </c>
      <c r="R3" s="2">
        <v>12.34</v>
      </c>
      <c r="S3" s="2">
        <v>8.17</v>
      </c>
      <c r="T3" s="2">
        <v>113.43</v>
      </c>
      <c r="U3" s="2">
        <v>22.47</v>
      </c>
      <c r="V3" s="2">
        <v>116.13</v>
      </c>
      <c r="W3" s="2">
        <v>15.43</v>
      </c>
      <c r="X3" s="2">
        <v>10.57</v>
      </c>
      <c r="Y3" s="2">
        <v>9.36</v>
      </c>
      <c r="Z3" s="2">
        <v>0</v>
      </c>
      <c r="AA3" s="2">
        <v>0.56999999999999995</v>
      </c>
      <c r="AB3" s="2">
        <v>0</v>
      </c>
      <c r="AC3" s="2">
        <v>5.41</v>
      </c>
      <c r="AD3" s="2">
        <v>2.88</v>
      </c>
      <c r="AE3" s="2">
        <v>16.89</v>
      </c>
      <c r="AF3" s="2">
        <v>60.46</v>
      </c>
      <c r="AG3" s="2">
        <v>12.92</v>
      </c>
      <c r="AH3" s="4">
        <f t="shared" ref="AH3:AH66" si="0">SUM(B3:V3)</f>
        <v>654.61</v>
      </c>
    </row>
    <row r="4" spans="1:34" x14ac:dyDescent="0.2">
      <c r="A4" s="3">
        <v>8036</v>
      </c>
      <c r="B4" s="2">
        <v>39.840000000000003</v>
      </c>
      <c r="C4" s="2">
        <v>58.81</v>
      </c>
      <c r="D4" s="2">
        <v>58.29</v>
      </c>
      <c r="E4" s="2">
        <v>69.069999999999993</v>
      </c>
      <c r="F4" s="2">
        <v>59.74</v>
      </c>
      <c r="G4" s="2">
        <v>78.23</v>
      </c>
      <c r="H4" s="2">
        <v>20.61</v>
      </c>
      <c r="I4" s="2">
        <v>32.840000000000003</v>
      </c>
      <c r="J4" s="2">
        <v>86.65</v>
      </c>
      <c r="K4" s="2">
        <v>80.040000000000006</v>
      </c>
      <c r="L4" s="2">
        <v>43.85</v>
      </c>
      <c r="M4" s="2">
        <v>41.6</v>
      </c>
      <c r="N4" s="2">
        <v>62.59</v>
      </c>
      <c r="O4" s="2">
        <v>38.57</v>
      </c>
      <c r="P4" s="2">
        <v>91.45</v>
      </c>
      <c r="Q4" s="2">
        <v>34.729999999999997</v>
      </c>
      <c r="R4" s="2">
        <v>12.91</v>
      </c>
      <c r="S4" s="2">
        <v>64.930000000000007</v>
      </c>
      <c r="T4" s="2">
        <v>101.53</v>
      </c>
      <c r="U4" s="2">
        <v>19.8</v>
      </c>
      <c r="V4" s="2">
        <v>86.89</v>
      </c>
      <c r="W4" s="2">
        <v>11.73</v>
      </c>
      <c r="X4" s="2">
        <v>12.26</v>
      </c>
      <c r="Y4" s="2">
        <v>12.27</v>
      </c>
      <c r="Z4" s="2">
        <v>29.79</v>
      </c>
      <c r="AA4" s="2">
        <v>49.32</v>
      </c>
      <c r="AB4" s="2">
        <v>8.18</v>
      </c>
      <c r="AC4" s="2">
        <v>6.02</v>
      </c>
      <c r="AD4" s="2">
        <v>2.97</v>
      </c>
      <c r="AE4" s="2">
        <v>15.73</v>
      </c>
      <c r="AF4" s="2">
        <v>69.56</v>
      </c>
      <c r="AG4" s="2">
        <v>11.2</v>
      </c>
      <c r="AH4" s="4">
        <f t="shared" si="0"/>
        <v>1182.9700000000003</v>
      </c>
    </row>
    <row r="5" spans="1:34" x14ac:dyDescent="0.2">
      <c r="A5" s="3">
        <v>8067</v>
      </c>
      <c r="B5" s="2">
        <v>28.79</v>
      </c>
      <c r="C5" s="2">
        <v>39.56</v>
      </c>
      <c r="D5" s="2">
        <v>23.07</v>
      </c>
      <c r="E5" s="2">
        <v>2.46</v>
      </c>
      <c r="F5" s="2">
        <v>4.95</v>
      </c>
      <c r="G5" s="2">
        <v>16.510000000000002</v>
      </c>
      <c r="H5" s="2">
        <v>3.76</v>
      </c>
      <c r="I5" s="2">
        <v>23.95</v>
      </c>
      <c r="J5" s="2">
        <v>35.68</v>
      </c>
      <c r="K5" s="2">
        <v>1.02</v>
      </c>
      <c r="L5" s="2">
        <v>22.49</v>
      </c>
      <c r="M5" s="2">
        <v>5.19</v>
      </c>
      <c r="N5" s="2">
        <v>19.64</v>
      </c>
      <c r="O5" s="2">
        <v>31.9</v>
      </c>
      <c r="P5" s="2">
        <v>54.75</v>
      </c>
      <c r="Q5" s="2">
        <v>25.4</v>
      </c>
      <c r="R5" s="2">
        <v>14.51</v>
      </c>
      <c r="S5" s="2">
        <v>34.69</v>
      </c>
      <c r="T5" s="2">
        <v>79.209999999999994</v>
      </c>
      <c r="U5" s="2">
        <v>17.98</v>
      </c>
      <c r="V5" s="2">
        <v>69.42</v>
      </c>
      <c r="W5" s="2">
        <v>4.26</v>
      </c>
      <c r="X5" s="2">
        <v>9.3800000000000008</v>
      </c>
      <c r="Y5" s="2">
        <v>8.18</v>
      </c>
      <c r="Z5" s="2">
        <v>8.75</v>
      </c>
      <c r="AA5" s="2">
        <v>15.77</v>
      </c>
      <c r="AB5" s="2">
        <v>6.18</v>
      </c>
      <c r="AC5" s="2">
        <v>16.29</v>
      </c>
      <c r="AD5" s="2">
        <v>3.06</v>
      </c>
      <c r="AE5" s="2">
        <v>36.36</v>
      </c>
      <c r="AF5" s="2">
        <v>71.25</v>
      </c>
      <c r="AG5" s="2">
        <v>9.8800000000000008</v>
      </c>
      <c r="AH5" s="4">
        <f t="shared" si="0"/>
        <v>554.92999999999995</v>
      </c>
    </row>
    <row r="6" spans="1:34" x14ac:dyDescent="0.2">
      <c r="A6" s="3">
        <v>8095</v>
      </c>
      <c r="B6" s="2">
        <v>27.07</v>
      </c>
      <c r="C6" s="2">
        <v>47.48</v>
      </c>
      <c r="D6" s="2">
        <v>51.65</v>
      </c>
      <c r="E6" s="2">
        <v>83.15</v>
      </c>
      <c r="F6" s="2">
        <v>90.46</v>
      </c>
      <c r="G6" s="2">
        <v>124.31</v>
      </c>
      <c r="H6" s="2">
        <v>34.18</v>
      </c>
      <c r="I6" s="2">
        <v>54.4</v>
      </c>
      <c r="J6" s="2">
        <v>110.52</v>
      </c>
      <c r="K6" s="2">
        <v>59.97</v>
      </c>
      <c r="L6" s="2">
        <v>67.77</v>
      </c>
      <c r="M6" s="2">
        <v>43.37</v>
      </c>
      <c r="N6" s="2">
        <v>83.14</v>
      </c>
      <c r="O6" s="2">
        <v>28.56</v>
      </c>
      <c r="P6" s="2">
        <v>70.680000000000007</v>
      </c>
      <c r="Q6" s="2">
        <v>23.66</v>
      </c>
      <c r="R6" s="2">
        <v>18.96</v>
      </c>
      <c r="S6" s="2">
        <v>43.74</v>
      </c>
      <c r="T6" s="2">
        <v>73.8</v>
      </c>
      <c r="U6" s="2">
        <v>17.03</v>
      </c>
      <c r="V6" s="2">
        <v>58.68</v>
      </c>
      <c r="W6" s="2">
        <v>0</v>
      </c>
      <c r="X6" s="2">
        <v>2.96</v>
      </c>
      <c r="Y6" s="2">
        <v>3.21</v>
      </c>
      <c r="Z6" s="2">
        <v>0</v>
      </c>
      <c r="AA6" s="2">
        <v>3.01</v>
      </c>
      <c r="AB6" s="2">
        <v>5.95</v>
      </c>
      <c r="AC6" s="2">
        <v>8.67</v>
      </c>
      <c r="AD6" s="2">
        <v>3.49</v>
      </c>
      <c r="AE6" s="2">
        <v>36.76</v>
      </c>
      <c r="AF6" s="2">
        <v>59.39</v>
      </c>
      <c r="AG6" s="2">
        <v>10.08</v>
      </c>
      <c r="AH6" s="4">
        <f t="shared" si="0"/>
        <v>1212.58</v>
      </c>
    </row>
    <row r="7" spans="1:34" x14ac:dyDescent="0.2">
      <c r="A7" s="3">
        <v>8126</v>
      </c>
      <c r="B7" s="2">
        <v>22.1</v>
      </c>
      <c r="C7" s="2">
        <v>28.79</v>
      </c>
      <c r="D7" s="2">
        <v>9.16</v>
      </c>
      <c r="E7" s="2">
        <v>0.76</v>
      </c>
      <c r="F7" s="2">
        <v>12.14</v>
      </c>
      <c r="G7" s="2">
        <v>-6.78</v>
      </c>
      <c r="H7" s="2">
        <v>9.58</v>
      </c>
      <c r="I7" s="2">
        <v>29.03</v>
      </c>
      <c r="J7" s="2">
        <v>7.08</v>
      </c>
      <c r="K7" s="2">
        <v>-5.24</v>
      </c>
      <c r="L7" s="2">
        <v>8.86</v>
      </c>
      <c r="M7" s="2">
        <v>2.11</v>
      </c>
      <c r="N7" s="2">
        <v>26.09</v>
      </c>
      <c r="O7" s="2">
        <v>26.61</v>
      </c>
      <c r="P7" s="2">
        <v>73.42</v>
      </c>
      <c r="Q7" s="2">
        <v>21.49</v>
      </c>
      <c r="R7" s="2">
        <v>13.49</v>
      </c>
      <c r="S7" s="2">
        <v>40.11</v>
      </c>
      <c r="T7" s="2">
        <v>60.06</v>
      </c>
      <c r="U7" s="2">
        <v>15.03</v>
      </c>
      <c r="V7" s="2">
        <v>62.06</v>
      </c>
      <c r="W7" s="2">
        <v>0</v>
      </c>
      <c r="X7" s="2">
        <v>3.79</v>
      </c>
      <c r="Y7" s="2">
        <v>2.94</v>
      </c>
      <c r="Z7" s="2">
        <v>0.96</v>
      </c>
      <c r="AA7" s="2">
        <v>3.15</v>
      </c>
      <c r="AB7" s="2">
        <v>0.56000000000000005</v>
      </c>
      <c r="AC7" s="2">
        <v>15.69</v>
      </c>
      <c r="AD7" s="2">
        <v>5.27</v>
      </c>
      <c r="AE7" s="2">
        <v>22.68</v>
      </c>
      <c r="AF7" s="2">
        <v>70.09</v>
      </c>
      <c r="AG7" s="2">
        <v>10.69</v>
      </c>
      <c r="AH7" s="4">
        <f t="shared" si="0"/>
        <v>455.95</v>
      </c>
    </row>
    <row r="8" spans="1:34" x14ac:dyDescent="0.2">
      <c r="A8" s="3">
        <v>8156</v>
      </c>
      <c r="B8" s="2">
        <v>18.88</v>
      </c>
      <c r="C8" s="2">
        <v>21.65</v>
      </c>
      <c r="D8" s="2">
        <v>22.2</v>
      </c>
      <c r="E8" s="2">
        <v>15.15</v>
      </c>
      <c r="F8" s="2">
        <v>54.46</v>
      </c>
      <c r="G8" s="2">
        <v>0.86</v>
      </c>
      <c r="H8" s="2">
        <v>15.23</v>
      </c>
      <c r="I8" s="2">
        <v>29.79</v>
      </c>
      <c r="J8" s="2">
        <v>13.49</v>
      </c>
      <c r="K8" s="2">
        <v>9.31</v>
      </c>
      <c r="L8" s="2">
        <v>20.87</v>
      </c>
      <c r="M8" s="2">
        <v>10.46</v>
      </c>
      <c r="N8" s="2">
        <v>25.77</v>
      </c>
      <c r="O8" s="2">
        <v>24.76</v>
      </c>
      <c r="P8" s="2">
        <v>72.849999999999994</v>
      </c>
      <c r="Q8" s="2">
        <v>18.11</v>
      </c>
      <c r="R8" s="2">
        <v>12.78</v>
      </c>
      <c r="S8" s="2">
        <v>16.71</v>
      </c>
      <c r="T8" s="2">
        <v>51.46</v>
      </c>
      <c r="U8" s="2">
        <v>16.760000000000002</v>
      </c>
      <c r="V8" s="2">
        <v>52.24</v>
      </c>
      <c r="W8" s="2">
        <v>0</v>
      </c>
      <c r="X8" s="2">
        <v>4.59</v>
      </c>
      <c r="Y8" s="2">
        <v>4.09</v>
      </c>
      <c r="Z8" s="2">
        <v>0</v>
      </c>
      <c r="AA8" s="2">
        <v>0</v>
      </c>
      <c r="AB8" s="2">
        <v>0.22</v>
      </c>
      <c r="AC8" s="2">
        <v>5.46</v>
      </c>
      <c r="AD8" s="2">
        <v>6</v>
      </c>
      <c r="AE8" s="2">
        <v>9.84</v>
      </c>
      <c r="AF8" s="2">
        <v>86.72</v>
      </c>
      <c r="AG8" s="2">
        <v>14.64</v>
      </c>
      <c r="AH8" s="4">
        <f t="shared" si="0"/>
        <v>523.79</v>
      </c>
    </row>
    <row r="9" spans="1:34" x14ac:dyDescent="0.2">
      <c r="A9" s="3">
        <v>8187</v>
      </c>
      <c r="B9" s="2">
        <v>13.53</v>
      </c>
      <c r="C9" s="2">
        <v>17.37</v>
      </c>
      <c r="D9" s="2">
        <v>10.83</v>
      </c>
      <c r="E9" s="2">
        <v>3.4</v>
      </c>
      <c r="F9" s="2">
        <v>82.39</v>
      </c>
      <c r="G9" s="2">
        <v>-1.22</v>
      </c>
      <c r="H9" s="2">
        <v>24.18</v>
      </c>
      <c r="I9" s="2">
        <v>34.21</v>
      </c>
      <c r="J9" s="2">
        <v>71.22</v>
      </c>
      <c r="K9" s="2">
        <v>108.28</v>
      </c>
      <c r="L9" s="2">
        <v>117.71</v>
      </c>
      <c r="M9" s="2">
        <v>94.72</v>
      </c>
      <c r="N9" s="2">
        <v>88.52</v>
      </c>
      <c r="O9" s="2">
        <v>50.12</v>
      </c>
      <c r="P9" s="2">
        <v>247.29</v>
      </c>
      <c r="Q9" s="2">
        <v>23.07</v>
      </c>
      <c r="R9" s="2">
        <v>12.76</v>
      </c>
      <c r="S9" s="2">
        <v>56.92</v>
      </c>
      <c r="T9" s="2">
        <v>75.760000000000005</v>
      </c>
      <c r="U9" s="2">
        <v>15.38</v>
      </c>
      <c r="V9" s="2">
        <v>59.34</v>
      </c>
      <c r="W9" s="2">
        <v>4.88</v>
      </c>
      <c r="X9" s="2">
        <v>7.54</v>
      </c>
      <c r="Y9" s="2">
        <v>6.36</v>
      </c>
      <c r="Z9" s="2">
        <v>0</v>
      </c>
      <c r="AA9" s="2">
        <v>0</v>
      </c>
      <c r="AB9" s="2">
        <v>0</v>
      </c>
      <c r="AC9" s="2">
        <v>0</v>
      </c>
      <c r="AD9" s="2">
        <v>7.67</v>
      </c>
      <c r="AE9" s="2">
        <v>2.94</v>
      </c>
      <c r="AF9" s="2">
        <v>97.94</v>
      </c>
      <c r="AG9" s="2">
        <v>17.690000000000001</v>
      </c>
      <c r="AH9" s="4">
        <f t="shared" si="0"/>
        <v>1205.78</v>
      </c>
    </row>
    <row r="10" spans="1:34" x14ac:dyDescent="0.2">
      <c r="A10" s="3">
        <v>8217</v>
      </c>
      <c r="B10" s="2">
        <v>6.33</v>
      </c>
      <c r="C10" s="2">
        <v>9.9600000000000009</v>
      </c>
      <c r="D10" s="2">
        <v>0.7</v>
      </c>
      <c r="E10" s="2">
        <v>-53.63</v>
      </c>
      <c r="F10" s="2">
        <v>-66.2</v>
      </c>
      <c r="G10" s="2">
        <v>-29.38</v>
      </c>
      <c r="H10" s="2">
        <v>-4.54</v>
      </c>
      <c r="I10" s="2">
        <v>25.05</v>
      </c>
      <c r="J10" s="2">
        <v>18.52</v>
      </c>
      <c r="K10" s="2">
        <v>22.37</v>
      </c>
      <c r="L10" s="2">
        <v>31.41</v>
      </c>
      <c r="M10" s="2">
        <v>40.47</v>
      </c>
      <c r="N10" s="2">
        <v>50.21</v>
      </c>
      <c r="O10" s="2">
        <v>71.17</v>
      </c>
      <c r="P10" s="2">
        <v>214.06</v>
      </c>
      <c r="Q10" s="2">
        <v>24.47</v>
      </c>
      <c r="R10" s="2">
        <v>18.16</v>
      </c>
      <c r="S10" s="2">
        <v>50.94</v>
      </c>
      <c r="T10" s="2">
        <v>62.82</v>
      </c>
      <c r="U10" s="2">
        <v>10.19</v>
      </c>
      <c r="V10" s="2">
        <v>58.25</v>
      </c>
      <c r="W10" s="2">
        <v>18.62</v>
      </c>
      <c r="X10" s="2">
        <v>12.84</v>
      </c>
      <c r="Y10" s="2">
        <v>12.41</v>
      </c>
      <c r="Z10" s="2">
        <v>0</v>
      </c>
      <c r="AA10" s="2">
        <v>0</v>
      </c>
      <c r="AB10" s="2">
        <v>0</v>
      </c>
      <c r="AC10" s="2">
        <v>0</v>
      </c>
      <c r="AD10" s="2">
        <v>7.25</v>
      </c>
      <c r="AE10" s="2">
        <v>0.33</v>
      </c>
      <c r="AF10" s="2">
        <v>107.19</v>
      </c>
      <c r="AG10" s="2">
        <v>22.83</v>
      </c>
      <c r="AH10" s="4">
        <f t="shared" si="0"/>
        <v>561.33000000000004</v>
      </c>
    </row>
    <row r="11" spans="1:34" x14ac:dyDescent="0.2">
      <c r="A11" s="3">
        <v>8248</v>
      </c>
      <c r="B11" s="2">
        <v>3.23</v>
      </c>
      <c r="C11" s="2">
        <v>7.68</v>
      </c>
      <c r="D11" s="2">
        <v>-1.82</v>
      </c>
      <c r="E11" s="2">
        <v>-64.91</v>
      </c>
      <c r="F11" s="2">
        <v>-74.61</v>
      </c>
      <c r="G11" s="2">
        <v>-40.659999999999997</v>
      </c>
      <c r="H11" s="2">
        <v>-19.260000000000002</v>
      </c>
      <c r="I11" s="2">
        <v>6.47</v>
      </c>
      <c r="J11" s="2">
        <v>-55.15</v>
      </c>
      <c r="K11" s="2">
        <v>-81.459999999999994</v>
      </c>
      <c r="L11" s="2">
        <v>-105.85</v>
      </c>
      <c r="M11" s="2">
        <v>-77.319999999999993</v>
      </c>
      <c r="N11" s="2">
        <v>-20.09</v>
      </c>
      <c r="O11" s="2">
        <v>48.92</v>
      </c>
      <c r="P11" s="2">
        <v>45.22</v>
      </c>
      <c r="Q11" s="2">
        <v>11.2</v>
      </c>
      <c r="R11" s="2">
        <v>9</v>
      </c>
      <c r="S11" s="2">
        <v>19.940000000000001</v>
      </c>
      <c r="T11" s="2">
        <v>61.59</v>
      </c>
      <c r="U11" s="2">
        <v>13.36</v>
      </c>
      <c r="V11" s="2">
        <v>55.23</v>
      </c>
      <c r="W11" s="2">
        <v>30.39</v>
      </c>
      <c r="X11" s="2">
        <v>18.02</v>
      </c>
      <c r="Y11" s="2">
        <v>17.93</v>
      </c>
      <c r="Z11" s="2">
        <v>0</v>
      </c>
      <c r="AA11" s="2">
        <v>1</v>
      </c>
      <c r="AB11" s="2">
        <v>0.11</v>
      </c>
      <c r="AC11" s="2">
        <v>0</v>
      </c>
      <c r="AD11" s="2">
        <v>6.14</v>
      </c>
      <c r="AE11" s="2">
        <v>1</v>
      </c>
      <c r="AF11" s="2">
        <v>116.73</v>
      </c>
      <c r="AG11" s="2">
        <v>24.8</v>
      </c>
      <c r="AH11" s="4">
        <f t="shared" si="0"/>
        <v>-259.28999999999996</v>
      </c>
    </row>
    <row r="12" spans="1:34" x14ac:dyDescent="0.2">
      <c r="A12" s="3">
        <v>8279</v>
      </c>
      <c r="B12" s="2">
        <v>1.78</v>
      </c>
      <c r="C12" s="2">
        <v>7.02</v>
      </c>
      <c r="D12" s="2">
        <v>1.92</v>
      </c>
      <c r="E12" s="2">
        <v>-37.31</v>
      </c>
      <c r="F12" s="2">
        <v>-16.600000000000001</v>
      </c>
      <c r="G12" s="2">
        <v>-25.66</v>
      </c>
      <c r="H12" s="2">
        <v>-7.91</v>
      </c>
      <c r="I12" s="2">
        <v>4.91</v>
      </c>
      <c r="J12" s="2">
        <v>-47.26</v>
      </c>
      <c r="K12" s="2">
        <v>-58.3</v>
      </c>
      <c r="L12" s="2">
        <v>-55.38</v>
      </c>
      <c r="M12" s="2">
        <v>-38.880000000000003</v>
      </c>
      <c r="N12" s="2">
        <v>-31.02</v>
      </c>
      <c r="O12" s="2">
        <v>41.65</v>
      </c>
      <c r="P12" s="2">
        <v>36.880000000000003</v>
      </c>
      <c r="Q12" s="2">
        <v>4.46</v>
      </c>
      <c r="R12" s="2">
        <v>4.4800000000000004</v>
      </c>
      <c r="S12" s="2">
        <v>11.72</v>
      </c>
      <c r="T12" s="2">
        <v>56.68</v>
      </c>
      <c r="U12" s="2">
        <v>11.56</v>
      </c>
      <c r="V12" s="2">
        <v>52.98</v>
      </c>
      <c r="W12" s="2">
        <v>31.47</v>
      </c>
      <c r="X12" s="2">
        <v>20.32</v>
      </c>
      <c r="Y12" s="2">
        <v>20.38</v>
      </c>
      <c r="Z12" s="2">
        <v>0</v>
      </c>
      <c r="AA12" s="2">
        <v>0</v>
      </c>
      <c r="AB12" s="2">
        <v>2.17</v>
      </c>
      <c r="AC12" s="2">
        <v>0</v>
      </c>
      <c r="AD12" s="2">
        <v>5.6</v>
      </c>
      <c r="AE12" s="2">
        <v>0</v>
      </c>
      <c r="AF12" s="2">
        <v>118.71</v>
      </c>
      <c r="AG12" s="2">
        <v>23.65</v>
      </c>
      <c r="AH12" s="4">
        <f t="shared" si="0"/>
        <v>-82.28000000000003</v>
      </c>
    </row>
    <row r="13" spans="1:34" x14ac:dyDescent="0.2">
      <c r="A13" s="3">
        <v>8309</v>
      </c>
      <c r="B13" s="2">
        <v>1.76</v>
      </c>
      <c r="C13" s="2">
        <v>7.07</v>
      </c>
      <c r="D13" s="2">
        <v>3.55</v>
      </c>
      <c r="E13" s="2">
        <v>-12.41</v>
      </c>
      <c r="F13" s="2">
        <v>-5.83</v>
      </c>
      <c r="G13" s="2">
        <v>-8.1999999999999993</v>
      </c>
      <c r="H13" s="2">
        <v>1.49</v>
      </c>
      <c r="I13" s="2">
        <v>9.34</v>
      </c>
      <c r="J13" s="2">
        <v>-17.13</v>
      </c>
      <c r="K13" s="2">
        <v>-27.52</v>
      </c>
      <c r="L13" s="2">
        <v>-22.15</v>
      </c>
      <c r="M13" s="2">
        <v>-17.3</v>
      </c>
      <c r="N13" s="2">
        <v>-11.6</v>
      </c>
      <c r="O13" s="2">
        <v>18.43</v>
      </c>
      <c r="P13" s="2">
        <v>5.8</v>
      </c>
      <c r="Q13" s="2">
        <v>5.22</v>
      </c>
      <c r="R13" s="2">
        <v>5.88</v>
      </c>
      <c r="S13" s="2">
        <v>3.86</v>
      </c>
      <c r="T13" s="2">
        <v>40.1</v>
      </c>
      <c r="U13" s="2">
        <v>11.08</v>
      </c>
      <c r="V13" s="2">
        <v>30.58</v>
      </c>
      <c r="W13" s="2">
        <v>26.1</v>
      </c>
      <c r="X13" s="2">
        <v>19.29</v>
      </c>
      <c r="Y13" s="2">
        <v>19.13</v>
      </c>
      <c r="Z13" s="2">
        <v>0</v>
      </c>
      <c r="AA13" s="2">
        <v>0</v>
      </c>
      <c r="AB13" s="2">
        <v>0</v>
      </c>
      <c r="AC13" s="2">
        <v>0</v>
      </c>
      <c r="AD13" s="2">
        <v>4.96</v>
      </c>
      <c r="AE13" s="2">
        <v>1.08</v>
      </c>
      <c r="AF13" s="2">
        <v>110.57</v>
      </c>
      <c r="AG13" s="2">
        <v>20.170000000000002</v>
      </c>
      <c r="AH13" s="4">
        <f t="shared" si="0"/>
        <v>22.019999999999996</v>
      </c>
    </row>
    <row r="14" spans="1:34" x14ac:dyDescent="0.2">
      <c r="A14" s="3">
        <v>8340</v>
      </c>
      <c r="B14" s="2">
        <v>2.96</v>
      </c>
      <c r="C14" s="2">
        <v>7.91</v>
      </c>
      <c r="D14" s="2">
        <v>6.52</v>
      </c>
      <c r="E14" s="2">
        <v>9.01</v>
      </c>
      <c r="F14" s="2">
        <v>10.42</v>
      </c>
      <c r="G14" s="2">
        <v>10.98</v>
      </c>
      <c r="H14" s="2">
        <v>7.46</v>
      </c>
      <c r="I14" s="2">
        <v>12.63</v>
      </c>
      <c r="J14" s="2">
        <v>-1.8</v>
      </c>
      <c r="K14" s="2">
        <v>-7.48</v>
      </c>
      <c r="L14" s="2">
        <v>-3.61</v>
      </c>
      <c r="M14" s="2">
        <v>-5.98</v>
      </c>
      <c r="N14" s="2">
        <v>-4.33</v>
      </c>
      <c r="O14" s="2">
        <v>23.18</v>
      </c>
      <c r="P14" s="2">
        <v>11.28</v>
      </c>
      <c r="Q14" s="2">
        <v>3.56</v>
      </c>
      <c r="R14" s="2">
        <v>3.04</v>
      </c>
      <c r="S14" s="2">
        <v>1.2</v>
      </c>
      <c r="T14" s="2">
        <v>39.590000000000003</v>
      </c>
      <c r="U14" s="2">
        <v>9.24</v>
      </c>
      <c r="V14" s="2">
        <v>31.78</v>
      </c>
      <c r="W14" s="2">
        <v>22.19</v>
      </c>
      <c r="X14" s="2">
        <v>17.89</v>
      </c>
      <c r="Y14" s="2">
        <v>17.7</v>
      </c>
      <c r="Z14" s="2">
        <v>0</v>
      </c>
      <c r="AA14" s="2">
        <v>0</v>
      </c>
      <c r="AB14" s="2">
        <v>0</v>
      </c>
      <c r="AC14" s="2">
        <v>3.76</v>
      </c>
      <c r="AD14" s="2">
        <v>5.85</v>
      </c>
      <c r="AE14" s="2">
        <v>5.22</v>
      </c>
      <c r="AF14" s="2">
        <v>100.29</v>
      </c>
      <c r="AG14" s="2">
        <v>16.420000000000002</v>
      </c>
      <c r="AH14" s="4">
        <f t="shared" si="0"/>
        <v>167.56000000000003</v>
      </c>
    </row>
    <row r="15" spans="1:34" x14ac:dyDescent="0.2">
      <c r="A15" s="3">
        <v>8370</v>
      </c>
      <c r="B15" s="2">
        <v>3.07</v>
      </c>
      <c r="C15" s="2">
        <v>13.6</v>
      </c>
      <c r="D15" s="2">
        <v>17.670000000000002</v>
      </c>
      <c r="E15" s="2">
        <v>33.659999999999997</v>
      </c>
      <c r="F15" s="2">
        <v>24.7</v>
      </c>
      <c r="G15" s="2">
        <v>37.21</v>
      </c>
      <c r="H15" s="2">
        <v>10.4</v>
      </c>
      <c r="I15" s="2">
        <v>16.55</v>
      </c>
      <c r="J15" s="2">
        <v>15.2</v>
      </c>
      <c r="K15" s="2">
        <v>7.04</v>
      </c>
      <c r="L15" s="2">
        <v>15.07</v>
      </c>
      <c r="M15" s="2">
        <v>8.33</v>
      </c>
      <c r="N15" s="2">
        <v>3.02</v>
      </c>
      <c r="O15" s="2">
        <v>17.170000000000002</v>
      </c>
      <c r="P15" s="2">
        <v>26.38</v>
      </c>
      <c r="Q15" s="2">
        <v>4.22</v>
      </c>
      <c r="R15" s="2">
        <v>2.89</v>
      </c>
      <c r="S15" s="2">
        <v>5.18</v>
      </c>
      <c r="T15" s="2">
        <v>36.799999999999997</v>
      </c>
      <c r="U15" s="2">
        <v>9.34</v>
      </c>
      <c r="V15" s="2">
        <v>27.37</v>
      </c>
      <c r="W15" s="2">
        <v>15.43</v>
      </c>
      <c r="X15" s="2">
        <v>11.77</v>
      </c>
      <c r="Y15" s="2">
        <v>10.53</v>
      </c>
      <c r="Z15" s="2">
        <v>0.14000000000000001</v>
      </c>
      <c r="AA15" s="2">
        <v>0.43</v>
      </c>
      <c r="AB15" s="2">
        <v>5.75</v>
      </c>
      <c r="AC15" s="2">
        <v>3.51</v>
      </c>
      <c r="AD15" s="2">
        <v>4.9000000000000004</v>
      </c>
      <c r="AE15" s="2">
        <v>13.59</v>
      </c>
      <c r="AF15" s="2">
        <v>65.81</v>
      </c>
      <c r="AG15" s="2">
        <v>12.92</v>
      </c>
      <c r="AH15" s="4">
        <f t="shared" si="0"/>
        <v>334.87</v>
      </c>
    </row>
    <row r="16" spans="1:34" x14ac:dyDescent="0.2">
      <c r="A16" s="3">
        <v>8401</v>
      </c>
      <c r="B16" s="2">
        <v>5.81</v>
      </c>
      <c r="C16" s="2">
        <v>18.440000000000001</v>
      </c>
      <c r="D16" s="2">
        <v>44.84</v>
      </c>
      <c r="E16" s="2">
        <v>96.89</v>
      </c>
      <c r="F16" s="2">
        <v>87.35</v>
      </c>
      <c r="G16" s="2">
        <v>122.27</v>
      </c>
      <c r="H16" s="2">
        <v>34.46</v>
      </c>
      <c r="I16" s="2">
        <v>40.76</v>
      </c>
      <c r="J16" s="2">
        <v>108.07</v>
      </c>
      <c r="K16" s="2">
        <v>49.49</v>
      </c>
      <c r="L16" s="2">
        <v>61.51</v>
      </c>
      <c r="M16" s="2">
        <v>43</v>
      </c>
      <c r="N16" s="2">
        <v>51.13</v>
      </c>
      <c r="O16" s="2">
        <v>17.03</v>
      </c>
      <c r="P16" s="2">
        <v>50.06</v>
      </c>
      <c r="Q16" s="2">
        <v>4.54</v>
      </c>
      <c r="R16" s="2">
        <v>6.57</v>
      </c>
      <c r="S16" s="2">
        <v>38.75</v>
      </c>
      <c r="T16" s="2">
        <v>40.83</v>
      </c>
      <c r="U16" s="2">
        <v>9.98</v>
      </c>
      <c r="V16" s="2">
        <v>25.47</v>
      </c>
      <c r="W16" s="2">
        <v>11.73</v>
      </c>
      <c r="X16" s="2">
        <v>9.59</v>
      </c>
      <c r="Y16" s="2">
        <v>9.56</v>
      </c>
      <c r="Z16" s="2">
        <v>0.14000000000000001</v>
      </c>
      <c r="AA16" s="2">
        <v>0.56999999999999995</v>
      </c>
      <c r="AB16" s="2">
        <v>7.46</v>
      </c>
      <c r="AC16" s="2">
        <v>2.11</v>
      </c>
      <c r="AD16" s="2">
        <v>5.0599999999999996</v>
      </c>
      <c r="AE16" s="2">
        <v>20.21</v>
      </c>
      <c r="AF16" s="2">
        <v>60.46</v>
      </c>
      <c r="AG16" s="2">
        <v>11.2</v>
      </c>
      <c r="AH16" s="4">
        <f t="shared" si="0"/>
        <v>957.25</v>
      </c>
    </row>
    <row r="17" spans="1:34" x14ac:dyDescent="0.2">
      <c r="A17" s="3">
        <v>8432</v>
      </c>
      <c r="B17" s="2">
        <v>6.98</v>
      </c>
      <c r="C17" s="2">
        <v>16.68</v>
      </c>
      <c r="D17" s="2">
        <v>6.52</v>
      </c>
      <c r="E17" s="2">
        <v>4.26</v>
      </c>
      <c r="F17" s="2">
        <v>-7.82</v>
      </c>
      <c r="G17" s="2">
        <v>23.4</v>
      </c>
      <c r="H17" s="2">
        <v>7.39</v>
      </c>
      <c r="I17" s="2">
        <v>31.34</v>
      </c>
      <c r="J17" s="2">
        <v>45.35</v>
      </c>
      <c r="K17" s="2">
        <v>-2.2400000000000002</v>
      </c>
      <c r="L17" s="2">
        <v>21.55</v>
      </c>
      <c r="M17" s="2">
        <v>6.28</v>
      </c>
      <c r="N17" s="2">
        <v>22.54</v>
      </c>
      <c r="O17" s="2">
        <v>15.21</v>
      </c>
      <c r="P17" s="2">
        <v>31.73</v>
      </c>
      <c r="Q17" s="2">
        <v>3.21</v>
      </c>
      <c r="R17" s="2">
        <v>5.49</v>
      </c>
      <c r="S17" s="2">
        <v>13.06</v>
      </c>
      <c r="T17" s="2">
        <v>35.92</v>
      </c>
      <c r="U17" s="2">
        <v>9.4700000000000006</v>
      </c>
      <c r="V17" s="2">
        <v>26.79</v>
      </c>
      <c r="W17" s="2">
        <v>4.26</v>
      </c>
      <c r="X17" s="2">
        <v>9.85</v>
      </c>
      <c r="Y17" s="2">
        <v>8.51</v>
      </c>
      <c r="Z17" s="2">
        <v>1.37</v>
      </c>
      <c r="AA17" s="2">
        <v>0.43</v>
      </c>
      <c r="AB17" s="2">
        <v>1.18</v>
      </c>
      <c r="AC17" s="2">
        <v>8.42</v>
      </c>
      <c r="AD17" s="2">
        <v>5.03</v>
      </c>
      <c r="AE17" s="2">
        <v>20.56</v>
      </c>
      <c r="AF17" s="2">
        <v>69.56</v>
      </c>
      <c r="AG17" s="2">
        <v>9.8800000000000008</v>
      </c>
      <c r="AH17" s="4">
        <f t="shared" si="0"/>
        <v>323.11000000000007</v>
      </c>
    </row>
    <row r="18" spans="1:34" x14ac:dyDescent="0.2">
      <c r="A18" s="3">
        <v>8460</v>
      </c>
      <c r="B18" s="2">
        <v>4.95</v>
      </c>
      <c r="C18" s="2">
        <v>10.82</v>
      </c>
      <c r="D18" s="2">
        <v>-2.99</v>
      </c>
      <c r="E18" s="2">
        <v>-17.45</v>
      </c>
      <c r="F18" s="2">
        <v>-17.25</v>
      </c>
      <c r="G18" s="2">
        <v>-12.02</v>
      </c>
      <c r="H18" s="2">
        <v>-1.68</v>
      </c>
      <c r="I18" s="2">
        <v>16.59</v>
      </c>
      <c r="J18" s="2">
        <v>-6.78</v>
      </c>
      <c r="K18" s="2">
        <v>-3.91</v>
      </c>
      <c r="L18" s="2">
        <v>-8.15</v>
      </c>
      <c r="M18" s="2">
        <v>-5.76</v>
      </c>
      <c r="N18" s="2">
        <v>13.91</v>
      </c>
      <c r="O18" s="2">
        <v>14.36</v>
      </c>
      <c r="P18" s="2">
        <v>29.95</v>
      </c>
      <c r="Q18" s="2">
        <v>3.09</v>
      </c>
      <c r="R18" s="2">
        <v>4.8</v>
      </c>
      <c r="S18" s="2">
        <v>-0.99</v>
      </c>
      <c r="T18" s="2">
        <v>36.5</v>
      </c>
      <c r="U18" s="2">
        <v>7.67</v>
      </c>
      <c r="V18" s="2">
        <v>23.61</v>
      </c>
      <c r="W18" s="2">
        <v>0</v>
      </c>
      <c r="X18" s="2">
        <v>3.33</v>
      </c>
      <c r="Y18" s="2">
        <v>3.36</v>
      </c>
      <c r="Z18" s="2">
        <v>3.83</v>
      </c>
      <c r="AA18" s="2">
        <v>4.87</v>
      </c>
      <c r="AB18" s="2">
        <v>0.26</v>
      </c>
      <c r="AC18" s="2">
        <v>3.06</v>
      </c>
      <c r="AD18" s="2">
        <v>5.4</v>
      </c>
      <c r="AE18" s="2">
        <v>22.87</v>
      </c>
      <c r="AF18" s="2">
        <v>57.98</v>
      </c>
      <c r="AG18" s="2">
        <v>10.08</v>
      </c>
      <c r="AH18" s="4">
        <f t="shared" si="0"/>
        <v>89.27000000000001</v>
      </c>
    </row>
    <row r="19" spans="1:34" x14ac:dyDescent="0.2">
      <c r="A19" s="3">
        <v>8491</v>
      </c>
      <c r="B19" s="2">
        <v>4.3899999999999997</v>
      </c>
      <c r="C19" s="2">
        <v>9.15</v>
      </c>
      <c r="D19" s="2">
        <v>-1.27</v>
      </c>
      <c r="E19" s="2">
        <v>-5.58</v>
      </c>
      <c r="F19" s="2">
        <v>12.31</v>
      </c>
      <c r="G19" s="2">
        <v>-15.04</v>
      </c>
      <c r="H19" s="2">
        <v>5.5</v>
      </c>
      <c r="I19" s="2">
        <v>15.7</v>
      </c>
      <c r="J19" s="2">
        <v>-1.53</v>
      </c>
      <c r="K19" s="2">
        <v>4.03</v>
      </c>
      <c r="L19" s="2">
        <v>-10.79</v>
      </c>
      <c r="M19" s="2">
        <v>-8.94</v>
      </c>
      <c r="N19" s="2">
        <v>12.23</v>
      </c>
      <c r="O19" s="2">
        <v>24.78</v>
      </c>
      <c r="P19" s="2">
        <v>64.33</v>
      </c>
      <c r="Q19" s="2">
        <v>4.6500000000000004</v>
      </c>
      <c r="R19" s="2">
        <v>1.75</v>
      </c>
      <c r="S19" s="2">
        <v>6.16</v>
      </c>
      <c r="T19" s="2">
        <v>39.76</v>
      </c>
      <c r="U19" s="2">
        <v>6.83</v>
      </c>
      <c r="V19" s="2">
        <v>34.130000000000003</v>
      </c>
      <c r="W19" s="2">
        <v>0</v>
      </c>
      <c r="X19" s="2">
        <v>4.22</v>
      </c>
      <c r="Y19" s="2">
        <v>3.23</v>
      </c>
      <c r="Z19" s="2">
        <v>5.47</v>
      </c>
      <c r="AA19" s="2">
        <v>0.14000000000000001</v>
      </c>
      <c r="AB19" s="2">
        <v>0</v>
      </c>
      <c r="AC19" s="2">
        <v>1.55</v>
      </c>
      <c r="AD19" s="2">
        <v>7.09</v>
      </c>
      <c r="AE19" s="2">
        <v>18.03</v>
      </c>
      <c r="AF19" s="2">
        <v>68.42</v>
      </c>
      <c r="AG19" s="2">
        <v>10.69</v>
      </c>
      <c r="AH19" s="4">
        <f t="shared" si="0"/>
        <v>202.55</v>
      </c>
    </row>
    <row r="20" spans="1:34" x14ac:dyDescent="0.2">
      <c r="A20" s="3">
        <v>8521</v>
      </c>
      <c r="B20" s="2">
        <v>7.44</v>
      </c>
      <c r="C20" s="2">
        <v>11.65</v>
      </c>
      <c r="D20" s="2">
        <v>16.79</v>
      </c>
      <c r="E20" s="2">
        <v>40.1</v>
      </c>
      <c r="F20" s="2">
        <v>58.81</v>
      </c>
      <c r="G20" s="2">
        <v>28.24</v>
      </c>
      <c r="H20" s="2">
        <v>23.2</v>
      </c>
      <c r="I20" s="2">
        <v>31.87</v>
      </c>
      <c r="J20" s="2">
        <v>58.36</v>
      </c>
      <c r="K20" s="2">
        <v>67.760000000000005</v>
      </c>
      <c r="L20" s="2">
        <v>46.52</v>
      </c>
      <c r="M20" s="2">
        <v>40.01</v>
      </c>
      <c r="N20" s="2">
        <v>58.51</v>
      </c>
      <c r="O20" s="2">
        <v>15.96</v>
      </c>
      <c r="P20" s="2">
        <v>97.28</v>
      </c>
      <c r="Q20" s="2">
        <v>9.19</v>
      </c>
      <c r="R20" s="2">
        <v>4.83</v>
      </c>
      <c r="S20" s="2">
        <v>58.92</v>
      </c>
      <c r="T20" s="2">
        <v>34.619999999999997</v>
      </c>
      <c r="U20" s="2">
        <v>11.13</v>
      </c>
      <c r="V20" s="2">
        <v>32.04</v>
      </c>
      <c r="W20" s="2">
        <v>0</v>
      </c>
      <c r="X20" s="2">
        <v>5.14</v>
      </c>
      <c r="Y20" s="2">
        <v>4.43</v>
      </c>
      <c r="Z20" s="2">
        <v>0.27</v>
      </c>
      <c r="AA20" s="2">
        <v>0.35</v>
      </c>
      <c r="AB20" s="2">
        <v>3.79</v>
      </c>
      <c r="AC20" s="2">
        <v>11.83</v>
      </c>
      <c r="AD20" s="2">
        <v>8.25</v>
      </c>
      <c r="AE20" s="2">
        <v>9.23</v>
      </c>
      <c r="AF20" s="2">
        <v>84.67</v>
      </c>
      <c r="AG20" s="2">
        <v>14.64</v>
      </c>
      <c r="AH20" s="4">
        <f t="shared" si="0"/>
        <v>753.2299999999999</v>
      </c>
    </row>
    <row r="21" spans="1:34" x14ac:dyDescent="0.2">
      <c r="A21" s="3">
        <v>8552</v>
      </c>
      <c r="B21" s="2">
        <v>1.61</v>
      </c>
      <c r="C21" s="2">
        <v>1.44</v>
      </c>
      <c r="D21" s="2">
        <v>-4.82</v>
      </c>
      <c r="E21" s="2">
        <v>-35.14</v>
      </c>
      <c r="F21" s="2">
        <v>-26.53</v>
      </c>
      <c r="G21" s="2">
        <v>-25.53</v>
      </c>
      <c r="H21" s="2">
        <v>-1.22</v>
      </c>
      <c r="I21" s="2">
        <v>20.03</v>
      </c>
      <c r="J21" s="2">
        <v>39.24</v>
      </c>
      <c r="K21" s="2">
        <v>56.6</v>
      </c>
      <c r="L21" s="2">
        <v>40.94</v>
      </c>
      <c r="M21" s="2">
        <v>28.82</v>
      </c>
      <c r="N21" s="2">
        <v>56.8</v>
      </c>
      <c r="O21" s="2">
        <v>28.34</v>
      </c>
      <c r="P21" s="2">
        <v>95.77</v>
      </c>
      <c r="Q21" s="2">
        <v>10.47</v>
      </c>
      <c r="R21" s="2">
        <v>11.17</v>
      </c>
      <c r="S21" s="2">
        <v>43.89</v>
      </c>
      <c r="T21" s="2">
        <v>44.57</v>
      </c>
      <c r="U21" s="2">
        <v>8.82</v>
      </c>
      <c r="V21" s="2">
        <v>38.99</v>
      </c>
      <c r="W21" s="2">
        <v>4.88</v>
      </c>
      <c r="X21" s="2">
        <v>8.14</v>
      </c>
      <c r="Y21" s="2">
        <v>6.76</v>
      </c>
      <c r="Z21" s="2">
        <v>0</v>
      </c>
      <c r="AA21" s="2">
        <v>0</v>
      </c>
      <c r="AB21" s="2">
        <v>2.62</v>
      </c>
      <c r="AC21" s="2">
        <v>0</v>
      </c>
      <c r="AD21" s="2">
        <v>9.1300000000000008</v>
      </c>
      <c r="AE21" s="2">
        <v>2.31</v>
      </c>
      <c r="AF21" s="2">
        <v>95.62</v>
      </c>
      <c r="AG21" s="2">
        <v>17.690000000000001</v>
      </c>
      <c r="AH21" s="4">
        <f t="shared" si="0"/>
        <v>434.26000000000005</v>
      </c>
    </row>
    <row r="22" spans="1:34" x14ac:dyDescent="0.2">
      <c r="A22" s="3">
        <v>8582</v>
      </c>
      <c r="B22" s="2">
        <v>-0.42</v>
      </c>
      <c r="C22" s="2">
        <v>3.39</v>
      </c>
      <c r="D22" s="2">
        <v>-3.91</v>
      </c>
      <c r="E22" s="2">
        <v>-40.6</v>
      </c>
      <c r="F22" s="2">
        <v>-30.54</v>
      </c>
      <c r="G22" s="2">
        <v>-29.2</v>
      </c>
      <c r="H22" s="2">
        <v>-4.63</v>
      </c>
      <c r="I22" s="2">
        <v>13.34</v>
      </c>
      <c r="J22" s="2">
        <v>-14.24</v>
      </c>
      <c r="K22" s="2">
        <v>-31.91</v>
      </c>
      <c r="L22" s="2">
        <v>-15.67</v>
      </c>
      <c r="M22" s="2">
        <v>1.59</v>
      </c>
      <c r="N22" s="2">
        <v>5.04</v>
      </c>
      <c r="O22" s="2">
        <v>35.049999999999997</v>
      </c>
      <c r="P22" s="2">
        <v>54.06</v>
      </c>
      <c r="Q22" s="2">
        <v>7.63</v>
      </c>
      <c r="R22" s="2">
        <v>5.95</v>
      </c>
      <c r="S22" s="2">
        <v>23.15</v>
      </c>
      <c r="T22" s="2">
        <v>51.46</v>
      </c>
      <c r="U22" s="2">
        <v>4.6500000000000004</v>
      </c>
      <c r="V22" s="2">
        <v>45.75</v>
      </c>
      <c r="W22" s="2">
        <v>18.62</v>
      </c>
      <c r="X22" s="2">
        <v>13.49</v>
      </c>
      <c r="Y22" s="2">
        <v>12.8</v>
      </c>
      <c r="Z22" s="2">
        <v>0</v>
      </c>
      <c r="AA22" s="2">
        <v>0</v>
      </c>
      <c r="AB22" s="2">
        <v>0</v>
      </c>
      <c r="AC22" s="2">
        <v>0</v>
      </c>
      <c r="AD22" s="2">
        <v>8.42</v>
      </c>
      <c r="AE22" s="2">
        <v>0.5</v>
      </c>
      <c r="AF22" s="2">
        <v>104.64</v>
      </c>
      <c r="AG22" s="2">
        <v>22.83</v>
      </c>
      <c r="AH22" s="4">
        <f t="shared" si="0"/>
        <v>79.940000000000012</v>
      </c>
    </row>
    <row r="23" spans="1:34" x14ac:dyDescent="0.2">
      <c r="A23" s="3">
        <v>8613</v>
      </c>
      <c r="B23" s="2">
        <v>-2.19</v>
      </c>
      <c r="C23" s="2">
        <v>2.84</v>
      </c>
      <c r="D23" s="2">
        <v>-3.85</v>
      </c>
      <c r="E23" s="2">
        <v>-36.590000000000003</v>
      </c>
      <c r="F23" s="2">
        <v>-12.9</v>
      </c>
      <c r="G23" s="2">
        <v>-28.06</v>
      </c>
      <c r="H23" s="2">
        <v>-3.42</v>
      </c>
      <c r="I23" s="2">
        <v>8.5399999999999991</v>
      </c>
      <c r="J23" s="2">
        <v>-27.3</v>
      </c>
      <c r="K23" s="2">
        <v>-38.75</v>
      </c>
      <c r="L23" s="2">
        <v>-27.53</v>
      </c>
      <c r="M23" s="2">
        <v>-9.77</v>
      </c>
      <c r="N23" s="2">
        <v>0.85</v>
      </c>
      <c r="O23" s="2">
        <v>40.799999999999997</v>
      </c>
      <c r="P23" s="2">
        <v>52.8</v>
      </c>
      <c r="Q23" s="2">
        <v>4.0199999999999996</v>
      </c>
      <c r="R23" s="2">
        <v>4.59</v>
      </c>
      <c r="S23" s="2">
        <v>16.96</v>
      </c>
      <c r="T23" s="2">
        <v>49.82</v>
      </c>
      <c r="U23" s="2">
        <v>8.18</v>
      </c>
      <c r="V23" s="2">
        <v>45.83</v>
      </c>
      <c r="W23" s="2">
        <v>30.39</v>
      </c>
      <c r="X23" s="2">
        <v>18.739999999999998</v>
      </c>
      <c r="Y23" s="2">
        <v>18.420000000000002</v>
      </c>
      <c r="Z23" s="2">
        <v>0.27</v>
      </c>
      <c r="AA23" s="2">
        <v>0.14000000000000001</v>
      </c>
      <c r="AB23" s="2">
        <v>0.65</v>
      </c>
      <c r="AC23" s="2">
        <v>0</v>
      </c>
      <c r="AD23" s="2">
        <v>8.0299999999999994</v>
      </c>
      <c r="AE23" s="2">
        <v>0.22</v>
      </c>
      <c r="AF23" s="2">
        <v>113.96</v>
      </c>
      <c r="AG23" s="2">
        <v>24.8</v>
      </c>
      <c r="AH23" s="4">
        <f t="shared" si="0"/>
        <v>44.869999999999955</v>
      </c>
    </row>
    <row r="24" spans="1:34" x14ac:dyDescent="0.2">
      <c r="A24" s="3">
        <v>8644</v>
      </c>
      <c r="B24" s="2">
        <v>-2.86</v>
      </c>
      <c r="C24" s="2">
        <v>2.91</v>
      </c>
      <c r="D24" s="2">
        <v>-1.19</v>
      </c>
      <c r="E24" s="2">
        <v>-22.94</v>
      </c>
      <c r="F24" s="2">
        <v>-5.41</v>
      </c>
      <c r="G24" s="2">
        <v>-18.41</v>
      </c>
      <c r="H24" s="2">
        <v>1.44</v>
      </c>
      <c r="I24" s="2">
        <v>7.47</v>
      </c>
      <c r="J24" s="2">
        <v>-25.58</v>
      </c>
      <c r="K24" s="2">
        <v>-35.93</v>
      </c>
      <c r="L24" s="2">
        <v>-31.47</v>
      </c>
      <c r="M24" s="2">
        <v>-23.46</v>
      </c>
      <c r="N24" s="2">
        <v>-20.329999999999998</v>
      </c>
      <c r="O24" s="2">
        <v>32.57</v>
      </c>
      <c r="P24" s="2">
        <v>27.51</v>
      </c>
      <c r="Q24" s="2">
        <v>0.69</v>
      </c>
      <c r="R24" s="2">
        <v>0.67</v>
      </c>
      <c r="S24" s="2">
        <v>8.74</v>
      </c>
      <c r="T24" s="2">
        <v>47.54</v>
      </c>
      <c r="U24" s="2">
        <v>6.55</v>
      </c>
      <c r="V24" s="2">
        <v>42.93</v>
      </c>
      <c r="W24" s="2">
        <v>31.47</v>
      </c>
      <c r="X24" s="2">
        <v>21.06</v>
      </c>
      <c r="Y24" s="2">
        <v>20.87</v>
      </c>
      <c r="Z24" s="2">
        <v>0</v>
      </c>
      <c r="AA24" s="2">
        <v>3.01</v>
      </c>
      <c r="AB24" s="2">
        <v>1.44</v>
      </c>
      <c r="AC24" s="2">
        <v>0</v>
      </c>
      <c r="AD24" s="2">
        <v>7.41</v>
      </c>
      <c r="AE24" s="2">
        <v>1.66</v>
      </c>
      <c r="AF24" s="2">
        <v>115.89</v>
      </c>
      <c r="AG24" s="2">
        <v>23.65</v>
      </c>
      <c r="AH24" s="4">
        <f t="shared" si="0"/>
        <v>-8.5600000000000023</v>
      </c>
    </row>
    <row r="25" spans="1:34" x14ac:dyDescent="0.2">
      <c r="A25" s="3">
        <v>8674</v>
      </c>
      <c r="B25" s="2">
        <v>-1.46</v>
      </c>
      <c r="C25" s="2">
        <v>4.71</v>
      </c>
      <c r="D25" s="2">
        <v>3.33</v>
      </c>
      <c r="E25" s="2">
        <v>-2.0499999999999998</v>
      </c>
      <c r="F25" s="2">
        <v>0.72</v>
      </c>
      <c r="G25" s="2">
        <v>-1.9</v>
      </c>
      <c r="H25" s="2">
        <v>7.39</v>
      </c>
      <c r="I25" s="2">
        <v>12.1</v>
      </c>
      <c r="J25" s="2">
        <v>-2.72</v>
      </c>
      <c r="K25" s="2">
        <v>-15.63</v>
      </c>
      <c r="L25" s="2">
        <v>-10.54</v>
      </c>
      <c r="M25" s="2">
        <v>-8.49</v>
      </c>
      <c r="N25" s="2">
        <v>-3.59</v>
      </c>
      <c r="O25" s="2">
        <v>10.9</v>
      </c>
      <c r="P25" s="2">
        <v>14.64</v>
      </c>
      <c r="Q25" s="2">
        <v>2.87</v>
      </c>
      <c r="R25" s="2">
        <v>4.13</v>
      </c>
      <c r="S25" s="2">
        <v>0.94</v>
      </c>
      <c r="T25" s="2">
        <v>32.64</v>
      </c>
      <c r="U25" s="2">
        <v>7.22</v>
      </c>
      <c r="V25" s="2">
        <v>19.95</v>
      </c>
      <c r="W25" s="2">
        <v>26.1</v>
      </c>
      <c r="X25" s="2">
        <v>20</v>
      </c>
      <c r="Y25" s="2">
        <v>19.61</v>
      </c>
      <c r="Z25" s="2">
        <v>0</v>
      </c>
      <c r="AA25" s="2">
        <v>0.43</v>
      </c>
      <c r="AB25" s="2">
        <v>2.62</v>
      </c>
      <c r="AC25" s="2">
        <v>4.5599999999999996</v>
      </c>
      <c r="AD25" s="2">
        <v>6.84</v>
      </c>
      <c r="AE25" s="2">
        <v>2.14</v>
      </c>
      <c r="AF25" s="2">
        <v>107.95</v>
      </c>
      <c r="AG25" s="2">
        <v>20.170000000000002</v>
      </c>
      <c r="AH25" s="4">
        <f t="shared" si="0"/>
        <v>75.16</v>
      </c>
    </row>
    <row r="26" spans="1:34" x14ac:dyDescent="0.2">
      <c r="A26" s="3">
        <v>8705</v>
      </c>
      <c r="B26" s="2">
        <v>-0.73</v>
      </c>
      <c r="C26" s="2">
        <v>4</v>
      </c>
      <c r="D26" s="2">
        <v>-0.12</v>
      </c>
      <c r="E26" s="2">
        <v>2.5299999999999998</v>
      </c>
      <c r="F26" s="2">
        <v>7.64</v>
      </c>
      <c r="G26" s="2">
        <v>8.8699999999999992</v>
      </c>
      <c r="H26" s="2">
        <v>8.4600000000000009</v>
      </c>
      <c r="I26" s="2">
        <v>12.48</v>
      </c>
      <c r="J26" s="2">
        <v>5.86</v>
      </c>
      <c r="K26" s="2">
        <v>-4.3899999999999997</v>
      </c>
      <c r="L26" s="2">
        <v>12.22</v>
      </c>
      <c r="M26" s="2">
        <v>5.17</v>
      </c>
      <c r="N26" s="2">
        <v>2.19</v>
      </c>
      <c r="O26" s="2">
        <v>15.3</v>
      </c>
      <c r="P26" s="2">
        <v>19.41</v>
      </c>
      <c r="Q26" s="2">
        <v>1.71</v>
      </c>
      <c r="R26" s="2">
        <v>1.95</v>
      </c>
      <c r="S26" s="2">
        <v>-0.38</v>
      </c>
      <c r="T26" s="2">
        <v>33.58</v>
      </c>
      <c r="U26" s="2">
        <v>5.66</v>
      </c>
      <c r="V26" s="2">
        <v>21.85</v>
      </c>
      <c r="W26" s="2">
        <v>22.19</v>
      </c>
      <c r="X26" s="2">
        <v>18.54</v>
      </c>
      <c r="Y26" s="2">
        <v>18.13</v>
      </c>
      <c r="Z26" s="2">
        <v>0</v>
      </c>
      <c r="AA26" s="2">
        <v>0</v>
      </c>
      <c r="AB26" s="2">
        <v>0.04</v>
      </c>
      <c r="AC26" s="2">
        <v>2.71</v>
      </c>
      <c r="AD26" s="2">
        <v>3.69</v>
      </c>
      <c r="AE26" s="2">
        <v>7.86</v>
      </c>
      <c r="AF26" s="2">
        <v>97.91</v>
      </c>
      <c r="AG26" s="2">
        <v>16.420000000000002</v>
      </c>
      <c r="AH26" s="4">
        <f t="shared" si="0"/>
        <v>163.26</v>
      </c>
    </row>
    <row r="27" spans="1:34" x14ac:dyDescent="0.2">
      <c r="A27" s="3">
        <v>8735</v>
      </c>
      <c r="B27" s="2">
        <v>-0.86</v>
      </c>
      <c r="C27" s="2">
        <v>2.99</v>
      </c>
      <c r="D27" s="2">
        <v>-2.0299999999999998</v>
      </c>
      <c r="E27" s="2">
        <v>3.17</v>
      </c>
      <c r="F27" s="2">
        <v>2.2000000000000002</v>
      </c>
      <c r="G27" s="2">
        <v>4.9000000000000004</v>
      </c>
      <c r="H27" s="2">
        <v>4.38</v>
      </c>
      <c r="I27" s="2">
        <v>8.8800000000000008</v>
      </c>
      <c r="J27" s="2">
        <v>3.6</v>
      </c>
      <c r="K27" s="2">
        <v>-7.26</v>
      </c>
      <c r="L27" s="2">
        <v>-13.06</v>
      </c>
      <c r="M27" s="2">
        <v>-11.03</v>
      </c>
      <c r="N27" s="2">
        <v>-3.61</v>
      </c>
      <c r="O27" s="2">
        <v>9.42</v>
      </c>
      <c r="P27" s="2">
        <v>14.09</v>
      </c>
      <c r="Q27" s="2">
        <v>1.94</v>
      </c>
      <c r="R27" s="2">
        <v>1.64</v>
      </c>
      <c r="S27" s="2">
        <v>-2.41</v>
      </c>
      <c r="T27" s="2">
        <v>30.76</v>
      </c>
      <c r="U27" s="2">
        <v>6.25</v>
      </c>
      <c r="V27" s="2">
        <v>19.579999999999998</v>
      </c>
      <c r="W27" s="2">
        <v>15.43</v>
      </c>
      <c r="X27" s="2">
        <v>12.11</v>
      </c>
      <c r="Y27" s="2">
        <v>10.7</v>
      </c>
      <c r="Z27" s="2">
        <v>8.8800000000000008</v>
      </c>
      <c r="AA27" s="2">
        <v>11.31</v>
      </c>
      <c r="AB27" s="2">
        <v>1.21</v>
      </c>
      <c r="AC27" s="2">
        <v>4.01</v>
      </c>
      <c r="AD27" s="2">
        <v>2.7</v>
      </c>
      <c r="AE27" s="2">
        <v>6.15</v>
      </c>
      <c r="AF27" s="2">
        <v>64.239999999999995</v>
      </c>
      <c r="AG27" s="2">
        <v>12.92</v>
      </c>
      <c r="AH27" s="4">
        <f t="shared" si="0"/>
        <v>73.540000000000006</v>
      </c>
    </row>
    <row r="28" spans="1:34" x14ac:dyDescent="0.2">
      <c r="A28" s="3">
        <v>8766</v>
      </c>
      <c r="B28" s="2">
        <v>-0.6</v>
      </c>
      <c r="C28" s="2">
        <v>4.6399999999999997</v>
      </c>
      <c r="D28" s="2">
        <v>0.6</v>
      </c>
      <c r="E28" s="2">
        <v>8.27</v>
      </c>
      <c r="F28" s="2">
        <v>2.66</v>
      </c>
      <c r="G28" s="2">
        <v>7.33</v>
      </c>
      <c r="H28" s="2">
        <v>3.76</v>
      </c>
      <c r="I28" s="2">
        <v>9.3800000000000008</v>
      </c>
      <c r="J28" s="2">
        <v>5.4</v>
      </c>
      <c r="K28" s="2">
        <v>-3.18</v>
      </c>
      <c r="L28" s="2">
        <v>0.18</v>
      </c>
      <c r="M28" s="2">
        <v>-5.04</v>
      </c>
      <c r="N28" s="2">
        <v>-1.68</v>
      </c>
      <c r="O28" s="2">
        <v>8.36</v>
      </c>
      <c r="P28" s="2">
        <v>14.32</v>
      </c>
      <c r="Q28" s="2">
        <v>1.38</v>
      </c>
      <c r="R28" s="2">
        <v>1.42</v>
      </c>
      <c r="S28" s="2">
        <v>-3.09</v>
      </c>
      <c r="T28" s="2">
        <v>29.19</v>
      </c>
      <c r="U28" s="2">
        <v>6.36</v>
      </c>
      <c r="V28" s="2">
        <v>18.63</v>
      </c>
      <c r="W28" s="2">
        <v>11.73</v>
      </c>
      <c r="X28" s="2">
        <v>9.9</v>
      </c>
      <c r="Y28" s="2">
        <v>9.7100000000000009</v>
      </c>
      <c r="Z28" s="2">
        <v>16.95</v>
      </c>
      <c r="AA28" s="2">
        <v>2.72</v>
      </c>
      <c r="AB28" s="2">
        <v>0.04</v>
      </c>
      <c r="AC28" s="2">
        <v>7.62</v>
      </c>
      <c r="AD28" s="2">
        <v>2.69</v>
      </c>
      <c r="AE28" s="2">
        <v>15.55</v>
      </c>
      <c r="AF28" s="2">
        <v>59.02</v>
      </c>
      <c r="AG28" s="2">
        <v>11.2</v>
      </c>
      <c r="AH28" s="4">
        <f t="shared" si="0"/>
        <v>108.28999999999999</v>
      </c>
    </row>
    <row r="29" spans="1:34" x14ac:dyDescent="0.2">
      <c r="A29" s="3">
        <v>8797</v>
      </c>
      <c r="B29" s="2">
        <v>-0.36</v>
      </c>
      <c r="C29" s="2">
        <v>6.48</v>
      </c>
      <c r="D29" s="2">
        <v>4.3099999999999996</v>
      </c>
      <c r="E29" s="2">
        <v>18.18</v>
      </c>
      <c r="F29" s="2">
        <v>8.3000000000000007</v>
      </c>
      <c r="G29" s="2">
        <v>17.62</v>
      </c>
      <c r="H29" s="2">
        <v>5.69</v>
      </c>
      <c r="I29" s="2">
        <v>10.23</v>
      </c>
      <c r="J29" s="2">
        <v>8.7899999999999991</v>
      </c>
      <c r="K29" s="2">
        <v>4.22</v>
      </c>
      <c r="L29" s="2">
        <v>1.78</v>
      </c>
      <c r="M29" s="2">
        <v>-1.3</v>
      </c>
      <c r="N29" s="2">
        <v>-0.61</v>
      </c>
      <c r="O29" s="2">
        <v>10.87</v>
      </c>
      <c r="P29" s="2">
        <v>24.12</v>
      </c>
      <c r="Q29" s="2">
        <v>0.26</v>
      </c>
      <c r="R29" s="2">
        <v>0.34</v>
      </c>
      <c r="S29" s="2">
        <v>-3.23</v>
      </c>
      <c r="T29" s="2">
        <v>31.9</v>
      </c>
      <c r="U29" s="2">
        <v>4.5599999999999996</v>
      </c>
      <c r="V29" s="2">
        <v>23.7</v>
      </c>
      <c r="W29" s="2">
        <v>4.26</v>
      </c>
      <c r="X29" s="2">
        <v>5.65</v>
      </c>
      <c r="Y29" s="2">
        <v>4.26</v>
      </c>
      <c r="Z29" s="2">
        <v>0</v>
      </c>
      <c r="AA29" s="2">
        <v>0</v>
      </c>
      <c r="AB29" s="2">
        <v>0</v>
      </c>
      <c r="AC29" s="2">
        <v>0.5</v>
      </c>
      <c r="AD29" s="2">
        <v>2.69</v>
      </c>
      <c r="AE29" s="2">
        <v>16.53</v>
      </c>
      <c r="AF29" s="2">
        <v>68.83</v>
      </c>
      <c r="AG29" s="2">
        <v>9.8800000000000008</v>
      </c>
      <c r="AH29" s="4">
        <f t="shared" si="0"/>
        <v>175.85000000000002</v>
      </c>
    </row>
    <row r="30" spans="1:34" x14ac:dyDescent="0.2">
      <c r="A30" s="3">
        <v>8826</v>
      </c>
      <c r="B30" s="2">
        <v>0.82</v>
      </c>
      <c r="C30" s="2">
        <v>11.1</v>
      </c>
      <c r="D30" s="2">
        <v>7.22</v>
      </c>
      <c r="E30" s="2">
        <v>37.42</v>
      </c>
      <c r="F30" s="2">
        <v>31.34</v>
      </c>
      <c r="G30" s="2">
        <v>39.619999999999997</v>
      </c>
      <c r="H30" s="2">
        <v>10.8</v>
      </c>
      <c r="I30" s="2">
        <v>12.25</v>
      </c>
      <c r="J30" s="2">
        <v>12.25</v>
      </c>
      <c r="K30" s="2">
        <v>-0.36</v>
      </c>
      <c r="L30" s="2">
        <v>-4.24</v>
      </c>
      <c r="M30" s="2">
        <v>-3.33</v>
      </c>
      <c r="N30" s="2">
        <v>-3.27</v>
      </c>
      <c r="O30" s="2">
        <v>7.45</v>
      </c>
      <c r="P30" s="2">
        <v>24.69</v>
      </c>
      <c r="Q30" s="2">
        <v>1.01</v>
      </c>
      <c r="R30" s="2">
        <v>0.89</v>
      </c>
      <c r="S30" s="2">
        <v>-1.18</v>
      </c>
      <c r="T30" s="2">
        <v>29.94</v>
      </c>
      <c r="U30" s="2">
        <v>5.32</v>
      </c>
      <c r="V30" s="2">
        <v>18.28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0.13</v>
      </c>
      <c r="AC30" s="2">
        <v>6.52</v>
      </c>
      <c r="AD30" s="2">
        <v>3.09</v>
      </c>
      <c r="AE30" s="2">
        <v>11.53</v>
      </c>
      <c r="AF30" s="2">
        <v>57.37</v>
      </c>
      <c r="AG30" s="2">
        <v>10.08</v>
      </c>
      <c r="AH30" s="4">
        <f t="shared" si="0"/>
        <v>238.01999999999992</v>
      </c>
    </row>
    <row r="31" spans="1:34" x14ac:dyDescent="0.2">
      <c r="A31" s="3">
        <v>8857</v>
      </c>
      <c r="B31" s="2">
        <v>-0.97</v>
      </c>
      <c r="C31" s="2">
        <v>0.92</v>
      </c>
      <c r="D31" s="2">
        <v>-5.73</v>
      </c>
      <c r="E31" s="2">
        <v>-14.9</v>
      </c>
      <c r="F31" s="2">
        <v>-18.93</v>
      </c>
      <c r="G31" s="2">
        <v>-1.83</v>
      </c>
      <c r="H31" s="2">
        <v>-1.42</v>
      </c>
      <c r="I31" s="2">
        <v>7.61</v>
      </c>
      <c r="J31" s="2">
        <v>6.55</v>
      </c>
      <c r="K31" s="2">
        <v>18.899999999999999</v>
      </c>
      <c r="L31" s="2">
        <v>-3.13</v>
      </c>
      <c r="M31" s="2">
        <v>-1.56</v>
      </c>
      <c r="N31" s="2">
        <v>5.51</v>
      </c>
      <c r="O31" s="2">
        <v>13.27</v>
      </c>
      <c r="P31" s="2">
        <v>48.55</v>
      </c>
      <c r="Q31" s="2">
        <v>-0.78</v>
      </c>
      <c r="R31" s="2">
        <v>-1.29</v>
      </c>
      <c r="S31" s="2">
        <v>17.920000000000002</v>
      </c>
      <c r="T31" s="2">
        <v>37</v>
      </c>
      <c r="U31" s="2">
        <v>3.56</v>
      </c>
      <c r="V31" s="2">
        <v>23.23</v>
      </c>
      <c r="W31" s="2">
        <v>0</v>
      </c>
      <c r="X31" s="2">
        <v>7.0000000000000007E-2</v>
      </c>
      <c r="Y31" s="2">
        <v>0</v>
      </c>
      <c r="Z31" s="2">
        <v>0.55000000000000004</v>
      </c>
      <c r="AA31" s="2">
        <v>0.43</v>
      </c>
      <c r="AB31" s="2">
        <v>2.81</v>
      </c>
      <c r="AC31" s="2">
        <v>13.69</v>
      </c>
      <c r="AD31" s="2">
        <v>4.68</v>
      </c>
      <c r="AE31" s="2">
        <v>8.6300000000000008</v>
      </c>
      <c r="AF31" s="2">
        <v>67.7</v>
      </c>
      <c r="AG31" s="2">
        <v>10.69</v>
      </c>
      <c r="AH31" s="4">
        <f t="shared" si="0"/>
        <v>132.47999999999999</v>
      </c>
    </row>
    <row r="32" spans="1:34" x14ac:dyDescent="0.2">
      <c r="A32" s="3">
        <v>8887</v>
      </c>
      <c r="B32" s="2">
        <v>-1.77</v>
      </c>
      <c r="C32" s="2">
        <v>-0.97</v>
      </c>
      <c r="D32" s="2">
        <v>-2.56</v>
      </c>
      <c r="E32" s="2">
        <v>-20.88</v>
      </c>
      <c r="F32" s="2">
        <v>2.08</v>
      </c>
      <c r="G32" s="2">
        <v>-3.87</v>
      </c>
      <c r="H32" s="2">
        <v>-1.77</v>
      </c>
      <c r="I32" s="2">
        <v>9.5</v>
      </c>
      <c r="J32" s="2">
        <v>6.82</v>
      </c>
      <c r="K32" s="2">
        <v>10.1</v>
      </c>
      <c r="L32" s="2">
        <v>1.67</v>
      </c>
      <c r="M32" s="2">
        <v>3.42</v>
      </c>
      <c r="N32" s="2">
        <v>21.1</v>
      </c>
      <c r="O32" s="2">
        <v>10.17</v>
      </c>
      <c r="P32" s="2">
        <v>77.94</v>
      </c>
      <c r="Q32" s="2">
        <v>2.46</v>
      </c>
      <c r="R32" s="2">
        <v>2.31</v>
      </c>
      <c r="S32" s="2">
        <v>7.57</v>
      </c>
      <c r="T32" s="2">
        <v>30.32</v>
      </c>
      <c r="U32" s="2">
        <v>6.32</v>
      </c>
      <c r="V32" s="2">
        <v>25.38</v>
      </c>
      <c r="W32" s="2">
        <v>0</v>
      </c>
      <c r="X32" s="2">
        <v>0.02</v>
      </c>
      <c r="Y32" s="2">
        <v>0</v>
      </c>
      <c r="Z32" s="2">
        <v>7.52</v>
      </c>
      <c r="AA32" s="2">
        <v>3.87</v>
      </c>
      <c r="AB32" s="2">
        <v>0.13</v>
      </c>
      <c r="AC32" s="2">
        <v>11.38</v>
      </c>
      <c r="AD32" s="2">
        <v>5.2</v>
      </c>
      <c r="AE32" s="2">
        <v>4.62</v>
      </c>
      <c r="AF32" s="2">
        <v>83.78</v>
      </c>
      <c r="AG32" s="2">
        <v>14.64</v>
      </c>
      <c r="AH32" s="4">
        <f t="shared" si="0"/>
        <v>185.33999999999997</v>
      </c>
    </row>
    <row r="33" spans="1:34" x14ac:dyDescent="0.2">
      <c r="A33" s="3">
        <v>8918</v>
      </c>
      <c r="B33" s="2">
        <v>-2.84</v>
      </c>
      <c r="C33" s="2">
        <v>1.59</v>
      </c>
      <c r="D33" s="2">
        <v>-4.49</v>
      </c>
      <c r="E33" s="2">
        <v>-21.44</v>
      </c>
      <c r="F33" s="2">
        <v>-15.57</v>
      </c>
      <c r="G33" s="2">
        <v>-6.78</v>
      </c>
      <c r="H33" s="2">
        <v>-5.36</v>
      </c>
      <c r="I33" s="2">
        <v>9.42</v>
      </c>
      <c r="J33" s="2">
        <v>6.86</v>
      </c>
      <c r="K33" s="2">
        <v>20.94</v>
      </c>
      <c r="L33" s="2">
        <v>3.2</v>
      </c>
      <c r="M33" s="2">
        <v>9.4</v>
      </c>
      <c r="N33" s="2">
        <v>31.96</v>
      </c>
      <c r="O33" s="2">
        <v>20.98</v>
      </c>
      <c r="P33" s="2">
        <v>66.06</v>
      </c>
      <c r="Q33" s="2">
        <v>1.66</v>
      </c>
      <c r="R33" s="2">
        <v>2.5099999999999998</v>
      </c>
      <c r="S33" s="2">
        <v>8.59</v>
      </c>
      <c r="T33" s="2">
        <v>34.83</v>
      </c>
      <c r="U33" s="2">
        <v>5.32</v>
      </c>
      <c r="V33" s="2">
        <v>38.44</v>
      </c>
      <c r="W33" s="2">
        <v>4.88</v>
      </c>
      <c r="X33" s="2">
        <v>2.34</v>
      </c>
      <c r="Y33" s="2">
        <v>0.92</v>
      </c>
      <c r="Z33" s="2">
        <v>5.74</v>
      </c>
      <c r="AA33" s="2">
        <v>7.31</v>
      </c>
      <c r="AB33" s="2">
        <v>0</v>
      </c>
      <c r="AC33" s="2">
        <v>1.65</v>
      </c>
      <c r="AD33" s="2">
        <v>5.33</v>
      </c>
      <c r="AE33" s="2">
        <v>9.69</v>
      </c>
      <c r="AF33" s="2">
        <v>94.61</v>
      </c>
      <c r="AG33" s="2">
        <v>17.690000000000001</v>
      </c>
      <c r="AH33" s="4">
        <f t="shared" si="0"/>
        <v>205.28</v>
      </c>
    </row>
    <row r="34" spans="1:34" x14ac:dyDescent="0.2">
      <c r="A34" s="3">
        <v>8948</v>
      </c>
      <c r="B34" s="2">
        <v>-3.42</v>
      </c>
      <c r="C34" s="2">
        <v>3.14</v>
      </c>
      <c r="D34" s="2">
        <v>-3.35</v>
      </c>
      <c r="E34" s="2">
        <v>-24.31</v>
      </c>
      <c r="F34" s="2">
        <v>-9.74</v>
      </c>
      <c r="G34" s="2">
        <v>-0.67</v>
      </c>
      <c r="H34" s="2">
        <v>-0.28000000000000003</v>
      </c>
      <c r="I34" s="2">
        <v>5.05</v>
      </c>
      <c r="J34" s="2">
        <v>-7.77</v>
      </c>
      <c r="K34" s="2">
        <v>-5.78</v>
      </c>
      <c r="L34" s="2">
        <v>-0.26</v>
      </c>
      <c r="M34" s="2">
        <v>-10.63</v>
      </c>
      <c r="N34" s="2">
        <v>-13.31</v>
      </c>
      <c r="O34" s="2">
        <v>31.2</v>
      </c>
      <c r="P34" s="2">
        <v>39.76</v>
      </c>
      <c r="Q34" s="2">
        <v>-1.97</v>
      </c>
      <c r="R34" s="2">
        <v>-3.21</v>
      </c>
      <c r="S34" s="2">
        <v>6.29</v>
      </c>
      <c r="T34" s="2">
        <v>48.72</v>
      </c>
      <c r="U34" s="2">
        <v>2.23</v>
      </c>
      <c r="V34" s="2">
        <v>44.88</v>
      </c>
      <c r="W34" s="2">
        <v>18.62</v>
      </c>
      <c r="X34" s="2">
        <v>7.16</v>
      </c>
      <c r="Y34" s="2">
        <v>6.4</v>
      </c>
      <c r="Z34" s="2">
        <v>0</v>
      </c>
      <c r="AA34" s="2">
        <v>0</v>
      </c>
      <c r="AB34" s="2">
        <v>0</v>
      </c>
      <c r="AC34" s="2">
        <v>0</v>
      </c>
      <c r="AD34" s="2">
        <v>5.0599999999999996</v>
      </c>
      <c r="AE34" s="2">
        <v>0.8</v>
      </c>
      <c r="AF34" s="2">
        <v>103.54</v>
      </c>
      <c r="AG34" s="2">
        <v>22.83</v>
      </c>
      <c r="AH34" s="4">
        <f t="shared" si="0"/>
        <v>96.57</v>
      </c>
    </row>
    <row r="35" spans="1:34" x14ac:dyDescent="0.2">
      <c r="A35" s="3">
        <v>8979</v>
      </c>
      <c r="B35" s="2">
        <v>-3.87</v>
      </c>
      <c r="C35" s="2">
        <v>2.56</v>
      </c>
      <c r="D35" s="2">
        <v>-2.6</v>
      </c>
      <c r="E35" s="2">
        <v>-18.29</v>
      </c>
      <c r="F35" s="2">
        <v>3.95</v>
      </c>
      <c r="G35" s="2">
        <v>4.03</v>
      </c>
      <c r="H35" s="2">
        <v>5.26</v>
      </c>
      <c r="I35" s="2">
        <v>6.29</v>
      </c>
      <c r="J35" s="2">
        <v>-7.26</v>
      </c>
      <c r="K35" s="2">
        <v>13.72</v>
      </c>
      <c r="L35" s="2">
        <v>3.48</v>
      </c>
      <c r="M35" s="2">
        <v>-8.77</v>
      </c>
      <c r="N35" s="2">
        <v>-0.67</v>
      </c>
      <c r="O35" s="2">
        <v>33.090000000000003</v>
      </c>
      <c r="P35" s="2">
        <v>53.35</v>
      </c>
      <c r="Q35" s="2">
        <v>-2.39</v>
      </c>
      <c r="R35" s="2">
        <v>-4</v>
      </c>
      <c r="S35" s="2">
        <v>5.24</v>
      </c>
      <c r="T35" s="2">
        <v>46.94</v>
      </c>
      <c r="U35" s="2">
        <v>4.3600000000000003</v>
      </c>
      <c r="V35" s="2">
        <v>47.54</v>
      </c>
      <c r="W35" s="2">
        <v>30.39</v>
      </c>
      <c r="X35" s="2">
        <v>11.83</v>
      </c>
      <c r="Y35" s="2">
        <v>11.46</v>
      </c>
      <c r="Z35" s="2">
        <v>0</v>
      </c>
      <c r="AA35" s="2">
        <v>0</v>
      </c>
      <c r="AB35" s="2">
        <v>0</v>
      </c>
      <c r="AC35" s="2">
        <v>0</v>
      </c>
      <c r="AD35" s="2">
        <v>5.0999999999999996</v>
      </c>
      <c r="AE35" s="2">
        <v>0.31</v>
      </c>
      <c r="AF35" s="2">
        <v>112.76</v>
      </c>
      <c r="AG35" s="2">
        <v>24.8</v>
      </c>
      <c r="AH35" s="4">
        <f t="shared" si="0"/>
        <v>181.96</v>
      </c>
    </row>
    <row r="36" spans="1:34" x14ac:dyDescent="0.2">
      <c r="A36" s="3">
        <v>9010</v>
      </c>
      <c r="B36" s="2">
        <v>-4.26</v>
      </c>
      <c r="C36" s="2">
        <v>2.83</v>
      </c>
      <c r="D36" s="2">
        <v>-2.15</v>
      </c>
      <c r="E36" s="2">
        <v>-14.88</v>
      </c>
      <c r="F36" s="2">
        <v>6.9</v>
      </c>
      <c r="G36" s="2">
        <v>7.94</v>
      </c>
      <c r="H36" s="2">
        <v>7.24</v>
      </c>
      <c r="I36" s="2">
        <v>7</v>
      </c>
      <c r="J36" s="2">
        <v>-2.0299999999999998</v>
      </c>
      <c r="K36" s="2">
        <v>18.36</v>
      </c>
      <c r="L36" s="2">
        <v>5.25</v>
      </c>
      <c r="M36" s="2">
        <v>-5.48</v>
      </c>
      <c r="N36" s="2">
        <v>4.58</v>
      </c>
      <c r="O36" s="2">
        <v>29</v>
      </c>
      <c r="P36" s="2">
        <v>46.52</v>
      </c>
      <c r="Q36" s="2">
        <v>-1.49</v>
      </c>
      <c r="R36" s="2">
        <v>-2.9</v>
      </c>
      <c r="S36" s="2">
        <v>6.31</v>
      </c>
      <c r="T36" s="2">
        <v>45.34</v>
      </c>
      <c r="U36" s="2">
        <v>4.17</v>
      </c>
      <c r="V36" s="2">
        <v>41.61</v>
      </c>
      <c r="W36" s="2">
        <v>31.47</v>
      </c>
      <c r="X36" s="2">
        <v>14.04</v>
      </c>
      <c r="Y36" s="2">
        <v>13.78</v>
      </c>
      <c r="Z36" s="2">
        <v>0</v>
      </c>
      <c r="AA36" s="2">
        <v>0</v>
      </c>
      <c r="AB36" s="2">
        <v>0</v>
      </c>
      <c r="AC36" s="2">
        <v>0</v>
      </c>
      <c r="AD36" s="2">
        <v>5.08</v>
      </c>
      <c r="AE36" s="2">
        <v>0.95</v>
      </c>
      <c r="AF36" s="2">
        <v>114.68</v>
      </c>
      <c r="AG36" s="2">
        <v>23.65</v>
      </c>
      <c r="AH36" s="4">
        <f t="shared" si="0"/>
        <v>199.86</v>
      </c>
    </row>
    <row r="37" spans="1:34" x14ac:dyDescent="0.2">
      <c r="A37" s="3">
        <v>9040</v>
      </c>
      <c r="B37" s="2">
        <v>-4.8</v>
      </c>
      <c r="C37" s="2">
        <v>3.31</v>
      </c>
      <c r="D37" s="2">
        <v>-2.4</v>
      </c>
      <c r="E37" s="2">
        <v>-6.99</v>
      </c>
      <c r="F37" s="2">
        <v>9.7899999999999991</v>
      </c>
      <c r="G37" s="2">
        <v>12.31</v>
      </c>
      <c r="H37" s="2">
        <v>10.46</v>
      </c>
      <c r="I37" s="2">
        <v>9.82</v>
      </c>
      <c r="J37" s="2">
        <v>9.61</v>
      </c>
      <c r="K37" s="2">
        <v>4.12</v>
      </c>
      <c r="L37" s="2">
        <v>3.94</v>
      </c>
      <c r="M37" s="2">
        <v>-3.51</v>
      </c>
      <c r="N37" s="2">
        <v>8.01</v>
      </c>
      <c r="O37" s="2">
        <v>3.06</v>
      </c>
      <c r="P37" s="2">
        <v>22.09</v>
      </c>
      <c r="Q37" s="2">
        <v>1.51</v>
      </c>
      <c r="R37" s="2">
        <v>1.62</v>
      </c>
      <c r="S37" s="2">
        <v>-3.32</v>
      </c>
      <c r="T37" s="2">
        <v>29.43</v>
      </c>
      <c r="U37" s="2">
        <v>4.01</v>
      </c>
      <c r="V37" s="2">
        <v>19.82</v>
      </c>
      <c r="W37" s="2">
        <v>26.1</v>
      </c>
      <c r="X37" s="2">
        <v>13.47</v>
      </c>
      <c r="Y37" s="2">
        <v>13.01</v>
      </c>
      <c r="Z37" s="2">
        <v>0</v>
      </c>
      <c r="AA37" s="2">
        <v>0.72</v>
      </c>
      <c r="AB37" s="2">
        <v>0</v>
      </c>
      <c r="AC37" s="2">
        <v>0</v>
      </c>
      <c r="AD37" s="2">
        <v>4.58</v>
      </c>
      <c r="AE37" s="2">
        <v>3.04</v>
      </c>
      <c r="AF37" s="2">
        <v>106.81</v>
      </c>
      <c r="AG37" s="2">
        <v>20.170000000000002</v>
      </c>
      <c r="AH37" s="4">
        <f t="shared" si="0"/>
        <v>131.89000000000001</v>
      </c>
    </row>
    <row r="38" spans="1:34" x14ac:dyDescent="0.2">
      <c r="A38" s="3">
        <v>9071</v>
      </c>
      <c r="B38" s="2">
        <v>-2.0299999999999998</v>
      </c>
      <c r="C38" s="2">
        <v>9.4</v>
      </c>
      <c r="D38" s="2">
        <v>11.85</v>
      </c>
      <c r="E38" s="2">
        <v>41.83</v>
      </c>
      <c r="F38" s="2">
        <v>33.99</v>
      </c>
      <c r="G38" s="2">
        <v>28.48</v>
      </c>
      <c r="H38" s="2">
        <v>17.18</v>
      </c>
      <c r="I38" s="2">
        <v>15.29</v>
      </c>
      <c r="J38" s="2">
        <v>18.940000000000001</v>
      </c>
      <c r="K38" s="2">
        <v>6.82</v>
      </c>
      <c r="L38" s="2">
        <v>6.36</v>
      </c>
      <c r="M38" s="2">
        <v>0.3</v>
      </c>
      <c r="N38" s="2">
        <v>6.5</v>
      </c>
      <c r="O38" s="2">
        <v>9.94</v>
      </c>
      <c r="P38" s="2">
        <v>27.46</v>
      </c>
      <c r="Q38" s="2">
        <v>1.23</v>
      </c>
      <c r="R38" s="2">
        <v>0.67</v>
      </c>
      <c r="S38" s="2">
        <v>-6.2</v>
      </c>
      <c r="T38" s="2">
        <v>29.57</v>
      </c>
      <c r="U38" s="2">
        <v>2.76</v>
      </c>
      <c r="V38" s="2">
        <v>19.34</v>
      </c>
      <c r="W38" s="2">
        <v>22.19</v>
      </c>
      <c r="X38" s="2">
        <v>12.62</v>
      </c>
      <c r="Y38" s="2">
        <v>12.15</v>
      </c>
      <c r="Z38" s="2">
        <v>0</v>
      </c>
      <c r="AA38" s="2">
        <v>0</v>
      </c>
      <c r="AB38" s="2">
        <v>0.33</v>
      </c>
      <c r="AC38" s="2">
        <v>4.91</v>
      </c>
      <c r="AD38" s="2">
        <v>3.82</v>
      </c>
      <c r="AE38" s="2">
        <v>3.77</v>
      </c>
      <c r="AF38" s="2">
        <v>96.89</v>
      </c>
      <c r="AG38" s="2">
        <v>16.420000000000002</v>
      </c>
      <c r="AH38" s="4">
        <f t="shared" si="0"/>
        <v>279.67999999999995</v>
      </c>
    </row>
    <row r="39" spans="1:34" x14ac:dyDescent="0.2">
      <c r="A39" s="3">
        <v>9101</v>
      </c>
      <c r="B39" s="2">
        <v>-0.2</v>
      </c>
      <c r="C39" s="2">
        <v>8.06</v>
      </c>
      <c r="D39" s="2">
        <v>3.32</v>
      </c>
      <c r="E39" s="2">
        <v>29.4</v>
      </c>
      <c r="F39" s="2">
        <v>9.16</v>
      </c>
      <c r="G39" s="2">
        <v>26.09</v>
      </c>
      <c r="H39" s="2">
        <v>10.27</v>
      </c>
      <c r="I39" s="2">
        <v>14.21</v>
      </c>
      <c r="J39" s="2">
        <v>17.79</v>
      </c>
      <c r="K39" s="2">
        <v>14.49</v>
      </c>
      <c r="L39" s="2">
        <v>20.05</v>
      </c>
      <c r="M39" s="2">
        <v>5.39</v>
      </c>
      <c r="N39" s="2">
        <v>11.23</v>
      </c>
      <c r="O39" s="2">
        <v>4.62</v>
      </c>
      <c r="P39" s="2">
        <v>29.15</v>
      </c>
      <c r="Q39" s="2">
        <v>2.21</v>
      </c>
      <c r="R39" s="2">
        <v>1.55</v>
      </c>
      <c r="S39" s="2">
        <v>4.54</v>
      </c>
      <c r="T39" s="2">
        <v>28.01</v>
      </c>
      <c r="U39" s="2">
        <v>4.78</v>
      </c>
      <c r="V39" s="2">
        <v>17.510000000000002</v>
      </c>
      <c r="W39" s="2">
        <v>15.43</v>
      </c>
      <c r="X39" s="2">
        <v>8.1999999999999993</v>
      </c>
      <c r="Y39" s="2">
        <v>6.75</v>
      </c>
      <c r="Z39" s="2">
        <v>0</v>
      </c>
      <c r="AA39" s="2">
        <v>0</v>
      </c>
      <c r="AB39" s="2">
        <v>1.79</v>
      </c>
      <c r="AC39" s="2">
        <v>2.86</v>
      </c>
      <c r="AD39" s="2">
        <v>2.9</v>
      </c>
      <c r="AE39" s="2">
        <v>13.35</v>
      </c>
      <c r="AF39" s="2">
        <v>63.57</v>
      </c>
      <c r="AG39" s="2">
        <v>12.92</v>
      </c>
      <c r="AH39" s="4">
        <f t="shared" si="0"/>
        <v>261.63</v>
      </c>
    </row>
    <row r="40" spans="1:34" x14ac:dyDescent="0.2">
      <c r="A40" s="3">
        <v>9132</v>
      </c>
      <c r="B40" s="2">
        <v>1.22</v>
      </c>
      <c r="C40" s="2">
        <v>14.5</v>
      </c>
      <c r="D40" s="2">
        <v>22.34</v>
      </c>
      <c r="E40" s="2">
        <v>56.38</v>
      </c>
      <c r="F40" s="2">
        <v>31.6</v>
      </c>
      <c r="G40" s="2">
        <v>58.4</v>
      </c>
      <c r="H40" s="2">
        <v>14.17</v>
      </c>
      <c r="I40" s="2">
        <v>19.93</v>
      </c>
      <c r="J40" s="2">
        <v>39.04</v>
      </c>
      <c r="K40" s="2">
        <v>15.53</v>
      </c>
      <c r="L40" s="2">
        <v>24.41</v>
      </c>
      <c r="M40" s="2">
        <v>12.59</v>
      </c>
      <c r="N40" s="2">
        <v>14.6</v>
      </c>
      <c r="O40" s="2">
        <v>4.51</v>
      </c>
      <c r="P40" s="2">
        <v>47.05</v>
      </c>
      <c r="Q40" s="2">
        <v>1.8</v>
      </c>
      <c r="R40" s="2">
        <v>2.34</v>
      </c>
      <c r="S40" s="2">
        <v>23.82</v>
      </c>
      <c r="T40" s="2">
        <v>28.14</v>
      </c>
      <c r="U40" s="2">
        <v>5.51</v>
      </c>
      <c r="V40" s="2">
        <v>16.34</v>
      </c>
      <c r="W40" s="2">
        <v>11.73</v>
      </c>
      <c r="X40" s="2">
        <v>6.31</v>
      </c>
      <c r="Y40" s="2">
        <v>6.08</v>
      </c>
      <c r="Z40" s="2">
        <v>3.01</v>
      </c>
      <c r="AA40" s="2">
        <v>5.0199999999999996</v>
      </c>
      <c r="AB40" s="2">
        <v>6.83</v>
      </c>
      <c r="AC40" s="2">
        <v>13.79</v>
      </c>
      <c r="AD40" s="2">
        <v>2.95</v>
      </c>
      <c r="AE40" s="2">
        <v>18.399999999999999</v>
      </c>
      <c r="AF40" s="2">
        <v>58.4</v>
      </c>
      <c r="AG40" s="2">
        <v>11.2</v>
      </c>
      <c r="AH40" s="4">
        <f t="shared" si="0"/>
        <v>454.21999999999991</v>
      </c>
    </row>
    <row r="41" spans="1:34" x14ac:dyDescent="0.2">
      <c r="A41" s="3">
        <v>9163</v>
      </c>
      <c r="B41" s="2">
        <v>2.0699999999999998</v>
      </c>
      <c r="C41" s="2">
        <v>11.32</v>
      </c>
      <c r="D41" s="2">
        <v>-1.94</v>
      </c>
      <c r="E41" s="2">
        <v>6.36</v>
      </c>
      <c r="F41" s="2">
        <v>-4.6900000000000004</v>
      </c>
      <c r="G41" s="2">
        <v>13.74</v>
      </c>
      <c r="H41" s="2">
        <v>3.16</v>
      </c>
      <c r="I41" s="2">
        <v>14.17</v>
      </c>
      <c r="J41" s="2">
        <v>13.36</v>
      </c>
      <c r="K41" s="2">
        <v>0.98</v>
      </c>
      <c r="L41" s="2">
        <v>-8.1</v>
      </c>
      <c r="M41" s="2">
        <v>-5.39</v>
      </c>
      <c r="N41" s="2">
        <v>4.18</v>
      </c>
      <c r="O41" s="2">
        <v>4.2</v>
      </c>
      <c r="P41" s="2">
        <v>29.25</v>
      </c>
      <c r="Q41" s="2">
        <v>1.25</v>
      </c>
      <c r="R41" s="2">
        <v>2.23</v>
      </c>
      <c r="S41" s="2">
        <v>-0.53</v>
      </c>
      <c r="T41" s="2">
        <v>28.85</v>
      </c>
      <c r="U41" s="2">
        <v>4.43</v>
      </c>
      <c r="V41" s="2">
        <v>18.16</v>
      </c>
      <c r="W41" s="2">
        <v>4.26</v>
      </c>
      <c r="X41" s="2">
        <v>10.15</v>
      </c>
      <c r="Y41" s="2">
        <v>8.81</v>
      </c>
      <c r="Z41" s="2">
        <v>0</v>
      </c>
      <c r="AA41" s="2">
        <v>0.86</v>
      </c>
      <c r="AB41" s="2">
        <v>1.63</v>
      </c>
      <c r="AC41" s="2">
        <v>7.62</v>
      </c>
      <c r="AD41" s="2">
        <v>2.94</v>
      </c>
      <c r="AE41" s="2">
        <v>19.2</v>
      </c>
      <c r="AF41" s="2">
        <v>71.459999999999994</v>
      </c>
      <c r="AG41" s="2">
        <v>9.8800000000000008</v>
      </c>
      <c r="AH41" s="4">
        <f t="shared" si="0"/>
        <v>137.06</v>
      </c>
    </row>
    <row r="42" spans="1:34" x14ac:dyDescent="0.2">
      <c r="A42" s="3">
        <v>9191</v>
      </c>
      <c r="B42" s="2">
        <v>14.07</v>
      </c>
      <c r="C42" s="2">
        <v>45.66</v>
      </c>
      <c r="D42" s="2">
        <v>65.48</v>
      </c>
      <c r="E42" s="2">
        <v>190.84</v>
      </c>
      <c r="F42" s="2">
        <v>149.21</v>
      </c>
      <c r="G42" s="2">
        <v>221.09</v>
      </c>
      <c r="H42" s="2">
        <v>39.159999999999997</v>
      </c>
      <c r="I42" s="2">
        <v>41.33</v>
      </c>
      <c r="J42" s="2">
        <v>101.7</v>
      </c>
      <c r="K42" s="2">
        <v>43.97</v>
      </c>
      <c r="L42" s="2">
        <v>48.76</v>
      </c>
      <c r="M42" s="2">
        <v>17.87</v>
      </c>
      <c r="N42" s="2">
        <v>43.97</v>
      </c>
      <c r="O42" s="2">
        <v>4.66</v>
      </c>
      <c r="P42" s="2">
        <v>47.67</v>
      </c>
      <c r="Q42" s="2">
        <v>2.35</v>
      </c>
      <c r="R42" s="2">
        <v>4.04</v>
      </c>
      <c r="S42" s="2">
        <v>6.6</v>
      </c>
      <c r="T42" s="2">
        <v>28.95</v>
      </c>
      <c r="U42" s="2">
        <v>5.1100000000000003</v>
      </c>
      <c r="V42" s="2">
        <v>15.16</v>
      </c>
      <c r="W42" s="2">
        <v>0</v>
      </c>
      <c r="X42" s="2">
        <v>3.57</v>
      </c>
      <c r="Y42" s="2">
        <v>3.61</v>
      </c>
      <c r="Z42" s="2">
        <v>0</v>
      </c>
      <c r="AA42" s="2">
        <v>0</v>
      </c>
      <c r="AB42" s="2">
        <v>0.38</v>
      </c>
      <c r="AC42" s="2">
        <v>6.67</v>
      </c>
      <c r="AD42" s="2">
        <v>3.43</v>
      </c>
      <c r="AE42" s="2">
        <v>17.329999999999998</v>
      </c>
      <c r="AF42" s="2">
        <v>59.57</v>
      </c>
      <c r="AG42" s="2">
        <v>10.08</v>
      </c>
      <c r="AH42" s="4">
        <f t="shared" si="0"/>
        <v>1137.6500000000001</v>
      </c>
    </row>
    <row r="43" spans="1:34" x14ac:dyDescent="0.2">
      <c r="A43" s="3">
        <v>9222</v>
      </c>
      <c r="B43" s="2">
        <v>5.77</v>
      </c>
      <c r="C43" s="2">
        <v>15.79</v>
      </c>
      <c r="D43" s="2">
        <v>-21.37</v>
      </c>
      <c r="E43" s="2">
        <v>-63.59</v>
      </c>
      <c r="F43" s="2">
        <v>-59.3</v>
      </c>
      <c r="G43" s="2">
        <v>-55.04</v>
      </c>
      <c r="H43" s="2">
        <v>0.44</v>
      </c>
      <c r="I43" s="2">
        <v>18.190000000000001</v>
      </c>
      <c r="J43" s="2">
        <v>2.98</v>
      </c>
      <c r="K43" s="2">
        <v>-3.24</v>
      </c>
      <c r="L43" s="2">
        <v>19.88</v>
      </c>
      <c r="M43" s="2">
        <v>9.59</v>
      </c>
      <c r="N43" s="2">
        <v>14.43</v>
      </c>
      <c r="O43" s="2">
        <v>14.23</v>
      </c>
      <c r="P43" s="2">
        <v>85.96</v>
      </c>
      <c r="Q43" s="2">
        <v>3.25</v>
      </c>
      <c r="R43" s="2">
        <v>1.92</v>
      </c>
      <c r="S43" s="2">
        <v>21.1</v>
      </c>
      <c r="T43" s="2">
        <v>38.61</v>
      </c>
      <c r="U43" s="2">
        <v>4.29</v>
      </c>
      <c r="V43" s="2">
        <v>25.33</v>
      </c>
      <c r="W43" s="2">
        <v>0</v>
      </c>
      <c r="X43" s="2">
        <v>4.51</v>
      </c>
      <c r="Y43" s="2">
        <v>3.52</v>
      </c>
      <c r="Z43" s="2">
        <v>1.37</v>
      </c>
      <c r="AA43" s="2">
        <v>1.58</v>
      </c>
      <c r="AB43" s="2">
        <v>0</v>
      </c>
      <c r="AC43" s="2">
        <v>16.649999999999999</v>
      </c>
      <c r="AD43" s="2">
        <v>5.0599999999999996</v>
      </c>
      <c r="AE43" s="2">
        <v>16.690000000000001</v>
      </c>
      <c r="AF43" s="2">
        <v>70.290000000000006</v>
      </c>
      <c r="AG43" s="2">
        <v>10.69</v>
      </c>
      <c r="AH43" s="4">
        <f t="shared" si="0"/>
        <v>79.21999999999997</v>
      </c>
    </row>
    <row r="44" spans="1:34" x14ac:dyDescent="0.2">
      <c r="A44" s="3">
        <v>9252</v>
      </c>
      <c r="B44" s="2">
        <v>7.44</v>
      </c>
      <c r="C44" s="2">
        <v>15.37</v>
      </c>
      <c r="D44" s="2">
        <v>1.25</v>
      </c>
      <c r="E44" s="2">
        <v>8.91</v>
      </c>
      <c r="F44" s="2">
        <v>25.76</v>
      </c>
      <c r="G44" s="2">
        <v>-13.84</v>
      </c>
      <c r="H44" s="2">
        <v>10.6</v>
      </c>
      <c r="I44" s="2">
        <v>28.13</v>
      </c>
      <c r="J44" s="2">
        <v>48.85</v>
      </c>
      <c r="K44" s="2">
        <v>48.08</v>
      </c>
      <c r="L44" s="2">
        <v>63.18</v>
      </c>
      <c r="M44" s="2">
        <v>46</v>
      </c>
      <c r="N44" s="2">
        <v>51.24</v>
      </c>
      <c r="O44" s="2">
        <v>6.9</v>
      </c>
      <c r="P44" s="2">
        <v>87.93</v>
      </c>
      <c r="Q44" s="2">
        <v>6.58</v>
      </c>
      <c r="R44" s="2">
        <v>2.13</v>
      </c>
      <c r="S44" s="2">
        <v>10.56</v>
      </c>
      <c r="T44" s="2">
        <v>28.04</v>
      </c>
      <c r="U44" s="2">
        <v>6.53</v>
      </c>
      <c r="V44" s="2">
        <v>24.88</v>
      </c>
      <c r="W44" s="2">
        <v>0</v>
      </c>
      <c r="X44" s="2">
        <v>5.5</v>
      </c>
      <c r="Y44" s="2">
        <v>4.79</v>
      </c>
      <c r="Z44" s="2">
        <v>0</v>
      </c>
      <c r="AA44" s="2">
        <v>0.43</v>
      </c>
      <c r="AB44" s="2">
        <v>1.84</v>
      </c>
      <c r="AC44" s="2">
        <v>7.37</v>
      </c>
      <c r="AD44" s="2">
        <v>5.72</v>
      </c>
      <c r="AE44" s="2">
        <v>4.62</v>
      </c>
      <c r="AF44" s="2">
        <v>86.98</v>
      </c>
      <c r="AG44" s="2">
        <v>14.64</v>
      </c>
      <c r="AH44" s="4">
        <f t="shared" si="0"/>
        <v>514.52</v>
      </c>
    </row>
    <row r="45" spans="1:34" x14ac:dyDescent="0.2">
      <c r="A45" s="3">
        <v>9283</v>
      </c>
      <c r="B45" s="2">
        <v>1.8</v>
      </c>
      <c r="C45" s="2">
        <v>10.31</v>
      </c>
      <c r="D45" s="2">
        <v>-5.18</v>
      </c>
      <c r="E45" s="2">
        <v>-42.27</v>
      </c>
      <c r="F45" s="2">
        <v>-26.75</v>
      </c>
      <c r="G45" s="2">
        <v>-30.67</v>
      </c>
      <c r="H45" s="2">
        <v>-2.35</v>
      </c>
      <c r="I45" s="2">
        <v>22.52</v>
      </c>
      <c r="J45" s="2">
        <v>50.96</v>
      </c>
      <c r="K45" s="2">
        <v>61.28</v>
      </c>
      <c r="L45" s="2">
        <v>63.75</v>
      </c>
      <c r="M45" s="2">
        <v>56.36</v>
      </c>
      <c r="N45" s="2">
        <v>63.93</v>
      </c>
      <c r="O45" s="2">
        <v>13.92</v>
      </c>
      <c r="P45" s="2">
        <v>94.77</v>
      </c>
      <c r="Q45" s="2">
        <v>11.47</v>
      </c>
      <c r="R45" s="2">
        <v>9.24</v>
      </c>
      <c r="S45" s="2">
        <v>5.99</v>
      </c>
      <c r="T45" s="2">
        <v>34.4</v>
      </c>
      <c r="U45" s="2">
        <v>5.23</v>
      </c>
      <c r="V45" s="2">
        <v>31.19</v>
      </c>
      <c r="W45" s="2">
        <v>4.88</v>
      </c>
      <c r="X45" s="2">
        <v>8.5399999999999991</v>
      </c>
      <c r="Y45" s="2">
        <v>7.17</v>
      </c>
      <c r="Z45" s="2">
        <v>0</v>
      </c>
      <c r="AA45" s="2">
        <v>0.43</v>
      </c>
      <c r="AB45" s="2">
        <v>0.11</v>
      </c>
      <c r="AC45" s="2">
        <v>1.4</v>
      </c>
      <c r="AD45" s="2">
        <v>6.21</v>
      </c>
      <c r="AE45" s="2">
        <v>2.83</v>
      </c>
      <c r="AF45" s="2">
        <v>98.23</v>
      </c>
      <c r="AG45" s="2">
        <v>17.690000000000001</v>
      </c>
      <c r="AH45" s="4">
        <f t="shared" si="0"/>
        <v>429.90000000000003</v>
      </c>
    </row>
    <row r="46" spans="1:34" x14ac:dyDescent="0.2">
      <c r="A46" s="3">
        <v>9313</v>
      </c>
      <c r="B46" s="2">
        <v>-2.1800000000000002</v>
      </c>
      <c r="C46" s="2">
        <v>3.58</v>
      </c>
      <c r="D46" s="2">
        <v>-12.37</v>
      </c>
      <c r="E46" s="2">
        <v>-62.81</v>
      </c>
      <c r="F46" s="2">
        <v>-36.21</v>
      </c>
      <c r="G46" s="2">
        <v>-41.7</v>
      </c>
      <c r="H46" s="2">
        <v>-9.9600000000000009</v>
      </c>
      <c r="I46" s="2">
        <v>10.81</v>
      </c>
      <c r="J46" s="2">
        <v>-18.579999999999998</v>
      </c>
      <c r="K46" s="2">
        <v>-22.67</v>
      </c>
      <c r="L46" s="2">
        <v>-38.51</v>
      </c>
      <c r="M46" s="2">
        <v>-19.82</v>
      </c>
      <c r="N46" s="2">
        <v>16.25</v>
      </c>
      <c r="O46" s="2">
        <v>34.200000000000003</v>
      </c>
      <c r="P46" s="2">
        <v>73.260000000000005</v>
      </c>
      <c r="Q46" s="2">
        <v>6.88</v>
      </c>
      <c r="R46" s="2">
        <v>5.28</v>
      </c>
      <c r="S46" s="2">
        <v>4.0199999999999996</v>
      </c>
      <c r="T46" s="2">
        <v>48.86</v>
      </c>
      <c r="U46" s="2">
        <v>2.98</v>
      </c>
      <c r="V46" s="2">
        <v>34.51</v>
      </c>
      <c r="W46" s="2">
        <v>18.62</v>
      </c>
      <c r="X46" s="2">
        <v>13.93</v>
      </c>
      <c r="Y46" s="2">
        <v>13.25</v>
      </c>
      <c r="Z46" s="2">
        <v>0</v>
      </c>
      <c r="AA46" s="2">
        <v>4.59</v>
      </c>
      <c r="AB46" s="2">
        <v>0.05</v>
      </c>
      <c r="AC46" s="2">
        <v>1.91</v>
      </c>
      <c r="AD46" s="2">
        <v>6.15</v>
      </c>
      <c r="AE46" s="2">
        <v>0.72</v>
      </c>
      <c r="AF46" s="2">
        <v>107.5</v>
      </c>
      <c r="AG46" s="2">
        <v>22.83</v>
      </c>
      <c r="AH46" s="4">
        <f t="shared" si="0"/>
        <v>-24.180000000000035</v>
      </c>
    </row>
    <row r="47" spans="1:34" x14ac:dyDescent="0.2">
      <c r="A47" s="3">
        <v>9344</v>
      </c>
      <c r="B47" s="2">
        <v>-4.04</v>
      </c>
      <c r="C47" s="2">
        <v>3.37</v>
      </c>
      <c r="D47" s="2">
        <v>-10.76</v>
      </c>
      <c r="E47" s="2">
        <v>-52.45</v>
      </c>
      <c r="F47" s="2">
        <v>-13.71</v>
      </c>
      <c r="G47" s="2">
        <v>-36.25</v>
      </c>
      <c r="H47" s="2">
        <v>-4.7300000000000004</v>
      </c>
      <c r="I47" s="2">
        <v>5.72</v>
      </c>
      <c r="J47" s="2">
        <v>-41.99</v>
      </c>
      <c r="K47" s="2">
        <v>-49.96</v>
      </c>
      <c r="L47" s="2">
        <v>-66.430000000000007</v>
      </c>
      <c r="M47" s="2">
        <v>-38.39</v>
      </c>
      <c r="N47" s="2">
        <v>-6.77</v>
      </c>
      <c r="O47" s="2">
        <v>39.97</v>
      </c>
      <c r="P47" s="2">
        <v>64.260000000000005</v>
      </c>
      <c r="Q47" s="2">
        <v>2.4500000000000002</v>
      </c>
      <c r="R47" s="2">
        <v>1.46</v>
      </c>
      <c r="S47" s="2">
        <v>8.5500000000000007</v>
      </c>
      <c r="T47" s="2">
        <v>44.77</v>
      </c>
      <c r="U47" s="2">
        <v>5.12</v>
      </c>
      <c r="V47" s="2">
        <v>34.33</v>
      </c>
      <c r="W47" s="2">
        <v>30.39</v>
      </c>
      <c r="X47" s="2">
        <v>19.22</v>
      </c>
      <c r="Y47" s="2">
        <v>18.899999999999999</v>
      </c>
      <c r="Z47" s="2">
        <v>0</v>
      </c>
      <c r="AA47" s="2">
        <v>1</v>
      </c>
      <c r="AB47" s="2">
        <v>2.33</v>
      </c>
      <c r="AC47" s="2">
        <v>0</v>
      </c>
      <c r="AD47" s="2">
        <v>5.84</v>
      </c>
      <c r="AE47" s="2">
        <v>0.11</v>
      </c>
      <c r="AF47" s="2">
        <v>117.07</v>
      </c>
      <c r="AG47" s="2">
        <v>24.8</v>
      </c>
      <c r="AH47" s="4">
        <f t="shared" si="0"/>
        <v>-115.47999999999995</v>
      </c>
    </row>
    <row r="48" spans="1:34" x14ac:dyDescent="0.2">
      <c r="A48" s="3">
        <v>9375</v>
      </c>
      <c r="B48" s="2">
        <v>-4.3499999999999996</v>
      </c>
      <c r="C48" s="2">
        <v>4.3899999999999997</v>
      </c>
      <c r="D48" s="2">
        <v>-5.83</v>
      </c>
      <c r="E48" s="2">
        <v>-30.66</v>
      </c>
      <c r="F48" s="2">
        <v>-7.99</v>
      </c>
      <c r="G48" s="2">
        <v>-22.96</v>
      </c>
      <c r="H48" s="2">
        <v>1.58</v>
      </c>
      <c r="I48" s="2">
        <v>6.23</v>
      </c>
      <c r="J48" s="2">
        <v>-27.03</v>
      </c>
      <c r="K48" s="2">
        <v>-29.14</v>
      </c>
      <c r="L48" s="2">
        <v>-29.82</v>
      </c>
      <c r="M48" s="2">
        <v>-24.98</v>
      </c>
      <c r="N48" s="2">
        <v>-9.8699999999999992</v>
      </c>
      <c r="O48" s="2">
        <v>32.380000000000003</v>
      </c>
      <c r="P48" s="2">
        <v>51.78</v>
      </c>
      <c r="Q48" s="2">
        <v>0.21</v>
      </c>
      <c r="R48" s="2">
        <v>0.02</v>
      </c>
      <c r="S48" s="2">
        <v>8.14</v>
      </c>
      <c r="T48" s="2">
        <v>44.5</v>
      </c>
      <c r="U48" s="2">
        <v>5.35</v>
      </c>
      <c r="V48" s="2">
        <v>33.200000000000003</v>
      </c>
      <c r="W48" s="2">
        <v>31.47</v>
      </c>
      <c r="X48" s="2">
        <v>21.55</v>
      </c>
      <c r="Y48" s="2">
        <v>21.36</v>
      </c>
      <c r="Z48" s="2">
        <v>0</v>
      </c>
      <c r="AA48" s="2">
        <v>0.14000000000000001</v>
      </c>
      <c r="AB48" s="2">
        <v>1.68</v>
      </c>
      <c r="AC48" s="2">
        <v>0</v>
      </c>
      <c r="AD48" s="2">
        <v>5.49</v>
      </c>
      <c r="AE48" s="2">
        <v>0.18</v>
      </c>
      <c r="AF48" s="2">
        <v>119.06</v>
      </c>
      <c r="AG48" s="2">
        <v>23.65</v>
      </c>
      <c r="AH48" s="4">
        <f t="shared" si="0"/>
        <v>-4.8500000000000156</v>
      </c>
    </row>
    <row r="49" spans="1:34" x14ac:dyDescent="0.2">
      <c r="A49" s="3">
        <v>9405</v>
      </c>
      <c r="B49" s="2">
        <v>-3.36</v>
      </c>
      <c r="C49" s="2">
        <v>5.43</v>
      </c>
      <c r="D49" s="2">
        <v>-1.24</v>
      </c>
      <c r="E49" s="2">
        <v>-15.45</v>
      </c>
      <c r="F49" s="2">
        <v>0.15</v>
      </c>
      <c r="G49" s="2">
        <v>-6.6</v>
      </c>
      <c r="H49" s="2">
        <v>7.78</v>
      </c>
      <c r="I49" s="2">
        <v>10.09</v>
      </c>
      <c r="J49" s="2">
        <v>-3.25</v>
      </c>
      <c r="K49" s="2">
        <v>-15.08</v>
      </c>
      <c r="L49" s="2">
        <v>-9.3800000000000008</v>
      </c>
      <c r="M49" s="2">
        <v>-8.19</v>
      </c>
      <c r="N49" s="2">
        <v>1.1399999999999999</v>
      </c>
      <c r="O49" s="2">
        <v>2.57</v>
      </c>
      <c r="P49" s="2">
        <v>17.87</v>
      </c>
      <c r="Q49" s="2">
        <v>1.62</v>
      </c>
      <c r="R49" s="2">
        <v>2.94</v>
      </c>
      <c r="S49" s="2">
        <v>-1.94</v>
      </c>
      <c r="T49" s="2">
        <v>28.6</v>
      </c>
      <c r="U49" s="2">
        <v>4.13</v>
      </c>
      <c r="V49" s="2">
        <v>15.63</v>
      </c>
      <c r="W49" s="2">
        <v>26.1</v>
      </c>
      <c r="X49" s="2">
        <v>20.46</v>
      </c>
      <c r="Y49" s="2">
        <v>20.07</v>
      </c>
      <c r="Z49" s="2">
        <v>0</v>
      </c>
      <c r="AA49" s="2">
        <v>0</v>
      </c>
      <c r="AB49" s="2">
        <v>0</v>
      </c>
      <c r="AC49" s="2">
        <v>0</v>
      </c>
      <c r="AD49" s="2">
        <v>4.8499999999999996</v>
      </c>
      <c r="AE49" s="2">
        <v>1.18</v>
      </c>
      <c r="AF49" s="2">
        <v>110.9</v>
      </c>
      <c r="AG49" s="2">
        <v>20.170000000000002</v>
      </c>
      <c r="AH49" s="4">
        <f t="shared" si="0"/>
        <v>33.46</v>
      </c>
    </row>
    <row r="50" spans="1:34" x14ac:dyDescent="0.2">
      <c r="A50" s="3">
        <v>9436</v>
      </c>
      <c r="B50" s="2">
        <v>-1.67</v>
      </c>
      <c r="C50" s="2">
        <v>5.64</v>
      </c>
      <c r="D50" s="2">
        <v>-4.93</v>
      </c>
      <c r="E50" s="2">
        <v>3.16</v>
      </c>
      <c r="F50" s="2">
        <v>3.31</v>
      </c>
      <c r="G50" s="2">
        <v>3.96</v>
      </c>
      <c r="H50" s="2">
        <v>10.79</v>
      </c>
      <c r="I50" s="2">
        <v>11.9</v>
      </c>
      <c r="J50" s="2">
        <v>5.05</v>
      </c>
      <c r="K50" s="2">
        <v>-1.1399999999999999</v>
      </c>
      <c r="L50" s="2">
        <v>8.1</v>
      </c>
      <c r="M50" s="2">
        <v>0.76</v>
      </c>
      <c r="N50" s="2">
        <v>6.12</v>
      </c>
      <c r="O50" s="2">
        <v>9.66</v>
      </c>
      <c r="P50" s="2">
        <v>27.39</v>
      </c>
      <c r="Q50" s="2">
        <v>0</v>
      </c>
      <c r="R50" s="2">
        <v>1.34</v>
      </c>
      <c r="S50" s="2">
        <v>-2.79</v>
      </c>
      <c r="T50" s="2">
        <v>29.5</v>
      </c>
      <c r="U50" s="2">
        <v>2.83</v>
      </c>
      <c r="V50" s="2">
        <v>16.88</v>
      </c>
      <c r="W50" s="2">
        <v>22.19</v>
      </c>
      <c r="X50" s="2">
        <v>18.95</v>
      </c>
      <c r="Y50" s="2">
        <v>18.55</v>
      </c>
      <c r="Z50" s="2">
        <v>26.24</v>
      </c>
      <c r="AA50" s="2">
        <v>39.29</v>
      </c>
      <c r="AB50" s="2">
        <v>1.33</v>
      </c>
      <c r="AC50" s="2">
        <v>2.2599999999999998</v>
      </c>
      <c r="AD50" s="2">
        <v>3.86</v>
      </c>
      <c r="AE50" s="2">
        <v>3.77</v>
      </c>
      <c r="AF50" s="2">
        <v>100.59</v>
      </c>
      <c r="AG50" s="2">
        <v>16.420000000000002</v>
      </c>
      <c r="AH50" s="4">
        <f t="shared" si="0"/>
        <v>135.85999999999999</v>
      </c>
    </row>
    <row r="51" spans="1:34" x14ac:dyDescent="0.2">
      <c r="A51" s="3">
        <v>9466</v>
      </c>
      <c r="B51" s="2">
        <v>-0.92</v>
      </c>
      <c r="C51" s="2">
        <v>5.93</v>
      </c>
      <c r="D51" s="2">
        <v>-0.1</v>
      </c>
      <c r="E51" s="2">
        <v>12.1</v>
      </c>
      <c r="F51" s="2">
        <v>7.16</v>
      </c>
      <c r="G51" s="2">
        <v>10.86</v>
      </c>
      <c r="H51" s="2">
        <v>8.09</v>
      </c>
      <c r="I51" s="2">
        <v>11</v>
      </c>
      <c r="J51" s="2">
        <v>11.65</v>
      </c>
      <c r="K51" s="2">
        <v>3.44</v>
      </c>
      <c r="L51" s="2">
        <v>6.92</v>
      </c>
      <c r="M51" s="2">
        <v>1.86</v>
      </c>
      <c r="N51" s="2">
        <v>3.11</v>
      </c>
      <c r="O51" s="2">
        <v>3.22</v>
      </c>
      <c r="P51" s="2">
        <v>21.78</v>
      </c>
      <c r="Q51" s="2">
        <v>2.1800000000000002</v>
      </c>
      <c r="R51" s="2">
        <v>1.3</v>
      </c>
      <c r="S51" s="2">
        <v>-4.3</v>
      </c>
      <c r="T51" s="2">
        <v>26.71</v>
      </c>
      <c r="U51" s="2">
        <v>4.1900000000000004</v>
      </c>
      <c r="V51" s="2">
        <v>14.58</v>
      </c>
      <c r="W51" s="2">
        <v>15.43</v>
      </c>
      <c r="X51" s="2">
        <v>12.38</v>
      </c>
      <c r="Y51" s="2">
        <v>10.97</v>
      </c>
      <c r="Z51" s="2">
        <v>9.16</v>
      </c>
      <c r="AA51" s="2">
        <v>0.56999999999999995</v>
      </c>
      <c r="AB51" s="2">
        <v>1.28</v>
      </c>
      <c r="AC51" s="2">
        <v>2.76</v>
      </c>
      <c r="AD51" s="2">
        <v>2.87</v>
      </c>
      <c r="AE51" s="2">
        <v>13.35</v>
      </c>
      <c r="AF51" s="2">
        <v>66</v>
      </c>
      <c r="AG51" s="2">
        <v>12.92</v>
      </c>
      <c r="AH51" s="4">
        <f t="shared" si="0"/>
        <v>150.76000000000002</v>
      </c>
    </row>
    <row r="52" spans="1:34" x14ac:dyDescent="0.2">
      <c r="A52" s="3">
        <v>9497</v>
      </c>
      <c r="B52" s="2">
        <v>0.15</v>
      </c>
      <c r="C52" s="2">
        <v>8.1300000000000008</v>
      </c>
      <c r="D52" s="2">
        <v>2.06</v>
      </c>
      <c r="E52" s="2">
        <v>20.36</v>
      </c>
      <c r="F52" s="2">
        <v>9.17</v>
      </c>
      <c r="G52" s="2">
        <v>9.51</v>
      </c>
      <c r="H52" s="2">
        <v>7.39</v>
      </c>
      <c r="I52" s="2">
        <v>11.79</v>
      </c>
      <c r="J52" s="2">
        <v>13.96</v>
      </c>
      <c r="K52" s="2">
        <v>4.18</v>
      </c>
      <c r="L52" s="2">
        <v>12.29</v>
      </c>
      <c r="M52" s="2">
        <v>4.8099999999999996</v>
      </c>
      <c r="N52" s="2">
        <v>5.29</v>
      </c>
      <c r="O52" s="2">
        <v>2.64</v>
      </c>
      <c r="P52" s="2">
        <v>26.26</v>
      </c>
      <c r="Q52" s="2">
        <v>1.34</v>
      </c>
      <c r="R52" s="2">
        <v>1.29</v>
      </c>
      <c r="S52" s="2">
        <v>-0.83</v>
      </c>
      <c r="T52" s="2">
        <v>26.09</v>
      </c>
      <c r="U52" s="2">
        <v>4.71</v>
      </c>
      <c r="V52" s="2">
        <v>14.09</v>
      </c>
      <c r="W52" s="2">
        <v>11.73</v>
      </c>
      <c r="X52" s="2">
        <v>10.14</v>
      </c>
      <c r="Y52" s="2">
        <v>9.9600000000000009</v>
      </c>
      <c r="Z52" s="2">
        <v>5.88</v>
      </c>
      <c r="AA52" s="2">
        <v>2.44</v>
      </c>
      <c r="AB52" s="2">
        <v>0.69</v>
      </c>
      <c r="AC52" s="2">
        <v>5.01</v>
      </c>
      <c r="AD52" s="2">
        <v>2.89</v>
      </c>
      <c r="AE52" s="2">
        <v>18.399999999999999</v>
      </c>
      <c r="AF52" s="2">
        <v>60.63</v>
      </c>
      <c r="AG52" s="2">
        <v>11.2</v>
      </c>
      <c r="AH52" s="4">
        <f t="shared" si="0"/>
        <v>184.68</v>
      </c>
    </row>
    <row r="53" spans="1:34" x14ac:dyDescent="0.2">
      <c r="A53" s="3">
        <v>9528</v>
      </c>
      <c r="B53" s="2">
        <v>1.72</v>
      </c>
      <c r="C53" s="2">
        <v>14.96</v>
      </c>
      <c r="D53" s="2">
        <v>19.37</v>
      </c>
      <c r="E53" s="2">
        <v>52.72</v>
      </c>
      <c r="F53" s="2">
        <v>25.08</v>
      </c>
      <c r="G53" s="2">
        <v>51.62</v>
      </c>
      <c r="H53" s="2">
        <v>12.05</v>
      </c>
      <c r="I53" s="2">
        <v>14.47</v>
      </c>
      <c r="J53" s="2">
        <v>19.149999999999999</v>
      </c>
      <c r="K53" s="2">
        <v>3.36</v>
      </c>
      <c r="L53" s="2">
        <v>0.98</v>
      </c>
      <c r="M53" s="2">
        <v>-2.44</v>
      </c>
      <c r="N53" s="2">
        <v>0.4</v>
      </c>
      <c r="O53" s="2">
        <v>2.98</v>
      </c>
      <c r="P53" s="2">
        <v>23.84</v>
      </c>
      <c r="Q53" s="2">
        <v>0.4</v>
      </c>
      <c r="R53" s="2">
        <v>0.74</v>
      </c>
      <c r="S53" s="2">
        <v>-1.42</v>
      </c>
      <c r="T53" s="2">
        <v>26.13</v>
      </c>
      <c r="U53" s="2">
        <v>3.15</v>
      </c>
      <c r="V53" s="2">
        <v>17.66</v>
      </c>
      <c r="W53" s="2">
        <v>4.26</v>
      </c>
      <c r="X53" s="2">
        <v>7.21</v>
      </c>
      <c r="Y53" s="2">
        <v>5.93</v>
      </c>
      <c r="Z53" s="2">
        <v>1.37</v>
      </c>
      <c r="AA53" s="2">
        <v>2.72</v>
      </c>
      <c r="AB53" s="2">
        <v>3.25</v>
      </c>
      <c r="AC53" s="2">
        <v>1.75</v>
      </c>
      <c r="AD53" s="2">
        <v>2.87</v>
      </c>
      <c r="AE53" s="2">
        <v>19.2</v>
      </c>
      <c r="AF53" s="2">
        <v>75.3</v>
      </c>
      <c r="AG53" s="2">
        <v>9.8800000000000008</v>
      </c>
      <c r="AH53" s="4">
        <f t="shared" si="0"/>
        <v>286.92000000000007</v>
      </c>
    </row>
    <row r="54" spans="1:34" x14ac:dyDescent="0.2">
      <c r="A54" s="3">
        <v>9556</v>
      </c>
      <c r="B54" s="2">
        <v>9.82</v>
      </c>
      <c r="C54" s="2">
        <v>30.2</v>
      </c>
      <c r="D54" s="2">
        <v>41.71</v>
      </c>
      <c r="E54" s="2">
        <v>119.59</v>
      </c>
      <c r="F54" s="2">
        <v>115.51</v>
      </c>
      <c r="G54" s="2">
        <v>176.61</v>
      </c>
      <c r="H54" s="2">
        <v>30.62</v>
      </c>
      <c r="I54" s="2">
        <v>30.13</v>
      </c>
      <c r="J54" s="2">
        <v>71.930000000000007</v>
      </c>
      <c r="K54" s="2">
        <v>31.31</v>
      </c>
      <c r="L54" s="2">
        <v>-3.17</v>
      </c>
      <c r="M54" s="2">
        <v>9.0299999999999994</v>
      </c>
      <c r="N54" s="2">
        <v>24.09</v>
      </c>
      <c r="O54" s="2">
        <v>2.93</v>
      </c>
      <c r="P54" s="2">
        <v>41.17</v>
      </c>
      <c r="Q54" s="2">
        <v>1.72</v>
      </c>
      <c r="R54" s="2">
        <v>1.99</v>
      </c>
      <c r="S54" s="2">
        <v>15.96</v>
      </c>
      <c r="T54" s="2">
        <v>28.26</v>
      </c>
      <c r="U54" s="2">
        <v>4.74</v>
      </c>
      <c r="V54" s="2">
        <v>13.9</v>
      </c>
      <c r="W54" s="2">
        <v>0</v>
      </c>
      <c r="X54" s="2">
        <v>1.1399999999999999</v>
      </c>
      <c r="Y54" s="2">
        <v>1.29</v>
      </c>
      <c r="Z54" s="2">
        <v>0</v>
      </c>
      <c r="AA54" s="2">
        <v>1.43</v>
      </c>
      <c r="AB54" s="2">
        <v>2.1800000000000002</v>
      </c>
      <c r="AC54" s="2">
        <v>3.81</v>
      </c>
      <c r="AD54" s="2">
        <v>3.3</v>
      </c>
      <c r="AE54" s="2">
        <v>17.329999999999998</v>
      </c>
      <c r="AF54" s="2">
        <v>62.77</v>
      </c>
      <c r="AG54" s="2">
        <v>10.08</v>
      </c>
      <c r="AH54" s="4">
        <f t="shared" si="0"/>
        <v>798.04999999999984</v>
      </c>
    </row>
    <row r="55" spans="1:34" x14ac:dyDescent="0.2">
      <c r="A55" s="3">
        <v>9587</v>
      </c>
      <c r="B55" s="2">
        <v>3.61</v>
      </c>
      <c r="C55" s="2">
        <v>12.79</v>
      </c>
      <c r="D55" s="2">
        <v>-17.350000000000001</v>
      </c>
      <c r="E55" s="2">
        <v>-47.72</v>
      </c>
      <c r="F55" s="2">
        <v>-47.26</v>
      </c>
      <c r="G55" s="2">
        <v>-50.69</v>
      </c>
      <c r="H55" s="2">
        <v>-0.06</v>
      </c>
      <c r="I55" s="2">
        <v>12.87</v>
      </c>
      <c r="J55" s="2">
        <v>3.21</v>
      </c>
      <c r="K55" s="2">
        <v>-6.92</v>
      </c>
      <c r="L55" s="2">
        <v>17.47</v>
      </c>
      <c r="M55" s="2">
        <v>-4.71</v>
      </c>
      <c r="N55" s="2">
        <v>12.97</v>
      </c>
      <c r="O55" s="2">
        <v>11.26</v>
      </c>
      <c r="P55" s="2">
        <v>68.61</v>
      </c>
      <c r="Q55" s="2">
        <v>2.21</v>
      </c>
      <c r="R55" s="2">
        <v>1.36</v>
      </c>
      <c r="S55" s="2">
        <v>-3.17</v>
      </c>
      <c r="T55" s="2">
        <v>32.03</v>
      </c>
      <c r="U55" s="2">
        <v>0.75</v>
      </c>
      <c r="V55" s="2">
        <v>20.16</v>
      </c>
      <c r="W55" s="2">
        <v>0</v>
      </c>
      <c r="X55" s="2">
        <v>1.64</v>
      </c>
      <c r="Y55" s="2">
        <v>0.71</v>
      </c>
      <c r="Z55" s="2">
        <v>0</v>
      </c>
      <c r="AA55" s="2">
        <v>0.28999999999999998</v>
      </c>
      <c r="AB55" s="2">
        <v>1.1200000000000001</v>
      </c>
      <c r="AC55" s="2">
        <v>1.7</v>
      </c>
      <c r="AD55" s="2">
        <v>4.97</v>
      </c>
      <c r="AE55" s="2">
        <v>16.690000000000001</v>
      </c>
      <c r="AF55" s="2">
        <v>74.069999999999993</v>
      </c>
      <c r="AG55" s="2">
        <v>10.69</v>
      </c>
      <c r="AH55" s="4">
        <f t="shared" si="0"/>
        <v>21.420000000000027</v>
      </c>
    </row>
    <row r="56" spans="1:34" x14ac:dyDescent="0.2">
      <c r="A56" s="3">
        <v>9617</v>
      </c>
      <c r="B56" s="2">
        <v>5.13</v>
      </c>
      <c r="C56" s="2">
        <v>16.670000000000002</v>
      </c>
      <c r="D56" s="2">
        <v>19.059999999999999</v>
      </c>
      <c r="E56" s="2">
        <v>38.47</v>
      </c>
      <c r="F56" s="2">
        <v>73.75</v>
      </c>
      <c r="G56" s="2">
        <v>47.23</v>
      </c>
      <c r="H56" s="2">
        <v>20.51</v>
      </c>
      <c r="I56" s="2">
        <v>27.99</v>
      </c>
      <c r="J56" s="2">
        <v>65.95</v>
      </c>
      <c r="K56" s="2">
        <v>90.86</v>
      </c>
      <c r="L56" s="2">
        <v>58.56</v>
      </c>
      <c r="M56" s="2">
        <v>52.19</v>
      </c>
      <c r="N56" s="2">
        <v>86.27</v>
      </c>
      <c r="O56" s="2">
        <v>6.56</v>
      </c>
      <c r="P56" s="2">
        <v>113.44</v>
      </c>
      <c r="Q56" s="2">
        <v>12.89</v>
      </c>
      <c r="R56" s="2">
        <v>5.19</v>
      </c>
      <c r="S56" s="2">
        <v>37.39</v>
      </c>
      <c r="T56" s="2">
        <v>32.43</v>
      </c>
      <c r="U56" s="2">
        <v>6.83</v>
      </c>
      <c r="V56" s="2">
        <v>26.01</v>
      </c>
      <c r="W56" s="2">
        <v>0</v>
      </c>
      <c r="X56" s="2">
        <v>1.94</v>
      </c>
      <c r="Y56" s="2">
        <v>1.33</v>
      </c>
      <c r="Z56" s="2">
        <v>27.2</v>
      </c>
      <c r="AA56" s="2">
        <v>31.11</v>
      </c>
      <c r="AB56" s="2">
        <v>0.96</v>
      </c>
      <c r="AC56" s="2">
        <v>21.26</v>
      </c>
      <c r="AD56" s="2">
        <v>5.8</v>
      </c>
      <c r="AE56" s="2">
        <v>4.62</v>
      </c>
      <c r="AF56" s="2">
        <v>91.65</v>
      </c>
      <c r="AG56" s="2">
        <v>14.64</v>
      </c>
      <c r="AH56" s="4">
        <f t="shared" si="0"/>
        <v>843.37999999999988</v>
      </c>
    </row>
    <row r="57" spans="1:34" x14ac:dyDescent="0.2">
      <c r="A57" s="3">
        <v>9648</v>
      </c>
      <c r="B57" s="2">
        <v>-0.44</v>
      </c>
      <c r="C57" s="2">
        <v>2.59</v>
      </c>
      <c r="D57" s="2">
        <v>-15.26</v>
      </c>
      <c r="E57" s="2">
        <v>-72.489999999999995</v>
      </c>
      <c r="F57" s="2">
        <v>-80.13</v>
      </c>
      <c r="G57" s="2">
        <v>-63.01</v>
      </c>
      <c r="H57" s="2">
        <v>-12.89</v>
      </c>
      <c r="I57" s="2">
        <v>9.3000000000000007</v>
      </c>
      <c r="J57" s="2">
        <v>3.87</v>
      </c>
      <c r="K57" s="2">
        <v>2.68</v>
      </c>
      <c r="L57" s="2">
        <v>2.72</v>
      </c>
      <c r="M57" s="2">
        <v>3.46</v>
      </c>
      <c r="N57" s="2">
        <v>25.7</v>
      </c>
      <c r="O57" s="2">
        <v>14.38</v>
      </c>
      <c r="P57" s="2">
        <v>86.05</v>
      </c>
      <c r="Q57" s="2">
        <v>7.41</v>
      </c>
      <c r="R57" s="2">
        <v>7.31</v>
      </c>
      <c r="S57" s="2">
        <v>6.58</v>
      </c>
      <c r="T57" s="2">
        <v>42.53</v>
      </c>
      <c r="U57" s="2">
        <v>4.87</v>
      </c>
      <c r="V57" s="2">
        <v>30.07</v>
      </c>
      <c r="W57" s="2">
        <v>4.88</v>
      </c>
      <c r="X57" s="2">
        <v>4.54</v>
      </c>
      <c r="Y57" s="2">
        <v>3.25</v>
      </c>
      <c r="Z57" s="2">
        <v>0</v>
      </c>
      <c r="AA57" s="2">
        <v>0</v>
      </c>
      <c r="AB57" s="2">
        <v>0</v>
      </c>
      <c r="AC57" s="2">
        <v>2.5099999999999998</v>
      </c>
      <c r="AD57" s="2">
        <v>6.15</v>
      </c>
      <c r="AE57" s="2">
        <v>2.83</v>
      </c>
      <c r="AF57" s="2">
        <v>103.51</v>
      </c>
      <c r="AG57" s="2">
        <v>17.690000000000001</v>
      </c>
      <c r="AH57" s="4">
        <f t="shared" si="0"/>
        <v>5.3000000000000149</v>
      </c>
    </row>
    <row r="58" spans="1:34" x14ac:dyDescent="0.2">
      <c r="A58" s="3">
        <v>9678</v>
      </c>
      <c r="B58" s="2">
        <v>-2.5</v>
      </c>
      <c r="C58" s="2">
        <v>3.77</v>
      </c>
      <c r="D58" s="2">
        <v>-11.83</v>
      </c>
      <c r="E58" s="2">
        <v>-63.74</v>
      </c>
      <c r="F58" s="2">
        <v>-31.92</v>
      </c>
      <c r="G58" s="2">
        <v>-47.76</v>
      </c>
      <c r="H58" s="2">
        <v>-11.71</v>
      </c>
      <c r="I58" s="2">
        <v>3.36</v>
      </c>
      <c r="J58" s="2">
        <v>-27.38</v>
      </c>
      <c r="K58" s="2">
        <v>-41.64</v>
      </c>
      <c r="L58" s="2">
        <v>-42.45</v>
      </c>
      <c r="M58" s="2">
        <v>-21.37</v>
      </c>
      <c r="N58" s="2">
        <v>-4.07</v>
      </c>
      <c r="O58" s="2">
        <v>32.21</v>
      </c>
      <c r="P58" s="2">
        <v>70.209999999999994</v>
      </c>
      <c r="Q58" s="2">
        <v>2.33</v>
      </c>
      <c r="R58" s="2">
        <v>-1.49</v>
      </c>
      <c r="S58" s="2">
        <v>8.02</v>
      </c>
      <c r="T58" s="2">
        <v>48.64</v>
      </c>
      <c r="U58" s="2">
        <v>1.66</v>
      </c>
      <c r="V58" s="2">
        <v>31.97</v>
      </c>
      <c r="W58" s="2">
        <v>18.62</v>
      </c>
      <c r="X58" s="2">
        <v>9.56</v>
      </c>
      <c r="Y58" s="2">
        <v>8.98</v>
      </c>
      <c r="Z58" s="2">
        <v>0</v>
      </c>
      <c r="AA58" s="2">
        <v>0.28999999999999998</v>
      </c>
      <c r="AB58" s="2">
        <v>2.4500000000000002</v>
      </c>
      <c r="AC58" s="2">
        <v>0</v>
      </c>
      <c r="AD58" s="2">
        <v>5.63</v>
      </c>
      <c r="AE58" s="2">
        <v>0.72</v>
      </c>
      <c r="AF58" s="2">
        <v>113.28</v>
      </c>
      <c r="AG58" s="2">
        <v>22.83</v>
      </c>
      <c r="AH58" s="4">
        <f t="shared" si="0"/>
        <v>-105.69</v>
      </c>
    </row>
    <row r="59" spans="1:34" x14ac:dyDescent="0.2">
      <c r="A59" s="3">
        <v>9709</v>
      </c>
      <c r="B59" s="2">
        <v>-2.95</v>
      </c>
      <c r="C59" s="2">
        <v>5.33</v>
      </c>
      <c r="D59" s="2">
        <v>-6.43</v>
      </c>
      <c r="E59" s="2">
        <v>-45.49</v>
      </c>
      <c r="F59" s="2">
        <v>-13</v>
      </c>
      <c r="G59" s="2">
        <v>-32.22</v>
      </c>
      <c r="H59" s="2">
        <v>-0.6</v>
      </c>
      <c r="I59" s="2">
        <v>5.55</v>
      </c>
      <c r="J59" s="2">
        <v>-26.59</v>
      </c>
      <c r="K59" s="2">
        <v>-30.24</v>
      </c>
      <c r="L59" s="2">
        <v>-18.18</v>
      </c>
      <c r="M59" s="2">
        <v>-19.38</v>
      </c>
      <c r="N59" s="2">
        <v>-12.54</v>
      </c>
      <c r="O59" s="2">
        <v>40.19</v>
      </c>
      <c r="P59" s="2">
        <v>55.18</v>
      </c>
      <c r="Q59" s="2">
        <v>1.02</v>
      </c>
      <c r="R59" s="2">
        <v>-1.78</v>
      </c>
      <c r="S59" s="2">
        <v>14.11</v>
      </c>
      <c r="T59" s="2">
        <v>45.27</v>
      </c>
      <c r="U59" s="2">
        <v>3.94</v>
      </c>
      <c r="V59" s="2">
        <v>39.770000000000003</v>
      </c>
      <c r="W59" s="2">
        <v>30.39</v>
      </c>
      <c r="X59" s="2">
        <v>14.45</v>
      </c>
      <c r="Y59" s="2">
        <v>14.22</v>
      </c>
      <c r="Z59" s="2">
        <v>0</v>
      </c>
      <c r="AA59" s="2">
        <v>0</v>
      </c>
      <c r="AB59" s="2">
        <v>0.05</v>
      </c>
      <c r="AC59" s="2">
        <v>0</v>
      </c>
      <c r="AD59" s="2">
        <v>5.4</v>
      </c>
      <c r="AE59" s="2">
        <v>0.11</v>
      </c>
      <c r="AF59" s="2">
        <v>123.36</v>
      </c>
      <c r="AG59" s="2">
        <v>24.8</v>
      </c>
      <c r="AH59" s="4">
        <f t="shared" si="0"/>
        <v>0.96000000000002217</v>
      </c>
    </row>
    <row r="60" spans="1:34" x14ac:dyDescent="0.2">
      <c r="A60" s="3">
        <v>9740</v>
      </c>
      <c r="B60" s="2">
        <v>-2.8</v>
      </c>
      <c r="C60" s="2">
        <v>5.15</v>
      </c>
      <c r="D60" s="2">
        <v>-3.73</v>
      </c>
      <c r="E60" s="2">
        <v>-34</v>
      </c>
      <c r="F60" s="2">
        <v>-6.75</v>
      </c>
      <c r="G60" s="2">
        <v>-17.940000000000001</v>
      </c>
      <c r="H60" s="2">
        <v>4.91</v>
      </c>
      <c r="I60" s="2">
        <v>7.91</v>
      </c>
      <c r="J60" s="2">
        <v>-12.79</v>
      </c>
      <c r="K60" s="2">
        <v>-1.75</v>
      </c>
      <c r="L60" s="2">
        <v>-6.53</v>
      </c>
      <c r="M60" s="2">
        <v>-12.64</v>
      </c>
      <c r="N60" s="2">
        <v>1.62</v>
      </c>
      <c r="O60" s="2">
        <v>35.46</v>
      </c>
      <c r="P60" s="2">
        <v>46.91</v>
      </c>
      <c r="Q60" s="2">
        <v>-0.12</v>
      </c>
      <c r="R60" s="2">
        <v>-1.28</v>
      </c>
      <c r="S60" s="2">
        <v>11.61</v>
      </c>
      <c r="T60" s="2">
        <v>44.73</v>
      </c>
      <c r="U60" s="2">
        <v>4.12</v>
      </c>
      <c r="V60" s="2">
        <v>38.869999999999997</v>
      </c>
      <c r="W60" s="2">
        <v>31.47</v>
      </c>
      <c r="X60" s="2">
        <v>16.690000000000001</v>
      </c>
      <c r="Y60" s="2">
        <v>16.61</v>
      </c>
      <c r="Z60" s="2">
        <v>0</v>
      </c>
      <c r="AA60" s="2">
        <v>2.87</v>
      </c>
      <c r="AB60" s="2">
        <v>0.16</v>
      </c>
      <c r="AC60" s="2">
        <v>0</v>
      </c>
      <c r="AD60" s="2">
        <v>5.3</v>
      </c>
      <c r="AE60" s="2">
        <v>0.18</v>
      </c>
      <c r="AF60" s="2">
        <v>125.46</v>
      </c>
      <c r="AG60" s="2">
        <v>23.65</v>
      </c>
      <c r="AH60" s="4">
        <f t="shared" si="0"/>
        <v>100.95999999999998</v>
      </c>
    </row>
    <row r="61" spans="1:34" x14ac:dyDescent="0.2">
      <c r="A61" s="3">
        <v>9770</v>
      </c>
      <c r="B61" s="2">
        <v>-2.8</v>
      </c>
      <c r="C61" s="2">
        <v>5.66</v>
      </c>
      <c r="D61" s="2">
        <v>-5.55</v>
      </c>
      <c r="E61" s="2">
        <v>-9.6999999999999993</v>
      </c>
      <c r="F61" s="2">
        <v>7.94</v>
      </c>
      <c r="G61" s="2">
        <v>-3.47</v>
      </c>
      <c r="H61" s="2">
        <v>11.38</v>
      </c>
      <c r="I61" s="2">
        <v>11.52</v>
      </c>
      <c r="J61" s="2">
        <v>5.68</v>
      </c>
      <c r="K61" s="2">
        <v>-3.8</v>
      </c>
      <c r="L61" s="2">
        <v>0.35</v>
      </c>
      <c r="M61" s="2">
        <v>-3</v>
      </c>
      <c r="N61" s="2">
        <v>8.6199999999999992</v>
      </c>
      <c r="O61" s="2">
        <v>0.41</v>
      </c>
      <c r="P61" s="2">
        <v>21.62</v>
      </c>
      <c r="Q61" s="2">
        <v>2</v>
      </c>
      <c r="R61" s="2">
        <v>2.72</v>
      </c>
      <c r="S61" s="2">
        <v>-2.62</v>
      </c>
      <c r="T61" s="2">
        <v>27.03</v>
      </c>
      <c r="U61" s="2">
        <v>2.83</v>
      </c>
      <c r="V61" s="2">
        <v>14.99</v>
      </c>
      <c r="W61" s="2">
        <v>26.1</v>
      </c>
      <c r="X61" s="2">
        <v>15.91</v>
      </c>
      <c r="Y61" s="2">
        <v>15.62</v>
      </c>
      <c r="Z61" s="2">
        <v>0.55000000000000004</v>
      </c>
      <c r="AA61" s="2">
        <v>1.43</v>
      </c>
      <c r="AB61" s="2">
        <v>0</v>
      </c>
      <c r="AC61" s="2">
        <v>0</v>
      </c>
      <c r="AD61" s="2">
        <v>4.78</v>
      </c>
      <c r="AE61" s="2">
        <v>1.18</v>
      </c>
      <c r="AF61" s="2">
        <v>116.86</v>
      </c>
      <c r="AG61" s="2">
        <v>20.170000000000002</v>
      </c>
      <c r="AH61" s="4">
        <f t="shared" si="0"/>
        <v>91.81</v>
      </c>
    </row>
    <row r="62" spans="1:34" x14ac:dyDescent="0.2">
      <c r="A62" s="3">
        <v>9801</v>
      </c>
      <c r="B62" s="2">
        <v>-0.56999999999999995</v>
      </c>
      <c r="C62" s="2">
        <v>7.06</v>
      </c>
      <c r="D62" s="2">
        <v>-1.72</v>
      </c>
      <c r="E62" s="2">
        <v>8.1199999999999992</v>
      </c>
      <c r="F62" s="2">
        <v>4.05</v>
      </c>
      <c r="G62" s="2">
        <v>9.25</v>
      </c>
      <c r="H62" s="2">
        <v>11.6</v>
      </c>
      <c r="I62" s="2">
        <v>12.42</v>
      </c>
      <c r="J62" s="2">
        <v>10.54</v>
      </c>
      <c r="K62" s="2">
        <v>-0.24</v>
      </c>
      <c r="L62" s="2">
        <v>5.69</v>
      </c>
      <c r="M62" s="2">
        <v>1.38</v>
      </c>
      <c r="N62" s="2">
        <v>6.23</v>
      </c>
      <c r="O62" s="2">
        <v>7.44</v>
      </c>
      <c r="P62" s="2">
        <v>25.54</v>
      </c>
      <c r="Q62" s="2">
        <v>1.22</v>
      </c>
      <c r="R62" s="2">
        <v>1.38</v>
      </c>
      <c r="S62" s="2">
        <v>-5.07</v>
      </c>
      <c r="T62" s="2">
        <v>28.12</v>
      </c>
      <c r="U62" s="2">
        <v>1.36</v>
      </c>
      <c r="V62" s="2">
        <v>16.18</v>
      </c>
      <c r="W62" s="2">
        <v>22.19</v>
      </c>
      <c r="X62" s="2">
        <v>14.83</v>
      </c>
      <c r="Y62" s="2">
        <v>14.52</v>
      </c>
      <c r="Z62" s="2">
        <v>0</v>
      </c>
      <c r="AA62" s="2">
        <v>0</v>
      </c>
      <c r="AB62" s="2">
        <v>5.87</v>
      </c>
      <c r="AC62" s="2">
        <v>0</v>
      </c>
      <c r="AD62" s="2">
        <v>4.49</v>
      </c>
      <c r="AE62" s="2">
        <v>8.9600000000000009</v>
      </c>
      <c r="AF62" s="2">
        <v>105.99</v>
      </c>
      <c r="AG62" s="2">
        <v>16.420000000000002</v>
      </c>
      <c r="AH62" s="4">
        <f t="shared" si="0"/>
        <v>149.98000000000002</v>
      </c>
    </row>
    <row r="63" spans="1:34" x14ac:dyDescent="0.2">
      <c r="A63" s="3">
        <v>9831</v>
      </c>
      <c r="B63" s="2">
        <v>7.27</v>
      </c>
      <c r="C63" s="2">
        <v>22.09</v>
      </c>
      <c r="D63" s="2">
        <v>43.38</v>
      </c>
      <c r="E63" s="2">
        <v>138.38</v>
      </c>
      <c r="F63" s="2">
        <v>95.62</v>
      </c>
      <c r="G63" s="2">
        <v>136.47</v>
      </c>
      <c r="H63" s="2">
        <v>41.45</v>
      </c>
      <c r="I63" s="2">
        <v>29.73</v>
      </c>
      <c r="J63" s="2">
        <v>59.28</v>
      </c>
      <c r="K63" s="2">
        <v>39.79</v>
      </c>
      <c r="L63" s="2">
        <v>21.13</v>
      </c>
      <c r="M63" s="2">
        <v>20.350000000000001</v>
      </c>
      <c r="N63" s="2">
        <v>39.840000000000003</v>
      </c>
      <c r="O63" s="2">
        <v>5.0999999999999996</v>
      </c>
      <c r="P63" s="2">
        <v>118.87</v>
      </c>
      <c r="Q63" s="2">
        <v>5.91</v>
      </c>
      <c r="R63" s="2">
        <v>5.15</v>
      </c>
      <c r="S63" s="2">
        <v>62.76</v>
      </c>
      <c r="T63" s="2">
        <v>44.16</v>
      </c>
      <c r="U63" s="2">
        <v>4.7699999999999996</v>
      </c>
      <c r="V63" s="2">
        <v>13.31</v>
      </c>
      <c r="W63" s="2">
        <v>15.43</v>
      </c>
      <c r="X63" s="2">
        <v>9.74</v>
      </c>
      <c r="Y63" s="2">
        <v>8.4</v>
      </c>
      <c r="Z63" s="2">
        <v>0</v>
      </c>
      <c r="AA63" s="2">
        <v>0.14000000000000001</v>
      </c>
      <c r="AB63" s="2">
        <v>26.72</v>
      </c>
      <c r="AC63" s="2">
        <v>6.92</v>
      </c>
      <c r="AD63" s="2">
        <v>3.78</v>
      </c>
      <c r="AE63" s="2">
        <v>19.52</v>
      </c>
      <c r="AF63" s="2">
        <v>69.540000000000006</v>
      </c>
      <c r="AG63" s="2">
        <v>12.92</v>
      </c>
      <c r="AH63" s="4">
        <f t="shared" si="0"/>
        <v>954.80999999999983</v>
      </c>
    </row>
    <row r="64" spans="1:34" x14ac:dyDescent="0.2">
      <c r="A64" s="3">
        <v>9862</v>
      </c>
      <c r="B64" s="2">
        <v>8.07</v>
      </c>
      <c r="C64" s="2">
        <v>16.809999999999999</v>
      </c>
      <c r="D64" s="2">
        <v>-0.71</v>
      </c>
      <c r="E64" s="2">
        <v>18.29</v>
      </c>
      <c r="F64" s="2">
        <v>-16.25</v>
      </c>
      <c r="G64" s="2">
        <v>31.52</v>
      </c>
      <c r="H64" s="2">
        <v>-2.2200000000000002</v>
      </c>
      <c r="I64" s="2">
        <v>13.34</v>
      </c>
      <c r="J64" s="2">
        <v>11.67</v>
      </c>
      <c r="K64" s="2">
        <v>-9.26</v>
      </c>
      <c r="L64" s="2">
        <v>2.5499999999999998</v>
      </c>
      <c r="M64" s="2">
        <v>1.73</v>
      </c>
      <c r="N64" s="2">
        <v>8.66</v>
      </c>
      <c r="O64" s="2">
        <v>2.5</v>
      </c>
      <c r="P64" s="2">
        <v>34.340000000000003</v>
      </c>
      <c r="Q64" s="2">
        <v>2.12</v>
      </c>
      <c r="R64" s="2">
        <v>4.16</v>
      </c>
      <c r="S64" s="2">
        <v>2.8</v>
      </c>
      <c r="T64" s="2">
        <v>26.95</v>
      </c>
      <c r="U64" s="2">
        <v>4.54</v>
      </c>
      <c r="V64" s="2">
        <v>11.84</v>
      </c>
      <c r="W64" s="2">
        <v>11.73</v>
      </c>
      <c r="X64" s="2">
        <v>7.72</v>
      </c>
      <c r="Y64" s="2">
        <v>7.61</v>
      </c>
      <c r="Z64" s="2">
        <v>56.03</v>
      </c>
      <c r="AA64" s="2">
        <v>48.46</v>
      </c>
      <c r="AB64" s="2">
        <v>1.25</v>
      </c>
      <c r="AC64" s="2">
        <v>8.92</v>
      </c>
      <c r="AD64" s="2">
        <v>3.77</v>
      </c>
      <c r="AE64" s="2">
        <v>31.49</v>
      </c>
      <c r="AF64" s="2">
        <v>63.89</v>
      </c>
      <c r="AG64" s="2">
        <v>11.2</v>
      </c>
      <c r="AH64" s="4">
        <f t="shared" si="0"/>
        <v>173.45</v>
      </c>
    </row>
    <row r="65" spans="1:34" x14ac:dyDescent="0.2">
      <c r="A65" s="3">
        <v>9893</v>
      </c>
      <c r="B65" s="2">
        <v>11.34</v>
      </c>
      <c r="C65" s="2">
        <v>24.37</v>
      </c>
      <c r="D65" s="2">
        <v>12.46</v>
      </c>
      <c r="E65" s="2">
        <v>40.85</v>
      </c>
      <c r="F65" s="2">
        <v>20.98</v>
      </c>
      <c r="G65" s="2">
        <v>44.51</v>
      </c>
      <c r="H65" s="2">
        <v>19.78</v>
      </c>
      <c r="I65" s="2">
        <v>23.77</v>
      </c>
      <c r="J65" s="2">
        <v>39.78</v>
      </c>
      <c r="K65" s="2">
        <v>3.12</v>
      </c>
      <c r="L65" s="2">
        <v>13.03</v>
      </c>
      <c r="M65" s="2">
        <v>0.65</v>
      </c>
      <c r="N65" s="2">
        <v>14.04</v>
      </c>
      <c r="O65" s="2">
        <v>1.97</v>
      </c>
      <c r="P65" s="2">
        <v>36.119999999999997</v>
      </c>
      <c r="Q65" s="2">
        <v>2.08</v>
      </c>
      <c r="R65" s="2">
        <v>3.86</v>
      </c>
      <c r="S65" s="2">
        <v>6.25</v>
      </c>
      <c r="T65" s="2">
        <v>26.12</v>
      </c>
      <c r="U65" s="2">
        <v>4.5</v>
      </c>
      <c r="V65" s="2">
        <v>11.72</v>
      </c>
      <c r="W65" s="2">
        <v>4.26</v>
      </c>
      <c r="X65" s="2">
        <v>10.06</v>
      </c>
      <c r="Y65" s="2">
        <v>8.84</v>
      </c>
      <c r="Z65" s="2">
        <v>4.0999999999999996</v>
      </c>
      <c r="AA65" s="2">
        <v>1</v>
      </c>
      <c r="AB65" s="2">
        <v>0</v>
      </c>
      <c r="AC65" s="2">
        <v>7.42</v>
      </c>
      <c r="AD65" s="2">
        <v>3.67</v>
      </c>
      <c r="AE65" s="2">
        <v>33.75</v>
      </c>
      <c r="AF65" s="2">
        <v>69.56</v>
      </c>
      <c r="AG65" s="2">
        <v>9.8800000000000008</v>
      </c>
      <c r="AH65" s="4">
        <f t="shared" si="0"/>
        <v>361.30000000000013</v>
      </c>
    </row>
    <row r="66" spans="1:34" x14ac:dyDescent="0.2">
      <c r="A66" s="3">
        <v>9921</v>
      </c>
      <c r="B66" s="2">
        <v>21.18</v>
      </c>
      <c r="C66" s="2">
        <v>66.709999999999994</v>
      </c>
      <c r="D66" s="2">
        <v>64.27</v>
      </c>
      <c r="E66" s="2">
        <v>162.91</v>
      </c>
      <c r="F66" s="2">
        <v>180.06</v>
      </c>
      <c r="G66" s="2">
        <v>219.19</v>
      </c>
      <c r="H66" s="2">
        <v>24.68</v>
      </c>
      <c r="I66" s="2">
        <v>37.979999999999997</v>
      </c>
      <c r="J66" s="2">
        <v>108.57</v>
      </c>
      <c r="K66" s="2">
        <v>70.92</v>
      </c>
      <c r="L66" s="2">
        <v>67.08</v>
      </c>
      <c r="M66" s="2">
        <v>34.57</v>
      </c>
      <c r="N66" s="2">
        <v>89.68</v>
      </c>
      <c r="O66" s="2">
        <v>4.04</v>
      </c>
      <c r="P66" s="2">
        <v>98.95</v>
      </c>
      <c r="Q66" s="2">
        <v>3.14</v>
      </c>
      <c r="R66" s="2">
        <v>12.41</v>
      </c>
      <c r="S66" s="2">
        <v>44.47</v>
      </c>
      <c r="T66" s="2">
        <v>56.9</v>
      </c>
      <c r="U66" s="2">
        <v>7.4</v>
      </c>
      <c r="V66" s="2">
        <v>14.58</v>
      </c>
      <c r="W66" s="2">
        <v>0</v>
      </c>
      <c r="X66" s="2">
        <v>3.51</v>
      </c>
      <c r="Y66" s="2">
        <v>3.72</v>
      </c>
      <c r="Z66" s="2">
        <v>10.11</v>
      </c>
      <c r="AA66" s="2">
        <v>45.16</v>
      </c>
      <c r="AB66" s="2">
        <v>9.23</v>
      </c>
      <c r="AC66" s="2">
        <v>13.24</v>
      </c>
      <c r="AD66" s="2">
        <v>4.8</v>
      </c>
      <c r="AE66" s="2">
        <v>24.26</v>
      </c>
      <c r="AF66" s="2">
        <v>57.98</v>
      </c>
      <c r="AG66" s="2">
        <v>10.08</v>
      </c>
      <c r="AH66" s="4">
        <f t="shared" si="0"/>
        <v>1389.6900000000003</v>
      </c>
    </row>
    <row r="67" spans="1:34" x14ac:dyDescent="0.2">
      <c r="A67" s="3">
        <v>9952</v>
      </c>
      <c r="B67" s="2">
        <v>16.329999999999998</v>
      </c>
      <c r="C67" s="2">
        <v>24.8</v>
      </c>
      <c r="D67" s="2">
        <v>-26.83</v>
      </c>
      <c r="E67" s="2">
        <v>-52.15</v>
      </c>
      <c r="F67" s="2">
        <v>-55.4</v>
      </c>
      <c r="G67" s="2">
        <v>-112.82</v>
      </c>
      <c r="H67" s="2">
        <v>13.34</v>
      </c>
      <c r="I67" s="2">
        <v>23.09</v>
      </c>
      <c r="J67" s="2">
        <v>9.2899999999999991</v>
      </c>
      <c r="K67" s="2">
        <v>-8.4499999999999993</v>
      </c>
      <c r="L67" s="2">
        <v>16.649999999999999</v>
      </c>
      <c r="M67" s="2">
        <v>2.5</v>
      </c>
      <c r="N67" s="2">
        <v>17.41</v>
      </c>
      <c r="O67" s="2">
        <v>5.87</v>
      </c>
      <c r="P67" s="2">
        <v>67.150000000000006</v>
      </c>
      <c r="Q67" s="2">
        <v>4.7</v>
      </c>
      <c r="R67" s="2">
        <v>7.62</v>
      </c>
      <c r="S67" s="2">
        <v>17.739999999999998</v>
      </c>
      <c r="T67" s="2">
        <v>29.12</v>
      </c>
      <c r="U67" s="2">
        <v>5.34</v>
      </c>
      <c r="V67" s="2">
        <v>21.03</v>
      </c>
      <c r="W67" s="2">
        <v>0</v>
      </c>
      <c r="X67" s="2">
        <v>4.4400000000000004</v>
      </c>
      <c r="Y67" s="2">
        <v>3.58</v>
      </c>
      <c r="Z67" s="2">
        <v>1.37</v>
      </c>
      <c r="AA67" s="2">
        <v>4.01</v>
      </c>
      <c r="AB67" s="2">
        <v>1.6</v>
      </c>
      <c r="AC67" s="2">
        <v>7.17</v>
      </c>
      <c r="AD67" s="2">
        <v>6.35</v>
      </c>
      <c r="AE67" s="2">
        <v>28.32</v>
      </c>
      <c r="AF67" s="2">
        <v>68.42</v>
      </c>
      <c r="AG67" s="2">
        <v>10.69</v>
      </c>
      <c r="AH67" s="4">
        <f t="shared" ref="AH67:AH130" si="1">SUM(B67:V67)</f>
        <v>26.33000000000003</v>
      </c>
    </row>
    <row r="68" spans="1:34" x14ac:dyDescent="0.2">
      <c r="A68" s="3">
        <v>9982</v>
      </c>
      <c r="B68" s="2">
        <v>16.239999999999998</v>
      </c>
      <c r="C68" s="2">
        <v>18.239999999999998</v>
      </c>
      <c r="D68" s="2">
        <v>-6</v>
      </c>
      <c r="E68" s="2">
        <v>-6.61</v>
      </c>
      <c r="F68" s="2">
        <v>27.31</v>
      </c>
      <c r="G68" s="2">
        <v>-15.16</v>
      </c>
      <c r="H68" s="2">
        <v>14.46</v>
      </c>
      <c r="I68" s="2">
        <v>30.58</v>
      </c>
      <c r="J68" s="2">
        <v>31.45</v>
      </c>
      <c r="K68" s="2">
        <v>28.53</v>
      </c>
      <c r="L68" s="2">
        <v>35.14</v>
      </c>
      <c r="M68" s="2">
        <v>15.66</v>
      </c>
      <c r="N68" s="2">
        <v>38.19</v>
      </c>
      <c r="O68" s="2">
        <v>4.95</v>
      </c>
      <c r="P68" s="2">
        <v>82.25</v>
      </c>
      <c r="Q68" s="2">
        <v>6.81</v>
      </c>
      <c r="R68" s="2">
        <v>5.14</v>
      </c>
      <c r="S68" s="2">
        <v>4.84</v>
      </c>
      <c r="T68" s="2">
        <v>29.6</v>
      </c>
      <c r="U68" s="2">
        <v>6.08</v>
      </c>
      <c r="V68" s="2">
        <v>19.670000000000002</v>
      </c>
      <c r="W68" s="2">
        <v>0</v>
      </c>
      <c r="X68" s="2">
        <v>5.41</v>
      </c>
      <c r="Y68" s="2">
        <v>4.87</v>
      </c>
      <c r="Z68" s="2">
        <v>0</v>
      </c>
      <c r="AA68" s="2">
        <v>0</v>
      </c>
      <c r="AB68" s="2">
        <v>0.56999999999999995</v>
      </c>
      <c r="AC68" s="2">
        <v>2.91</v>
      </c>
      <c r="AD68" s="2">
        <v>7.11</v>
      </c>
      <c r="AE68" s="2">
        <v>17.37</v>
      </c>
      <c r="AF68" s="2">
        <v>84.67</v>
      </c>
      <c r="AG68" s="2">
        <v>14.64</v>
      </c>
      <c r="AH68" s="4">
        <f t="shared" si="1"/>
        <v>387.37</v>
      </c>
    </row>
    <row r="69" spans="1:34" x14ac:dyDescent="0.2">
      <c r="A69" s="3">
        <v>10013</v>
      </c>
      <c r="B69" s="2">
        <v>9.5500000000000007</v>
      </c>
      <c r="C69" s="2">
        <v>11.38</v>
      </c>
      <c r="D69" s="2">
        <v>-9.44</v>
      </c>
      <c r="E69" s="2">
        <v>-66.540000000000006</v>
      </c>
      <c r="F69" s="2">
        <v>-46.77</v>
      </c>
      <c r="G69" s="2">
        <v>-61.86</v>
      </c>
      <c r="H69" s="2">
        <v>-0.63</v>
      </c>
      <c r="I69" s="2">
        <v>20.34</v>
      </c>
      <c r="J69" s="2">
        <v>31.93</v>
      </c>
      <c r="K69" s="2">
        <v>62.09</v>
      </c>
      <c r="L69" s="2">
        <v>26.04</v>
      </c>
      <c r="M69" s="2">
        <v>30.22</v>
      </c>
      <c r="N69" s="2">
        <v>63.96</v>
      </c>
      <c r="O69" s="2">
        <v>16.43</v>
      </c>
      <c r="P69" s="2">
        <v>129.47</v>
      </c>
      <c r="Q69" s="2">
        <v>10.69</v>
      </c>
      <c r="R69" s="2">
        <v>10.08</v>
      </c>
      <c r="S69" s="2">
        <v>10.79</v>
      </c>
      <c r="T69" s="2">
        <v>54.65</v>
      </c>
      <c r="U69" s="2">
        <v>8.34</v>
      </c>
      <c r="V69" s="2">
        <v>28.33</v>
      </c>
      <c r="W69" s="2">
        <v>4.88</v>
      </c>
      <c r="X69" s="2">
        <v>8.4499999999999993</v>
      </c>
      <c r="Y69" s="2">
        <v>7.25</v>
      </c>
      <c r="Z69" s="2">
        <v>0</v>
      </c>
      <c r="AA69" s="2">
        <v>0</v>
      </c>
      <c r="AB69" s="2">
        <v>0</v>
      </c>
      <c r="AC69" s="2">
        <v>1.1000000000000001</v>
      </c>
      <c r="AD69" s="2">
        <v>8.25</v>
      </c>
      <c r="AE69" s="2">
        <v>2.06</v>
      </c>
      <c r="AF69" s="2">
        <v>95.62</v>
      </c>
      <c r="AG69" s="2">
        <v>17.690000000000001</v>
      </c>
      <c r="AH69" s="4">
        <f t="shared" si="1"/>
        <v>339.04999999999995</v>
      </c>
    </row>
    <row r="70" spans="1:34" x14ac:dyDescent="0.2">
      <c r="A70" s="3">
        <v>10043</v>
      </c>
      <c r="B70" s="2">
        <v>4.2699999999999996</v>
      </c>
      <c r="C70" s="2">
        <v>8.2799999999999994</v>
      </c>
      <c r="D70" s="2">
        <v>-9.7100000000000009</v>
      </c>
      <c r="E70" s="2">
        <v>-80.12</v>
      </c>
      <c r="F70" s="2">
        <v>-52.85</v>
      </c>
      <c r="G70" s="2">
        <v>-50.85</v>
      </c>
      <c r="H70" s="2">
        <v>-7.01</v>
      </c>
      <c r="I70" s="2">
        <v>18.82</v>
      </c>
      <c r="J70" s="2">
        <v>5.67</v>
      </c>
      <c r="K70" s="2">
        <v>5.63</v>
      </c>
      <c r="L70" s="2">
        <v>16.54</v>
      </c>
      <c r="M70" s="2">
        <v>24.55</v>
      </c>
      <c r="N70" s="2">
        <v>33.1</v>
      </c>
      <c r="O70" s="2">
        <v>32.71</v>
      </c>
      <c r="P70" s="2">
        <v>81.89</v>
      </c>
      <c r="Q70" s="2">
        <v>9.1199999999999992</v>
      </c>
      <c r="R70" s="2">
        <v>9.65</v>
      </c>
      <c r="S70" s="2">
        <v>8.98</v>
      </c>
      <c r="T70" s="2">
        <v>53.16</v>
      </c>
      <c r="U70" s="2">
        <v>4.49</v>
      </c>
      <c r="V70" s="2">
        <v>27.48</v>
      </c>
      <c r="W70" s="2">
        <v>18.62</v>
      </c>
      <c r="X70" s="2">
        <v>13.84</v>
      </c>
      <c r="Y70" s="2">
        <v>13.36</v>
      </c>
      <c r="Z70" s="2">
        <v>0</v>
      </c>
      <c r="AA70" s="2">
        <v>0</v>
      </c>
      <c r="AB70" s="2">
        <v>0</v>
      </c>
      <c r="AC70" s="2">
        <v>0</v>
      </c>
      <c r="AD70" s="2">
        <v>7.93</v>
      </c>
      <c r="AE70" s="2">
        <v>0.59</v>
      </c>
      <c r="AF70" s="2">
        <v>104.64</v>
      </c>
      <c r="AG70" s="2">
        <v>22.83</v>
      </c>
      <c r="AH70" s="4">
        <f t="shared" si="1"/>
        <v>143.79999999999998</v>
      </c>
    </row>
    <row r="71" spans="1:34" x14ac:dyDescent="0.2">
      <c r="A71" s="3">
        <v>10074</v>
      </c>
      <c r="B71" s="2">
        <v>1.64</v>
      </c>
      <c r="C71" s="2">
        <v>7.13</v>
      </c>
      <c r="D71" s="2">
        <v>-9.73</v>
      </c>
      <c r="E71" s="2">
        <v>-79.540000000000006</v>
      </c>
      <c r="F71" s="2">
        <v>-37.130000000000003</v>
      </c>
      <c r="G71" s="2">
        <v>-44.47</v>
      </c>
      <c r="H71" s="2">
        <v>-6.96</v>
      </c>
      <c r="I71" s="2">
        <v>8.1</v>
      </c>
      <c r="J71" s="2">
        <v>-46.19</v>
      </c>
      <c r="K71" s="2">
        <v>-74.69</v>
      </c>
      <c r="L71" s="2">
        <v>-77.42</v>
      </c>
      <c r="M71" s="2">
        <v>-48.31</v>
      </c>
      <c r="N71" s="2">
        <v>-20.92</v>
      </c>
      <c r="O71" s="2">
        <v>45.17</v>
      </c>
      <c r="P71" s="2">
        <v>47.32</v>
      </c>
      <c r="Q71" s="2">
        <v>3.55</v>
      </c>
      <c r="R71" s="2">
        <v>5.6</v>
      </c>
      <c r="S71" s="2">
        <v>12.49</v>
      </c>
      <c r="T71" s="2">
        <v>45.64</v>
      </c>
      <c r="U71" s="2">
        <v>3.58</v>
      </c>
      <c r="V71" s="2">
        <v>26.08</v>
      </c>
      <c r="W71" s="2">
        <v>30.39</v>
      </c>
      <c r="X71" s="2">
        <v>19.11</v>
      </c>
      <c r="Y71" s="2">
        <v>18.989999999999998</v>
      </c>
      <c r="Z71" s="2">
        <v>0.82</v>
      </c>
      <c r="AA71" s="2">
        <v>8.17</v>
      </c>
      <c r="AB71" s="2">
        <v>0.56999999999999995</v>
      </c>
      <c r="AC71" s="2">
        <v>0</v>
      </c>
      <c r="AD71" s="2">
        <v>6.88</v>
      </c>
      <c r="AE71" s="2">
        <v>0.17</v>
      </c>
      <c r="AF71" s="2">
        <v>113.96</v>
      </c>
      <c r="AG71" s="2">
        <v>24.8</v>
      </c>
      <c r="AH71" s="4">
        <f t="shared" si="1"/>
        <v>-239.06000000000006</v>
      </c>
    </row>
    <row r="72" spans="1:34" x14ac:dyDescent="0.2">
      <c r="A72" s="3">
        <v>10105</v>
      </c>
      <c r="B72" s="2">
        <v>0.93</v>
      </c>
      <c r="C72" s="2">
        <v>7.06</v>
      </c>
      <c r="D72" s="2">
        <v>-5.89</v>
      </c>
      <c r="E72" s="2">
        <v>-59.84</v>
      </c>
      <c r="F72" s="2">
        <v>-15.86</v>
      </c>
      <c r="G72" s="2">
        <v>-28.79</v>
      </c>
      <c r="H72" s="2">
        <v>1.31</v>
      </c>
      <c r="I72" s="2">
        <v>8.56</v>
      </c>
      <c r="J72" s="2">
        <v>-33.99</v>
      </c>
      <c r="K72" s="2">
        <v>-42.79</v>
      </c>
      <c r="L72" s="2">
        <v>-40.380000000000003</v>
      </c>
      <c r="M72" s="2">
        <v>-24.35</v>
      </c>
      <c r="N72" s="2">
        <v>-17.68</v>
      </c>
      <c r="O72" s="2">
        <v>38.090000000000003</v>
      </c>
      <c r="P72" s="2">
        <v>35.67</v>
      </c>
      <c r="Q72" s="2">
        <v>1.42</v>
      </c>
      <c r="R72" s="2">
        <v>1.34</v>
      </c>
      <c r="S72" s="2">
        <v>14.32</v>
      </c>
      <c r="T72" s="2">
        <v>44.69</v>
      </c>
      <c r="U72" s="2">
        <v>5.3</v>
      </c>
      <c r="V72" s="2">
        <v>25.83</v>
      </c>
      <c r="W72" s="2">
        <v>31.47</v>
      </c>
      <c r="X72" s="2">
        <v>21.43</v>
      </c>
      <c r="Y72" s="2">
        <v>21.46</v>
      </c>
      <c r="Z72" s="2">
        <v>0.14000000000000001</v>
      </c>
      <c r="AA72" s="2">
        <v>0.17</v>
      </c>
      <c r="AB72" s="2">
        <v>0</v>
      </c>
      <c r="AC72" s="2">
        <v>0</v>
      </c>
      <c r="AD72" s="2">
        <v>6.22</v>
      </c>
      <c r="AE72" s="2">
        <v>0.48</v>
      </c>
      <c r="AF72" s="2">
        <v>115.89</v>
      </c>
      <c r="AG72" s="2">
        <v>23.65</v>
      </c>
      <c r="AH72" s="4">
        <f t="shared" si="1"/>
        <v>-85.050000000000011</v>
      </c>
    </row>
    <row r="73" spans="1:34" x14ac:dyDescent="0.2">
      <c r="A73" s="3">
        <v>10135</v>
      </c>
      <c r="B73" s="2">
        <v>0.66</v>
      </c>
      <c r="C73" s="2">
        <v>8.68</v>
      </c>
      <c r="D73" s="2">
        <v>-4.18</v>
      </c>
      <c r="E73" s="2">
        <v>-36.869999999999997</v>
      </c>
      <c r="F73" s="2">
        <v>-4.55</v>
      </c>
      <c r="G73" s="2">
        <v>-13.38</v>
      </c>
      <c r="H73" s="2">
        <v>9.41</v>
      </c>
      <c r="I73" s="2">
        <v>12.69</v>
      </c>
      <c r="J73" s="2">
        <v>-7</v>
      </c>
      <c r="K73" s="2">
        <v>-19.63</v>
      </c>
      <c r="L73" s="2">
        <v>-21.13</v>
      </c>
      <c r="M73" s="2">
        <v>-10.89</v>
      </c>
      <c r="N73" s="2">
        <v>1.33</v>
      </c>
      <c r="O73" s="2">
        <v>1.1200000000000001</v>
      </c>
      <c r="P73" s="2">
        <v>14.96</v>
      </c>
      <c r="Q73" s="2">
        <v>3.2</v>
      </c>
      <c r="R73" s="2">
        <v>4.03</v>
      </c>
      <c r="S73" s="2">
        <v>-0.7</v>
      </c>
      <c r="T73" s="2">
        <v>28.47</v>
      </c>
      <c r="U73" s="2">
        <v>4.6399999999999997</v>
      </c>
      <c r="V73" s="2">
        <v>10.6</v>
      </c>
      <c r="W73" s="2">
        <v>26.1</v>
      </c>
      <c r="X73" s="2">
        <v>20.329999999999998</v>
      </c>
      <c r="Y73" s="2">
        <v>20.14</v>
      </c>
      <c r="Z73" s="2">
        <v>0</v>
      </c>
      <c r="AA73" s="2">
        <v>0</v>
      </c>
      <c r="AB73" s="2">
        <v>2.2799999999999998</v>
      </c>
      <c r="AC73" s="2">
        <v>0</v>
      </c>
      <c r="AD73" s="2">
        <v>5.57</v>
      </c>
      <c r="AE73" s="2">
        <v>1.81</v>
      </c>
      <c r="AF73" s="2">
        <v>107.95</v>
      </c>
      <c r="AG73" s="2">
        <v>20.170000000000002</v>
      </c>
      <c r="AH73" s="4">
        <f t="shared" si="1"/>
        <v>-18.54</v>
      </c>
    </row>
    <row r="74" spans="1:34" x14ac:dyDescent="0.2">
      <c r="A74" s="3">
        <v>10166</v>
      </c>
      <c r="B74" s="2">
        <v>1.62</v>
      </c>
      <c r="C74" s="2">
        <v>8.56</v>
      </c>
      <c r="D74" s="2">
        <v>-2.39</v>
      </c>
      <c r="E74" s="2">
        <v>-5.76</v>
      </c>
      <c r="F74" s="2">
        <v>3.93</v>
      </c>
      <c r="G74" s="2">
        <v>3</v>
      </c>
      <c r="H74" s="2">
        <v>10.84</v>
      </c>
      <c r="I74" s="2">
        <v>14.65</v>
      </c>
      <c r="J74" s="2">
        <v>7.7</v>
      </c>
      <c r="K74" s="2">
        <v>2.04</v>
      </c>
      <c r="L74" s="2">
        <v>2.16</v>
      </c>
      <c r="M74" s="2">
        <v>2.19</v>
      </c>
      <c r="N74" s="2">
        <v>5.28</v>
      </c>
      <c r="O74" s="2">
        <v>5.54</v>
      </c>
      <c r="P74" s="2">
        <v>25.6</v>
      </c>
      <c r="Q74" s="2">
        <v>2.25</v>
      </c>
      <c r="R74" s="2">
        <v>1.81</v>
      </c>
      <c r="S74" s="2">
        <v>5.96</v>
      </c>
      <c r="T74" s="2">
        <v>28.28</v>
      </c>
      <c r="U74" s="2">
        <v>4.4000000000000004</v>
      </c>
      <c r="V74" s="2">
        <v>11.53</v>
      </c>
      <c r="W74" s="2">
        <v>22.19</v>
      </c>
      <c r="X74" s="2">
        <v>18.84</v>
      </c>
      <c r="Y74" s="2">
        <v>18.62</v>
      </c>
      <c r="Z74" s="2">
        <v>8.06</v>
      </c>
      <c r="AA74" s="2">
        <v>10.039999999999999</v>
      </c>
      <c r="AB74" s="2">
        <v>1.36</v>
      </c>
      <c r="AC74" s="2">
        <v>8.27</v>
      </c>
      <c r="AD74" s="2">
        <v>3.82</v>
      </c>
      <c r="AE74" s="2">
        <v>9.8699999999999992</v>
      </c>
      <c r="AF74" s="2">
        <v>97.91</v>
      </c>
      <c r="AG74" s="2">
        <v>16.420000000000002</v>
      </c>
      <c r="AH74" s="4">
        <f t="shared" si="1"/>
        <v>139.19</v>
      </c>
    </row>
    <row r="75" spans="1:34" x14ac:dyDescent="0.2">
      <c r="A75" s="3">
        <v>10196</v>
      </c>
      <c r="B75" s="2">
        <v>6.88</v>
      </c>
      <c r="C75" s="2">
        <v>19.43</v>
      </c>
      <c r="D75" s="2">
        <v>14.5</v>
      </c>
      <c r="E75" s="2">
        <v>61.71</v>
      </c>
      <c r="F75" s="2">
        <v>33.97</v>
      </c>
      <c r="G75" s="2">
        <v>45.29</v>
      </c>
      <c r="H75" s="2">
        <v>22.23</v>
      </c>
      <c r="I75" s="2">
        <v>19.79</v>
      </c>
      <c r="J75" s="2">
        <v>22.84</v>
      </c>
      <c r="K75" s="2">
        <v>3.59</v>
      </c>
      <c r="L75" s="2">
        <v>15</v>
      </c>
      <c r="M75" s="2">
        <v>9.08</v>
      </c>
      <c r="N75" s="2">
        <v>11.61</v>
      </c>
      <c r="O75" s="2">
        <v>3.83</v>
      </c>
      <c r="P75" s="2">
        <v>40.9</v>
      </c>
      <c r="Q75" s="2">
        <v>2.54</v>
      </c>
      <c r="R75" s="2">
        <v>4.37</v>
      </c>
      <c r="S75" s="2">
        <v>10.14</v>
      </c>
      <c r="T75" s="2">
        <v>27.84</v>
      </c>
      <c r="U75" s="2">
        <v>5.19</v>
      </c>
      <c r="V75" s="2">
        <v>9.9499999999999993</v>
      </c>
      <c r="W75" s="2">
        <v>15.43</v>
      </c>
      <c r="X75" s="2">
        <v>12.35</v>
      </c>
      <c r="Y75" s="2">
        <v>11.09</v>
      </c>
      <c r="Z75" s="2">
        <v>0</v>
      </c>
      <c r="AA75" s="2">
        <v>7.17</v>
      </c>
      <c r="AB75" s="2">
        <v>2.68</v>
      </c>
      <c r="AC75" s="2">
        <v>7.27</v>
      </c>
      <c r="AD75" s="2">
        <v>2.97</v>
      </c>
      <c r="AE75" s="2">
        <v>16.89</v>
      </c>
      <c r="AF75" s="2">
        <v>64.239999999999995</v>
      </c>
      <c r="AG75" s="2">
        <v>12.92</v>
      </c>
      <c r="AH75" s="4">
        <f t="shared" si="1"/>
        <v>390.67999999999995</v>
      </c>
    </row>
    <row r="76" spans="1:34" x14ac:dyDescent="0.2">
      <c r="A76" s="3">
        <v>10227</v>
      </c>
      <c r="B76" s="2">
        <v>6.72</v>
      </c>
      <c r="C76" s="2">
        <v>16.600000000000001</v>
      </c>
      <c r="D76" s="2">
        <v>6.2</v>
      </c>
      <c r="E76" s="2">
        <v>14.59</v>
      </c>
      <c r="F76" s="2">
        <v>-1.32</v>
      </c>
      <c r="G76" s="2">
        <v>36</v>
      </c>
      <c r="H76" s="2">
        <v>9.39</v>
      </c>
      <c r="I76" s="2">
        <v>16.95</v>
      </c>
      <c r="J76" s="2">
        <v>24.06</v>
      </c>
      <c r="K76" s="2">
        <v>5.41</v>
      </c>
      <c r="L76" s="2">
        <v>3.51</v>
      </c>
      <c r="M76" s="2">
        <v>8.5500000000000007</v>
      </c>
      <c r="N76" s="2">
        <v>7.6</v>
      </c>
      <c r="O76" s="2">
        <v>2.1</v>
      </c>
      <c r="P76" s="2">
        <v>30.43</v>
      </c>
      <c r="Q76" s="2">
        <v>1.47</v>
      </c>
      <c r="R76" s="2">
        <v>2.2000000000000002</v>
      </c>
      <c r="S76" s="2">
        <v>4.0599999999999996</v>
      </c>
      <c r="T76" s="2">
        <v>26.36</v>
      </c>
      <c r="U76" s="2">
        <v>5.19</v>
      </c>
      <c r="V76" s="2">
        <v>10.17</v>
      </c>
      <c r="W76" s="2">
        <v>11.73</v>
      </c>
      <c r="X76" s="2">
        <v>10.119999999999999</v>
      </c>
      <c r="Y76" s="2">
        <v>10.08</v>
      </c>
      <c r="Z76" s="2">
        <v>43.05</v>
      </c>
      <c r="AA76" s="2">
        <v>37.28</v>
      </c>
      <c r="AB76" s="2">
        <v>1.1499999999999999</v>
      </c>
      <c r="AC76" s="2">
        <v>10.78</v>
      </c>
      <c r="AD76" s="2">
        <v>2.88</v>
      </c>
      <c r="AE76" s="2">
        <v>15.73</v>
      </c>
      <c r="AF76" s="2">
        <v>59.02</v>
      </c>
      <c r="AG76" s="2">
        <v>11.2</v>
      </c>
      <c r="AH76" s="4">
        <f t="shared" si="1"/>
        <v>236.23999999999998</v>
      </c>
    </row>
    <row r="77" spans="1:34" x14ac:dyDescent="0.2">
      <c r="A77" s="3">
        <v>10258</v>
      </c>
      <c r="B77" s="2">
        <v>10.18</v>
      </c>
      <c r="C77" s="2">
        <v>17.87</v>
      </c>
      <c r="D77" s="2">
        <v>4.21</v>
      </c>
      <c r="E77" s="2">
        <v>13.78</v>
      </c>
      <c r="F77" s="2">
        <v>5.0999999999999996</v>
      </c>
      <c r="G77" s="2">
        <v>30.49</v>
      </c>
      <c r="H77" s="2">
        <v>10.63</v>
      </c>
      <c r="I77" s="2">
        <v>15.61</v>
      </c>
      <c r="J77" s="2">
        <v>19.899999999999999</v>
      </c>
      <c r="K77" s="2">
        <v>-2.9</v>
      </c>
      <c r="L77" s="2">
        <v>-0.94</v>
      </c>
      <c r="M77" s="2">
        <v>-5.82</v>
      </c>
      <c r="N77" s="2">
        <v>6.84</v>
      </c>
      <c r="O77" s="2">
        <v>1.64</v>
      </c>
      <c r="P77" s="2">
        <v>31.85</v>
      </c>
      <c r="Q77" s="2">
        <v>1.36</v>
      </c>
      <c r="R77" s="2">
        <v>1.39</v>
      </c>
      <c r="S77" s="2">
        <v>-2.2799999999999998</v>
      </c>
      <c r="T77" s="2">
        <v>28.46</v>
      </c>
      <c r="U77" s="2">
        <v>3.67</v>
      </c>
      <c r="V77" s="2">
        <v>11.1</v>
      </c>
      <c r="W77" s="2">
        <v>4.26</v>
      </c>
      <c r="X77" s="2">
        <v>10.119999999999999</v>
      </c>
      <c r="Y77" s="2">
        <v>8.8000000000000007</v>
      </c>
      <c r="Z77" s="2">
        <v>0</v>
      </c>
      <c r="AA77" s="2">
        <v>0</v>
      </c>
      <c r="AB77" s="2">
        <v>0.05</v>
      </c>
      <c r="AC77" s="2">
        <v>2.0099999999999998</v>
      </c>
      <c r="AD77" s="2">
        <v>2.88</v>
      </c>
      <c r="AE77" s="2">
        <v>36.36</v>
      </c>
      <c r="AF77" s="2">
        <v>71.459999999999994</v>
      </c>
      <c r="AG77" s="2">
        <v>9.8800000000000008</v>
      </c>
      <c r="AH77" s="4">
        <f t="shared" si="1"/>
        <v>202.14</v>
      </c>
    </row>
    <row r="78" spans="1:34" x14ac:dyDescent="0.2">
      <c r="A78" s="3">
        <v>10287</v>
      </c>
      <c r="B78" s="2">
        <v>12.63</v>
      </c>
      <c r="C78" s="2">
        <v>21.47</v>
      </c>
      <c r="D78" s="2">
        <v>8.02</v>
      </c>
      <c r="E78" s="2">
        <v>33.81</v>
      </c>
      <c r="F78" s="2">
        <v>29.3</v>
      </c>
      <c r="G78" s="2">
        <v>56.65</v>
      </c>
      <c r="H78" s="2">
        <v>14.94</v>
      </c>
      <c r="I78" s="2">
        <v>17.940000000000001</v>
      </c>
      <c r="J78" s="2">
        <v>18.239999999999998</v>
      </c>
      <c r="K78" s="2">
        <v>4.66</v>
      </c>
      <c r="L78" s="2">
        <v>5.48</v>
      </c>
      <c r="M78" s="2">
        <v>-2.76</v>
      </c>
      <c r="N78" s="2">
        <v>11.04</v>
      </c>
      <c r="O78" s="2">
        <v>1.37</v>
      </c>
      <c r="P78" s="2">
        <v>33.21</v>
      </c>
      <c r="Q78" s="2">
        <v>1.1100000000000001</v>
      </c>
      <c r="R78" s="2">
        <v>1.35</v>
      </c>
      <c r="S78" s="2">
        <v>0.62</v>
      </c>
      <c r="T78" s="2">
        <v>26.43</v>
      </c>
      <c r="U78" s="2">
        <v>4.25</v>
      </c>
      <c r="V78" s="2">
        <v>10.09</v>
      </c>
      <c r="W78" s="2">
        <v>0</v>
      </c>
      <c r="X78" s="2">
        <v>3.55</v>
      </c>
      <c r="Y78" s="2">
        <v>3.6</v>
      </c>
      <c r="Z78" s="2">
        <v>2.3199999999999998</v>
      </c>
      <c r="AA78" s="2">
        <v>8.4600000000000009</v>
      </c>
      <c r="AB78" s="2">
        <v>0.31</v>
      </c>
      <c r="AC78" s="2">
        <v>5.01</v>
      </c>
      <c r="AD78" s="2">
        <v>3.26</v>
      </c>
      <c r="AE78" s="2">
        <v>36.76</v>
      </c>
      <c r="AF78" s="2">
        <v>59.57</v>
      </c>
      <c r="AG78" s="2">
        <v>10.08</v>
      </c>
      <c r="AH78" s="4">
        <f t="shared" si="1"/>
        <v>309.85000000000002</v>
      </c>
    </row>
    <row r="79" spans="1:34" x14ac:dyDescent="0.2">
      <c r="A79" s="3">
        <v>10318</v>
      </c>
      <c r="B79" s="2">
        <v>16.18</v>
      </c>
      <c r="C79" s="2">
        <v>25.93</v>
      </c>
      <c r="D79" s="2">
        <v>22.21</v>
      </c>
      <c r="E79" s="2">
        <v>90.19</v>
      </c>
      <c r="F79" s="2">
        <v>146.51</v>
      </c>
      <c r="G79" s="2">
        <v>122.94</v>
      </c>
      <c r="H79" s="2">
        <v>28.05</v>
      </c>
      <c r="I79" s="2">
        <v>37.14</v>
      </c>
      <c r="J79" s="2">
        <v>80.72</v>
      </c>
      <c r="K79" s="2">
        <v>33.090000000000003</v>
      </c>
      <c r="L79" s="2">
        <v>80.510000000000005</v>
      </c>
      <c r="M79" s="2">
        <v>35.46</v>
      </c>
      <c r="N79" s="2">
        <v>36.619999999999997</v>
      </c>
      <c r="O79" s="2">
        <v>10.11</v>
      </c>
      <c r="P79" s="2">
        <v>76.680000000000007</v>
      </c>
      <c r="Q79" s="2">
        <v>2.2599999999999998</v>
      </c>
      <c r="R79" s="2">
        <v>1.8</v>
      </c>
      <c r="S79" s="2">
        <v>16.23</v>
      </c>
      <c r="T79" s="2">
        <v>30.45</v>
      </c>
      <c r="U79" s="2">
        <v>2.4700000000000002</v>
      </c>
      <c r="V79" s="2">
        <v>15.68</v>
      </c>
      <c r="W79" s="2">
        <v>0</v>
      </c>
      <c r="X79" s="2">
        <v>4.4800000000000004</v>
      </c>
      <c r="Y79" s="2">
        <v>3.52</v>
      </c>
      <c r="Z79" s="2">
        <v>0.82</v>
      </c>
      <c r="AA79" s="2">
        <v>0.56999999999999995</v>
      </c>
      <c r="AB79" s="2">
        <v>1.78</v>
      </c>
      <c r="AC79" s="2">
        <v>4.26</v>
      </c>
      <c r="AD79" s="2">
        <v>4.99</v>
      </c>
      <c r="AE79" s="2">
        <v>22.68</v>
      </c>
      <c r="AF79" s="2">
        <v>70.290000000000006</v>
      </c>
      <c r="AG79" s="2">
        <v>10.69</v>
      </c>
      <c r="AH79" s="4">
        <f t="shared" si="1"/>
        <v>911.23000000000013</v>
      </c>
    </row>
    <row r="80" spans="1:34" x14ac:dyDescent="0.2">
      <c r="A80" s="3">
        <v>10348</v>
      </c>
      <c r="B80" s="2">
        <v>12.7</v>
      </c>
      <c r="C80" s="2">
        <v>13.78</v>
      </c>
      <c r="D80" s="2">
        <v>-10.87</v>
      </c>
      <c r="E80" s="2">
        <v>-40.65</v>
      </c>
      <c r="F80" s="2">
        <v>-65.73</v>
      </c>
      <c r="G80" s="2">
        <v>-51.32</v>
      </c>
      <c r="H80" s="2">
        <v>4.25</v>
      </c>
      <c r="I80" s="2">
        <v>23.96</v>
      </c>
      <c r="J80" s="2">
        <v>10.44</v>
      </c>
      <c r="K80" s="2">
        <v>3.28</v>
      </c>
      <c r="L80" s="2">
        <v>5.65</v>
      </c>
      <c r="M80" s="2">
        <v>0.63</v>
      </c>
      <c r="N80" s="2">
        <v>22.06</v>
      </c>
      <c r="O80" s="2">
        <v>5.0599999999999996</v>
      </c>
      <c r="P80" s="2">
        <v>79.23</v>
      </c>
      <c r="Q80" s="2">
        <v>1.72</v>
      </c>
      <c r="R80" s="2">
        <v>0.89</v>
      </c>
      <c r="S80" s="2">
        <v>-0.63</v>
      </c>
      <c r="T80" s="2">
        <v>27.36</v>
      </c>
      <c r="U80" s="2">
        <v>3.77</v>
      </c>
      <c r="V80" s="2">
        <v>19.62</v>
      </c>
      <c r="W80" s="2">
        <v>0</v>
      </c>
      <c r="X80" s="2">
        <v>5.47</v>
      </c>
      <c r="Y80" s="2">
        <v>4.79</v>
      </c>
      <c r="Z80" s="2">
        <v>0</v>
      </c>
      <c r="AA80" s="2">
        <v>0</v>
      </c>
      <c r="AB80" s="2">
        <v>0.31</v>
      </c>
      <c r="AC80" s="2">
        <v>1</v>
      </c>
      <c r="AD80" s="2">
        <v>5.44</v>
      </c>
      <c r="AE80" s="2">
        <v>9.84</v>
      </c>
      <c r="AF80" s="2">
        <v>86.98</v>
      </c>
      <c r="AG80" s="2">
        <v>14.64</v>
      </c>
      <c r="AH80" s="4">
        <f t="shared" si="1"/>
        <v>65.200000000000017</v>
      </c>
    </row>
    <row r="81" spans="1:34" x14ac:dyDescent="0.2">
      <c r="A81" s="3">
        <v>10379</v>
      </c>
      <c r="B81" s="2">
        <v>5.44</v>
      </c>
      <c r="C81" s="2">
        <v>5.43</v>
      </c>
      <c r="D81" s="2">
        <v>-10.15</v>
      </c>
      <c r="E81" s="2">
        <v>-67.34</v>
      </c>
      <c r="F81" s="2">
        <v>-58.51</v>
      </c>
      <c r="G81" s="2">
        <v>-52.53</v>
      </c>
      <c r="H81" s="2">
        <v>-8.0299999999999994</v>
      </c>
      <c r="I81" s="2">
        <v>17.309999999999999</v>
      </c>
      <c r="J81" s="2">
        <v>9.6300000000000008</v>
      </c>
      <c r="K81" s="2">
        <v>37.06</v>
      </c>
      <c r="L81" s="2">
        <v>10.78</v>
      </c>
      <c r="M81" s="2">
        <v>13.12</v>
      </c>
      <c r="N81" s="2">
        <v>47.71</v>
      </c>
      <c r="O81" s="2">
        <v>13.29</v>
      </c>
      <c r="P81" s="2">
        <v>88.6</v>
      </c>
      <c r="Q81" s="2">
        <v>4.5999999999999996</v>
      </c>
      <c r="R81" s="2">
        <v>6.06</v>
      </c>
      <c r="S81" s="2">
        <v>6.3</v>
      </c>
      <c r="T81" s="2">
        <v>35.06</v>
      </c>
      <c r="U81" s="2">
        <v>4.07</v>
      </c>
      <c r="V81" s="2">
        <v>27.46</v>
      </c>
      <c r="W81" s="2">
        <v>4.88</v>
      </c>
      <c r="X81" s="2">
        <v>8.5</v>
      </c>
      <c r="Y81" s="2">
        <v>7.17</v>
      </c>
      <c r="Z81" s="2">
        <v>0</v>
      </c>
      <c r="AA81" s="2">
        <v>0</v>
      </c>
      <c r="AB81" s="2">
        <v>4.04</v>
      </c>
      <c r="AC81" s="2">
        <v>5.77</v>
      </c>
      <c r="AD81" s="2">
        <v>5.85</v>
      </c>
      <c r="AE81" s="2">
        <v>2.94</v>
      </c>
      <c r="AF81" s="2">
        <v>98.23</v>
      </c>
      <c r="AG81" s="2">
        <v>17.690000000000001</v>
      </c>
      <c r="AH81" s="4">
        <f t="shared" si="1"/>
        <v>135.36000000000001</v>
      </c>
    </row>
    <row r="82" spans="1:34" x14ac:dyDescent="0.2">
      <c r="A82" s="3">
        <v>10409</v>
      </c>
      <c r="B82" s="2">
        <v>2.4</v>
      </c>
      <c r="C82" s="2">
        <v>6.72</v>
      </c>
      <c r="D82" s="2">
        <v>-13.51</v>
      </c>
      <c r="E82" s="2">
        <v>-77</v>
      </c>
      <c r="F82" s="2">
        <v>-43.28</v>
      </c>
      <c r="G82" s="2">
        <v>-38.31</v>
      </c>
      <c r="H82" s="2">
        <v>-9.82</v>
      </c>
      <c r="I82" s="2">
        <v>6.66</v>
      </c>
      <c r="J82" s="2">
        <v>-28.6</v>
      </c>
      <c r="K82" s="2">
        <v>-23.63</v>
      </c>
      <c r="L82" s="2">
        <v>-45.11</v>
      </c>
      <c r="M82" s="2">
        <v>-13.39</v>
      </c>
      <c r="N82" s="2">
        <v>6.26</v>
      </c>
      <c r="O82" s="2">
        <v>35.409999999999997</v>
      </c>
      <c r="P82" s="2">
        <v>84.12</v>
      </c>
      <c r="Q82" s="2">
        <v>1.42</v>
      </c>
      <c r="R82" s="2">
        <v>-1.93</v>
      </c>
      <c r="S82" s="2">
        <v>13.03</v>
      </c>
      <c r="T82" s="2">
        <v>48.21</v>
      </c>
      <c r="U82" s="2">
        <v>2.11</v>
      </c>
      <c r="V82" s="2">
        <v>31.86</v>
      </c>
      <c r="W82" s="2">
        <v>18.62</v>
      </c>
      <c r="X82" s="2">
        <v>13.89</v>
      </c>
      <c r="Y82" s="2">
        <v>13.25</v>
      </c>
      <c r="Z82" s="2">
        <v>0</v>
      </c>
      <c r="AA82" s="2">
        <v>0</v>
      </c>
      <c r="AB82" s="2">
        <v>0</v>
      </c>
      <c r="AC82" s="2">
        <v>0</v>
      </c>
      <c r="AD82" s="2">
        <v>5.68</v>
      </c>
      <c r="AE82" s="2">
        <v>0.33</v>
      </c>
      <c r="AF82" s="2">
        <v>107.5</v>
      </c>
      <c r="AG82" s="2">
        <v>22.83</v>
      </c>
      <c r="AH82" s="4">
        <f t="shared" si="1"/>
        <v>-56.380000000000024</v>
      </c>
    </row>
    <row r="83" spans="1:34" x14ac:dyDescent="0.2">
      <c r="A83" s="3">
        <v>10440</v>
      </c>
      <c r="B83" s="2">
        <v>1.59</v>
      </c>
      <c r="C83" s="2">
        <v>7.43</v>
      </c>
      <c r="D83" s="2">
        <v>-9.58</v>
      </c>
      <c r="E83" s="2">
        <v>-59.01</v>
      </c>
      <c r="F83" s="2">
        <v>-11.7</v>
      </c>
      <c r="G83" s="2">
        <v>-21.36</v>
      </c>
      <c r="H83" s="2">
        <v>-0.13</v>
      </c>
      <c r="I83" s="2">
        <v>8.2200000000000006</v>
      </c>
      <c r="J83" s="2">
        <v>-28.76</v>
      </c>
      <c r="K83" s="2">
        <v>-25.48</v>
      </c>
      <c r="L83" s="2">
        <v>-38.57</v>
      </c>
      <c r="M83" s="2">
        <v>-23.15</v>
      </c>
      <c r="N83" s="2">
        <v>-14.62</v>
      </c>
      <c r="O83" s="2">
        <v>47.03</v>
      </c>
      <c r="P83" s="2">
        <v>60.3</v>
      </c>
      <c r="Q83" s="2">
        <v>0.11</v>
      </c>
      <c r="R83" s="2">
        <v>-3.89</v>
      </c>
      <c r="S83" s="2">
        <v>20.97</v>
      </c>
      <c r="T83" s="2">
        <v>45.76</v>
      </c>
      <c r="U83" s="2">
        <v>5.71</v>
      </c>
      <c r="V83" s="2">
        <v>37.450000000000003</v>
      </c>
      <c r="W83" s="2">
        <v>30.39</v>
      </c>
      <c r="X83" s="2">
        <v>19.170000000000002</v>
      </c>
      <c r="Y83" s="2">
        <v>18.899999999999999</v>
      </c>
      <c r="Z83" s="2">
        <v>0</v>
      </c>
      <c r="AA83" s="2">
        <v>0</v>
      </c>
      <c r="AB83" s="2">
        <v>0</v>
      </c>
      <c r="AC83" s="2">
        <v>0</v>
      </c>
      <c r="AD83" s="2">
        <v>5.34</v>
      </c>
      <c r="AE83" s="2">
        <v>1</v>
      </c>
      <c r="AF83" s="2">
        <v>117.07</v>
      </c>
      <c r="AG83" s="2">
        <v>24.8</v>
      </c>
      <c r="AH83" s="4">
        <f t="shared" si="1"/>
        <v>-1.6800000000000068</v>
      </c>
    </row>
    <row r="84" spans="1:34" x14ac:dyDescent="0.2">
      <c r="A84" s="3">
        <v>10471</v>
      </c>
      <c r="B84" s="2">
        <v>0.79</v>
      </c>
      <c r="C84" s="2">
        <v>7.38</v>
      </c>
      <c r="D84" s="2">
        <v>-6.41</v>
      </c>
      <c r="E84" s="2">
        <v>-45.07</v>
      </c>
      <c r="F84" s="2">
        <v>-13.8</v>
      </c>
      <c r="G84" s="2">
        <v>-6.54</v>
      </c>
      <c r="H84" s="2">
        <v>5.14</v>
      </c>
      <c r="I84" s="2">
        <v>9.25</v>
      </c>
      <c r="J84" s="2">
        <v>-14.3</v>
      </c>
      <c r="K84" s="2">
        <v>0.71</v>
      </c>
      <c r="L84" s="2">
        <v>-17.989999999999998</v>
      </c>
      <c r="M84" s="2">
        <v>-11.34</v>
      </c>
      <c r="N84" s="2">
        <v>5.61</v>
      </c>
      <c r="O84" s="2">
        <v>37.44</v>
      </c>
      <c r="P84" s="2">
        <v>51.75</v>
      </c>
      <c r="Q84" s="2">
        <v>0.57999999999999996</v>
      </c>
      <c r="R84" s="2">
        <v>-2.98</v>
      </c>
      <c r="S84" s="2">
        <v>15.82</v>
      </c>
      <c r="T84" s="2">
        <v>44.11</v>
      </c>
      <c r="U84" s="2">
        <v>4.8600000000000003</v>
      </c>
      <c r="V84" s="2">
        <v>36.68</v>
      </c>
      <c r="W84" s="2">
        <v>31.47</v>
      </c>
      <c r="X84" s="2">
        <v>21.5</v>
      </c>
      <c r="Y84" s="2">
        <v>21.36</v>
      </c>
      <c r="Z84" s="2">
        <v>0</v>
      </c>
      <c r="AA84" s="2">
        <v>0</v>
      </c>
      <c r="AB84" s="2">
        <v>0</v>
      </c>
      <c r="AC84" s="2">
        <v>0</v>
      </c>
      <c r="AD84" s="2">
        <v>5.24</v>
      </c>
      <c r="AE84" s="2">
        <v>0</v>
      </c>
      <c r="AF84" s="2">
        <v>119.06</v>
      </c>
      <c r="AG84" s="2">
        <v>23.65</v>
      </c>
      <c r="AH84" s="4">
        <f t="shared" si="1"/>
        <v>101.69</v>
      </c>
    </row>
    <row r="85" spans="1:34" x14ac:dyDescent="0.2">
      <c r="A85" s="3">
        <v>10501</v>
      </c>
      <c r="B85" s="2">
        <v>0.38</v>
      </c>
      <c r="C85" s="2">
        <v>8.17</v>
      </c>
      <c r="D85" s="2">
        <v>-6.08</v>
      </c>
      <c r="E85" s="2">
        <v>-16.72</v>
      </c>
      <c r="F85" s="2">
        <v>-0.21</v>
      </c>
      <c r="G85" s="2">
        <v>5.9</v>
      </c>
      <c r="H85" s="2">
        <v>11.33</v>
      </c>
      <c r="I85" s="2">
        <v>13.17</v>
      </c>
      <c r="J85" s="2">
        <v>7.51</v>
      </c>
      <c r="K85" s="2">
        <v>0.15</v>
      </c>
      <c r="L85" s="2">
        <v>-3.56</v>
      </c>
      <c r="M85" s="2">
        <v>1.03</v>
      </c>
      <c r="N85" s="2">
        <v>10.89</v>
      </c>
      <c r="O85" s="2">
        <v>-0.93</v>
      </c>
      <c r="P85" s="2">
        <v>23.14</v>
      </c>
      <c r="Q85" s="2">
        <v>2.98</v>
      </c>
      <c r="R85" s="2">
        <v>1.43</v>
      </c>
      <c r="S85" s="2">
        <v>-2.2799999999999998</v>
      </c>
      <c r="T85" s="2">
        <v>26.95</v>
      </c>
      <c r="U85" s="2">
        <v>2.83</v>
      </c>
      <c r="V85" s="2">
        <v>12.34</v>
      </c>
      <c r="W85" s="2">
        <v>26.1</v>
      </c>
      <c r="X85" s="2">
        <v>20.420000000000002</v>
      </c>
      <c r="Y85" s="2">
        <v>20.07</v>
      </c>
      <c r="Z85" s="2">
        <v>0</v>
      </c>
      <c r="AA85" s="2">
        <v>0</v>
      </c>
      <c r="AB85" s="2">
        <v>0</v>
      </c>
      <c r="AC85" s="2">
        <v>0</v>
      </c>
      <c r="AD85" s="2">
        <v>4.72</v>
      </c>
      <c r="AE85" s="2">
        <v>1.08</v>
      </c>
      <c r="AF85" s="2">
        <v>110.9</v>
      </c>
      <c r="AG85" s="2">
        <v>20.170000000000002</v>
      </c>
      <c r="AH85" s="4">
        <f t="shared" si="1"/>
        <v>98.42</v>
      </c>
    </row>
    <row r="86" spans="1:34" x14ac:dyDescent="0.2">
      <c r="A86" s="3">
        <v>10532</v>
      </c>
      <c r="B86" s="2">
        <v>1.78</v>
      </c>
      <c r="C86" s="2">
        <v>8.49</v>
      </c>
      <c r="D86" s="2">
        <v>-5.63</v>
      </c>
      <c r="E86" s="2">
        <v>-8.64</v>
      </c>
      <c r="F86" s="2">
        <v>0.98</v>
      </c>
      <c r="G86" s="2">
        <v>10.18</v>
      </c>
      <c r="H86" s="2">
        <v>11.62</v>
      </c>
      <c r="I86" s="2">
        <v>13.64</v>
      </c>
      <c r="J86" s="2">
        <v>8.75</v>
      </c>
      <c r="K86" s="2">
        <v>-0.12</v>
      </c>
      <c r="L86" s="2">
        <v>10.23</v>
      </c>
      <c r="M86" s="2">
        <v>7.05</v>
      </c>
      <c r="N86" s="2">
        <v>8.9600000000000009</v>
      </c>
      <c r="O86" s="2">
        <v>6.87</v>
      </c>
      <c r="P86" s="2">
        <v>28.7</v>
      </c>
      <c r="Q86" s="2">
        <v>1.66</v>
      </c>
      <c r="R86" s="2">
        <v>0.36</v>
      </c>
      <c r="S86" s="2">
        <v>-4.57</v>
      </c>
      <c r="T86" s="2">
        <v>27.87</v>
      </c>
      <c r="U86" s="2">
        <v>1.3</v>
      </c>
      <c r="V86" s="2">
        <v>13.63</v>
      </c>
      <c r="W86" s="2">
        <v>22.19</v>
      </c>
      <c r="X86" s="2">
        <v>18.920000000000002</v>
      </c>
      <c r="Y86" s="2">
        <v>18.55</v>
      </c>
      <c r="Z86" s="2">
        <v>3.01</v>
      </c>
      <c r="AA86" s="2">
        <v>0.72</v>
      </c>
      <c r="AB86" s="2">
        <v>0</v>
      </c>
      <c r="AC86" s="2">
        <v>0</v>
      </c>
      <c r="AD86" s="2">
        <v>3.62</v>
      </c>
      <c r="AE86" s="2">
        <v>7.86</v>
      </c>
      <c r="AF86" s="2">
        <v>100.59</v>
      </c>
      <c r="AG86" s="2">
        <v>16.420000000000002</v>
      </c>
      <c r="AH86" s="4">
        <f t="shared" si="1"/>
        <v>143.11000000000001</v>
      </c>
    </row>
    <row r="87" spans="1:34" x14ac:dyDescent="0.2">
      <c r="A87" s="3">
        <v>10562</v>
      </c>
      <c r="B87" s="2">
        <v>3.04</v>
      </c>
      <c r="C87" s="2">
        <v>14.79</v>
      </c>
      <c r="D87" s="2">
        <v>7.9</v>
      </c>
      <c r="E87" s="2">
        <v>30.86</v>
      </c>
      <c r="F87" s="2">
        <v>12.95</v>
      </c>
      <c r="G87" s="2">
        <v>24.89</v>
      </c>
      <c r="H87" s="2">
        <v>12.94</v>
      </c>
      <c r="I87" s="2">
        <v>17.57</v>
      </c>
      <c r="J87" s="2">
        <v>22.85</v>
      </c>
      <c r="K87" s="2">
        <v>7.73</v>
      </c>
      <c r="L87" s="2">
        <v>10.24</v>
      </c>
      <c r="M87" s="2">
        <v>6.81</v>
      </c>
      <c r="N87" s="2">
        <v>7.17</v>
      </c>
      <c r="O87" s="2">
        <v>0.22</v>
      </c>
      <c r="P87" s="2">
        <v>30.29</v>
      </c>
      <c r="Q87" s="2">
        <v>1.45</v>
      </c>
      <c r="R87" s="2">
        <v>0.2</v>
      </c>
      <c r="S87" s="2">
        <v>6.42</v>
      </c>
      <c r="T87" s="2">
        <v>24.69</v>
      </c>
      <c r="U87" s="2">
        <v>4.04</v>
      </c>
      <c r="V87" s="2">
        <v>11.38</v>
      </c>
      <c r="W87" s="2">
        <v>15.43</v>
      </c>
      <c r="X87" s="2">
        <v>12.35</v>
      </c>
      <c r="Y87" s="2">
        <v>10.97</v>
      </c>
      <c r="Z87" s="2">
        <v>0</v>
      </c>
      <c r="AA87" s="2">
        <v>0.43</v>
      </c>
      <c r="AB87" s="2">
        <v>2.12</v>
      </c>
      <c r="AC87" s="2">
        <v>6.17</v>
      </c>
      <c r="AD87" s="2">
        <v>2.67</v>
      </c>
      <c r="AE87" s="2">
        <v>6.15</v>
      </c>
      <c r="AF87" s="2">
        <v>66</v>
      </c>
      <c r="AG87" s="2">
        <v>12.92</v>
      </c>
      <c r="AH87" s="4">
        <f t="shared" si="1"/>
        <v>258.42999999999995</v>
      </c>
    </row>
    <row r="88" spans="1:34" x14ac:dyDescent="0.2">
      <c r="A88" s="3">
        <v>10593</v>
      </c>
      <c r="B88" s="2">
        <v>3.67</v>
      </c>
      <c r="C88" s="2">
        <v>13.89</v>
      </c>
      <c r="D88" s="2">
        <v>6.21</v>
      </c>
      <c r="E88" s="2">
        <v>18.989999999999998</v>
      </c>
      <c r="F88" s="2">
        <v>11.96</v>
      </c>
      <c r="G88" s="2">
        <v>35.130000000000003</v>
      </c>
      <c r="H88" s="2">
        <v>9.7100000000000009</v>
      </c>
      <c r="I88" s="2">
        <v>17.05</v>
      </c>
      <c r="J88" s="2">
        <v>26.94</v>
      </c>
      <c r="K88" s="2">
        <v>2.56</v>
      </c>
      <c r="L88" s="2">
        <v>-2.35</v>
      </c>
      <c r="M88" s="2">
        <v>-0.38</v>
      </c>
      <c r="N88" s="2">
        <v>11.69</v>
      </c>
      <c r="O88" s="2">
        <v>-0.09</v>
      </c>
      <c r="P88" s="2">
        <v>33.49</v>
      </c>
      <c r="Q88" s="2">
        <v>1.58</v>
      </c>
      <c r="R88" s="2">
        <v>0.72</v>
      </c>
      <c r="S88" s="2">
        <v>12.55</v>
      </c>
      <c r="T88" s="2">
        <v>25.15</v>
      </c>
      <c r="U88" s="2">
        <v>4.21</v>
      </c>
      <c r="V88" s="2">
        <v>11.3</v>
      </c>
      <c r="W88" s="2">
        <v>11.73</v>
      </c>
      <c r="X88" s="2">
        <v>10.119999999999999</v>
      </c>
      <c r="Y88" s="2">
        <v>9.9600000000000009</v>
      </c>
      <c r="Z88" s="2">
        <v>0</v>
      </c>
      <c r="AA88" s="2">
        <v>0.43</v>
      </c>
      <c r="AB88" s="2">
        <v>0.94</v>
      </c>
      <c r="AC88" s="2">
        <v>9.2799999999999994</v>
      </c>
      <c r="AD88" s="2">
        <v>2.68</v>
      </c>
      <c r="AE88" s="2">
        <v>15.55</v>
      </c>
      <c r="AF88" s="2">
        <v>60.63</v>
      </c>
      <c r="AG88" s="2">
        <v>11.2</v>
      </c>
      <c r="AH88" s="4">
        <f t="shared" si="1"/>
        <v>243.98000000000008</v>
      </c>
    </row>
    <row r="89" spans="1:34" x14ac:dyDescent="0.2">
      <c r="A89" s="3">
        <v>10624</v>
      </c>
      <c r="B89" s="2">
        <v>3.97</v>
      </c>
      <c r="C89" s="2">
        <v>10</v>
      </c>
      <c r="D89" s="2">
        <v>-5.38</v>
      </c>
      <c r="E89" s="2">
        <v>-6.62</v>
      </c>
      <c r="F89" s="2">
        <v>-6.86</v>
      </c>
      <c r="G89" s="2">
        <v>7.34</v>
      </c>
      <c r="H89" s="2">
        <v>5.07</v>
      </c>
      <c r="I89" s="2">
        <v>14.65</v>
      </c>
      <c r="J89" s="2">
        <v>9.3800000000000008</v>
      </c>
      <c r="K89" s="2">
        <v>-6.84</v>
      </c>
      <c r="L89" s="2">
        <v>-6.47</v>
      </c>
      <c r="M89" s="2">
        <v>-10.25</v>
      </c>
      <c r="N89" s="2">
        <v>1.73</v>
      </c>
      <c r="O89" s="2">
        <v>-1.02</v>
      </c>
      <c r="P89" s="2">
        <v>17.899999999999999</v>
      </c>
      <c r="Q89" s="2">
        <v>0.22</v>
      </c>
      <c r="R89" s="2">
        <v>1.17</v>
      </c>
      <c r="S89" s="2">
        <v>2.15</v>
      </c>
      <c r="T89" s="2">
        <v>24.86</v>
      </c>
      <c r="U89" s="2">
        <v>3.41</v>
      </c>
      <c r="V89" s="2">
        <v>11.73</v>
      </c>
      <c r="W89" s="2">
        <v>4.26</v>
      </c>
      <c r="X89" s="2">
        <v>5.74</v>
      </c>
      <c r="Y89" s="2">
        <v>4.34</v>
      </c>
      <c r="Z89" s="2">
        <v>1.0900000000000001</v>
      </c>
      <c r="AA89" s="2">
        <v>0.56999999999999995</v>
      </c>
      <c r="AB89" s="2">
        <v>0.15</v>
      </c>
      <c r="AC89" s="2">
        <v>12.53</v>
      </c>
      <c r="AD89" s="2">
        <v>2.69</v>
      </c>
      <c r="AE89" s="2">
        <v>16.53</v>
      </c>
      <c r="AF89" s="2">
        <v>68.83</v>
      </c>
      <c r="AG89" s="2">
        <v>9.8800000000000008</v>
      </c>
      <c r="AH89" s="4">
        <f t="shared" si="1"/>
        <v>70.14</v>
      </c>
    </row>
    <row r="90" spans="1:34" x14ac:dyDescent="0.2">
      <c r="A90" s="3">
        <v>10652</v>
      </c>
      <c r="B90" s="2">
        <v>5.86</v>
      </c>
      <c r="C90" s="2">
        <v>16.489999999999998</v>
      </c>
      <c r="D90" s="2">
        <v>3.13</v>
      </c>
      <c r="E90" s="2">
        <v>23.86</v>
      </c>
      <c r="F90" s="2">
        <v>16.62</v>
      </c>
      <c r="G90" s="2">
        <v>34.47</v>
      </c>
      <c r="H90" s="2">
        <v>11.47</v>
      </c>
      <c r="I90" s="2">
        <v>16.55</v>
      </c>
      <c r="J90" s="2">
        <v>13.58</v>
      </c>
      <c r="K90" s="2">
        <v>0.41</v>
      </c>
      <c r="L90" s="2">
        <v>-7.83</v>
      </c>
      <c r="M90" s="2">
        <v>-4.87</v>
      </c>
      <c r="N90" s="2">
        <v>3.82</v>
      </c>
      <c r="O90" s="2">
        <v>-1.23</v>
      </c>
      <c r="P90" s="2">
        <v>18.489999999999998</v>
      </c>
      <c r="Q90" s="2">
        <v>0.26</v>
      </c>
      <c r="R90" s="2">
        <v>1.65</v>
      </c>
      <c r="S90" s="2">
        <v>0.04</v>
      </c>
      <c r="T90" s="2">
        <v>25.62</v>
      </c>
      <c r="U90" s="2">
        <v>2.86</v>
      </c>
      <c r="V90" s="2">
        <v>10.79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2.42</v>
      </c>
      <c r="AC90" s="2">
        <v>2.2599999999999998</v>
      </c>
      <c r="AD90" s="2">
        <v>3.09</v>
      </c>
      <c r="AE90" s="2">
        <v>11.53</v>
      </c>
      <c r="AF90" s="2">
        <v>57.37</v>
      </c>
      <c r="AG90" s="2">
        <v>10.08</v>
      </c>
      <c r="AH90" s="4">
        <f t="shared" si="1"/>
        <v>192.04</v>
      </c>
    </row>
    <row r="91" spans="1:34" x14ac:dyDescent="0.2">
      <c r="A91" s="3">
        <v>10683</v>
      </c>
      <c r="B91" s="2">
        <v>5.14</v>
      </c>
      <c r="C91" s="2">
        <v>8.75</v>
      </c>
      <c r="D91" s="2">
        <v>-3.67</v>
      </c>
      <c r="E91" s="2">
        <v>2.12</v>
      </c>
      <c r="F91" s="2">
        <v>6.65</v>
      </c>
      <c r="G91" s="2">
        <v>10.27</v>
      </c>
      <c r="H91" s="2">
        <v>9.65</v>
      </c>
      <c r="I91" s="2">
        <v>15.05</v>
      </c>
      <c r="J91" s="2">
        <v>14.27</v>
      </c>
      <c r="K91" s="2">
        <v>9.89</v>
      </c>
      <c r="L91" s="2">
        <v>-1.6</v>
      </c>
      <c r="M91" s="2">
        <v>-2.4700000000000002</v>
      </c>
      <c r="N91" s="2">
        <v>19.170000000000002</v>
      </c>
      <c r="O91" s="2">
        <v>4.68</v>
      </c>
      <c r="P91" s="2">
        <v>49.32</v>
      </c>
      <c r="Q91" s="2">
        <v>2</v>
      </c>
      <c r="R91" s="2">
        <v>-0.13</v>
      </c>
      <c r="S91" s="2">
        <v>11.71</v>
      </c>
      <c r="T91" s="2">
        <v>29.86</v>
      </c>
      <c r="U91" s="2">
        <v>2.04</v>
      </c>
      <c r="V91" s="2">
        <v>16.23</v>
      </c>
      <c r="W91" s="2">
        <v>0</v>
      </c>
      <c r="X91" s="2">
        <v>0.17</v>
      </c>
      <c r="Y91" s="2">
        <v>0</v>
      </c>
      <c r="Z91" s="2">
        <v>0</v>
      </c>
      <c r="AA91" s="2">
        <v>1.1499999999999999</v>
      </c>
      <c r="AB91" s="2">
        <v>0.4</v>
      </c>
      <c r="AC91" s="2">
        <v>15.29</v>
      </c>
      <c r="AD91" s="2">
        <v>4.7699999999999996</v>
      </c>
      <c r="AE91" s="2">
        <v>8.6300000000000008</v>
      </c>
      <c r="AF91" s="2">
        <v>67.7</v>
      </c>
      <c r="AG91" s="2">
        <v>10.69</v>
      </c>
      <c r="AH91" s="4">
        <f t="shared" si="1"/>
        <v>208.93</v>
      </c>
    </row>
    <row r="92" spans="1:34" x14ac:dyDescent="0.2">
      <c r="A92" s="3">
        <v>10713</v>
      </c>
      <c r="B92" s="2">
        <v>4.3899999999999997</v>
      </c>
      <c r="C92" s="2">
        <v>7.6</v>
      </c>
      <c r="D92" s="2">
        <v>-4.6500000000000004</v>
      </c>
      <c r="E92" s="2">
        <v>-12.05</v>
      </c>
      <c r="F92" s="2">
        <v>-6.39</v>
      </c>
      <c r="G92" s="2">
        <v>-3.03</v>
      </c>
      <c r="H92" s="2">
        <v>4</v>
      </c>
      <c r="I92" s="2">
        <v>19.12</v>
      </c>
      <c r="J92" s="2">
        <v>12.24</v>
      </c>
      <c r="K92" s="2">
        <v>9.61</v>
      </c>
      <c r="L92" s="2">
        <v>-0.98</v>
      </c>
      <c r="M92" s="2">
        <v>0.76</v>
      </c>
      <c r="N92" s="2">
        <v>21.2</v>
      </c>
      <c r="O92" s="2">
        <v>0.24</v>
      </c>
      <c r="P92" s="2">
        <v>37.29</v>
      </c>
      <c r="Q92" s="2">
        <v>5.01</v>
      </c>
      <c r="R92" s="2">
        <v>2.86</v>
      </c>
      <c r="S92" s="2">
        <v>5.29</v>
      </c>
      <c r="T92" s="2">
        <v>26.33</v>
      </c>
      <c r="U92" s="2">
        <v>3.6</v>
      </c>
      <c r="V92" s="2">
        <v>20.11</v>
      </c>
      <c r="W92" s="2">
        <v>0</v>
      </c>
      <c r="X92" s="2">
        <v>0.14000000000000001</v>
      </c>
      <c r="Y92" s="2">
        <v>0</v>
      </c>
      <c r="Z92" s="2">
        <v>0</v>
      </c>
      <c r="AA92" s="2">
        <v>2.72</v>
      </c>
      <c r="AB92" s="2">
        <v>0</v>
      </c>
      <c r="AC92" s="2">
        <v>5.51</v>
      </c>
      <c r="AD92" s="2">
        <v>5.3</v>
      </c>
      <c r="AE92" s="2">
        <v>4.62</v>
      </c>
      <c r="AF92" s="2">
        <v>83.78</v>
      </c>
      <c r="AG92" s="2">
        <v>14.64</v>
      </c>
      <c r="AH92" s="4">
        <f t="shared" si="1"/>
        <v>152.55000000000001</v>
      </c>
    </row>
    <row r="93" spans="1:34" x14ac:dyDescent="0.2">
      <c r="A93" s="3">
        <v>10744</v>
      </c>
      <c r="B93" s="2">
        <v>0.66</v>
      </c>
      <c r="C93" s="2">
        <v>6.29</v>
      </c>
      <c r="D93" s="2">
        <v>-4.05</v>
      </c>
      <c r="E93" s="2">
        <v>-30.05</v>
      </c>
      <c r="F93" s="2">
        <v>0</v>
      </c>
      <c r="G93" s="2">
        <v>-7.13</v>
      </c>
      <c r="H93" s="2">
        <v>6.42</v>
      </c>
      <c r="I93" s="2">
        <v>21.83</v>
      </c>
      <c r="J93" s="2">
        <v>21.81</v>
      </c>
      <c r="K93" s="2">
        <v>23.12</v>
      </c>
      <c r="L93" s="2">
        <v>27.13</v>
      </c>
      <c r="M93" s="2">
        <v>14.37</v>
      </c>
      <c r="N93" s="2">
        <v>40.29</v>
      </c>
      <c r="O93" s="2">
        <v>11.96</v>
      </c>
      <c r="P93" s="2">
        <v>55.21</v>
      </c>
      <c r="Q93" s="2">
        <v>9.82</v>
      </c>
      <c r="R93" s="2">
        <v>15.71</v>
      </c>
      <c r="S93" s="2">
        <v>13.99</v>
      </c>
      <c r="T93" s="2">
        <v>34.799999999999997</v>
      </c>
      <c r="U93" s="2">
        <v>3.49</v>
      </c>
      <c r="V93" s="2">
        <v>30.99</v>
      </c>
      <c r="W93" s="2">
        <v>4.88</v>
      </c>
      <c r="X93" s="2">
        <v>2.4900000000000002</v>
      </c>
      <c r="Y93" s="2">
        <v>1.02</v>
      </c>
      <c r="Z93" s="2">
        <v>0</v>
      </c>
      <c r="AA93" s="2">
        <v>0</v>
      </c>
      <c r="AB93" s="2">
        <v>0.25</v>
      </c>
      <c r="AC93" s="2">
        <v>0</v>
      </c>
      <c r="AD93" s="2">
        <v>5.76</v>
      </c>
      <c r="AE93" s="2">
        <v>9.69</v>
      </c>
      <c r="AF93" s="2">
        <v>94.61</v>
      </c>
      <c r="AG93" s="2">
        <v>17.690000000000001</v>
      </c>
      <c r="AH93" s="4">
        <f t="shared" si="1"/>
        <v>296.66000000000003</v>
      </c>
    </row>
    <row r="94" spans="1:34" x14ac:dyDescent="0.2">
      <c r="A94" s="3">
        <v>10774</v>
      </c>
      <c r="B94" s="2">
        <v>0.71</v>
      </c>
      <c r="C94" s="2">
        <v>7.97</v>
      </c>
      <c r="D94" s="2">
        <v>-7.81</v>
      </c>
      <c r="E94" s="2">
        <v>-39.83</v>
      </c>
      <c r="F94" s="2">
        <v>-19.91</v>
      </c>
      <c r="G94" s="2">
        <v>-8.93</v>
      </c>
      <c r="H94" s="2">
        <v>3.38</v>
      </c>
      <c r="I94" s="2">
        <v>15.92</v>
      </c>
      <c r="J94" s="2">
        <v>1.2</v>
      </c>
      <c r="K94" s="2">
        <v>-7.48</v>
      </c>
      <c r="L94" s="2">
        <v>1.01</v>
      </c>
      <c r="M94" s="2">
        <v>0.22</v>
      </c>
      <c r="N94" s="2">
        <v>12.31</v>
      </c>
      <c r="O94" s="2">
        <v>28.72</v>
      </c>
      <c r="P94" s="2">
        <v>46.26</v>
      </c>
      <c r="Q94" s="2">
        <v>4.8600000000000003</v>
      </c>
      <c r="R94" s="2">
        <v>4.9400000000000004</v>
      </c>
      <c r="S94" s="2">
        <v>12.62</v>
      </c>
      <c r="T94" s="2">
        <v>47.18</v>
      </c>
      <c r="U94" s="2">
        <v>1.44</v>
      </c>
      <c r="V94" s="2">
        <v>33.96</v>
      </c>
      <c r="W94" s="2">
        <v>18.62</v>
      </c>
      <c r="X94" s="2">
        <v>7.31</v>
      </c>
      <c r="Y94" s="2">
        <v>6.52</v>
      </c>
      <c r="Z94" s="2">
        <v>0</v>
      </c>
      <c r="AA94" s="2">
        <v>0</v>
      </c>
      <c r="AB94" s="2">
        <v>0.1</v>
      </c>
      <c r="AC94" s="2">
        <v>0</v>
      </c>
      <c r="AD94" s="2">
        <v>5.54</v>
      </c>
      <c r="AE94" s="2">
        <v>0.8</v>
      </c>
      <c r="AF94" s="2">
        <v>103.54</v>
      </c>
      <c r="AG94" s="2">
        <v>22.83</v>
      </c>
      <c r="AH94" s="4">
        <f t="shared" si="1"/>
        <v>138.73999999999998</v>
      </c>
    </row>
    <row r="95" spans="1:34" x14ac:dyDescent="0.2">
      <c r="A95" s="3">
        <v>10805</v>
      </c>
      <c r="B95" s="2">
        <v>-1.54</v>
      </c>
      <c r="C95" s="2">
        <v>7.34</v>
      </c>
      <c r="D95" s="2">
        <v>-9.52</v>
      </c>
      <c r="E95" s="2">
        <v>-39.28</v>
      </c>
      <c r="F95" s="2">
        <v>-10.07</v>
      </c>
      <c r="G95" s="2">
        <v>-9.44</v>
      </c>
      <c r="H95" s="2">
        <v>2.69</v>
      </c>
      <c r="I95" s="2">
        <v>9.4499999999999993</v>
      </c>
      <c r="J95" s="2">
        <v>-9.41</v>
      </c>
      <c r="K95" s="2">
        <v>-0.42</v>
      </c>
      <c r="L95" s="2">
        <v>-15.29</v>
      </c>
      <c r="M95" s="2">
        <v>-3.76</v>
      </c>
      <c r="N95" s="2">
        <v>8.68</v>
      </c>
      <c r="O95" s="2">
        <v>45.72</v>
      </c>
      <c r="P95" s="2">
        <v>55.91</v>
      </c>
      <c r="Q95" s="2">
        <v>2.35</v>
      </c>
      <c r="R95" s="2">
        <v>1.94</v>
      </c>
      <c r="S95" s="2">
        <v>20.100000000000001</v>
      </c>
      <c r="T95" s="2">
        <v>43.54</v>
      </c>
      <c r="U95" s="2">
        <v>6.18</v>
      </c>
      <c r="V95" s="2">
        <v>37.04</v>
      </c>
      <c r="W95" s="2">
        <v>30.39</v>
      </c>
      <c r="X95" s="2">
        <v>12</v>
      </c>
      <c r="Y95" s="2">
        <v>11.58</v>
      </c>
      <c r="Z95" s="2">
        <v>0</v>
      </c>
      <c r="AA95" s="2">
        <v>0</v>
      </c>
      <c r="AB95" s="2">
        <v>0</v>
      </c>
      <c r="AC95" s="2">
        <v>0</v>
      </c>
      <c r="AD95" s="2">
        <v>5.32</v>
      </c>
      <c r="AE95" s="2">
        <v>0.31</v>
      </c>
      <c r="AF95" s="2">
        <v>112.76</v>
      </c>
      <c r="AG95" s="2">
        <v>24.8</v>
      </c>
      <c r="AH95" s="4">
        <f t="shared" si="1"/>
        <v>142.20999999999998</v>
      </c>
    </row>
    <row r="96" spans="1:34" x14ac:dyDescent="0.2">
      <c r="A96" s="3">
        <v>10836</v>
      </c>
      <c r="B96" s="2">
        <v>-2.19</v>
      </c>
      <c r="C96" s="2">
        <v>7.68</v>
      </c>
      <c r="D96" s="2">
        <v>-7.44</v>
      </c>
      <c r="E96" s="2">
        <v>-28.75</v>
      </c>
      <c r="F96" s="2">
        <v>-1.21</v>
      </c>
      <c r="G96" s="2">
        <v>2.2799999999999998</v>
      </c>
      <c r="H96" s="2">
        <v>7.93</v>
      </c>
      <c r="I96" s="2">
        <v>10.44</v>
      </c>
      <c r="J96" s="2">
        <v>-1.55</v>
      </c>
      <c r="K96" s="2">
        <v>10.72</v>
      </c>
      <c r="L96" s="2">
        <v>-9.4</v>
      </c>
      <c r="M96" s="2">
        <v>-3.63</v>
      </c>
      <c r="N96" s="2">
        <v>10.51</v>
      </c>
      <c r="O96" s="2">
        <v>36.81</v>
      </c>
      <c r="P96" s="2">
        <v>61.85</v>
      </c>
      <c r="Q96" s="2">
        <v>1.92</v>
      </c>
      <c r="R96" s="2">
        <v>0.47</v>
      </c>
      <c r="S96" s="2">
        <v>15.32</v>
      </c>
      <c r="T96" s="2">
        <v>42.87</v>
      </c>
      <c r="U96" s="2">
        <v>4.72</v>
      </c>
      <c r="V96" s="2">
        <v>35.64</v>
      </c>
      <c r="W96" s="2">
        <v>31.47</v>
      </c>
      <c r="X96" s="2">
        <v>14.21</v>
      </c>
      <c r="Y96" s="2">
        <v>13.91</v>
      </c>
      <c r="Z96" s="2">
        <v>1.37</v>
      </c>
      <c r="AA96" s="2">
        <v>4.4400000000000004</v>
      </c>
      <c r="AB96" s="2">
        <v>0</v>
      </c>
      <c r="AC96" s="2">
        <v>0</v>
      </c>
      <c r="AD96" s="2">
        <v>5.14</v>
      </c>
      <c r="AE96" s="2">
        <v>0.95</v>
      </c>
      <c r="AF96" s="2">
        <v>114.68</v>
      </c>
      <c r="AG96" s="2">
        <v>23.65</v>
      </c>
      <c r="AH96" s="4">
        <f t="shared" si="1"/>
        <v>194.99</v>
      </c>
    </row>
    <row r="97" spans="1:34" x14ac:dyDescent="0.2">
      <c r="A97" s="3">
        <v>10866</v>
      </c>
      <c r="B97" s="2">
        <v>-2.62</v>
      </c>
      <c r="C97" s="2">
        <v>7.61</v>
      </c>
      <c r="D97" s="2">
        <v>-6.35</v>
      </c>
      <c r="E97" s="2">
        <v>-13.98</v>
      </c>
      <c r="F97" s="2">
        <v>-0.88</v>
      </c>
      <c r="G97" s="2">
        <v>9.56</v>
      </c>
      <c r="H97" s="2">
        <v>12.35</v>
      </c>
      <c r="I97" s="2">
        <v>13.42</v>
      </c>
      <c r="J97" s="2">
        <v>10.11</v>
      </c>
      <c r="K97" s="2">
        <v>-8.26</v>
      </c>
      <c r="L97" s="2">
        <v>-2.66</v>
      </c>
      <c r="M97" s="2">
        <v>-0.56999999999999995</v>
      </c>
      <c r="N97" s="2">
        <v>6.07</v>
      </c>
      <c r="O97" s="2">
        <v>-2.61</v>
      </c>
      <c r="P97" s="2">
        <v>31.87</v>
      </c>
      <c r="Q97" s="2">
        <v>3.01</v>
      </c>
      <c r="R97" s="2">
        <v>4.1399999999999997</v>
      </c>
      <c r="S97" s="2">
        <v>-2.5099999999999998</v>
      </c>
      <c r="T97" s="2">
        <v>25.57</v>
      </c>
      <c r="U97" s="2">
        <v>2.5</v>
      </c>
      <c r="V97" s="2">
        <v>12.92</v>
      </c>
      <c r="W97" s="2">
        <v>26.1</v>
      </c>
      <c r="X97" s="2">
        <v>13.62</v>
      </c>
      <c r="Y97" s="2">
        <v>13.13</v>
      </c>
      <c r="Z97" s="2">
        <v>1.64</v>
      </c>
      <c r="AA97" s="2">
        <v>12.04</v>
      </c>
      <c r="AB97" s="2">
        <v>0.94</v>
      </c>
      <c r="AC97" s="2">
        <v>0</v>
      </c>
      <c r="AD97" s="2">
        <v>4.6100000000000003</v>
      </c>
      <c r="AE97" s="2">
        <v>3.04</v>
      </c>
      <c r="AF97" s="2">
        <v>106.81</v>
      </c>
      <c r="AG97" s="2">
        <v>20.170000000000002</v>
      </c>
      <c r="AH97" s="4">
        <f t="shared" si="1"/>
        <v>98.690000000000012</v>
      </c>
    </row>
    <row r="98" spans="1:34" x14ac:dyDescent="0.2">
      <c r="A98" s="3">
        <v>10897</v>
      </c>
      <c r="B98" s="2">
        <v>-1.63</v>
      </c>
      <c r="C98" s="2">
        <v>8.48</v>
      </c>
      <c r="D98" s="2">
        <v>-6.04</v>
      </c>
      <c r="E98" s="2">
        <v>-1.62</v>
      </c>
      <c r="F98" s="2">
        <v>-3.07</v>
      </c>
      <c r="G98" s="2">
        <v>11.98</v>
      </c>
      <c r="H98" s="2">
        <v>12.7</v>
      </c>
      <c r="I98" s="2">
        <v>13.7</v>
      </c>
      <c r="J98" s="2">
        <v>8.58</v>
      </c>
      <c r="K98" s="2">
        <v>-5.72</v>
      </c>
      <c r="L98" s="2">
        <v>-1.23</v>
      </c>
      <c r="M98" s="2">
        <v>-0.12</v>
      </c>
      <c r="N98" s="2">
        <v>4.05</v>
      </c>
      <c r="O98" s="2">
        <v>2.66</v>
      </c>
      <c r="P98" s="2">
        <v>29.83</v>
      </c>
      <c r="Q98" s="2">
        <v>1.1299999999999999</v>
      </c>
      <c r="R98" s="2">
        <v>1.34</v>
      </c>
      <c r="S98" s="2">
        <v>-7.27</v>
      </c>
      <c r="T98" s="2">
        <v>25.49</v>
      </c>
      <c r="U98" s="2">
        <v>-0.11</v>
      </c>
      <c r="V98" s="2">
        <v>11.98</v>
      </c>
      <c r="W98" s="2">
        <v>22.19</v>
      </c>
      <c r="X98" s="2">
        <v>12.75</v>
      </c>
      <c r="Y98" s="2">
        <v>12.26</v>
      </c>
      <c r="Z98" s="2">
        <v>0</v>
      </c>
      <c r="AA98" s="2">
        <v>0</v>
      </c>
      <c r="AB98" s="2">
        <v>0</v>
      </c>
      <c r="AC98" s="2">
        <v>0</v>
      </c>
      <c r="AD98" s="2">
        <v>4.04</v>
      </c>
      <c r="AE98" s="2">
        <v>3.77</v>
      </c>
      <c r="AF98" s="2">
        <v>96.89</v>
      </c>
      <c r="AG98" s="2">
        <v>16.420000000000002</v>
      </c>
      <c r="AH98" s="4">
        <f t="shared" si="1"/>
        <v>105.11</v>
      </c>
    </row>
    <row r="99" spans="1:34" x14ac:dyDescent="0.2">
      <c r="A99" s="3">
        <v>10927</v>
      </c>
      <c r="B99" s="2">
        <v>-0.39</v>
      </c>
      <c r="C99" s="2">
        <v>7.3</v>
      </c>
      <c r="D99" s="2">
        <v>-4.38</v>
      </c>
      <c r="E99" s="2">
        <v>1.19</v>
      </c>
      <c r="F99" s="2">
        <v>-3.29</v>
      </c>
      <c r="G99" s="2">
        <v>8.7899999999999991</v>
      </c>
      <c r="H99" s="2">
        <v>8.02</v>
      </c>
      <c r="I99" s="2">
        <v>13.55</v>
      </c>
      <c r="J99" s="2">
        <v>13.39</v>
      </c>
      <c r="K99" s="2">
        <v>-2.8</v>
      </c>
      <c r="L99" s="2">
        <v>-2.75</v>
      </c>
      <c r="M99" s="2">
        <v>-2.15</v>
      </c>
      <c r="N99" s="2">
        <v>0.9</v>
      </c>
      <c r="O99" s="2">
        <v>-1.56</v>
      </c>
      <c r="P99" s="2">
        <v>26.7</v>
      </c>
      <c r="Q99" s="2">
        <v>2.59</v>
      </c>
      <c r="R99" s="2">
        <v>1.66</v>
      </c>
      <c r="S99" s="2">
        <v>-6.18</v>
      </c>
      <c r="T99" s="2">
        <v>24.04</v>
      </c>
      <c r="U99" s="2">
        <v>2.77</v>
      </c>
      <c r="V99" s="2">
        <v>11.89</v>
      </c>
      <c r="W99" s="2">
        <v>15.43</v>
      </c>
      <c r="X99" s="2">
        <v>8.32</v>
      </c>
      <c r="Y99" s="2">
        <v>6.83</v>
      </c>
      <c r="Z99" s="2">
        <v>0</v>
      </c>
      <c r="AA99" s="2">
        <v>0</v>
      </c>
      <c r="AB99" s="2">
        <v>0</v>
      </c>
      <c r="AC99" s="2">
        <v>0</v>
      </c>
      <c r="AD99" s="2">
        <v>3.06</v>
      </c>
      <c r="AE99" s="2">
        <v>13.35</v>
      </c>
      <c r="AF99" s="2">
        <v>63.57</v>
      </c>
      <c r="AG99" s="2">
        <v>12.92</v>
      </c>
      <c r="AH99" s="4">
        <f t="shared" si="1"/>
        <v>99.289999999999992</v>
      </c>
    </row>
    <row r="100" spans="1:34" x14ac:dyDescent="0.2">
      <c r="A100" s="3">
        <v>10958</v>
      </c>
      <c r="B100" s="2">
        <v>7.59</v>
      </c>
      <c r="C100" s="2">
        <v>23.76</v>
      </c>
      <c r="D100" s="2">
        <v>36.14</v>
      </c>
      <c r="E100" s="2">
        <v>136.83000000000001</v>
      </c>
      <c r="F100" s="2">
        <v>127.43</v>
      </c>
      <c r="G100" s="2">
        <v>132.22999999999999</v>
      </c>
      <c r="H100" s="2">
        <v>43.65</v>
      </c>
      <c r="I100" s="2">
        <v>22.15</v>
      </c>
      <c r="J100" s="2">
        <v>37.729999999999997</v>
      </c>
      <c r="K100" s="2">
        <v>3.16</v>
      </c>
      <c r="L100" s="2">
        <v>1.56</v>
      </c>
      <c r="M100" s="2">
        <v>-1.42</v>
      </c>
      <c r="N100" s="2">
        <v>4.0599999999999996</v>
      </c>
      <c r="O100" s="2">
        <v>-1.95</v>
      </c>
      <c r="P100" s="2">
        <v>23.46</v>
      </c>
      <c r="Q100" s="2">
        <v>1.38</v>
      </c>
      <c r="R100" s="2">
        <v>1.29</v>
      </c>
      <c r="S100" s="2">
        <v>-5.61</v>
      </c>
      <c r="T100" s="2">
        <v>22.7</v>
      </c>
      <c r="U100" s="2">
        <v>3.06</v>
      </c>
      <c r="V100" s="2">
        <v>11.48</v>
      </c>
      <c r="W100" s="2">
        <v>11.73</v>
      </c>
      <c r="X100" s="2">
        <v>6.41</v>
      </c>
      <c r="Y100" s="2">
        <v>6.16</v>
      </c>
      <c r="Z100" s="2">
        <v>0</v>
      </c>
      <c r="AA100" s="2">
        <v>0</v>
      </c>
      <c r="AB100" s="2">
        <v>0</v>
      </c>
      <c r="AC100" s="2">
        <v>0.75</v>
      </c>
      <c r="AD100" s="2">
        <v>3.07</v>
      </c>
      <c r="AE100" s="2">
        <v>18.399999999999999</v>
      </c>
      <c r="AF100" s="2">
        <v>58.4</v>
      </c>
      <c r="AG100" s="2">
        <v>11.2</v>
      </c>
      <c r="AH100" s="4">
        <f t="shared" si="1"/>
        <v>630.67999999999984</v>
      </c>
    </row>
    <row r="101" spans="1:34" x14ac:dyDescent="0.2">
      <c r="A101" s="3">
        <v>10989</v>
      </c>
      <c r="B101" s="2">
        <v>4.6100000000000003</v>
      </c>
      <c r="C101" s="2">
        <v>17.510000000000002</v>
      </c>
      <c r="D101" s="2">
        <v>8.1</v>
      </c>
      <c r="E101" s="2">
        <v>12.11</v>
      </c>
      <c r="F101" s="2">
        <v>-34.83</v>
      </c>
      <c r="G101" s="2">
        <v>44.15</v>
      </c>
      <c r="H101" s="2">
        <v>9.01</v>
      </c>
      <c r="I101" s="2">
        <v>20.61</v>
      </c>
      <c r="J101" s="2">
        <v>38.08</v>
      </c>
      <c r="K101" s="2">
        <v>15.23</v>
      </c>
      <c r="L101" s="2">
        <v>15.07</v>
      </c>
      <c r="M101" s="2">
        <v>5.34</v>
      </c>
      <c r="N101" s="2">
        <v>12.97</v>
      </c>
      <c r="O101" s="2">
        <v>-2.06</v>
      </c>
      <c r="P101" s="2">
        <v>38.93</v>
      </c>
      <c r="Q101" s="2">
        <v>1.18</v>
      </c>
      <c r="R101" s="2">
        <v>1.64</v>
      </c>
      <c r="S101" s="2">
        <v>21.5</v>
      </c>
      <c r="T101" s="2">
        <v>28.91</v>
      </c>
      <c r="U101" s="2">
        <v>3.13</v>
      </c>
      <c r="V101" s="2">
        <v>12.49</v>
      </c>
      <c r="W101" s="2">
        <v>4.26</v>
      </c>
      <c r="X101" s="2">
        <v>5.84</v>
      </c>
      <c r="Y101" s="2">
        <v>4.53</v>
      </c>
      <c r="Z101" s="2">
        <v>7.38</v>
      </c>
      <c r="AA101" s="2">
        <v>28.96</v>
      </c>
      <c r="AB101" s="2">
        <v>3.57</v>
      </c>
      <c r="AC101" s="2">
        <v>13.29</v>
      </c>
      <c r="AD101" s="2">
        <v>3.09</v>
      </c>
      <c r="AE101" s="2">
        <v>19.2</v>
      </c>
      <c r="AF101" s="2">
        <v>68.83</v>
      </c>
      <c r="AG101" s="2">
        <v>9.8800000000000008</v>
      </c>
      <c r="AH101" s="4">
        <f t="shared" si="1"/>
        <v>273.68</v>
      </c>
    </row>
    <row r="102" spans="1:34" x14ac:dyDescent="0.2">
      <c r="A102" s="3">
        <v>11017</v>
      </c>
      <c r="B102" s="2">
        <v>7.18</v>
      </c>
      <c r="C102" s="2">
        <v>20.56</v>
      </c>
      <c r="D102" s="2">
        <v>2.67</v>
      </c>
      <c r="E102" s="2">
        <v>13.5</v>
      </c>
      <c r="F102" s="2">
        <v>7.57</v>
      </c>
      <c r="G102" s="2">
        <v>28.74</v>
      </c>
      <c r="H102" s="2">
        <v>9.3000000000000007</v>
      </c>
      <c r="I102" s="2">
        <v>16.23</v>
      </c>
      <c r="J102" s="2">
        <v>12.48</v>
      </c>
      <c r="K102" s="2">
        <v>1.84</v>
      </c>
      <c r="L102" s="2">
        <v>-3.3</v>
      </c>
      <c r="M102" s="2">
        <v>-3.86</v>
      </c>
      <c r="N102" s="2">
        <v>7.4</v>
      </c>
      <c r="O102" s="2">
        <v>-2.2200000000000002</v>
      </c>
      <c r="P102" s="2">
        <v>27.75</v>
      </c>
      <c r="Q102" s="2">
        <v>0.06</v>
      </c>
      <c r="R102" s="2">
        <v>2.72</v>
      </c>
      <c r="S102" s="2">
        <v>9.66</v>
      </c>
      <c r="T102" s="2">
        <v>24.93</v>
      </c>
      <c r="U102" s="2">
        <v>3.66</v>
      </c>
      <c r="V102" s="2">
        <v>10.18</v>
      </c>
      <c r="W102" s="2">
        <v>0</v>
      </c>
      <c r="X102" s="2">
        <v>0</v>
      </c>
      <c r="Y102" s="2">
        <v>0.08</v>
      </c>
      <c r="Z102" s="2">
        <v>0</v>
      </c>
      <c r="AA102" s="2">
        <v>0.14000000000000001</v>
      </c>
      <c r="AB102" s="2">
        <v>9.11</v>
      </c>
      <c r="AC102" s="2">
        <v>9.02</v>
      </c>
      <c r="AD102" s="2">
        <v>3.58</v>
      </c>
      <c r="AE102" s="2">
        <v>17.329999999999998</v>
      </c>
      <c r="AF102" s="2">
        <v>57.37</v>
      </c>
      <c r="AG102" s="2">
        <v>10.08</v>
      </c>
      <c r="AH102" s="4">
        <f t="shared" si="1"/>
        <v>197.05000000000004</v>
      </c>
    </row>
    <row r="103" spans="1:34" x14ac:dyDescent="0.2">
      <c r="A103" s="3">
        <v>11048</v>
      </c>
      <c r="B103" s="2">
        <v>7.65</v>
      </c>
      <c r="C103" s="2">
        <v>20.03</v>
      </c>
      <c r="D103" s="2">
        <v>5.05</v>
      </c>
      <c r="E103" s="2">
        <v>26.8</v>
      </c>
      <c r="F103" s="2">
        <v>38.01</v>
      </c>
      <c r="G103" s="2">
        <v>59.63</v>
      </c>
      <c r="H103" s="2">
        <v>13.87</v>
      </c>
      <c r="I103" s="2">
        <v>19.2</v>
      </c>
      <c r="J103" s="2">
        <v>24.48</v>
      </c>
      <c r="K103" s="2">
        <v>8.75</v>
      </c>
      <c r="L103" s="2">
        <v>17.920000000000002</v>
      </c>
      <c r="M103" s="2">
        <v>0.54</v>
      </c>
      <c r="N103" s="2">
        <v>18.920000000000002</v>
      </c>
      <c r="O103" s="2">
        <v>3.17</v>
      </c>
      <c r="P103" s="2">
        <v>53.58</v>
      </c>
      <c r="Q103" s="2">
        <v>3.11</v>
      </c>
      <c r="R103" s="2">
        <v>0.67</v>
      </c>
      <c r="S103" s="2">
        <v>11.71</v>
      </c>
      <c r="T103" s="2">
        <v>29.54</v>
      </c>
      <c r="U103" s="2">
        <v>1.18</v>
      </c>
      <c r="V103" s="2">
        <v>19.32</v>
      </c>
      <c r="W103" s="2">
        <v>0</v>
      </c>
      <c r="X103" s="2">
        <v>0.28999999999999998</v>
      </c>
      <c r="Y103" s="2">
        <v>0</v>
      </c>
      <c r="Z103" s="2">
        <v>14.08</v>
      </c>
      <c r="AA103" s="2">
        <v>9.4600000000000009</v>
      </c>
      <c r="AB103" s="2">
        <v>2.91</v>
      </c>
      <c r="AC103" s="2">
        <v>7.52</v>
      </c>
      <c r="AD103" s="2">
        <v>5.32</v>
      </c>
      <c r="AE103" s="2">
        <v>16.690000000000001</v>
      </c>
      <c r="AF103" s="2">
        <v>67.7</v>
      </c>
      <c r="AG103" s="2">
        <v>10.69</v>
      </c>
      <c r="AH103" s="4">
        <f t="shared" si="1"/>
        <v>383.13</v>
      </c>
    </row>
    <row r="104" spans="1:34" x14ac:dyDescent="0.2">
      <c r="A104" s="3">
        <v>11078</v>
      </c>
      <c r="B104" s="2">
        <v>3.34</v>
      </c>
      <c r="C104" s="2">
        <v>13</v>
      </c>
      <c r="D104" s="2">
        <v>-9.4</v>
      </c>
      <c r="E104" s="2">
        <v>-36.64</v>
      </c>
      <c r="F104" s="2">
        <v>-16.059999999999999</v>
      </c>
      <c r="G104" s="2">
        <v>-34.049999999999997</v>
      </c>
      <c r="H104" s="2">
        <v>3.18</v>
      </c>
      <c r="I104" s="2">
        <v>15.68</v>
      </c>
      <c r="J104" s="2">
        <v>16.170000000000002</v>
      </c>
      <c r="K104" s="2">
        <v>14.37</v>
      </c>
      <c r="L104" s="2">
        <v>21.17</v>
      </c>
      <c r="M104" s="2">
        <v>4.82</v>
      </c>
      <c r="N104" s="2">
        <v>27.11</v>
      </c>
      <c r="O104" s="2">
        <v>0.25</v>
      </c>
      <c r="P104" s="2">
        <v>49.63</v>
      </c>
      <c r="Q104" s="2">
        <v>7.56</v>
      </c>
      <c r="R104" s="2">
        <v>3.16</v>
      </c>
      <c r="S104" s="2">
        <v>10.31</v>
      </c>
      <c r="T104" s="2">
        <v>26.03</v>
      </c>
      <c r="U104" s="2">
        <v>3.2</v>
      </c>
      <c r="V104" s="2">
        <v>23.04</v>
      </c>
      <c r="W104" s="2">
        <v>0</v>
      </c>
      <c r="X104" s="2">
        <v>0.27</v>
      </c>
      <c r="Y104" s="2">
        <v>0</v>
      </c>
      <c r="Z104" s="2">
        <v>0.27</v>
      </c>
      <c r="AA104" s="2">
        <v>0.43</v>
      </c>
      <c r="AB104" s="2">
        <v>1.21</v>
      </c>
      <c r="AC104" s="2">
        <v>0</v>
      </c>
      <c r="AD104" s="2">
        <v>5.94</v>
      </c>
      <c r="AE104" s="2">
        <v>4.62</v>
      </c>
      <c r="AF104" s="2">
        <v>83.78</v>
      </c>
      <c r="AG104" s="2">
        <v>14.64</v>
      </c>
      <c r="AH104" s="4">
        <f t="shared" si="1"/>
        <v>145.87</v>
      </c>
    </row>
    <row r="105" spans="1:34" x14ac:dyDescent="0.2">
      <c r="A105" s="3">
        <v>11109</v>
      </c>
      <c r="B105" s="2">
        <v>0.01</v>
      </c>
      <c r="C105" s="2">
        <v>7.66</v>
      </c>
      <c r="D105" s="2">
        <v>-8.26</v>
      </c>
      <c r="E105" s="2">
        <v>-47.77</v>
      </c>
      <c r="F105" s="2">
        <v>-33.770000000000003</v>
      </c>
      <c r="G105" s="2">
        <v>-35.619999999999997</v>
      </c>
      <c r="H105" s="2">
        <v>-2.19</v>
      </c>
      <c r="I105" s="2">
        <v>17.98</v>
      </c>
      <c r="J105" s="2">
        <v>7.56</v>
      </c>
      <c r="K105" s="2">
        <v>1.94</v>
      </c>
      <c r="L105" s="2">
        <v>6.36</v>
      </c>
      <c r="M105" s="2">
        <v>2.68</v>
      </c>
      <c r="N105" s="2">
        <v>24.06</v>
      </c>
      <c r="O105" s="2">
        <v>7.68</v>
      </c>
      <c r="P105" s="2">
        <v>50.6</v>
      </c>
      <c r="Q105" s="2">
        <v>6.78</v>
      </c>
      <c r="R105" s="2">
        <v>5.85</v>
      </c>
      <c r="S105" s="2">
        <v>15.09</v>
      </c>
      <c r="T105" s="2">
        <v>31.49</v>
      </c>
      <c r="U105" s="2">
        <v>2.93</v>
      </c>
      <c r="V105" s="2">
        <v>26.46</v>
      </c>
      <c r="W105" s="2">
        <v>4.88</v>
      </c>
      <c r="X105" s="2">
        <v>2.65</v>
      </c>
      <c r="Y105" s="2">
        <v>1.3</v>
      </c>
      <c r="Z105" s="2">
        <v>6.01</v>
      </c>
      <c r="AA105" s="2">
        <v>4.7300000000000004</v>
      </c>
      <c r="AB105" s="2">
        <v>3.51</v>
      </c>
      <c r="AC105" s="2">
        <v>12.28</v>
      </c>
      <c r="AD105" s="2">
        <v>6.1</v>
      </c>
      <c r="AE105" s="2">
        <v>2.83</v>
      </c>
      <c r="AF105" s="2">
        <v>94.61</v>
      </c>
      <c r="AG105" s="2">
        <v>17.690000000000001</v>
      </c>
      <c r="AH105" s="4">
        <f t="shared" si="1"/>
        <v>87.52000000000001</v>
      </c>
    </row>
    <row r="106" spans="1:34" x14ac:dyDescent="0.2">
      <c r="A106" s="3">
        <v>11139</v>
      </c>
      <c r="B106" s="2">
        <v>-2.29</v>
      </c>
      <c r="C106" s="2">
        <v>6.94</v>
      </c>
      <c r="D106" s="2">
        <v>-9.02</v>
      </c>
      <c r="E106" s="2">
        <v>-69.87</v>
      </c>
      <c r="F106" s="2">
        <v>-31.59</v>
      </c>
      <c r="G106" s="2">
        <v>-32.07</v>
      </c>
      <c r="H106" s="2">
        <v>-3.1</v>
      </c>
      <c r="I106" s="2">
        <v>14</v>
      </c>
      <c r="J106" s="2">
        <v>2.68</v>
      </c>
      <c r="K106" s="2">
        <v>2.81</v>
      </c>
      <c r="L106" s="2">
        <v>16.3</v>
      </c>
      <c r="M106" s="2">
        <v>18.809999999999999</v>
      </c>
      <c r="N106" s="2">
        <v>24.62</v>
      </c>
      <c r="O106" s="2">
        <v>32.06</v>
      </c>
      <c r="P106" s="2">
        <v>52.21</v>
      </c>
      <c r="Q106" s="2">
        <v>5.68</v>
      </c>
      <c r="R106" s="2">
        <v>6.43</v>
      </c>
      <c r="S106" s="2">
        <v>15.63</v>
      </c>
      <c r="T106" s="2">
        <v>46.06</v>
      </c>
      <c r="U106" s="2">
        <v>0.87</v>
      </c>
      <c r="V106" s="2">
        <v>31.53</v>
      </c>
      <c r="W106" s="2">
        <v>18.62</v>
      </c>
      <c r="X106" s="2">
        <v>7.48</v>
      </c>
      <c r="Y106" s="2">
        <v>6.84</v>
      </c>
      <c r="Z106" s="2">
        <v>0</v>
      </c>
      <c r="AA106" s="2">
        <v>0</v>
      </c>
      <c r="AB106" s="2">
        <v>0</v>
      </c>
      <c r="AC106" s="2">
        <v>0</v>
      </c>
      <c r="AD106" s="2">
        <v>6.28</v>
      </c>
      <c r="AE106" s="2">
        <v>0.72</v>
      </c>
      <c r="AF106" s="2">
        <v>103.54</v>
      </c>
      <c r="AG106" s="2">
        <v>22.83</v>
      </c>
      <c r="AH106" s="4">
        <f t="shared" si="1"/>
        <v>128.69000000000003</v>
      </c>
    </row>
    <row r="107" spans="1:34" x14ac:dyDescent="0.2">
      <c r="A107" s="3">
        <v>11170</v>
      </c>
      <c r="B107" s="2">
        <v>-2.67</v>
      </c>
      <c r="C107" s="2">
        <v>7.55</v>
      </c>
      <c r="D107" s="2">
        <v>-8.82</v>
      </c>
      <c r="E107" s="2">
        <v>-51.91</v>
      </c>
      <c r="F107" s="2">
        <v>-16.07</v>
      </c>
      <c r="G107" s="2">
        <v>-22.81</v>
      </c>
      <c r="H107" s="2">
        <v>1.79</v>
      </c>
      <c r="I107" s="2">
        <v>11.57</v>
      </c>
      <c r="J107" s="2">
        <v>-9.8800000000000008</v>
      </c>
      <c r="K107" s="2">
        <v>-5.51</v>
      </c>
      <c r="L107" s="2">
        <v>-27.4</v>
      </c>
      <c r="M107" s="2">
        <v>-5.4</v>
      </c>
      <c r="N107" s="2">
        <v>7.52</v>
      </c>
      <c r="O107" s="2">
        <v>44.14</v>
      </c>
      <c r="P107" s="2">
        <v>57.73</v>
      </c>
      <c r="Q107" s="2">
        <v>2.87</v>
      </c>
      <c r="R107" s="2">
        <v>0.17</v>
      </c>
      <c r="S107" s="2">
        <v>18.07</v>
      </c>
      <c r="T107" s="2">
        <v>42.47</v>
      </c>
      <c r="U107" s="2">
        <v>4.26</v>
      </c>
      <c r="V107" s="2">
        <v>34.130000000000003</v>
      </c>
      <c r="W107" s="2">
        <v>30.39</v>
      </c>
      <c r="X107" s="2">
        <v>12.19</v>
      </c>
      <c r="Y107" s="2">
        <v>11.91</v>
      </c>
      <c r="Z107" s="2">
        <v>0</v>
      </c>
      <c r="AA107" s="2">
        <v>0.56999999999999995</v>
      </c>
      <c r="AB107" s="2">
        <v>0</v>
      </c>
      <c r="AC107" s="2">
        <v>0</v>
      </c>
      <c r="AD107" s="2">
        <v>5.75</v>
      </c>
      <c r="AE107" s="2">
        <v>0.11</v>
      </c>
      <c r="AF107" s="2">
        <v>112.76</v>
      </c>
      <c r="AG107" s="2">
        <v>24.8</v>
      </c>
      <c r="AH107" s="4">
        <f t="shared" si="1"/>
        <v>81.800000000000026</v>
      </c>
    </row>
    <row r="108" spans="1:34" x14ac:dyDescent="0.2">
      <c r="A108" s="3">
        <v>11201</v>
      </c>
      <c r="B108" s="2">
        <v>-3.13</v>
      </c>
      <c r="C108" s="2">
        <v>7.53</v>
      </c>
      <c r="D108" s="2">
        <v>-5.36</v>
      </c>
      <c r="E108" s="2">
        <v>-37.880000000000003</v>
      </c>
      <c r="F108" s="2">
        <v>-8.65</v>
      </c>
      <c r="G108" s="2">
        <v>-11.15</v>
      </c>
      <c r="H108" s="2">
        <v>7.25</v>
      </c>
      <c r="I108" s="2">
        <v>12.71</v>
      </c>
      <c r="J108" s="2">
        <v>-0.82</v>
      </c>
      <c r="K108" s="2">
        <v>4.7300000000000004</v>
      </c>
      <c r="L108" s="2">
        <v>-17.34</v>
      </c>
      <c r="M108" s="2">
        <v>-4.99</v>
      </c>
      <c r="N108" s="2">
        <v>10.83</v>
      </c>
      <c r="O108" s="2">
        <v>36.020000000000003</v>
      </c>
      <c r="P108" s="2">
        <v>66.709999999999994</v>
      </c>
      <c r="Q108" s="2">
        <v>2.2799999999999998</v>
      </c>
      <c r="R108" s="2">
        <v>-0.8</v>
      </c>
      <c r="S108" s="2">
        <v>14.55</v>
      </c>
      <c r="T108" s="2">
        <v>42.02</v>
      </c>
      <c r="U108" s="2">
        <v>3.47</v>
      </c>
      <c r="V108" s="2">
        <v>34.56</v>
      </c>
      <c r="W108" s="2">
        <v>31.47</v>
      </c>
      <c r="X108" s="2">
        <v>14.4</v>
      </c>
      <c r="Y108" s="2">
        <v>14.25</v>
      </c>
      <c r="Z108" s="2">
        <v>0</v>
      </c>
      <c r="AA108" s="2">
        <v>0.14000000000000001</v>
      </c>
      <c r="AB108" s="2">
        <v>0</v>
      </c>
      <c r="AC108" s="2">
        <v>0</v>
      </c>
      <c r="AD108" s="2">
        <v>5.55</v>
      </c>
      <c r="AE108" s="2">
        <v>0.18</v>
      </c>
      <c r="AF108" s="2">
        <v>114.68</v>
      </c>
      <c r="AG108" s="2">
        <v>23.65</v>
      </c>
      <c r="AH108" s="4">
        <f t="shared" si="1"/>
        <v>152.54</v>
      </c>
    </row>
    <row r="109" spans="1:34" x14ac:dyDescent="0.2">
      <c r="A109" s="3">
        <v>11231</v>
      </c>
      <c r="B109" s="2">
        <v>-2.39</v>
      </c>
      <c r="C109" s="2">
        <v>9.35</v>
      </c>
      <c r="D109" s="2">
        <v>-5.03</v>
      </c>
      <c r="E109" s="2">
        <v>-19.760000000000002</v>
      </c>
      <c r="F109" s="2">
        <v>1.36</v>
      </c>
      <c r="G109" s="2">
        <v>1.65</v>
      </c>
      <c r="H109" s="2">
        <v>13.11</v>
      </c>
      <c r="I109" s="2">
        <v>17.5</v>
      </c>
      <c r="J109" s="2">
        <v>15.26</v>
      </c>
      <c r="K109" s="2">
        <v>-5.07</v>
      </c>
      <c r="L109" s="2">
        <v>-7.78</v>
      </c>
      <c r="M109" s="2">
        <v>-1.47</v>
      </c>
      <c r="N109" s="2">
        <v>8.61</v>
      </c>
      <c r="O109" s="2">
        <v>-3.09</v>
      </c>
      <c r="P109" s="2">
        <v>33.880000000000003</v>
      </c>
      <c r="Q109" s="2">
        <v>3.61</v>
      </c>
      <c r="R109" s="2">
        <v>2.79</v>
      </c>
      <c r="S109" s="2">
        <v>-4.32</v>
      </c>
      <c r="T109" s="2">
        <v>24.69</v>
      </c>
      <c r="U109" s="2">
        <v>1.97</v>
      </c>
      <c r="V109" s="2">
        <v>12.83</v>
      </c>
      <c r="W109" s="2">
        <v>26.1</v>
      </c>
      <c r="X109" s="2">
        <v>13.79</v>
      </c>
      <c r="Y109" s="2">
        <v>13.44</v>
      </c>
      <c r="Z109" s="2">
        <v>0</v>
      </c>
      <c r="AA109" s="2">
        <v>0</v>
      </c>
      <c r="AB109" s="2">
        <v>0</v>
      </c>
      <c r="AC109" s="2">
        <v>0.4</v>
      </c>
      <c r="AD109" s="2">
        <v>5.01</v>
      </c>
      <c r="AE109" s="2">
        <v>1.18</v>
      </c>
      <c r="AF109" s="2">
        <v>106.81</v>
      </c>
      <c r="AG109" s="2">
        <v>20.170000000000002</v>
      </c>
      <c r="AH109" s="4">
        <f t="shared" si="1"/>
        <v>97.699999999999989</v>
      </c>
    </row>
    <row r="110" spans="1:34" x14ac:dyDescent="0.2">
      <c r="A110" s="3">
        <v>11262</v>
      </c>
      <c r="B110" s="2">
        <v>-2.2200000000000002</v>
      </c>
      <c r="C110" s="2">
        <v>8.56</v>
      </c>
      <c r="D110" s="2">
        <v>-8.16</v>
      </c>
      <c r="E110" s="2">
        <v>-7.31</v>
      </c>
      <c r="F110" s="2">
        <v>-8.27</v>
      </c>
      <c r="G110" s="2">
        <v>7.32</v>
      </c>
      <c r="H110" s="2">
        <v>12.27</v>
      </c>
      <c r="I110" s="2">
        <v>16.29</v>
      </c>
      <c r="J110" s="2">
        <v>6.76</v>
      </c>
      <c r="K110" s="2">
        <v>-13.44</v>
      </c>
      <c r="L110" s="2">
        <v>-1.67</v>
      </c>
      <c r="M110" s="2">
        <v>-6.61</v>
      </c>
      <c r="N110" s="2">
        <v>3.22</v>
      </c>
      <c r="O110" s="2">
        <v>0.76</v>
      </c>
      <c r="P110" s="2">
        <v>33.82</v>
      </c>
      <c r="Q110" s="2">
        <v>1.83</v>
      </c>
      <c r="R110" s="2">
        <v>0.99</v>
      </c>
      <c r="S110" s="2">
        <v>-7.62</v>
      </c>
      <c r="T110" s="2">
        <v>24.94</v>
      </c>
      <c r="U110" s="2">
        <v>-0.18</v>
      </c>
      <c r="V110" s="2">
        <v>11.68</v>
      </c>
      <c r="W110" s="2">
        <v>22.19</v>
      </c>
      <c r="X110" s="2">
        <v>12.9</v>
      </c>
      <c r="Y110" s="2">
        <v>12.53</v>
      </c>
      <c r="Z110" s="2">
        <v>0</v>
      </c>
      <c r="AA110" s="2">
        <v>0</v>
      </c>
      <c r="AB110" s="2">
        <v>0.39</v>
      </c>
      <c r="AC110" s="2">
        <v>1.1000000000000001</v>
      </c>
      <c r="AD110" s="2">
        <v>4.25</v>
      </c>
      <c r="AE110" s="2">
        <v>7.86</v>
      </c>
      <c r="AF110" s="2">
        <v>96.89</v>
      </c>
      <c r="AG110" s="2">
        <v>16.420000000000002</v>
      </c>
      <c r="AH110" s="4">
        <f t="shared" si="1"/>
        <v>72.960000000000008</v>
      </c>
    </row>
    <row r="111" spans="1:34" x14ac:dyDescent="0.2">
      <c r="A111" s="3">
        <v>11292</v>
      </c>
      <c r="B111" s="2">
        <v>-0.95</v>
      </c>
      <c r="C111" s="2">
        <v>8.8000000000000007</v>
      </c>
      <c r="D111" s="2">
        <v>-3.52</v>
      </c>
      <c r="E111" s="2">
        <v>2.2400000000000002</v>
      </c>
      <c r="F111" s="2">
        <v>3.81</v>
      </c>
      <c r="G111" s="2">
        <v>10.99</v>
      </c>
      <c r="H111" s="2">
        <v>11.09</v>
      </c>
      <c r="I111" s="2">
        <v>14.52</v>
      </c>
      <c r="J111" s="2">
        <v>12.91</v>
      </c>
      <c r="K111" s="2">
        <v>-0.57999999999999996</v>
      </c>
      <c r="L111" s="2">
        <v>-0.01</v>
      </c>
      <c r="M111" s="2">
        <v>1.46</v>
      </c>
      <c r="N111" s="2">
        <v>3.36</v>
      </c>
      <c r="O111" s="2">
        <v>-1.95</v>
      </c>
      <c r="P111" s="2">
        <v>31.32</v>
      </c>
      <c r="Q111" s="2">
        <v>2.2400000000000002</v>
      </c>
      <c r="R111" s="2">
        <v>1.35</v>
      </c>
      <c r="S111" s="2">
        <v>0.01</v>
      </c>
      <c r="T111" s="2">
        <v>23.29</v>
      </c>
      <c r="U111" s="2">
        <v>3.07</v>
      </c>
      <c r="V111" s="2">
        <v>11.35</v>
      </c>
      <c r="W111" s="2">
        <v>15.43</v>
      </c>
      <c r="X111" s="2">
        <v>8.44</v>
      </c>
      <c r="Y111" s="2">
        <v>7.06</v>
      </c>
      <c r="Z111" s="2">
        <v>0</v>
      </c>
      <c r="AA111" s="2">
        <v>2.58</v>
      </c>
      <c r="AB111" s="2">
        <v>0.11</v>
      </c>
      <c r="AC111" s="2">
        <v>10.029999999999999</v>
      </c>
      <c r="AD111" s="2">
        <v>3.29</v>
      </c>
      <c r="AE111" s="2">
        <v>6.15</v>
      </c>
      <c r="AF111" s="2">
        <v>63.57</v>
      </c>
      <c r="AG111" s="2">
        <v>12.92</v>
      </c>
      <c r="AH111" s="4">
        <f t="shared" si="1"/>
        <v>134.79999999999998</v>
      </c>
    </row>
    <row r="112" spans="1:34" x14ac:dyDescent="0.2">
      <c r="A112" s="3">
        <v>11323</v>
      </c>
      <c r="B112" s="2">
        <v>-0.78</v>
      </c>
      <c r="C112" s="2">
        <v>7.49</v>
      </c>
      <c r="D112" s="2">
        <v>-4.6100000000000003</v>
      </c>
      <c r="E112" s="2">
        <v>-1.02</v>
      </c>
      <c r="F112" s="2">
        <v>-4.8899999999999997</v>
      </c>
      <c r="G112" s="2">
        <v>5.22</v>
      </c>
      <c r="H112" s="2">
        <v>6.72</v>
      </c>
      <c r="I112" s="2">
        <v>10.97</v>
      </c>
      <c r="J112" s="2">
        <v>9.14</v>
      </c>
      <c r="K112" s="2">
        <v>-7.71</v>
      </c>
      <c r="L112" s="2">
        <v>3.58</v>
      </c>
      <c r="M112" s="2">
        <v>-0.39</v>
      </c>
      <c r="N112" s="2">
        <v>0.15</v>
      </c>
      <c r="O112" s="2">
        <v>-2.37</v>
      </c>
      <c r="P112" s="2">
        <v>27.56</v>
      </c>
      <c r="Q112" s="2">
        <v>1.51</v>
      </c>
      <c r="R112" s="2">
        <v>0.36</v>
      </c>
      <c r="S112" s="2">
        <v>-6.21</v>
      </c>
      <c r="T112" s="2">
        <v>22.27</v>
      </c>
      <c r="U112" s="2">
        <v>2.79</v>
      </c>
      <c r="V112" s="2">
        <v>11.06</v>
      </c>
      <c r="W112" s="2">
        <v>11.73</v>
      </c>
      <c r="X112" s="2">
        <v>6.53</v>
      </c>
      <c r="Y112" s="2">
        <v>6.37</v>
      </c>
      <c r="Z112" s="2">
        <v>0</v>
      </c>
      <c r="AA112" s="2">
        <v>0</v>
      </c>
      <c r="AB112" s="2">
        <v>0</v>
      </c>
      <c r="AC112" s="2">
        <v>0</v>
      </c>
      <c r="AD112" s="2">
        <v>3.28</v>
      </c>
      <c r="AE112" s="2">
        <v>15.55</v>
      </c>
      <c r="AF112" s="2">
        <v>58.4</v>
      </c>
      <c r="AG112" s="2">
        <v>11.2</v>
      </c>
      <c r="AH112" s="4">
        <f t="shared" si="1"/>
        <v>80.84</v>
      </c>
    </row>
    <row r="113" spans="1:34" x14ac:dyDescent="0.2">
      <c r="A113" s="3">
        <v>11354</v>
      </c>
      <c r="B113" s="2">
        <v>0.99</v>
      </c>
      <c r="C113" s="2">
        <v>19.07</v>
      </c>
      <c r="D113" s="2">
        <v>17.420000000000002</v>
      </c>
      <c r="E113" s="2">
        <v>50.33</v>
      </c>
      <c r="F113" s="2">
        <v>20.73</v>
      </c>
      <c r="G113" s="2">
        <v>48.37</v>
      </c>
      <c r="H113" s="2">
        <v>14.36</v>
      </c>
      <c r="I113" s="2">
        <v>17.04</v>
      </c>
      <c r="J113" s="2">
        <v>23.93</v>
      </c>
      <c r="K113" s="2">
        <v>21.68</v>
      </c>
      <c r="L113" s="2">
        <v>-2.79</v>
      </c>
      <c r="M113" s="2">
        <v>3.93</v>
      </c>
      <c r="N113" s="2">
        <v>16.3</v>
      </c>
      <c r="O113" s="2">
        <v>-2.4500000000000002</v>
      </c>
      <c r="P113" s="2">
        <v>45.05</v>
      </c>
      <c r="Q113" s="2">
        <v>0.68</v>
      </c>
      <c r="R113" s="2">
        <v>1.1299999999999999</v>
      </c>
      <c r="S113" s="2">
        <v>20.28</v>
      </c>
      <c r="T113" s="2">
        <v>28.65</v>
      </c>
      <c r="U113" s="2">
        <v>2.7</v>
      </c>
      <c r="V113" s="2">
        <v>12.3</v>
      </c>
      <c r="W113" s="2">
        <v>4.26</v>
      </c>
      <c r="X113" s="2">
        <v>5.73</v>
      </c>
      <c r="Y113" s="2">
        <v>4.42</v>
      </c>
      <c r="Z113" s="2">
        <v>1.64</v>
      </c>
      <c r="AA113" s="2">
        <v>3.15</v>
      </c>
      <c r="AB113" s="2">
        <v>3.03</v>
      </c>
      <c r="AC113" s="2">
        <v>15.04</v>
      </c>
      <c r="AD113" s="2">
        <v>3.3</v>
      </c>
      <c r="AE113" s="2">
        <v>24.98</v>
      </c>
      <c r="AF113" s="2">
        <v>68.83</v>
      </c>
      <c r="AG113" s="2">
        <v>9.8800000000000008</v>
      </c>
      <c r="AH113" s="4">
        <f t="shared" si="1"/>
        <v>359.70000000000005</v>
      </c>
    </row>
    <row r="114" spans="1:34" x14ac:dyDescent="0.2">
      <c r="A114" s="3">
        <v>11382</v>
      </c>
      <c r="B114" s="2">
        <v>0.61</v>
      </c>
      <c r="C114" s="2">
        <v>10.98</v>
      </c>
      <c r="D114" s="2">
        <v>-7.32</v>
      </c>
      <c r="E114" s="2">
        <v>-6.54</v>
      </c>
      <c r="F114" s="2">
        <v>-8.67</v>
      </c>
      <c r="G114" s="2">
        <v>3.4</v>
      </c>
      <c r="H114" s="2">
        <v>5.49</v>
      </c>
      <c r="I114" s="2">
        <v>13.37</v>
      </c>
      <c r="J114" s="2">
        <v>6.22</v>
      </c>
      <c r="K114" s="2">
        <v>-7.64</v>
      </c>
      <c r="L114" s="2">
        <v>-9.73</v>
      </c>
      <c r="M114" s="2">
        <v>-10.94</v>
      </c>
      <c r="N114" s="2">
        <v>-1.48</v>
      </c>
      <c r="O114" s="2">
        <v>-3.46</v>
      </c>
      <c r="P114" s="2">
        <v>26.6</v>
      </c>
      <c r="Q114" s="2">
        <v>0.74</v>
      </c>
      <c r="R114" s="2">
        <v>1.3</v>
      </c>
      <c r="S114" s="2">
        <v>0.37</v>
      </c>
      <c r="T114" s="2">
        <v>23.17</v>
      </c>
      <c r="U114" s="2">
        <v>3.1</v>
      </c>
      <c r="V114" s="2">
        <v>10.38</v>
      </c>
      <c r="W114" s="2">
        <v>0</v>
      </c>
      <c r="X114" s="2">
        <v>0</v>
      </c>
      <c r="Y114" s="2">
        <v>0</v>
      </c>
      <c r="Z114" s="2">
        <v>20.09</v>
      </c>
      <c r="AA114" s="2">
        <v>24.66</v>
      </c>
      <c r="AB114" s="2">
        <v>1.71</v>
      </c>
      <c r="AC114" s="2">
        <v>12.53</v>
      </c>
      <c r="AD114" s="2">
        <v>3.71</v>
      </c>
      <c r="AE114" s="2">
        <v>14.45</v>
      </c>
      <c r="AF114" s="2">
        <v>57.37</v>
      </c>
      <c r="AG114" s="2">
        <v>10.08</v>
      </c>
      <c r="AH114" s="4">
        <f t="shared" si="1"/>
        <v>49.95</v>
      </c>
    </row>
    <row r="115" spans="1:34" x14ac:dyDescent="0.2">
      <c r="A115" s="3">
        <v>11413</v>
      </c>
      <c r="B115" s="2">
        <v>1.65</v>
      </c>
      <c r="C115" s="2">
        <v>11.25</v>
      </c>
      <c r="D115" s="2">
        <v>-2.65</v>
      </c>
      <c r="E115" s="2">
        <v>8.49</v>
      </c>
      <c r="F115" s="2">
        <v>7.9</v>
      </c>
      <c r="G115" s="2">
        <v>12.38</v>
      </c>
      <c r="H115" s="2">
        <v>9.6300000000000008</v>
      </c>
      <c r="I115" s="2">
        <v>12.53</v>
      </c>
      <c r="J115" s="2">
        <v>8.18</v>
      </c>
      <c r="K115" s="2">
        <v>-0.66</v>
      </c>
      <c r="L115" s="2">
        <v>-12.16</v>
      </c>
      <c r="M115" s="2">
        <v>-11.5</v>
      </c>
      <c r="N115" s="2">
        <v>8.6199999999999992</v>
      </c>
      <c r="O115" s="2">
        <v>1.81</v>
      </c>
      <c r="P115" s="2">
        <v>44.32</v>
      </c>
      <c r="Q115" s="2">
        <v>0.77</v>
      </c>
      <c r="R115" s="2">
        <v>0.09</v>
      </c>
      <c r="S115" s="2">
        <v>-3.33</v>
      </c>
      <c r="T115" s="2">
        <v>29.8</v>
      </c>
      <c r="U115" s="2">
        <v>-1.19</v>
      </c>
      <c r="V115" s="2">
        <v>15.8</v>
      </c>
      <c r="W115" s="2">
        <v>0</v>
      </c>
      <c r="X115" s="2">
        <v>0.16</v>
      </c>
      <c r="Y115" s="2">
        <v>0</v>
      </c>
      <c r="Z115" s="2">
        <v>0</v>
      </c>
      <c r="AA115" s="2">
        <v>0.28999999999999998</v>
      </c>
      <c r="AB115" s="2">
        <v>0</v>
      </c>
      <c r="AC115" s="2">
        <v>2.5099999999999998</v>
      </c>
      <c r="AD115" s="2">
        <v>5.32</v>
      </c>
      <c r="AE115" s="2">
        <v>6.81</v>
      </c>
      <c r="AF115" s="2">
        <v>67.7</v>
      </c>
      <c r="AG115" s="2">
        <v>10.69</v>
      </c>
      <c r="AH115" s="4">
        <f t="shared" si="1"/>
        <v>141.73000000000002</v>
      </c>
    </row>
    <row r="116" spans="1:34" x14ac:dyDescent="0.2">
      <c r="A116" s="3">
        <v>11443</v>
      </c>
      <c r="B116" s="2">
        <v>-2.34</v>
      </c>
      <c r="C116" s="2">
        <v>4.99</v>
      </c>
      <c r="D116" s="2">
        <v>-9.14</v>
      </c>
      <c r="E116" s="2">
        <v>-44.14</v>
      </c>
      <c r="F116" s="2">
        <v>-13.63</v>
      </c>
      <c r="G116" s="2">
        <v>-11.72</v>
      </c>
      <c r="H116" s="2">
        <v>0.22</v>
      </c>
      <c r="I116" s="2">
        <v>12.04</v>
      </c>
      <c r="J116" s="2">
        <v>6.13</v>
      </c>
      <c r="K116" s="2">
        <v>11.62</v>
      </c>
      <c r="L116" s="2">
        <v>1.74</v>
      </c>
      <c r="M116" s="2">
        <v>4.17</v>
      </c>
      <c r="N116" s="2">
        <v>27.34</v>
      </c>
      <c r="O116" s="2">
        <v>-1.1200000000000001</v>
      </c>
      <c r="P116" s="2">
        <v>45.68</v>
      </c>
      <c r="Q116" s="2">
        <v>3.34</v>
      </c>
      <c r="R116" s="2">
        <v>-1.02</v>
      </c>
      <c r="S116" s="2">
        <v>2.7</v>
      </c>
      <c r="T116" s="2">
        <v>23.15</v>
      </c>
      <c r="U116" s="2">
        <v>1.0900000000000001</v>
      </c>
      <c r="V116" s="2">
        <v>16.559999999999999</v>
      </c>
      <c r="W116" s="2">
        <v>0</v>
      </c>
      <c r="X116" s="2">
        <v>0.12</v>
      </c>
      <c r="Y116" s="2">
        <v>0</v>
      </c>
      <c r="Z116" s="2">
        <v>11.34</v>
      </c>
      <c r="AA116" s="2">
        <v>5.88</v>
      </c>
      <c r="AB116" s="2">
        <v>4.08</v>
      </c>
      <c r="AC116" s="2">
        <v>3.76</v>
      </c>
      <c r="AD116" s="2">
        <v>5.8</v>
      </c>
      <c r="AE116" s="2">
        <v>4.0999999999999996</v>
      </c>
      <c r="AF116" s="2">
        <v>83.78</v>
      </c>
      <c r="AG116" s="2">
        <v>14.64</v>
      </c>
      <c r="AH116" s="4">
        <f t="shared" si="1"/>
        <v>77.66</v>
      </c>
    </row>
    <row r="117" spans="1:34" x14ac:dyDescent="0.2">
      <c r="A117" s="3">
        <v>11474</v>
      </c>
      <c r="B117" s="2">
        <v>-3.07</v>
      </c>
      <c r="C117" s="2">
        <v>7.39</v>
      </c>
      <c r="D117" s="2">
        <v>1.24</v>
      </c>
      <c r="E117" s="2">
        <v>-46.62</v>
      </c>
      <c r="F117" s="2">
        <v>-10.9</v>
      </c>
      <c r="G117" s="2">
        <v>-8.2799999999999994</v>
      </c>
      <c r="H117" s="2">
        <v>-0.15</v>
      </c>
      <c r="I117" s="2">
        <v>11.1</v>
      </c>
      <c r="J117" s="2">
        <v>6.29</v>
      </c>
      <c r="K117" s="2">
        <v>4.82</v>
      </c>
      <c r="L117" s="2">
        <v>-3.06</v>
      </c>
      <c r="M117" s="2">
        <v>2.15</v>
      </c>
      <c r="N117" s="2">
        <v>24.28</v>
      </c>
      <c r="O117" s="2">
        <v>5.08</v>
      </c>
      <c r="P117" s="2">
        <v>47.31</v>
      </c>
      <c r="Q117" s="2">
        <v>5.72</v>
      </c>
      <c r="R117" s="2">
        <v>3.96</v>
      </c>
      <c r="S117" s="2">
        <v>9.5399999999999991</v>
      </c>
      <c r="T117" s="2">
        <v>35.57</v>
      </c>
      <c r="U117" s="2">
        <v>0.65</v>
      </c>
      <c r="V117" s="2">
        <v>32.979999999999997</v>
      </c>
      <c r="W117" s="2">
        <v>4.88</v>
      </c>
      <c r="X117" s="2">
        <v>2.4700000000000002</v>
      </c>
      <c r="Y117" s="2">
        <v>1.1499999999999999</v>
      </c>
      <c r="Z117" s="2">
        <v>0</v>
      </c>
      <c r="AA117" s="2">
        <v>0</v>
      </c>
      <c r="AB117" s="2">
        <v>0</v>
      </c>
      <c r="AC117" s="2">
        <v>0.5</v>
      </c>
      <c r="AD117" s="2">
        <v>6.03</v>
      </c>
      <c r="AE117" s="2">
        <v>9.8800000000000008</v>
      </c>
      <c r="AF117" s="2">
        <v>94.61</v>
      </c>
      <c r="AG117" s="2">
        <v>17.690000000000001</v>
      </c>
      <c r="AH117" s="4">
        <f t="shared" si="1"/>
        <v>126</v>
      </c>
    </row>
    <row r="118" spans="1:34" x14ac:dyDescent="0.2">
      <c r="A118" s="3">
        <v>11504</v>
      </c>
      <c r="B118" s="2">
        <v>-2.96</v>
      </c>
      <c r="C118" s="2">
        <v>8.2899999999999991</v>
      </c>
      <c r="D118" s="2">
        <v>-4.8600000000000003</v>
      </c>
      <c r="E118" s="2">
        <v>-45.19</v>
      </c>
      <c r="F118" s="2">
        <v>-13.21</v>
      </c>
      <c r="G118" s="2">
        <v>-1.87</v>
      </c>
      <c r="H118" s="2">
        <v>3.86</v>
      </c>
      <c r="I118" s="2">
        <v>10.14</v>
      </c>
      <c r="J118" s="2">
        <v>-0.69</v>
      </c>
      <c r="K118" s="2">
        <v>-1.35</v>
      </c>
      <c r="L118" s="2">
        <v>-3.42</v>
      </c>
      <c r="M118" s="2">
        <v>-5.67</v>
      </c>
      <c r="N118" s="2">
        <v>3.36</v>
      </c>
      <c r="O118" s="2">
        <v>13.99</v>
      </c>
      <c r="P118" s="2">
        <v>43.54</v>
      </c>
      <c r="Q118" s="2">
        <v>0.64</v>
      </c>
      <c r="R118" s="2">
        <v>-0.47</v>
      </c>
      <c r="S118" s="2">
        <v>14.41</v>
      </c>
      <c r="T118" s="2">
        <v>42.35</v>
      </c>
      <c r="U118" s="2">
        <v>0.73</v>
      </c>
      <c r="V118" s="2">
        <v>33.6</v>
      </c>
      <c r="W118" s="2">
        <v>18.62</v>
      </c>
      <c r="X118" s="2">
        <v>7.29</v>
      </c>
      <c r="Y118" s="2">
        <v>6.66</v>
      </c>
      <c r="Z118" s="2">
        <v>0</v>
      </c>
      <c r="AA118" s="2">
        <v>1</v>
      </c>
      <c r="AB118" s="2">
        <v>3.42</v>
      </c>
      <c r="AC118" s="2">
        <v>1.5</v>
      </c>
      <c r="AD118" s="2">
        <v>5.81</v>
      </c>
      <c r="AE118" s="2">
        <v>0.56000000000000005</v>
      </c>
      <c r="AF118" s="2">
        <v>103.54</v>
      </c>
      <c r="AG118" s="2">
        <v>22.83</v>
      </c>
      <c r="AH118" s="4">
        <f t="shared" si="1"/>
        <v>95.22</v>
      </c>
    </row>
    <row r="119" spans="1:34" x14ac:dyDescent="0.2">
      <c r="A119" s="3">
        <v>11535</v>
      </c>
      <c r="B119" s="2">
        <v>-3.83</v>
      </c>
      <c r="C119" s="2">
        <v>7.48</v>
      </c>
      <c r="D119" s="2">
        <v>-6.21</v>
      </c>
      <c r="E119" s="2">
        <v>-41.89</v>
      </c>
      <c r="F119" s="2">
        <v>-3.22</v>
      </c>
      <c r="G119" s="2">
        <v>1.67</v>
      </c>
      <c r="H119" s="2">
        <v>7.37</v>
      </c>
      <c r="I119" s="2">
        <v>13.43</v>
      </c>
      <c r="J119" s="2">
        <v>-0.01</v>
      </c>
      <c r="K119" s="2">
        <v>15.65</v>
      </c>
      <c r="L119" s="2">
        <v>-0.31</v>
      </c>
      <c r="M119" s="2">
        <v>-5.93</v>
      </c>
      <c r="N119" s="2">
        <v>10.08</v>
      </c>
      <c r="O119" s="2">
        <v>40.83</v>
      </c>
      <c r="P119" s="2">
        <v>74.34</v>
      </c>
      <c r="Q119" s="2">
        <v>-0.27</v>
      </c>
      <c r="R119" s="2">
        <v>-4.5199999999999996</v>
      </c>
      <c r="S119" s="2">
        <v>18.399999999999999</v>
      </c>
      <c r="T119" s="2">
        <v>42.62</v>
      </c>
      <c r="U119" s="2">
        <v>4.54</v>
      </c>
      <c r="V119" s="2">
        <v>41.53</v>
      </c>
      <c r="W119" s="2">
        <v>30.39</v>
      </c>
      <c r="X119" s="2">
        <v>11.98</v>
      </c>
      <c r="Y119" s="2">
        <v>11.72</v>
      </c>
      <c r="Z119" s="2">
        <v>0</v>
      </c>
      <c r="AA119" s="2">
        <v>0</v>
      </c>
      <c r="AB119" s="2">
        <v>0</v>
      </c>
      <c r="AC119" s="2">
        <v>0</v>
      </c>
      <c r="AD119" s="2">
        <v>5.72</v>
      </c>
      <c r="AE119" s="2">
        <v>0</v>
      </c>
      <c r="AF119" s="2">
        <v>112.76</v>
      </c>
      <c r="AG119" s="2">
        <v>24.8</v>
      </c>
      <c r="AH119" s="4">
        <f t="shared" si="1"/>
        <v>211.75</v>
      </c>
    </row>
    <row r="120" spans="1:34" x14ac:dyDescent="0.2">
      <c r="A120" s="3">
        <v>11566</v>
      </c>
      <c r="B120" s="2">
        <v>-4.3499999999999996</v>
      </c>
      <c r="C120" s="2">
        <v>6.95</v>
      </c>
      <c r="D120" s="2">
        <v>-6.24</v>
      </c>
      <c r="E120" s="2">
        <v>-33.07</v>
      </c>
      <c r="F120" s="2">
        <v>0.96</v>
      </c>
      <c r="G120" s="2">
        <v>7.14</v>
      </c>
      <c r="H120" s="2">
        <v>9.7799999999999994</v>
      </c>
      <c r="I120" s="2">
        <v>12.53</v>
      </c>
      <c r="J120" s="2">
        <v>1.57</v>
      </c>
      <c r="K120" s="2">
        <v>11.55</v>
      </c>
      <c r="L120" s="2">
        <v>-0.14000000000000001</v>
      </c>
      <c r="M120" s="2">
        <v>-7.53</v>
      </c>
      <c r="N120" s="2">
        <v>9.7899999999999991</v>
      </c>
      <c r="O120" s="2">
        <v>33.86</v>
      </c>
      <c r="P120" s="2">
        <v>72.150000000000006</v>
      </c>
      <c r="Q120" s="2">
        <v>-0.28000000000000003</v>
      </c>
      <c r="R120" s="2">
        <v>-3.04</v>
      </c>
      <c r="S120" s="2">
        <v>15.1</v>
      </c>
      <c r="T120" s="2">
        <v>40.4</v>
      </c>
      <c r="U120" s="2">
        <v>3.52</v>
      </c>
      <c r="V120" s="2">
        <v>36.69</v>
      </c>
      <c r="W120" s="2">
        <v>31.47</v>
      </c>
      <c r="X120" s="2">
        <v>14.19</v>
      </c>
      <c r="Y120" s="2">
        <v>14.06</v>
      </c>
      <c r="Z120" s="2">
        <v>4.92</v>
      </c>
      <c r="AA120" s="2">
        <v>3.44</v>
      </c>
      <c r="AB120" s="2">
        <v>8.33</v>
      </c>
      <c r="AC120" s="2">
        <v>0</v>
      </c>
      <c r="AD120" s="2">
        <v>5.69</v>
      </c>
      <c r="AE120" s="2">
        <v>0</v>
      </c>
      <c r="AF120" s="2">
        <v>114.68</v>
      </c>
      <c r="AG120" s="2">
        <v>23.65</v>
      </c>
      <c r="AH120" s="4">
        <f t="shared" si="1"/>
        <v>207.34</v>
      </c>
    </row>
    <row r="121" spans="1:34" x14ac:dyDescent="0.2">
      <c r="A121" s="3">
        <v>11596</v>
      </c>
      <c r="B121" s="2">
        <v>-4.72</v>
      </c>
      <c r="C121" s="2">
        <v>7.87</v>
      </c>
      <c r="D121" s="2">
        <v>-7.13</v>
      </c>
      <c r="E121" s="2">
        <v>-11.24</v>
      </c>
      <c r="F121" s="2">
        <v>6.23</v>
      </c>
      <c r="G121" s="2">
        <v>13.34</v>
      </c>
      <c r="H121" s="2">
        <v>14.43</v>
      </c>
      <c r="I121" s="2">
        <v>13.68</v>
      </c>
      <c r="J121" s="2">
        <v>11.53</v>
      </c>
      <c r="K121" s="2">
        <v>-6.37</v>
      </c>
      <c r="L121" s="2">
        <v>-1.49</v>
      </c>
      <c r="M121" s="2">
        <v>-6.52</v>
      </c>
      <c r="N121" s="2">
        <v>3.8</v>
      </c>
      <c r="O121" s="2">
        <v>-5.56</v>
      </c>
      <c r="P121" s="2">
        <v>36.58</v>
      </c>
      <c r="Q121" s="2">
        <v>1.33</v>
      </c>
      <c r="R121" s="2">
        <v>1.62</v>
      </c>
      <c r="S121" s="2">
        <v>-3.56</v>
      </c>
      <c r="T121" s="2">
        <v>24.65</v>
      </c>
      <c r="U121" s="2">
        <v>1.66</v>
      </c>
      <c r="V121" s="2">
        <v>12.8</v>
      </c>
      <c r="W121" s="2">
        <v>26.1</v>
      </c>
      <c r="X121" s="2">
        <v>13.6</v>
      </c>
      <c r="Y121" s="2">
        <v>13.27</v>
      </c>
      <c r="Z121" s="2">
        <v>2.46</v>
      </c>
      <c r="AA121" s="2">
        <v>8.32</v>
      </c>
      <c r="AB121" s="2">
        <v>0.66</v>
      </c>
      <c r="AC121" s="2">
        <v>0</v>
      </c>
      <c r="AD121" s="2">
        <v>5.2</v>
      </c>
      <c r="AE121" s="2">
        <v>0</v>
      </c>
      <c r="AF121" s="2">
        <v>106.81</v>
      </c>
      <c r="AG121" s="2">
        <v>20.170000000000002</v>
      </c>
      <c r="AH121" s="4">
        <f t="shared" si="1"/>
        <v>102.92999999999999</v>
      </c>
    </row>
    <row r="122" spans="1:34" x14ac:dyDescent="0.2">
      <c r="A122" s="3">
        <v>11627</v>
      </c>
      <c r="B122" s="2">
        <v>-2.83</v>
      </c>
      <c r="C122" s="2">
        <v>8.93</v>
      </c>
      <c r="D122" s="2">
        <v>-5.89</v>
      </c>
      <c r="E122" s="2">
        <v>-0.28000000000000003</v>
      </c>
      <c r="F122" s="2">
        <v>8.33</v>
      </c>
      <c r="G122" s="2">
        <v>15.95</v>
      </c>
      <c r="H122" s="2">
        <v>13.65</v>
      </c>
      <c r="I122" s="2">
        <v>13.64</v>
      </c>
      <c r="J122" s="2">
        <v>11.8</v>
      </c>
      <c r="K122" s="2">
        <v>-2.86</v>
      </c>
      <c r="L122" s="2">
        <v>0.06</v>
      </c>
      <c r="M122" s="2">
        <v>-4.3899999999999997</v>
      </c>
      <c r="N122" s="2">
        <v>6.01</v>
      </c>
      <c r="O122" s="2">
        <v>0.25</v>
      </c>
      <c r="P122" s="2">
        <v>38.44</v>
      </c>
      <c r="Q122" s="2">
        <v>0.59</v>
      </c>
      <c r="R122" s="2">
        <v>-0.4</v>
      </c>
      <c r="S122" s="2">
        <v>-7.77</v>
      </c>
      <c r="T122" s="2">
        <v>24.59</v>
      </c>
      <c r="U122" s="2">
        <v>-0.76</v>
      </c>
      <c r="V122" s="2">
        <v>11.37</v>
      </c>
      <c r="W122" s="2">
        <v>22.19</v>
      </c>
      <c r="X122" s="2">
        <v>12.73</v>
      </c>
      <c r="Y122" s="2">
        <v>12.38</v>
      </c>
      <c r="Z122" s="2">
        <v>2.0499999999999998</v>
      </c>
      <c r="AA122" s="2">
        <v>1.29</v>
      </c>
      <c r="AB122" s="2">
        <v>3.87</v>
      </c>
      <c r="AC122" s="2">
        <v>0</v>
      </c>
      <c r="AD122" s="2">
        <v>4.04</v>
      </c>
      <c r="AE122" s="2">
        <v>0.93</v>
      </c>
      <c r="AF122" s="2">
        <v>96.89</v>
      </c>
      <c r="AG122" s="2">
        <v>16.420000000000002</v>
      </c>
      <c r="AH122" s="4">
        <f t="shared" si="1"/>
        <v>128.43</v>
      </c>
    </row>
    <row r="123" spans="1:34" x14ac:dyDescent="0.2">
      <c r="A123" s="3">
        <v>11657</v>
      </c>
      <c r="B123" s="2">
        <v>-1.79</v>
      </c>
      <c r="C123" s="2">
        <v>8.5299999999999994</v>
      </c>
      <c r="D123" s="2">
        <v>-2.95</v>
      </c>
      <c r="E123" s="2">
        <v>8.36</v>
      </c>
      <c r="F123" s="2">
        <v>9.5500000000000007</v>
      </c>
      <c r="G123" s="2">
        <v>17.86</v>
      </c>
      <c r="H123" s="2">
        <v>12.29</v>
      </c>
      <c r="I123" s="2">
        <v>14.35</v>
      </c>
      <c r="J123" s="2">
        <v>18.190000000000001</v>
      </c>
      <c r="K123" s="2">
        <v>7.45</v>
      </c>
      <c r="L123" s="2">
        <v>6.02</v>
      </c>
      <c r="M123" s="2">
        <v>1.96</v>
      </c>
      <c r="N123" s="2">
        <v>9.07</v>
      </c>
      <c r="O123" s="2">
        <v>-3.19</v>
      </c>
      <c r="P123" s="2">
        <v>40.520000000000003</v>
      </c>
      <c r="Q123" s="2">
        <v>1.77</v>
      </c>
      <c r="R123" s="2">
        <v>0.26</v>
      </c>
      <c r="S123" s="2">
        <v>12.18</v>
      </c>
      <c r="T123" s="2">
        <v>24.8</v>
      </c>
      <c r="U123" s="2">
        <v>2.74</v>
      </c>
      <c r="V123" s="2">
        <v>11.52</v>
      </c>
      <c r="W123" s="2">
        <v>15.43</v>
      </c>
      <c r="X123" s="2">
        <v>8.3000000000000007</v>
      </c>
      <c r="Y123" s="2">
        <v>6.94</v>
      </c>
      <c r="Z123" s="2">
        <v>1.0900000000000001</v>
      </c>
      <c r="AA123" s="2">
        <v>9.61</v>
      </c>
      <c r="AB123" s="2">
        <v>1.63</v>
      </c>
      <c r="AC123" s="2">
        <v>7.27</v>
      </c>
      <c r="AD123" s="2">
        <v>3.07</v>
      </c>
      <c r="AE123" s="2">
        <v>22.37</v>
      </c>
      <c r="AF123" s="2">
        <v>63.57</v>
      </c>
      <c r="AG123" s="2">
        <v>12.92</v>
      </c>
      <c r="AH123" s="4">
        <f t="shared" si="1"/>
        <v>199.49000000000004</v>
      </c>
    </row>
    <row r="124" spans="1:34" x14ac:dyDescent="0.2">
      <c r="A124" s="3">
        <v>11688</v>
      </c>
      <c r="B124" s="2">
        <v>2.74</v>
      </c>
      <c r="C124" s="2">
        <v>22.89</v>
      </c>
      <c r="D124" s="2">
        <v>43.42</v>
      </c>
      <c r="E124" s="2">
        <v>114.87</v>
      </c>
      <c r="F124" s="2">
        <v>73.63</v>
      </c>
      <c r="G124" s="2">
        <v>148.75</v>
      </c>
      <c r="H124" s="2">
        <v>34.5</v>
      </c>
      <c r="I124" s="2">
        <v>31.45</v>
      </c>
      <c r="J124" s="2">
        <v>106.67</v>
      </c>
      <c r="K124" s="2">
        <v>82.49</v>
      </c>
      <c r="L124" s="2">
        <v>37.25</v>
      </c>
      <c r="M124" s="2">
        <v>42.92</v>
      </c>
      <c r="N124" s="2">
        <v>102.32</v>
      </c>
      <c r="O124" s="2">
        <v>-0.56000000000000005</v>
      </c>
      <c r="P124" s="2">
        <v>116.63</v>
      </c>
      <c r="Q124" s="2">
        <v>4.99</v>
      </c>
      <c r="R124" s="2">
        <v>3.77</v>
      </c>
      <c r="S124" s="2">
        <v>72.58</v>
      </c>
      <c r="T124" s="2">
        <v>47.81</v>
      </c>
      <c r="U124" s="2">
        <v>5.25</v>
      </c>
      <c r="V124" s="2">
        <v>20.440000000000001</v>
      </c>
      <c r="W124" s="2">
        <v>11.73</v>
      </c>
      <c r="X124" s="2">
        <v>6.4</v>
      </c>
      <c r="Y124" s="2">
        <v>6.25</v>
      </c>
      <c r="Z124" s="2">
        <v>3.55</v>
      </c>
      <c r="AA124" s="2">
        <v>7.6</v>
      </c>
      <c r="AB124" s="2">
        <v>9.15</v>
      </c>
      <c r="AC124" s="2">
        <v>22.96</v>
      </c>
      <c r="AD124" s="2">
        <v>3.18</v>
      </c>
      <c r="AE124" s="2">
        <v>50.53</v>
      </c>
      <c r="AF124" s="2">
        <v>58.4</v>
      </c>
      <c r="AG124" s="2">
        <v>11.2</v>
      </c>
      <c r="AH124" s="4">
        <f t="shared" si="1"/>
        <v>1114.81</v>
      </c>
    </row>
    <row r="125" spans="1:34" x14ac:dyDescent="0.2">
      <c r="A125" s="3">
        <v>11719</v>
      </c>
      <c r="B125" s="2">
        <v>1.94</v>
      </c>
      <c r="C125" s="2">
        <v>16.29</v>
      </c>
      <c r="D125" s="2">
        <v>-6.19</v>
      </c>
      <c r="E125" s="2">
        <v>-7.21</v>
      </c>
      <c r="F125" s="2">
        <v>-12.95</v>
      </c>
      <c r="G125" s="2">
        <v>36.82</v>
      </c>
      <c r="H125" s="2">
        <v>3.5</v>
      </c>
      <c r="I125" s="2">
        <v>19.71</v>
      </c>
      <c r="J125" s="2">
        <v>25.43</v>
      </c>
      <c r="K125" s="2">
        <v>-11.77</v>
      </c>
      <c r="L125" s="2">
        <v>4.04</v>
      </c>
      <c r="M125" s="2">
        <v>-2.91</v>
      </c>
      <c r="N125" s="2">
        <v>29.77</v>
      </c>
      <c r="O125" s="2">
        <v>-3.22</v>
      </c>
      <c r="P125" s="2">
        <v>32.979999999999997</v>
      </c>
      <c r="Q125" s="2">
        <v>2.4900000000000002</v>
      </c>
      <c r="R125" s="2">
        <v>7.39</v>
      </c>
      <c r="S125" s="2">
        <v>23.17</v>
      </c>
      <c r="T125" s="2">
        <v>28.32</v>
      </c>
      <c r="U125" s="2">
        <v>5.17</v>
      </c>
      <c r="V125" s="2">
        <v>18.510000000000002</v>
      </c>
      <c r="W125" s="2">
        <v>4.26</v>
      </c>
      <c r="X125" s="2">
        <v>10.09</v>
      </c>
      <c r="Y125" s="2">
        <v>8.85</v>
      </c>
      <c r="Z125" s="2">
        <v>0</v>
      </c>
      <c r="AA125" s="2">
        <v>0</v>
      </c>
      <c r="AB125" s="2">
        <v>2.36</v>
      </c>
      <c r="AC125" s="2">
        <v>10.28</v>
      </c>
      <c r="AD125" s="2">
        <v>3.24</v>
      </c>
      <c r="AE125" s="2">
        <v>24.8</v>
      </c>
      <c r="AF125" s="2">
        <v>69.56</v>
      </c>
      <c r="AG125" s="2">
        <v>9.8800000000000008</v>
      </c>
      <c r="AH125" s="4">
        <f t="shared" si="1"/>
        <v>211.28</v>
      </c>
    </row>
    <row r="126" spans="1:34" x14ac:dyDescent="0.2">
      <c r="A126" s="3">
        <v>11748</v>
      </c>
      <c r="B126" s="2">
        <v>1.07</v>
      </c>
      <c r="C126" s="2">
        <v>14.56</v>
      </c>
      <c r="D126" s="2">
        <v>-6.98</v>
      </c>
      <c r="E126" s="2">
        <v>-11.77</v>
      </c>
      <c r="F126" s="2">
        <v>-8.19</v>
      </c>
      <c r="G126" s="2">
        <v>4.1900000000000004</v>
      </c>
      <c r="H126" s="2">
        <v>8.06</v>
      </c>
      <c r="I126" s="2">
        <v>29.91</v>
      </c>
      <c r="J126" s="2">
        <v>63.56</v>
      </c>
      <c r="K126" s="2">
        <v>35.92</v>
      </c>
      <c r="L126" s="2">
        <v>65.37</v>
      </c>
      <c r="M126" s="2">
        <v>39.130000000000003</v>
      </c>
      <c r="N126" s="2">
        <v>95.37</v>
      </c>
      <c r="O126" s="2">
        <v>-1.58</v>
      </c>
      <c r="P126" s="2">
        <v>50.63</v>
      </c>
      <c r="Q126" s="2">
        <v>3.88</v>
      </c>
      <c r="R126" s="2">
        <v>11.15</v>
      </c>
      <c r="S126" s="2">
        <v>37.78</v>
      </c>
      <c r="T126" s="2">
        <v>46.84</v>
      </c>
      <c r="U126" s="2">
        <v>6.51</v>
      </c>
      <c r="V126" s="2">
        <v>20.55</v>
      </c>
      <c r="W126" s="2">
        <v>0</v>
      </c>
      <c r="X126" s="2">
        <v>3.54</v>
      </c>
      <c r="Y126" s="2">
        <v>3.73</v>
      </c>
      <c r="Z126" s="2">
        <v>18.86</v>
      </c>
      <c r="AA126" s="2">
        <v>21.94</v>
      </c>
      <c r="AB126" s="2">
        <v>3.09</v>
      </c>
      <c r="AC126" s="2">
        <v>17.05</v>
      </c>
      <c r="AD126" s="2">
        <v>3.83</v>
      </c>
      <c r="AE126" s="2">
        <v>26.85</v>
      </c>
      <c r="AF126" s="2">
        <v>57.98</v>
      </c>
      <c r="AG126" s="2">
        <v>10.08</v>
      </c>
      <c r="AH126" s="4">
        <f t="shared" si="1"/>
        <v>505.96</v>
      </c>
    </row>
    <row r="127" spans="1:34" x14ac:dyDescent="0.2">
      <c r="A127" s="3">
        <v>11779</v>
      </c>
      <c r="B127" s="2">
        <v>4.7300000000000004</v>
      </c>
      <c r="C127" s="2">
        <v>16.95</v>
      </c>
      <c r="D127" s="2">
        <v>-0.69</v>
      </c>
      <c r="E127" s="2">
        <v>23.75</v>
      </c>
      <c r="F127" s="2">
        <v>29.94</v>
      </c>
      <c r="G127" s="2">
        <v>3.34</v>
      </c>
      <c r="H127" s="2">
        <v>20.350000000000001</v>
      </c>
      <c r="I127" s="2">
        <v>22.25</v>
      </c>
      <c r="J127" s="2">
        <v>8.98</v>
      </c>
      <c r="K127" s="2">
        <v>-10.199999999999999</v>
      </c>
      <c r="L127" s="2">
        <v>-5.75</v>
      </c>
      <c r="M127" s="2">
        <v>-14.32</v>
      </c>
      <c r="N127" s="2">
        <v>21.22</v>
      </c>
      <c r="O127" s="2">
        <v>1.66</v>
      </c>
      <c r="P127" s="2">
        <v>46.54</v>
      </c>
      <c r="Q127" s="2">
        <v>7.59</v>
      </c>
      <c r="R127" s="2">
        <v>8.74</v>
      </c>
      <c r="S127" s="2">
        <v>-0.44</v>
      </c>
      <c r="T127" s="2">
        <v>48.52</v>
      </c>
      <c r="U127" s="2">
        <v>4.76</v>
      </c>
      <c r="V127" s="2">
        <v>24.34</v>
      </c>
      <c r="W127" s="2">
        <v>0</v>
      </c>
      <c r="X127" s="2">
        <v>4.47</v>
      </c>
      <c r="Y127" s="2">
        <v>3.59</v>
      </c>
      <c r="Z127" s="2">
        <v>0</v>
      </c>
      <c r="AA127" s="2">
        <v>0</v>
      </c>
      <c r="AB127" s="2">
        <v>0</v>
      </c>
      <c r="AC127" s="2">
        <v>4.76</v>
      </c>
      <c r="AD127" s="2">
        <v>5.75</v>
      </c>
      <c r="AE127" s="2">
        <v>2.42</v>
      </c>
      <c r="AF127" s="2">
        <v>68.42</v>
      </c>
      <c r="AG127" s="2">
        <v>10.69</v>
      </c>
      <c r="AH127" s="4">
        <f t="shared" si="1"/>
        <v>262.26</v>
      </c>
    </row>
    <row r="128" spans="1:34" x14ac:dyDescent="0.2">
      <c r="A128" s="3">
        <v>11809</v>
      </c>
      <c r="B128" s="2">
        <v>0.96</v>
      </c>
      <c r="C128" s="2">
        <v>8.02</v>
      </c>
      <c r="D128" s="2">
        <v>-7.28</v>
      </c>
      <c r="E128" s="2">
        <v>-15.19</v>
      </c>
      <c r="F128" s="2">
        <v>7.57</v>
      </c>
      <c r="G128" s="2">
        <v>-7.37</v>
      </c>
      <c r="H128" s="2">
        <v>13.67</v>
      </c>
      <c r="I128" s="2">
        <v>22.99</v>
      </c>
      <c r="J128" s="2">
        <v>14.85</v>
      </c>
      <c r="K128" s="2">
        <v>8.2100000000000009</v>
      </c>
      <c r="L128" s="2">
        <v>20.92</v>
      </c>
      <c r="M128" s="2">
        <v>9.33</v>
      </c>
      <c r="N128" s="2">
        <v>28.58</v>
      </c>
      <c r="O128" s="2">
        <v>0.94</v>
      </c>
      <c r="P128" s="2">
        <v>56.21</v>
      </c>
      <c r="Q128" s="2">
        <v>8.8000000000000007</v>
      </c>
      <c r="R128" s="2">
        <v>9.19</v>
      </c>
      <c r="S128" s="2">
        <v>11.24</v>
      </c>
      <c r="T128" s="2">
        <v>61.16</v>
      </c>
      <c r="U128" s="2">
        <v>2.8</v>
      </c>
      <c r="V128" s="2">
        <v>26.85</v>
      </c>
      <c r="W128" s="2">
        <v>0</v>
      </c>
      <c r="X128" s="2">
        <v>5.45</v>
      </c>
      <c r="Y128" s="2">
        <v>4.88</v>
      </c>
      <c r="Z128" s="2">
        <v>0.14000000000000001</v>
      </c>
      <c r="AA128" s="2">
        <v>0.17</v>
      </c>
      <c r="AB128" s="2">
        <v>0</v>
      </c>
      <c r="AC128" s="2">
        <v>8.27</v>
      </c>
      <c r="AD128" s="2">
        <v>6.63</v>
      </c>
      <c r="AE128" s="2">
        <v>3.45</v>
      </c>
      <c r="AF128" s="2">
        <v>84.67</v>
      </c>
      <c r="AG128" s="2">
        <v>14.64</v>
      </c>
      <c r="AH128" s="4">
        <f t="shared" si="1"/>
        <v>282.45000000000005</v>
      </c>
    </row>
    <row r="129" spans="1:34" x14ac:dyDescent="0.2">
      <c r="A129" s="3">
        <v>11840</v>
      </c>
      <c r="B129" s="2">
        <v>-0.75</v>
      </c>
      <c r="C129" s="2">
        <v>9.19</v>
      </c>
      <c r="D129" s="2">
        <v>-1.17</v>
      </c>
      <c r="E129" s="2">
        <v>-8.02</v>
      </c>
      <c r="F129" s="2">
        <v>9.73</v>
      </c>
      <c r="G129" s="2">
        <v>0.15</v>
      </c>
      <c r="H129" s="2">
        <v>14.53</v>
      </c>
      <c r="I129" s="2">
        <v>23.99</v>
      </c>
      <c r="J129" s="2">
        <v>46.03</v>
      </c>
      <c r="K129" s="2">
        <v>43.51</v>
      </c>
      <c r="L129" s="2">
        <v>68.98</v>
      </c>
      <c r="M129" s="2">
        <v>39.03</v>
      </c>
      <c r="N129" s="2">
        <v>55.49</v>
      </c>
      <c r="O129" s="2">
        <v>11.05</v>
      </c>
      <c r="P129" s="2">
        <v>83.67</v>
      </c>
      <c r="Q129" s="2">
        <v>14.16</v>
      </c>
      <c r="R129" s="2">
        <v>22.17</v>
      </c>
      <c r="S129" s="2">
        <v>29.9</v>
      </c>
      <c r="T129" s="2">
        <v>115.7</v>
      </c>
      <c r="U129" s="2">
        <v>1.7</v>
      </c>
      <c r="V129" s="2">
        <v>36.1</v>
      </c>
      <c r="W129" s="2">
        <v>4.88</v>
      </c>
      <c r="X129" s="2">
        <v>8.5</v>
      </c>
      <c r="Y129" s="2">
        <v>7.26</v>
      </c>
      <c r="Z129" s="2">
        <v>0</v>
      </c>
      <c r="AA129" s="2">
        <v>0.86</v>
      </c>
      <c r="AB129" s="2">
        <v>1.01</v>
      </c>
      <c r="AC129" s="2">
        <v>6.02</v>
      </c>
      <c r="AD129" s="2">
        <v>7.15</v>
      </c>
      <c r="AE129" s="2">
        <v>0.84</v>
      </c>
      <c r="AF129" s="2">
        <v>95.62</v>
      </c>
      <c r="AG129" s="2">
        <v>17.690000000000001</v>
      </c>
      <c r="AH129" s="4">
        <f t="shared" si="1"/>
        <v>615.1400000000001</v>
      </c>
    </row>
    <row r="130" spans="1:34" x14ac:dyDescent="0.2">
      <c r="A130" s="3">
        <v>11870</v>
      </c>
      <c r="B130" s="2">
        <v>-5.13</v>
      </c>
      <c r="C130" s="2">
        <v>5.86</v>
      </c>
      <c r="D130" s="2">
        <v>-16.04</v>
      </c>
      <c r="E130" s="2">
        <v>-68.63</v>
      </c>
      <c r="F130" s="2">
        <v>-42.63</v>
      </c>
      <c r="G130" s="2">
        <v>-14.52</v>
      </c>
      <c r="H130" s="2">
        <v>-0.47</v>
      </c>
      <c r="I130" s="2">
        <v>21.79</v>
      </c>
      <c r="J130" s="2">
        <v>18.86</v>
      </c>
      <c r="K130" s="2">
        <v>21.14</v>
      </c>
      <c r="L130" s="2">
        <v>17.7</v>
      </c>
      <c r="M130" s="2">
        <v>29.64</v>
      </c>
      <c r="N130" s="2">
        <v>43.38</v>
      </c>
      <c r="O130" s="2">
        <v>29.96</v>
      </c>
      <c r="P130" s="2">
        <v>77.22</v>
      </c>
      <c r="Q130" s="2">
        <v>17.690000000000001</v>
      </c>
      <c r="R130" s="2">
        <v>23.23</v>
      </c>
      <c r="S130" s="2">
        <v>25.18</v>
      </c>
      <c r="T130" s="2">
        <v>134.38</v>
      </c>
      <c r="U130" s="2">
        <v>0.37</v>
      </c>
      <c r="V130" s="2">
        <v>41.19</v>
      </c>
      <c r="W130" s="2">
        <v>18.62</v>
      </c>
      <c r="X130" s="2">
        <v>13.88</v>
      </c>
      <c r="Y130" s="2">
        <v>13.38</v>
      </c>
      <c r="Z130" s="2">
        <v>2.0499999999999998</v>
      </c>
      <c r="AA130" s="2">
        <v>1.29</v>
      </c>
      <c r="AB130" s="2">
        <v>3.43</v>
      </c>
      <c r="AC130" s="2">
        <v>0</v>
      </c>
      <c r="AD130" s="2">
        <v>7.27</v>
      </c>
      <c r="AE130" s="2">
        <v>0</v>
      </c>
      <c r="AF130" s="2">
        <v>104.64</v>
      </c>
      <c r="AG130" s="2">
        <v>22.83</v>
      </c>
      <c r="AH130" s="4">
        <f t="shared" si="1"/>
        <v>360.17</v>
      </c>
    </row>
    <row r="131" spans="1:34" x14ac:dyDescent="0.2">
      <c r="A131" s="3">
        <v>11901</v>
      </c>
      <c r="B131" s="2">
        <v>-5.69</v>
      </c>
      <c r="C131" s="2">
        <v>6.65</v>
      </c>
      <c r="D131" s="2">
        <v>-12.88</v>
      </c>
      <c r="E131" s="2">
        <v>-49.16</v>
      </c>
      <c r="F131" s="2">
        <v>-30.06</v>
      </c>
      <c r="G131" s="2">
        <v>-15.55</v>
      </c>
      <c r="H131" s="2">
        <v>-2.9</v>
      </c>
      <c r="I131" s="2">
        <v>12.76</v>
      </c>
      <c r="J131" s="2">
        <v>-33.340000000000003</v>
      </c>
      <c r="K131" s="2">
        <v>-52.99</v>
      </c>
      <c r="L131" s="2">
        <v>-68.13</v>
      </c>
      <c r="M131" s="2">
        <v>-34.57</v>
      </c>
      <c r="N131" s="2">
        <v>-0.43</v>
      </c>
      <c r="O131" s="2">
        <v>44.12</v>
      </c>
      <c r="P131" s="2">
        <v>38.32</v>
      </c>
      <c r="Q131" s="2">
        <v>7.92</v>
      </c>
      <c r="R131" s="2">
        <v>37.18</v>
      </c>
      <c r="S131" s="2">
        <v>13.63</v>
      </c>
      <c r="T131" s="2">
        <v>75.73</v>
      </c>
      <c r="U131" s="2">
        <v>0.03</v>
      </c>
      <c r="V131" s="2">
        <v>36.9</v>
      </c>
      <c r="W131" s="2">
        <v>30.39</v>
      </c>
      <c r="X131" s="2">
        <v>19.16</v>
      </c>
      <c r="Y131" s="2">
        <v>19</v>
      </c>
      <c r="Z131" s="2">
        <v>0</v>
      </c>
      <c r="AA131" s="2">
        <v>0</v>
      </c>
      <c r="AB131" s="2">
        <v>0</v>
      </c>
      <c r="AC131" s="2">
        <v>0</v>
      </c>
      <c r="AD131" s="2">
        <v>6.53</v>
      </c>
      <c r="AE131" s="2">
        <v>0</v>
      </c>
      <c r="AF131" s="2">
        <v>113.96</v>
      </c>
      <c r="AG131" s="2">
        <v>24.8</v>
      </c>
      <c r="AH131" s="4">
        <f t="shared" ref="AH131:AH194" si="2">SUM(B131:V131)</f>
        <v>-32.460000000000029</v>
      </c>
    </row>
    <row r="132" spans="1:34" x14ac:dyDescent="0.2">
      <c r="A132" s="3">
        <v>11932</v>
      </c>
      <c r="B132" s="2">
        <v>-6.02</v>
      </c>
      <c r="C132" s="2">
        <v>6.72</v>
      </c>
      <c r="D132" s="2">
        <v>-9.82</v>
      </c>
      <c r="E132" s="2">
        <v>-28.42</v>
      </c>
      <c r="F132" s="2">
        <v>-17.809999999999999</v>
      </c>
      <c r="G132" s="2">
        <v>-1.1100000000000001</v>
      </c>
      <c r="H132" s="2">
        <v>4.3</v>
      </c>
      <c r="I132" s="2">
        <v>13.53</v>
      </c>
      <c r="J132" s="2">
        <v>-29.23</v>
      </c>
      <c r="K132" s="2">
        <v>-44.51</v>
      </c>
      <c r="L132" s="2">
        <v>-47.11</v>
      </c>
      <c r="M132" s="2">
        <v>-25.63</v>
      </c>
      <c r="N132" s="2">
        <v>-10.4</v>
      </c>
      <c r="O132" s="2">
        <v>33.69</v>
      </c>
      <c r="P132" s="2">
        <v>34.15</v>
      </c>
      <c r="Q132" s="2">
        <v>4.95</v>
      </c>
      <c r="R132" s="2">
        <v>21.1</v>
      </c>
      <c r="S132" s="2">
        <v>11.67</v>
      </c>
      <c r="T132" s="2">
        <v>41.41</v>
      </c>
      <c r="U132" s="2">
        <v>2.21</v>
      </c>
      <c r="V132" s="2">
        <v>27.51</v>
      </c>
      <c r="W132" s="2">
        <v>31.47</v>
      </c>
      <c r="X132" s="2">
        <v>21.48</v>
      </c>
      <c r="Y132" s="2">
        <v>21.48</v>
      </c>
      <c r="Z132" s="2">
        <v>0</v>
      </c>
      <c r="AA132" s="2">
        <v>0</v>
      </c>
      <c r="AB132" s="2">
        <v>0.22</v>
      </c>
      <c r="AC132" s="2">
        <v>0</v>
      </c>
      <c r="AD132" s="2">
        <v>5.77</v>
      </c>
      <c r="AE132" s="2">
        <v>0</v>
      </c>
      <c r="AF132" s="2">
        <v>115.89</v>
      </c>
      <c r="AG132" s="2">
        <v>23.65</v>
      </c>
      <c r="AH132" s="4">
        <f t="shared" si="2"/>
        <v>-18.820000000000004</v>
      </c>
    </row>
    <row r="133" spans="1:34" x14ac:dyDescent="0.2">
      <c r="A133" s="3">
        <v>11962</v>
      </c>
      <c r="B133" s="2">
        <v>-6.13</v>
      </c>
      <c r="C133" s="2">
        <v>8.0399999999999991</v>
      </c>
      <c r="D133" s="2">
        <v>-7.65</v>
      </c>
      <c r="E133" s="2">
        <v>-18.39</v>
      </c>
      <c r="F133" s="2">
        <v>-7.16</v>
      </c>
      <c r="G133" s="2">
        <v>6.85</v>
      </c>
      <c r="H133" s="2">
        <v>10.33</v>
      </c>
      <c r="I133" s="2">
        <v>18.36</v>
      </c>
      <c r="J133" s="2">
        <v>-0.11</v>
      </c>
      <c r="K133" s="2">
        <v>-18.059999999999999</v>
      </c>
      <c r="L133" s="2">
        <v>-26.2</v>
      </c>
      <c r="M133" s="2">
        <v>-12.59</v>
      </c>
      <c r="N133" s="2">
        <v>8.6999999999999993</v>
      </c>
      <c r="O133" s="2">
        <v>-2.25</v>
      </c>
      <c r="P133" s="2">
        <v>25.12</v>
      </c>
      <c r="Q133" s="2">
        <v>6.51</v>
      </c>
      <c r="R133" s="2">
        <v>15.67</v>
      </c>
      <c r="S133" s="2">
        <v>0.35</v>
      </c>
      <c r="T133" s="2">
        <v>25.74</v>
      </c>
      <c r="U133" s="2">
        <v>3.37</v>
      </c>
      <c r="V133" s="2">
        <v>9.99</v>
      </c>
      <c r="W133" s="2">
        <v>26.1</v>
      </c>
      <c r="X133" s="2">
        <v>20.38</v>
      </c>
      <c r="Y133" s="2">
        <v>20.16</v>
      </c>
      <c r="Z133" s="2">
        <v>9.19</v>
      </c>
      <c r="AA133" s="2">
        <v>3.15</v>
      </c>
      <c r="AB133" s="2">
        <v>6.57</v>
      </c>
      <c r="AC133" s="2">
        <v>3.26</v>
      </c>
      <c r="AD133" s="2">
        <v>5.1100000000000003</v>
      </c>
      <c r="AE133" s="2">
        <v>0</v>
      </c>
      <c r="AF133" s="2">
        <v>107.95</v>
      </c>
      <c r="AG133" s="2">
        <v>20.170000000000002</v>
      </c>
      <c r="AH133" s="4">
        <f t="shared" si="2"/>
        <v>40.489999999999995</v>
      </c>
    </row>
    <row r="134" spans="1:34" x14ac:dyDescent="0.2">
      <c r="A134" s="3">
        <v>11993</v>
      </c>
      <c r="B134" s="2">
        <v>-6.2</v>
      </c>
      <c r="C134" s="2">
        <v>7.45</v>
      </c>
      <c r="D134" s="2">
        <v>-6.7</v>
      </c>
      <c r="E134" s="2">
        <v>-8</v>
      </c>
      <c r="F134" s="2">
        <v>-7.93</v>
      </c>
      <c r="G134" s="2">
        <v>10.46</v>
      </c>
      <c r="H134" s="2">
        <v>11.23</v>
      </c>
      <c r="I134" s="2">
        <v>18.260000000000002</v>
      </c>
      <c r="J134" s="2">
        <v>6.22</v>
      </c>
      <c r="K134" s="2">
        <v>-5.44</v>
      </c>
      <c r="L134" s="2">
        <v>-2.2200000000000002</v>
      </c>
      <c r="M134" s="2">
        <v>3.86</v>
      </c>
      <c r="N134" s="2">
        <v>10.61</v>
      </c>
      <c r="O134" s="2">
        <v>1.37</v>
      </c>
      <c r="P134" s="2">
        <v>28.53</v>
      </c>
      <c r="Q134" s="2">
        <v>3.76</v>
      </c>
      <c r="R134" s="2">
        <v>9.33</v>
      </c>
      <c r="S134" s="2">
        <v>-3.7</v>
      </c>
      <c r="T134" s="2">
        <v>25.2</v>
      </c>
      <c r="U134" s="2">
        <v>1.78</v>
      </c>
      <c r="V134" s="2">
        <v>11.77</v>
      </c>
      <c r="W134" s="2">
        <v>22.19</v>
      </c>
      <c r="X134" s="2">
        <v>18.88</v>
      </c>
      <c r="Y134" s="2">
        <v>18.63</v>
      </c>
      <c r="Z134" s="2">
        <v>0</v>
      </c>
      <c r="AA134" s="2">
        <v>16.2</v>
      </c>
      <c r="AB134" s="2">
        <v>0.66</v>
      </c>
      <c r="AC134" s="2">
        <v>1</v>
      </c>
      <c r="AD134" s="2">
        <v>3.65</v>
      </c>
      <c r="AE134" s="2">
        <v>0</v>
      </c>
      <c r="AF134" s="2">
        <v>97.91</v>
      </c>
      <c r="AG134" s="2">
        <v>16.420000000000002</v>
      </c>
      <c r="AH134" s="4">
        <f t="shared" si="2"/>
        <v>109.64</v>
      </c>
    </row>
    <row r="135" spans="1:34" x14ac:dyDescent="0.2">
      <c r="A135" s="3">
        <v>12023</v>
      </c>
      <c r="B135" s="2">
        <v>-3.09</v>
      </c>
      <c r="C135" s="2">
        <v>8.18</v>
      </c>
      <c r="D135" s="2">
        <v>-3.88</v>
      </c>
      <c r="E135" s="2">
        <v>3.76</v>
      </c>
      <c r="F135" s="2">
        <v>0.17</v>
      </c>
      <c r="G135" s="2">
        <v>11.67</v>
      </c>
      <c r="H135" s="2">
        <v>8.6300000000000008</v>
      </c>
      <c r="I135" s="2">
        <v>15.97</v>
      </c>
      <c r="J135" s="2">
        <v>8.25</v>
      </c>
      <c r="K135" s="2">
        <v>-13.39</v>
      </c>
      <c r="L135" s="2">
        <v>1.25</v>
      </c>
      <c r="M135" s="2">
        <v>-2.2599999999999998</v>
      </c>
      <c r="N135" s="2">
        <v>-1.57</v>
      </c>
      <c r="O135" s="2">
        <v>-1.19</v>
      </c>
      <c r="P135" s="2">
        <v>25.06</v>
      </c>
      <c r="Q135" s="2">
        <v>3.37</v>
      </c>
      <c r="R135" s="2">
        <v>6.92</v>
      </c>
      <c r="S135" s="2">
        <v>-3.72</v>
      </c>
      <c r="T135" s="2">
        <v>23.85</v>
      </c>
      <c r="U135" s="2">
        <v>3.92</v>
      </c>
      <c r="V135" s="2">
        <v>11.24</v>
      </c>
      <c r="W135" s="2">
        <v>15.43</v>
      </c>
      <c r="X135" s="2">
        <v>12.39</v>
      </c>
      <c r="Y135" s="2">
        <v>11.1</v>
      </c>
      <c r="Z135" s="2">
        <v>3.25</v>
      </c>
      <c r="AA135" s="2">
        <v>0</v>
      </c>
      <c r="AB135" s="2">
        <v>0</v>
      </c>
      <c r="AC135" s="2">
        <v>2.5099999999999998</v>
      </c>
      <c r="AD135" s="2">
        <v>2.64</v>
      </c>
      <c r="AE135" s="2">
        <v>4.01</v>
      </c>
      <c r="AF135" s="2">
        <v>64.239999999999995</v>
      </c>
      <c r="AG135" s="2">
        <v>12.92</v>
      </c>
      <c r="AH135" s="4">
        <f t="shared" si="2"/>
        <v>103.13999999999999</v>
      </c>
    </row>
    <row r="136" spans="1:34" x14ac:dyDescent="0.2">
      <c r="A136" s="3">
        <v>12054</v>
      </c>
      <c r="B136" s="2">
        <v>-2.27</v>
      </c>
      <c r="C136" s="2">
        <v>10.78</v>
      </c>
      <c r="D136" s="2">
        <v>3.39</v>
      </c>
      <c r="E136" s="2">
        <v>20.85</v>
      </c>
      <c r="F136" s="2">
        <v>20.51</v>
      </c>
      <c r="G136" s="2">
        <v>23.59</v>
      </c>
      <c r="H136" s="2">
        <v>11.73</v>
      </c>
      <c r="I136" s="2">
        <v>17.920000000000002</v>
      </c>
      <c r="J136" s="2">
        <v>14.25</v>
      </c>
      <c r="K136" s="2">
        <v>0.4</v>
      </c>
      <c r="L136" s="2">
        <v>-0.08</v>
      </c>
      <c r="M136" s="2">
        <v>-3.76</v>
      </c>
      <c r="N136" s="2">
        <v>5.25</v>
      </c>
      <c r="O136" s="2">
        <v>-1.72</v>
      </c>
      <c r="P136" s="2">
        <v>26.81</v>
      </c>
      <c r="Q136" s="2">
        <v>1.8</v>
      </c>
      <c r="R136" s="2">
        <v>5.04</v>
      </c>
      <c r="S136" s="2">
        <v>5.43</v>
      </c>
      <c r="T136" s="2">
        <v>22.58</v>
      </c>
      <c r="U136" s="2">
        <v>4.76</v>
      </c>
      <c r="V136" s="2">
        <v>15.37</v>
      </c>
      <c r="W136" s="2">
        <v>11.73</v>
      </c>
      <c r="X136" s="2">
        <v>10.16</v>
      </c>
      <c r="Y136" s="2">
        <v>10.09</v>
      </c>
      <c r="Z136" s="2">
        <v>0.33</v>
      </c>
      <c r="AA136" s="2">
        <v>6.6</v>
      </c>
      <c r="AB136" s="2">
        <v>0.71</v>
      </c>
      <c r="AC136" s="2">
        <v>12.78</v>
      </c>
      <c r="AD136" s="2">
        <v>2.65</v>
      </c>
      <c r="AE136" s="2">
        <v>18.64</v>
      </c>
      <c r="AF136" s="2">
        <v>59.02</v>
      </c>
      <c r="AG136" s="2">
        <v>11.2</v>
      </c>
      <c r="AH136" s="4">
        <f t="shared" si="2"/>
        <v>202.63</v>
      </c>
    </row>
    <row r="137" spans="1:34" x14ac:dyDescent="0.2">
      <c r="A137" s="3">
        <v>12085</v>
      </c>
      <c r="B137" s="2">
        <v>-0.89</v>
      </c>
      <c r="C137" s="2">
        <v>16.739999999999998</v>
      </c>
      <c r="D137" s="2">
        <v>12.29</v>
      </c>
      <c r="E137" s="2">
        <v>40.85</v>
      </c>
      <c r="F137" s="2">
        <v>20.51</v>
      </c>
      <c r="G137" s="2">
        <v>55.79</v>
      </c>
      <c r="H137" s="2">
        <v>15.99</v>
      </c>
      <c r="I137" s="2">
        <v>23.13</v>
      </c>
      <c r="J137" s="2">
        <v>47.51</v>
      </c>
      <c r="K137" s="2">
        <v>38.44</v>
      </c>
      <c r="L137" s="2">
        <v>0.77</v>
      </c>
      <c r="M137" s="2">
        <v>11.15</v>
      </c>
      <c r="N137" s="2">
        <v>34.159999999999997</v>
      </c>
      <c r="O137" s="2">
        <v>-0.88</v>
      </c>
      <c r="P137" s="2">
        <v>117.76</v>
      </c>
      <c r="Q137" s="2">
        <v>4.75</v>
      </c>
      <c r="R137" s="2">
        <v>7.25</v>
      </c>
      <c r="S137" s="2">
        <v>103.98</v>
      </c>
      <c r="T137" s="2">
        <v>77.3</v>
      </c>
      <c r="U137" s="2">
        <v>7.76</v>
      </c>
      <c r="V137" s="2">
        <v>21.11</v>
      </c>
      <c r="W137" s="2">
        <v>4.26</v>
      </c>
      <c r="X137" s="2">
        <v>7.15</v>
      </c>
      <c r="Y137" s="2">
        <v>5.93</v>
      </c>
      <c r="Z137" s="2">
        <v>18.190000000000001</v>
      </c>
      <c r="AA137" s="2">
        <v>6.88</v>
      </c>
      <c r="AB137" s="2">
        <v>7.03</v>
      </c>
      <c r="AC137" s="2">
        <v>22.46</v>
      </c>
      <c r="AD137" s="2">
        <v>2.69</v>
      </c>
      <c r="AE137" s="2">
        <v>35.979999999999997</v>
      </c>
      <c r="AF137" s="2">
        <v>75.3</v>
      </c>
      <c r="AG137" s="2">
        <v>9.8800000000000008</v>
      </c>
      <c r="AH137" s="4">
        <f t="shared" si="2"/>
        <v>655.46999999999991</v>
      </c>
    </row>
    <row r="138" spans="1:34" x14ac:dyDescent="0.2">
      <c r="A138" s="3">
        <v>12113</v>
      </c>
      <c r="B138" s="2">
        <v>-1.1399999999999999</v>
      </c>
      <c r="C138" s="2">
        <v>8.6199999999999992</v>
      </c>
      <c r="D138" s="2">
        <v>-8.99</v>
      </c>
      <c r="E138" s="2">
        <v>-14.47</v>
      </c>
      <c r="F138" s="2">
        <v>-12.67</v>
      </c>
      <c r="G138" s="2">
        <v>12.83</v>
      </c>
      <c r="H138" s="2">
        <v>7.13</v>
      </c>
      <c r="I138" s="2">
        <v>16.989999999999998</v>
      </c>
      <c r="J138" s="2">
        <v>6.67</v>
      </c>
      <c r="K138" s="2">
        <v>-14.39</v>
      </c>
      <c r="L138" s="2">
        <v>-4.09</v>
      </c>
      <c r="M138" s="2">
        <v>-11.6</v>
      </c>
      <c r="N138" s="2">
        <v>0.14000000000000001</v>
      </c>
      <c r="O138" s="2">
        <v>-2.15</v>
      </c>
      <c r="P138" s="2">
        <v>20.87</v>
      </c>
      <c r="Q138" s="2">
        <v>1.65</v>
      </c>
      <c r="R138" s="2">
        <v>5.61</v>
      </c>
      <c r="S138" s="2">
        <v>-3.64</v>
      </c>
      <c r="T138" s="2">
        <v>24.43</v>
      </c>
      <c r="U138" s="2">
        <v>4.88</v>
      </c>
      <c r="V138" s="2">
        <v>9.4</v>
      </c>
      <c r="W138" s="2">
        <v>0</v>
      </c>
      <c r="X138" s="2">
        <v>1.0900000000000001</v>
      </c>
      <c r="Y138" s="2">
        <v>1.29</v>
      </c>
      <c r="Z138" s="2">
        <v>0</v>
      </c>
      <c r="AA138" s="2">
        <v>0</v>
      </c>
      <c r="AB138" s="2">
        <v>0.05</v>
      </c>
      <c r="AC138" s="2">
        <v>4.6100000000000003</v>
      </c>
      <c r="AD138" s="2">
        <v>3.12</v>
      </c>
      <c r="AE138" s="2">
        <v>2.0499999999999998</v>
      </c>
      <c r="AF138" s="2">
        <v>62.77</v>
      </c>
      <c r="AG138" s="2">
        <v>10.08</v>
      </c>
      <c r="AH138" s="4">
        <f t="shared" si="2"/>
        <v>46.080000000000005</v>
      </c>
    </row>
    <row r="139" spans="1:34" x14ac:dyDescent="0.2">
      <c r="A139" s="3">
        <v>12144</v>
      </c>
      <c r="B139" s="2">
        <v>5.18</v>
      </c>
      <c r="C139" s="2">
        <v>18.399999999999999</v>
      </c>
      <c r="D139" s="2">
        <v>8.58</v>
      </c>
      <c r="E139" s="2">
        <v>58.43</v>
      </c>
      <c r="F139" s="2">
        <v>23.08</v>
      </c>
      <c r="G139" s="2">
        <v>36.86</v>
      </c>
      <c r="H139" s="2">
        <v>22.35</v>
      </c>
      <c r="I139" s="2">
        <v>22.88</v>
      </c>
      <c r="J139" s="2">
        <v>18.940000000000001</v>
      </c>
      <c r="K139" s="2">
        <v>6.01</v>
      </c>
      <c r="L139" s="2">
        <v>-4.88</v>
      </c>
      <c r="M139" s="2">
        <v>-4.22</v>
      </c>
      <c r="N139" s="2">
        <v>19.3</v>
      </c>
      <c r="O139" s="2">
        <v>2.83</v>
      </c>
      <c r="P139" s="2">
        <v>49.07</v>
      </c>
      <c r="Q139" s="2">
        <v>1.98</v>
      </c>
      <c r="R139" s="2">
        <v>2.69</v>
      </c>
      <c r="S139" s="2">
        <v>-3.26</v>
      </c>
      <c r="T139" s="2">
        <v>28.94</v>
      </c>
      <c r="U139" s="2">
        <v>4.37</v>
      </c>
      <c r="V139" s="2">
        <v>17.149999999999999</v>
      </c>
      <c r="W139" s="2">
        <v>0</v>
      </c>
      <c r="X139" s="2">
        <v>1.59</v>
      </c>
      <c r="Y139" s="2">
        <v>0.71</v>
      </c>
      <c r="Z139" s="2">
        <v>0</v>
      </c>
      <c r="AA139" s="2">
        <v>0</v>
      </c>
      <c r="AB139" s="2">
        <v>0</v>
      </c>
      <c r="AC139" s="2">
        <v>0</v>
      </c>
      <c r="AD139" s="2">
        <v>4.8499999999999996</v>
      </c>
      <c r="AE139" s="2">
        <v>17.989999999999998</v>
      </c>
      <c r="AF139" s="2">
        <v>74.069999999999993</v>
      </c>
      <c r="AG139" s="2">
        <v>10.69</v>
      </c>
      <c r="AH139" s="4">
        <f t="shared" si="2"/>
        <v>334.68</v>
      </c>
    </row>
    <row r="140" spans="1:34" x14ac:dyDescent="0.2">
      <c r="A140" s="3">
        <v>12174</v>
      </c>
      <c r="B140" s="2">
        <v>-0.2</v>
      </c>
      <c r="C140" s="2">
        <v>6.87</v>
      </c>
      <c r="D140" s="2">
        <v>-5.15</v>
      </c>
      <c r="E140" s="2">
        <v>-15.05</v>
      </c>
      <c r="F140" s="2">
        <v>5.85</v>
      </c>
      <c r="G140" s="2">
        <v>-0.32</v>
      </c>
      <c r="H140" s="2">
        <v>7.52</v>
      </c>
      <c r="I140" s="2">
        <v>19.39</v>
      </c>
      <c r="J140" s="2">
        <v>10.94</v>
      </c>
      <c r="K140" s="2">
        <v>10.29</v>
      </c>
      <c r="L140" s="2">
        <v>0.9</v>
      </c>
      <c r="M140" s="2">
        <v>7.87</v>
      </c>
      <c r="N140" s="2">
        <v>29.97</v>
      </c>
      <c r="O140" s="2">
        <v>0.8</v>
      </c>
      <c r="P140" s="2">
        <v>48.15</v>
      </c>
      <c r="Q140" s="2">
        <v>5.71</v>
      </c>
      <c r="R140" s="2">
        <v>8.74</v>
      </c>
      <c r="S140" s="2">
        <v>8.3000000000000007</v>
      </c>
      <c r="T140" s="2">
        <v>22.26</v>
      </c>
      <c r="U140" s="2">
        <v>3.38</v>
      </c>
      <c r="V140" s="2">
        <v>19.739999999999998</v>
      </c>
      <c r="W140" s="2">
        <v>0</v>
      </c>
      <c r="X140" s="2">
        <v>1.87</v>
      </c>
      <c r="Y140" s="2">
        <v>1.33</v>
      </c>
      <c r="Z140" s="2">
        <v>0.33</v>
      </c>
      <c r="AA140" s="2">
        <v>2.0099999999999998</v>
      </c>
      <c r="AB140" s="2">
        <v>0.25</v>
      </c>
      <c r="AC140" s="2">
        <v>2.41</v>
      </c>
      <c r="AD140" s="2">
        <v>5.45</v>
      </c>
      <c r="AE140" s="2">
        <v>1.4</v>
      </c>
      <c r="AF140" s="2">
        <v>91.65</v>
      </c>
      <c r="AG140" s="2">
        <v>14.64</v>
      </c>
      <c r="AH140" s="4">
        <f t="shared" si="2"/>
        <v>195.96</v>
      </c>
    </row>
    <row r="141" spans="1:34" x14ac:dyDescent="0.2">
      <c r="A141" s="3">
        <v>12205</v>
      </c>
      <c r="B141" s="2">
        <v>-2.5299999999999998</v>
      </c>
      <c r="C141" s="2">
        <v>8.19</v>
      </c>
      <c r="D141" s="2">
        <v>-4.58</v>
      </c>
      <c r="E141" s="2">
        <v>-14.15</v>
      </c>
      <c r="F141" s="2">
        <v>2.91</v>
      </c>
      <c r="G141" s="2">
        <v>4.5599999999999996</v>
      </c>
      <c r="H141" s="2">
        <v>7.33</v>
      </c>
      <c r="I141" s="2">
        <v>17.64</v>
      </c>
      <c r="J141" s="2">
        <v>14.56</v>
      </c>
      <c r="K141" s="2">
        <v>7.35</v>
      </c>
      <c r="L141" s="2">
        <v>10.42</v>
      </c>
      <c r="M141" s="2">
        <v>4.08</v>
      </c>
      <c r="N141" s="2">
        <v>28.32</v>
      </c>
      <c r="O141" s="2">
        <v>8.0399999999999991</v>
      </c>
      <c r="P141" s="2">
        <v>71.040000000000006</v>
      </c>
      <c r="Q141" s="2">
        <v>5.31</v>
      </c>
      <c r="R141" s="2">
        <v>4.13</v>
      </c>
      <c r="S141" s="2">
        <v>11.7</v>
      </c>
      <c r="T141" s="2">
        <v>37.869999999999997</v>
      </c>
      <c r="U141" s="2">
        <v>4.62</v>
      </c>
      <c r="V141" s="2">
        <v>22.78</v>
      </c>
      <c r="W141" s="2">
        <v>4.88</v>
      </c>
      <c r="X141" s="2">
        <v>4.46</v>
      </c>
      <c r="Y141" s="2">
        <v>3.25</v>
      </c>
      <c r="Z141" s="2">
        <v>1.67</v>
      </c>
      <c r="AA141" s="2">
        <v>0.14000000000000001</v>
      </c>
      <c r="AB141" s="2">
        <v>0</v>
      </c>
      <c r="AC141" s="2">
        <v>4.01</v>
      </c>
      <c r="AD141" s="2">
        <v>5.47</v>
      </c>
      <c r="AE141" s="2">
        <v>4.1900000000000004</v>
      </c>
      <c r="AF141" s="2">
        <v>103.51</v>
      </c>
      <c r="AG141" s="2">
        <v>17.690000000000001</v>
      </c>
      <c r="AH141" s="4">
        <f t="shared" si="2"/>
        <v>249.59</v>
      </c>
    </row>
    <row r="142" spans="1:34" x14ac:dyDescent="0.2">
      <c r="A142" s="3">
        <v>12235</v>
      </c>
      <c r="B142" s="2">
        <v>-5.32</v>
      </c>
      <c r="C142" s="2">
        <v>7.07</v>
      </c>
      <c r="D142" s="2">
        <v>-13.97</v>
      </c>
      <c r="E142" s="2">
        <v>-47.6</v>
      </c>
      <c r="F142" s="2">
        <v>-14.37</v>
      </c>
      <c r="G142" s="2">
        <v>-0.54</v>
      </c>
      <c r="H142" s="2">
        <v>6.24</v>
      </c>
      <c r="I142" s="2">
        <v>15.35</v>
      </c>
      <c r="J142" s="2">
        <v>23.5</v>
      </c>
      <c r="K142" s="2">
        <v>25.31</v>
      </c>
      <c r="L142" s="2">
        <v>54.8</v>
      </c>
      <c r="M142" s="2">
        <v>27.38</v>
      </c>
      <c r="N142" s="2">
        <v>41.55</v>
      </c>
      <c r="O142" s="2">
        <v>27.04</v>
      </c>
      <c r="P142" s="2">
        <v>67.44</v>
      </c>
      <c r="Q142" s="2">
        <v>10.029999999999999</v>
      </c>
      <c r="R142" s="2">
        <v>19.46</v>
      </c>
      <c r="S142" s="2">
        <v>17.21</v>
      </c>
      <c r="T142" s="2">
        <v>42.89</v>
      </c>
      <c r="U142" s="2">
        <v>4.7300000000000004</v>
      </c>
      <c r="V142" s="2">
        <v>30.93</v>
      </c>
      <c r="W142" s="2">
        <v>18.62</v>
      </c>
      <c r="X142" s="2">
        <v>9.4700000000000006</v>
      </c>
      <c r="Y142" s="2">
        <v>8.98</v>
      </c>
      <c r="Z142" s="2">
        <v>0.38</v>
      </c>
      <c r="AA142" s="2">
        <v>0</v>
      </c>
      <c r="AB142" s="2">
        <v>0.25</v>
      </c>
      <c r="AC142" s="2">
        <v>3.36</v>
      </c>
      <c r="AD142" s="2">
        <v>6.1</v>
      </c>
      <c r="AE142" s="2">
        <v>0.09</v>
      </c>
      <c r="AF142" s="2">
        <v>113.28</v>
      </c>
      <c r="AG142" s="2">
        <v>22.83</v>
      </c>
      <c r="AH142" s="4">
        <f t="shared" si="2"/>
        <v>339.13</v>
      </c>
    </row>
    <row r="143" spans="1:34" x14ac:dyDescent="0.2">
      <c r="A143" s="3">
        <v>12266</v>
      </c>
      <c r="B143" s="2">
        <v>-6.18</v>
      </c>
      <c r="C143" s="2">
        <v>6.79</v>
      </c>
      <c r="D143" s="2">
        <v>-13.44</v>
      </c>
      <c r="E143" s="2">
        <v>-48.27</v>
      </c>
      <c r="F143" s="2">
        <v>-26.97</v>
      </c>
      <c r="G143" s="2">
        <v>-5.59</v>
      </c>
      <c r="H143" s="2">
        <v>0.67</v>
      </c>
      <c r="I143" s="2">
        <v>13.07</v>
      </c>
      <c r="J143" s="2">
        <v>-13.37</v>
      </c>
      <c r="K143" s="2">
        <v>-25.52</v>
      </c>
      <c r="L143" s="2">
        <v>-31.94</v>
      </c>
      <c r="M143" s="2">
        <v>-14.43</v>
      </c>
      <c r="N143" s="2">
        <v>-4.41</v>
      </c>
      <c r="O143" s="2">
        <v>41.57</v>
      </c>
      <c r="P143" s="2">
        <v>39.11</v>
      </c>
      <c r="Q143" s="2">
        <v>2.2000000000000002</v>
      </c>
      <c r="R143" s="2">
        <v>11.53</v>
      </c>
      <c r="S143" s="2">
        <v>5.79</v>
      </c>
      <c r="T143" s="2">
        <v>38.82</v>
      </c>
      <c r="U143" s="2">
        <v>3.9</v>
      </c>
      <c r="V143" s="2">
        <v>29.12</v>
      </c>
      <c r="W143" s="2">
        <v>30.39</v>
      </c>
      <c r="X143" s="2">
        <v>14.35</v>
      </c>
      <c r="Y143" s="2">
        <v>14.22</v>
      </c>
      <c r="Z143" s="2">
        <v>0</v>
      </c>
      <c r="AA143" s="2">
        <v>0</v>
      </c>
      <c r="AB143" s="2">
        <v>0</v>
      </c>
      <c r="AC143" s="2">
        <v>0</v>
      </c>
      <c r="AD143" s="2">
        <v>5.54</v>
      </c>
      <c r="AE143" s="2">
        <v>0</v>
      </c>
      <c r="AF143" s="2">
        <v>123.36</v>
      </c>
      <c r="AG143" s="2">
        <v>24.8</v>
      </c>
      <c r="AH143" s="4">
        <f t="shared" si="2"/>
        <v>2.4499999999999993</v>
      </c>
    </row>
    <row r="144" spans="1:34" x14ac:dyDescent="0.2">
      <c r="A144" s="3">
        <v>12297</v>
      </c>
      <c r="B144" s="2">
        <v>-6.5</v>
      </c>
      <c r="C144" s="2">
        <v>6.68</v>
      </c>
      <c r="D144" s="2">
        <v>-8.89</v>
      </c>
      <c r="E144" s="2">
        <v>-32.75</v>
      </c>
      <c r="F144" s="2">
        <v>-12.67</v>
      </c>
      <c r="G144" s="2">
        <v>3.38</v>
      </c>
      <c r="H144" s="2">
        <v>6.11</v>
      </c>
      <c r="I144" s="2">
        <v>14.34</v>
      </c>
      <c r="J144" s="2">
        <v>-5.92</v>
      </c>
      <c r="K144" s="2">
        <v>-7.86</v>
      </c>
      <c r="L144" s="2">
        <v>-19.329999999999998</v>
      </c>
      <c r="M144" s="2">
        <v>-9.43</v>
      </c>
      <c r="N144" s="2">
        <v>8.15</v>
      </c>
      <c r="O144" s="2">
        <v>33.130000000000003</v>
      </c>
      <c r="P144" s="2">
        <v>44.69</v>
      </c>
      <c r="Q144" s="2">
        <v>4.08</v>
      </c>
      <c r="R144" s="2">
        <v>5.95</v>
      </c>
      <c r="S144" s="2">
        <v>11.43</v>
      </c>
      <c r="T144" s="2">
        <v>39.43</v>
      </c>
      <c r="U144" s="2">
        <v>6</v>
      </c>
      <c r="V144" s="2">
        <v>28.28</v>
      </c>
      <c r="W144" s="2">
        <v>31.47</v>
      </c>
      <c r="X144" s="2">
        <v>16.59</v>
      </c>
      <c r="Y144" s="2">
        <v>16.61</v>
      </c>
      <c r="Z144" s="2">
        <v>4.74</v>
      </c>
      <c r="AA144" s="2">
        <v>0</v>
      </c>
      <c r="AB144" s="2">
        <v>0.1</v>
      </c>
      <c r="AC144" s="2">
        <v>0</v>
      </c>
      <c r="AD144" s="2">
        <v>5.17</v>
      </c>
      <c r="AE144" s="2">
        <v>0</v>
      </c>
      <c r="AF144" s="2">
        <v>125.46</v>
      </c>
      <c r="AG144" s="2">
        <v>23.65</v>
      </c>
      <c r="AH144" s="4">
        <f t="shared" si="2"/>
        <v>108.30000000000001</v>
      </c>
    </row>
    <row r="145" spans="1:34" x14ac:dyDescent="0.2">
      <c r="A145" s="3">
        <v>12327</v>
      </c>
      <c r="B145" s="2">
        <v>-6.36</v>
      </c>
      <c r="C145" s="2">
        <v>7.59</v>
      </c>
      <c r="D145" s="2">
        <v>-7.49</v>
      </c>
      <c r="E145" s="2">
        <v>-15.43</v>
      </c>
      <c r="F145" s="2">
        <v>-3.66</v>
      </c>
      <c r="G145" s="2">
        <v>9.8699999999999992</v>
      </c>
      <c r="H145" s="2">
        <v>12.78</v>
      </c>
      <c r="I145" s="2">
        <v>17.12</v>
      </c>
      <c r="J145" s="2">
        <v>12.44</v>
      </c>
      <c r="K145" s="2">
        <v>-2.92</v>
      </c>
      <c r="L145" s="2">
        <v>-4.99</v>
      </c>
      <c r="M145" s="2">
        <v>-1.1299999999999999</v>
      </c>
      <c r="N145" s="2">
        <v>14.14</v>
      </c>
      <c r="O145" s="2">
        <v>-2.6</v>
      </c>
      <c r="P145" s="2">
        <v>30.52</v>
      </c>
      <c r="Q145" s="2">
        <v>5.05</v>
      </c>
      <c r="R145" s="2">
        <v>7.06</v>
      </c>
      <c r="S145" s="2">
        <v>-2.82</v>
      </c>
      <c r="T145" s="2">
        <v>24.84</v>
      </c>
      <c r="U145" s="2">
        <v>4.62</v>
      </c>
      <c r="V145" s="2">
        <v>11.24</v>
      </c>
      <c r="W145" s="2">
        <v>26.1</v>
      </c>
      <c r="X145" s="2">
        <v>15.83</v>
      </c>
      <c r="Y145" s="2">
        <v>15.62</v>
      </c>
      <c r="Z145" s="2">
        <v>0</v>
      </c>
      <c r="AA145" s="2">
        <v>0</v>
      </c>
      <c r="AB145" s="2">
        <v>0</v>
      </c>
      <c r="AC145" s="2">
        <v>0</v>
      </c>
      <c r="AD145" s="2">
        <v>4.5999999999999996</v>
      </c>
      <c r="AE145" s="2">
        <v>0</v>
      </c>
      <c r="AF145" s="2">
        <v>116.86</v>
      </c>
      <c r="AG145" s="2">
        <v>20.170000000000002</v>
      </c>
      <c r="AH145" s="4">
        <f t="shared" si="2"/>
        <v>109.87</v>
      </c>
    </row>
    <row r="146" spans="1:34" x14ac:dyDescent="0.2">
      <c r="A146" s="3">
        <v>12358</v>
      </c>
      <c r="B146" s="2">
        <v>-5.56</v>
      </c>
      <c r="C146" s="2">
        <v>8.3699999999999992</v>
      </c>
      <c r="D146" s="2">
        <v>-4.88</v>
      </c>
      <c r="E146" s="2">
        <v>2.4500000000000002</v>
      </c>
      <c r="F146" s="2">
        <v>10.29</v>
      </c>
      <c r="G146" s="2">
        <v>16.32</v>
      </c>
      <c r="H146" s="2">
        <v>14.08</v>
      </c>
      <c r="I146" s="2">
        <v>18.79</v>
      </c>
      <c r="J146" s="2">
        <v>11.98</v>
      </c>
      <c r="K146" s="2">
        <v>-12.06</v>
      </c>
      <c r="L146" s="2">
        <v>-0.8</v>
      </c>
      <c r="M146" s="2">
        <v>-2.87</v>
      </c>
      <c r="N146" s="2">
        <v>2.69</v>
      </c>
      <c r="O146" s="2">
        <v>0.71</v>
      </c>
      <c r="P146" s="2">
        <v>31.62</v>
      </c>
      <c r="Q146" s="2">
        <v>1.87</v>
      </c>
      <c r="R146" s="2">
        <v>3.6</v>
      </c>
      <c r="S146" s="2">
        <v>-6.28</v>
      </c>
      <c r="T146" s="2">
        <v>24.14</v>
      </c>
      <c r="U146" s="2">
        <v>2.41</v>
      </c>
      <c r="V146" s="2">
        <v>10.8</v>
      </c>
      <c r="W146" s="2">
        <v>22.19</v>
      </c>
      <c r="X146" s="2">
        <v>14.75</v>
      </c>
      <c r="Y146" s="2">
        <v>14.52</v>
      </c>
      <c r="Z146" s="2">
        <v>1.05</v>
      </c>
      <c r="AA146" s="2">
        <v>0.14000000000000001</v>
      </c>
      <c r="AB146" s="2">
        <v>0.57999999999999996</v>
      </c>
      <c r="AC146" s="2">
        <v>0</v>
      </c>
      <c r="AD146" s="2">
        <v>3.9</v>
      </c>
      <c r="AE146" s="2">
        <v>8.9499999999999993</v>
      </c>
      <c r="AF146" s="2">
        <v>105.99</v>
      </c>
      <c r="AG146" s="2">
        <v>16.420000000000002</v>
      </c>
      <c r="AH146" s="4">
        <f t="shared" si="2"/>
        <v>127.67</v>
      </c>
    </row>
    <row r="147" spans="1:34" x14ac:dyDescent="0.2">
      <c r="A147" s="3">
        <v>12388</v>
      </c>
      <c r="B147" s="2">
        <v>-4.0199999999999996</v>
      </c>
      <c r="C147" s="2">
        <v>7.93</v>
      </c>
      <c r="D147" s="2">
        <v>-6.68</v>
      </c>
      <c r="E147" s="2">
        <v>2.74</v>
      </c>
      <c r="F147" s="2">
        <v>0.19</v>
      </c>
      <c r="G147" s="2">
        <v>12.3</v>
      </c>
      <c r="H147" s="2">
        <v>10.8</v>
      </c>
      <c r="I147" s="2">
        <v>14.79</v>
      </c>
      <c r="J147" s="2">
        <v>16.63</v>
      </c>
      <c r="K147" s="2">
        <v>-6.01</v>
      </c>
      <c r="L147" s="2">
        <v>-5.21</v>
      </c>
      <c r="M147" s="2">
        <v>-4.8</v>
      </c>
      <c r="N147" s="2">
        <v>2.02</v>
      </c>
      <c r="O147" s="2">
        <v>-1.51</v>
      </c>
      <c r="P147" s="2">
        <v>27.69</v>
      </c>
      <c r="Q147" s="2">
        <v>3.08</v>
      </c>
      <c r="R147" s="2">
        <v>3.39</v>
      </c>
      <c r="S147" s="2">
        <v>-4.57</v>
      </c>
      <c r="T147" s="2">
        <v>23.01</v>
      </c>
      <c r="U147" s="2">
        <v>4.76</v>
      </c>
      <c r="V147" s="2">
        <v>10.85</v>
      </c>
      <c r="W147" s="2">
        <v>15.43</v>
      </c>
      <c r="X147" s="2">
        <v>9.67</v>
      </c>
      <c r="Y147" s="2">
        <v>8.4</v>
      </c>
      <c r="Z147" s="2">
        <v>6.65</v>
      </c>
      <c r="AA147" s="2">
        <v>0</v>
      </c>
      <c r="AB147" s="2">
        <v>0.16</v>
      </c>
      <c r="AC147" s="2">
        <v>4.88</v>
      </c>
      <c r="AD147" s="2">
        <v>2.91</v>
      </c>
      <c r="AE147" s="2">
        <v>0</v>
      </c>
      <c r="AF147" s="2">
        <v>69.540000000000006</v>
      </c>
      <c r="AG147" s="2">
        <v>12.92</v>
      </c>
      <c r="AH147" s="4">
        <f t="shared" si="2"/>
        <v>107.38</v>
      </c>
    </row>
    <row r="148" spans="1:34" x14ac:dyDescent="0.2">
      <c r="A148" s="3">
        <v>12419</v>
      </c>
      <c r="B148" s="2">
        <v>7.0000000000000007E-2</v>
      </c>
      <c r="C148" s="2">
        <v>22.63</v>
      </c>
      <c r="D148" s="2">
        <v>38.450000000000003</v>
      </c>
      <c r="E148" s="2">
        <v>102.74</v>
      </c>
      <c r="F148" s="2">
        <v>48.42</v>
      </c>
      <c r="G148" s="2">
        <v>97.06</v>
      </c>
      <c r="H148" s="2">
        <v>29.88</v>
      </c>
      <c r="I148" s="2">
        <v>29.43</v>
      </c>
      <c r="J148" s="2">
        <v>56.37</v>
      </c>
      <c r="K148" s="2">
        <v>27.58</v>
      </c>
      <c r="L148" s="2">
        <v>18.13</v>
      </c>
      <c r="M148" s="2">
        <v>18.43</v>
      </c>
      <c r="N148" s="2">
        <v>23.21</v>
      </c>
      <c r="O148" s="2">
        <v>-1.62</v>
      </c>
      <c r="P148" s="2">
        <v>31.4</v>
      </c>
      <c r="Q148" s="2">
        <v>2.64</v>
      </c>
      <c r="R148" s="2">
        <v>3.94</v>
      </c>
      <c r="S148" s="2">
        <v>9.89</v>
      </c>
      <c r="T148" s="2">
        <v>22.19</v>
      </c>
      <c r="U148" s="2">
        <v>4.7</v>
      </c>
      <c r="V148" s="2">
        <v>10.59</v>
      </c>
      <c r="W148" s="2">
        <v>11.73</v>
      </c>
      <c r="X148" s="2">
        <v>7.66</v>
      </c>
      <c r="Y148" s="2">
        <v>7.6</v>
      </c>
      <c r="Z148" s="2">
        <v>0</v>
      </c>
      <c r="AA148" s="2">
        <v>1.86</v>
      </c>
      <c r="AB148" s="2">
        <v>2.64</v>
      </c>
      <c r="AC148" s="2">
        <v>0.5</v>
      </c>
      <c r="AD148" s="2">
        <v>2.98</v>
      </c>
      <c r="AE148" s="2">
        <v>33.56</v>
      </c>
      <c r="AF148" s="2">
        <v>63.89</v>
      </c>
      <c r="AG148" s="2">
        <v>11.2</v>
      </c>
      <c r="AH148" s="4">
        <f t="shared" si="2"/>
        <v>596.13000000000011</v>
      </c>
    </row>
    <row r="149" spans="1:34" x14ac:dyDescent="0.2">
      <c r="A149" s="3">
        <v>12450</v>
      </c>
      <c r="B149" s="2">
        <v>1.94</v>
      </c>
      <c r="C149" s="2">
        <v>17.14</v>
      </c>
      <c r="D149" s="2">
        <v>-6.74</v>
      </c>
      <c r="E149" s="2">
        <v>14.38</v>
      </c>
      <c r="F149" s="2">
        <v>6.67</v>
      </c>
      <c r="G149" s="2">
        <v>32.049999999999997</v>
      </c>
      <c r="H149" s="2">
        <v>10.16</v>
      </c>
      <c r="I149" s="2">
        <v>21.19</v>
      </c>
      <c r="J149" s="2">
        <v>19.920000000000002</v>
      </c>
      <c r="K149" s="2">
        <v>-4.63</v>
      </c>
      <c r="L149" s="2">
        <v>-17.510000000000002</v>
      </c>
      <c r="M149" s="2">
        <v>-13.6</v>
      </c>
      <c r="N149" s="2">
        <v>7.81</v>
      </c>
      <c r="O149" s="2">
        <v>-2.36</v>
      </c>
      <c r="P149" s="2">
        <v>25.9</v>
      </c>
      <c r="Q149" s="2">
        <v>1.48</v>
      </c>
      <c r="R149" s="2">
        <v>4.1399999999999997</v>
      </c>
      <c r="S149" s="2">
        <v>4.24</v>
      </c>
      <c r="T149" s="2">
        <v>23.99</v>
      </c>
      <c r="U149" s="2">
        <v>4.2699999999999996</v>
      </c>
      <c r="V149" s="2">
        <v>10.83</v>
      </c>
      <c r="W149" s="2">
        <v>4.26</v>
      </c>
      <c r="X149" s="2">
        <v>5.66</v>
      </c>
      <c r="Y149" s="2">
        <v>4.4000000000000004</v>
      </c>
      <c r="Z149" s="2">
        <v>10.1</v>
      </c>
      <c r="AA149" s="2">
        <v>1.58</v>
      </c>
      <c r="AB149" s="2">
        <v>2.69</v>
      </c>
      <c r="AC149" s="2">
        <v>27.28</v>
      </c>
      <c r="AD149" s="2">
        <v>3.01</v>
      </c>
      <c r="AE149" s="2">
        <v>7.27</v>
      </c>
      <c r="AF149" s="2">
        <v>68.83</v>
      </c>
      <c r="AG149" s="2">
        <v>9.8800000000000008</v>
      </c>
      <c r="AH149" s="4">
        <f t="shared" si="2"/>
        <v>161.27000000000001</v>
      </c>
    </row>
    <row r="150" spans="1:34" x14ac:dyDescent="0.2">
      <c r="A150" s="3">
        <v>12478</v>
      </c>
      <c r="B150" s="2">
        <v>2.76</v>
      </c>
      <c r="C150" s="2">
        <v>18.59</v>
      </c>
      <c r="D150" s="2">
        <v>2.77</v>
      </c>
      <c r="E150" s="2">
        <v>21.88</v>
      </c>
      <c r="F150" s="2">
        <v>13.44</v>
      </c>
      <c r="G150" s="2">
        <v>34.64</v>
      </c>
      <c r="H150" s="2">
        <v>14.77</v>
      </c>
      <c r="I150" s="2">
        <v>24.24</v>
      </c>
      <c r="J150" s="2">
        <v>40.19</v>
      </c>
      <c r="K150" s="2">
        <v>10.97</v>
      </c>
      <c r="L150" s="2">
        <v>-1.03</v>
      </c>
      <c r="M150" s="2">
        <v>0.68</v>
      </c>
      <c r="N150" s="2">
        <v>20.18</v>
      </c>
      <c r="O150" s="2">
        <v>-2.2400000000000002</v>
      </c>
      <c r="P150" s="2">
        <v>29.75</v>
      </c>
      <c r="Q150" s="2">
        <v>7.0000000000000007E-2</v>
      </c>
      <c r="R150" s="2">
        <v>3.49</v>
      </c>
      <c r="S150" s="2">
        <v>6.92</v>
      </c>
      <c r="T150" s="2">
        <v>23.49</v>
      </c>
      <c r="U150" s="2">
        <v>4.8499999999999996</v>
      </c>
      <c r="V150" s="2">
        <v>9.75</v>
      </c>
      <c r="W150" s="2">
        <v>0</v>
      </c>
      <c r="X150" s="2">
        <v>0</v>
      </c>
      <c r="Y150" s="2">
        <v>0</v>
      </c>
      <c r="Z150" s="2">
        <v>3.3</v>
      </c>
      <c r="AA150" s="2">
        <v>1.29</v>
      </c>
      <c r="AB150" s="2">
        <v>0.16</v>
      </c>
      <c r="AC150" s="2">
        <v>0</v>
      </c>
      <c r="AD150" s="2">
        <v>3.37</v>
      </c>
      <c r="AE150" s="2">
        <v>26.57</v>
      </c>
      <c r="AF150" s="2">
        <v>57.37</v>
      </c>
      <c r="AG150" s="2">
        <v>10.08</v>
      </c>
      <c r="AH150" s="4">
        <f t="shared" si="2"/>
        <v>280.16000000000003</v>
      </c>
    </row>
    <row r="151" spans="1:34" x14ac:dyDescent="0.2">
      <c r="A151" s="3">
        <v>12509</v>
      </c>
      <c r="B151" s="2">
        <v>1.65</v>
      </c>
      <c r="C151" s="2">
        <v>15.71</v>
      </c>
      <c r="D151" s="2">
        <v>-9.0500000000000007</v>
      </c>
      <c r="E151" s="2">
        <v>-8.2899999999999991</v>
      </c>
      <c r="F151" s="2">
        <v>-3.13</v>
      </c>
      <c r="G151" s="2">
        <v>-4.04</v>
      </c>
      <c r="H151" s="2">
        <v>9.32</v>
      </c>
      <c r="I151" s="2">
        <v>18.41</v>
      </c>
      <c r="J151" s="2">
        <v>11</v>
      </c>
      <c r="K151" s="2">
        <v>3.52</v>
      </c>
      <c r="L151" s="2">
        <v>-13.09</v>
      </c>
      <c r="M151" s="2">
        <v>-5.79</v>
      </c>
      <c r="N151" s="2">
        <v>16.23</v>
      </c>
      <c r="O151" s="2">
        <v>3.09</v>
      </c>
      <c r="P151" s="2">
        <v>55.32</v>
      </c>
      <c r="Q151" s="2">
        <v>3.89</v>
      </c>
      <c r="R151" s="2">
        <v>1.28</v>
      </c>
      <c r="S151" s="2">
        <v>-4.1500000000000004</v>
      </c>
      <c r="T151" s="2">
        <v>28.72</v>
      </c>
      <c r="U151" s="2">
        <v>1.64</v>
      </c>
      <c r="V151" s="2">
        <v>20.440000000000001</v>
      </c>
      <c r="W151" s="2">
        <v>0</v>
      </c>
      <c r="X151" s="2">
        <v>0.09</v>
      </c>
      <c r="Y151" s="2">
        <v>0</v>
      </c>
      <c r="Z151" s="2">
        <v>0.96</v>
      </c>
      <c r="AA151" s="2">
        <v>0.35</v>
      </c>
      <c r="AB151" s="2">
        <v>1.59</v>
      </c>
      <c r="AC151" s="2">
        <v>0</v>
      </c>
      <c r="AD151" s="2">
        <v>5.07</v>
      </c>
      <c r="AE151" s="2">
        <v>0</v>
      </c>
      <c r="AF151" s="2">
        <v>67.7</v>
      </c>
      <c r="AG151" s="2">
        <v>10.69</v>
      </c>
      <c r="AH151" s="4">
        <f t="shared" si="2"/>
        <v>142.68</v>
      </c>
    </row>
    <row r="152" spans="1:34" x14ac:dyDescent="0.2">
      <c r="A152" s="3">
        <v>12539</v>
      </c>
      <c r="B152" s="2">
        <v>-0.91</v>
      </c>
      <c r="C152" s="2">
        <v>6.98</v>
      </c>
      <c r="D152" s="2">
        <v>-9.94</v>
      </c>
      <c r="E152" s="2">
        <v>-34.53</v>
      </c>
      <c r="F152" s="2">
        <v>-17.11</v>
      </c>
      <c r="G152" s="2">
        <v>-13.07</v>
      </c>
      <c r="H152" s="2">
        <v>3.63</v>
      </c>
      <c r="I152" s="2">
        <v>16.79</v>
      </c>
      <c r="J152" s="2">
        <v>5.28</v>
      </c>
      <c r="K152" s="2">
        <v>5.81</v>
      </c>
      <c r="L152" s="2">
        <v>-1.68</v>
      </c>
      <c r="M152" s="2">
        <v>5.49</v>
      </c>
      <c r="N152" s="2">
        <v>25.66</v>
      </c>
      <c r="O152" s="2">
        <v>0.81</v>
      </c>
      <c r="P152" s="2">
        <v>53.04</v>
      </c>
      <c r="Q152" s="2">
        <v>5.5</v>
      </c>
      <c r="R152" s="2">
        <v>2.15</v>
      </c>
      <c r="S152" s="2">
        <v>3.48</v>
      </c>
      <c r="T152" s="2">
        <v>24.28</v>
      </c>
      <c r="U152" s="2">
        <v>4.3099999999999996</v>
      </c>
      <c r="V152" s="2">
        <v>21.83</v>
      </c>
      <c r="W152" s="2">
        <v>0</v>
      </c>
      <c r="X152" s="2">
        <v>0.04</v>
      </c>
      <c r="Y152" s="2">
        <v>0</v>
      </c>
      <c r="Z152" s="2">
        <v>0</v>
      </c>
      <c r="AA152" s="2">
        <v>0</v>
      </c>
      <c r="AB152" s="2">
        <v>0</v>
      </c>
      <c r="AC152" s="2">
        <v>0.5</v>
      </c>
      <c r="AD152" s="2">
        <v>5.6</v>
      </c>
      <c r="AE152" s="2">
        <v>1.77</v>
      </c>
      <c r="AF152" s="2">
        <v>83.78</v>
      </c>
      <c r="AG152" s="2">
        <v>14.64</v>
      </c>
      <c r="AH152" s="4">
        <f t="shared" si="2"/>
        <v>107.8</v>
      </c>
    </row>
    <row r="153" spans="1:34" x14ac:dyDescent="0.2">
      <c r="A153" s="3">
        <v>12570</v>
      </c>
      <c r="B153" s="2">
        <v>-3.87</v>
      </c>
      <c r="C153" s="2">
        <v>6.83</v>
      </c>
      <c r="D153" s="2">
        <v>-9.48</v>
      </c>
      <c r="E153" s="2">
        <v>-41.56</v>
      </c>
      <c r="F153" s="2">
        <v>-17.12</v>
      </c>
      <c r="G153" s="2">
        <v>-13.39</v>
      </c>
      <c r="H153" s="2">
        <v>-0.65</v>
      </c>
      <c r="I153" s="2">
        <v>14.62</v>
      </c>
      <c r="J153" s="2">
        <v>1.1299999999999999</v>
      </c>
      <c r="K153" s="2">
        <v>-10.14</v>
      </c>
      <c r="L153" s="2">
        <v>-6.98</v>
      </c>
      <c r="M153" s="2">
        <v>-2.02</v>
      </c>
      <c r="N153" s="2">
        <v>14.88</v>
      </c>
      <c r="O153" s="2">
        <v>3.27</v>
      </c>
      <c r="P153" s="2">
        <v>45.56</v>
      </c>
      <c r="Q153" s="2">
        <v>0.9</v>
      </c>
      <c r="R153" s="2">
        <v>1.61</v>
      </c>
      <c r="S153" s="2">
        <v>1.41</v>
      </c>
      <c r="T153" s="2">
        <v>34.79</v>
      </c>
      <c r="U153" s="2">
        <v>4</v>
      </c>
      <c r="V153" s="2">
        <v>25.44</v>
      </c>
      <c r="W153" s="2">
        <v>4.88</v>
      </c>
      <c r="X153" s="2">
        <v>2.37</v>
      </c>
      <c r="Y153" s="2">
        <v>1.1200000000000001</v>
      </c>
      <c r="Z153" s="2">
        <v>0</v>
      </c>
      <c r="AA153" s="2">
        <v>0</v>
      </c>
      <c r="AB153" s="2">
        <v>0.16</v>
      </c>
      <c r="AC153" s="2">
        <v>2.5099999999999998</v>
      </c>
      <c r="AD153" s="2">
        <v>5.63</v>
      </c>
      <c r="AE153" s="2">
        <v>9.6</v>
      </c>
      <c r="AF153" s="2">
        <v>94.61</v>
      </c>
      <c r="AG153" s="2">
        <v>17.690000000000001</v>
      </c>
      <c r="AH153" s="4">
        <f t="shared" si="2"/>
        <v>49.23</v>
      </c>
    </row>
    <row r="154" spans="1:34" x14ac:dyDescent="0.2">
      <c r="A154" s="3">
        <v>12600</v>
      </c>
      <c r="B154" s="2">
        <v>-4.4400000000000004</v>
      </c>
      <c r="C154" s="2">
        <v>8.34</v>
      </c>
      <c r="D154" s="2">
        <v>-11.63</v>
      </c>
      <c r="E154" s="2">
        <v>-46.24</v>
      </c>
      <c r="F154" s="2">
        <v>-14.04</v>
      </c>
      <c r="G154" s="2">
        <v>-8.49</v>
      </c>
      <c r="H154" s="2">
        <v>2.92</v>
      </c>
      <c r="I154" s="2">
        <v>12.06</v>
      </c>
      <c r="J154" s="2">
        <v>-3.55</v>
      </c>
      <c r="K154" s="2">
        <v>-3.27</v>
      </c>
      <c r="L154" s="2">
        <v>-1.45</v>
      </c>
      <c r="M154" s="2">
        <v>-4.1900000000000004</v>
      </c>
      <c r="N154" s="2">
        <v>5.87</v>
      </c>
      <c r="O154" s="2">
        <v>20.239999999999998</v>
      </c>
      <c r="P154" s="2">
        <v>46.67</v>
      </c>
      <c r="Q154" s="2">
        <v>1.24</v>
      </c>
      <c r="R154" s="2">
        <v>-2.1</v>
      </c>
      <c r="S154" s="2">
        <v>11.78</v>
      </c>
      <c r="T154" s="2">
        <v>43.96</v>
      </c>
      <c r="U154" s="2">
        <v>3.42</v>
      </c>
      <c r="V154" s="2">
        <v>27.89</v>
      </c>
      <c r="W154" s="2">
        <v>18.62</v>
      </c>
      <c r="X154" s="2">
        <v>7.18</v>
      </c>
      <c r="Y154" s="2">
        <v>6.63</v>
      </c>
      <c r="Z154" s="2">
        <v>0.19</v>
      </c>
      <c r="AA154" s="2">
        <v>0</v>
      </c>
      <c r="AB154" s="2">
        <v>0</v>
      </c>
      <c r="AC154" s="2">
        <v>0.56999999999999995</v>
      </c>
      <c r="AD154" s="2">
        <v>5.4</v>
      </c>
      <c r="AE154" s="2">
        <v>4.0999999999999996</v>
      </c>
      <c r="AF154" s="2">
        <v>103.54</v>
      </c>
      <c r="AG154" s="2">
        <v>22.83</v>
      </c>
      <c r="AH154" s="4">
        <f t="shared" si="2"/>
        <v>84.990000000000009</v>
      </c>
    </row>
    <row r="155" spans="1:34" x14ac:dyDescent="0.2">
      <c r="A155" s="3">
        <v>12631</v>
      </c>
      <c r="B155" s="2">
        <v>-5.08</v>
      </c>
      <c r="C155" s="2">
        <v>8.39</v>
      </c>
      <c r="D155" s="2">
        <v>-9.77</v>
      </c>
      <c r="E155" s="2">
        <v>-37.47</v>
      </c>
      <c r="F155" s="2">
        <v>-6.5</v>
      </c>
      <c r="G155" s="2">
        <v>-2.73</v>
      </c>
      <c r="H155" s="2">
        <v>7.67</v>
      </c>
      <c r="I155" s="2">
        <v>15.21</v>
      </c>
      <c r="J155" s="2">
        <v>-0.64</v>
      </c>
      <c r="K155" s="2">
        <v>12.34</v>
      </c>
      <c r="L155" s="2">
        <v>-1.93</v>
      </c>
      <c r="M155" s="2">
        <v>-1.28</v>
      </c>
      <c r="N155" s="2">
        <v>13.45</v>
      </c>
      <c r="O155" s="2">
        <v>41.25</v>
      </c>
      <c r="P155" s="2">
        <v>76.16</v>
      </c>
      <c r="Q155" s="2">
        <v>1.48</v>
      </c>
      <c r="R155" s="2">
        <v>-2.87</v>
      </c>
      <c r="S155" s="2">
        <v>17.47</v>
      </c>
      <c r="T155" s="2">
        <v>41.01</v>
      </c>
      <c r="U155" s="2">
        <v>7.28</v>
      </c>
      <c r="V155" s="2">
        <v>34.869999999999997</v>
      </c>
      <c r="W155" s="2">
        <v>30.39</v>
      </c>
      <c r="X155" s="2">
        <v>11.87</v>
      </c>
      <c r="Y155" s="2">
        <v>11.69</v>
      </c>
      <c r="Z155" s="2">
        <v>0</v>
      </c>
      <c r="AA155" s="2">
        <v>0</v>
      </c>
      <c r="AB155" s="2">
        <v>3.43</v>
      </c>
      <c r="AC155" s="2">
        <v>0</v>
      </c>
      <c r="AD155" s="2">
        <v>5.38</v>
      </c>
      <c r="AE155" s="2">
        <v>0</v>
      </c>
      <c r="AF155" s="2">
        <v>112.76</v>
      </c>
      <c r="AG155" s="2">
        <v>24.8</v>
      </c>
      <c r="AH155" s="4">
        <f t="shared" si="2"/>
        <v>208.31</v>
      </c>
    </row>
    <row r="156" spans="1:34" x14ac:dyDescent="0.2">
      <c r="A156" s="3">
        <v>12662</v>
      </c>
      <c r="B156" s="2">
        <v>-5.42</v>
      </c>
      <c r="C156" s="2">
        <v>8.48</v>
      </c>
      <c r="D156" s="2">
        <v>-7.51</v>
      </c>
      <c r="E156" s="2">
        <v>-29.34</v>
      </c>
      <c r="F156" s="2">
        <v>-0.76</v>
      </c>
      <c r="G156" s="2">
        <v>3.8</v>
      </c>
      <c r="H156" s="2">
        <v>10.14</v>
      </c>
      <c r="I156" s="2">
        <v>15.26</v>
      </c>
      <c r="J156" s="2">
        <v>3.36</v>
      </c>
      <c r="K156" s="2">
        <v>12.44</v>
      </c>
      <c r="L156" s="2">
        <v>-3.83</v>
      </c>
      <c r="M156" s="2">
        <v>-7.26</v>
      </c>
      <c r="N156" s="2">
        <v>10.19</v>
      </c>
      <c r="O156" s="2">
        <v>32.159999999999997</v>
      </c>
      <c r="P156" s="2">
        <v>69.209999999999994</v>
      </c>
      <c r="Q156" s="2">
        <v>-0.14000000000000001</v>
      </c>
      <c r="R156" s="2">
        <v>-2.02</v>
      </c>
      <c r="S156" s="2">
        <v>14.79</v>
      </c>
      <c r="T156" s="2">
        <v>37.979999999999997</v>
      </c>
      <c r="U156" s="2">
        <v>5.98</v>
      </c>
      <c r="V156" s="2">
        <v>33.93</v>
      </c>
      <c r="W156" s="2">
        <v>31.47</v>
      </c>
      <c r="X156" s="2">
        <v>14.08</v>
      </c>
      <c r="Y156" s="2">
        <v>14.03</v>
      </c>
      <c r="Z156" s="2">
        <v>0.24</v>
      </c>
      <c r="AA156" s="2">
        <v>0.72</v>
      </c>
      <c r="AB156" s="2">
        <v>1.1100000000000001</v>
      </c>
      <c r="AC156" s="2">
        <v>7.11</v>
      </c>
      <c r="AD156" s="2">
        <v>5.34</v>
      </c>
      <c r="AE156" s="2">
        <v>0</v>
      </c>
      <c r="AF156" s="2">
        <v>114.68</v>
      </c>
      <c r="AG156" s="2">
        <v>23.65</v>
      </c>
      <c r="AH156" s="4">
        <f t="shared" si="2"/>
        <v>201.43999999999997</v>
      </c>
    </row>
    <row r="157" spans="1:34" x14ac:dyDescent="0.2">
      <c r="A157" s="3">
        <v>12692</v>
      </c>
      <c r="B157" s="2">
        <v>-5.46</v>
      </c>
      <c r="C157" s="2">
        <v>9.1</v>
      </c>
      <c r="D157" s="2">
        <v>-7.12</v>
      </c>
      <c r="E157" s="2">
        <v>-15.03</v>
      </c>
      <c r="F157" s="2">
        <v>5.1100000000000003</v>
      </c>
      <c r="G157" s="2">
        <v>11.48</v>
      </c>
      <c r="H157" s="2">
        <v>14.53</v>
      </c>
      <c r="I157" s="2">
        <v>18.38</v>
      </c>
      <c r="J157" s="2">
        <v>14.71</v>
      </c>
      <c r="K157" s="2">
        <v>-6.39</v>
      </c>
      <c r="L157" s="2">
        <v>-2.85</v>
      </c>
      <c r="M157" s="2">
        <v>-7.95</v>
      </c>
      <c r="N157" s="2">
        <v>9.25</v>
      </c>
      <c r="O157" s="2">
        <v>-4.46</v>
      </c>
      <c r="P157" s="2">
        <v>36.619999999999997</v>
      </c>
      <c r="Q157" s="2">
        <v>1.62</v>
      </c>
      <c r="R157" s="2">
        <v>1.76</v>
      </c>
      <c r="S157" s="2">
        <v>-3.79</v>
      </c>
      <c r="T157" s="2">
        <v>23.91</v>
      </c>
      <c r="U157" s="2">
        <v>3.36</v>
      </c>
      <c r="V157" s="2">
        <v>11.85</v>
      </c>
      <c r="W157" s="2">
        <v>26.1</v>
      </c>
      <c r="X157" s="2">
        <v>13.5</v>
      </c>
      <c r="Y157" s="2">
        <v>13.23</v>
      </c>
      <c r="Z157" s="2">
        <v>0</v>
      </c>
      <c r="AA157" s="2">
        <v>0</v>
      </c>
      <c r="AB157" s="2">
        <v>0</v>
      </c>
      <c r="AC157" s="2">
        <v>0</v>
      </c>
      <c r="AD157" s="2">
        <v>4.84</v>
      </c>
      <c r="AE157" s="2">
        <v>4.01</v>
      </c>
      <c r="AF157" s="2">
        <v>106.81</v>
      </c>
      <c r="AG157" s="2">
        <v>20.170000000000002</v>
      </c>
      <c r="AH157" s="4">
        <f t="shared" si="2"/>
        <v>108.63</v>
      </c>
    </row>
    <row r="158" spans="1:34" x14ac:dyDescent="0.2">
      <c r="A158" s="3">
        <v>12723</v>
      </c>
      <c r="B158" s="2">
        <v>-3.83</v>
      </c>
      <c r="C158" s="2">
        <v>9.61</v>
      </c>
      <c r="D158" s="2">
        <v>-4.04</v>
      </c>
      <c r="E158" s="2">
        <v>4.93</v>
      </c>
      <c r="F158" s="2">
        <v>2.02</v>
      </c>
      <c r="G158" s="2">
        <v>15.84</v>
      </c>
      <c r="H158" s="2">
        <v>15.03</v>
      </c>
      <c r="I158" s="2">
        <v>19.850000000000001</v>
      </c>
      <c r="J158" s="2">
        <v>14.66</v>
      </c>
      <c r="K158" s="2">
        <v>-0.76</v>
      </c>
      <c r="L158" s="2">
        <v>4.93</v>
      </c>
      <c r="M158" s="2">
        <v>1.29</v>
      </c>
      <c r="N158" s="2">
        <v>8.24</v>
      </c>
      <c r="O158" s="2">
        <v>-1.1299999999999999</v>
      </c>
      <c r="P158" s="2">
        <v>35.799999999999997</v>
      </c>
      <c r="Q158" s="2">
        <v>1</v>
      </c>
      <c r="R158" s="2">
        <v>0.06</v>
      </c>
      <c r="S158" s="2">
        <v>-6.48</v>
      </c>
      <c r="T158" s="2">
        <v>23.04</v>
      </c>
      <c r="U158" s="2">
        <v>1.79</v>
      </c>
      <c r="V158" s="2">
        <v>10.33</v>
      </c>
      <c r="W158" s="2">
        <v>22.19</v>
      </c>
      <c r="X158" s="2">
        <v>12.64</v>
      </c>
      <c r="Y158" s="2">
        <v>12.35</v>
      </c>
      <c r="Z158" s="2">
        <v>4.4000000000000004</v>
      </c>
      <c r="AA158" s="2">
        <v>0.43</v>
      </c>
      <c r="AB158" s="2">
        <v>2.6</v>
      </c>
      <c r="AC158" s="2">
        <v>1.58</v>
      </c>
      <c r="AD158" s="2">
        <v>3.99</v>
      </c>
      <c r="AE158" s="2">
        <v>5.13</v>
      </c>
      <c r="AF158" s="2">
        <v>96.89</v>
      </c>
      <c r="AG158" s="2">
        <v>16.420000000000002</v>
      </c>
      <c r="AH158" s="4">
        <f t="shared" si="2"/>
        <v>152.18</v>
      </c>
    </row>
    <row r="159" spans="1:34" x14ac:dyDescent="0.2">
      <c r="A159" s="3">
        <v>12753</v>
      </c>
      <c r="B159" s="2">
        <v>-7.0000000000000007E-2</v>
      </c>
      <c r="C159" s="2">
        <v>20.45</v>
      </c>
      <c r="D159" s="2">
        <v>13.81</v>
      </c>
      <c r="E159" s="2">
        <v>64.040000000000006</v>
      </c>
      <c r="F159" s="2">
        <v>26.93</v>
      </c>
      <c r="G159" s="2">
        <v>42.27</v>
      </c>
      <c r="H159" s="2">
        <v>21.63</v>
      </c>
      <c r="I159" s="2">
        <v>22.63</v>
      </c>
      <c r="J159" s="2">
        <v>26.35</v>
      </c>
      <c r="K159" s="2">
        <v>12.24</v>
      </c>
      <c r="L159" s="2">
        <v>13.89</v>
      </c>
      <c r="M159" s="2">
        <v>3.57</v>
      </c>
      <c r="N159" s="2">
        <v>15.74</v>
      </c>
      <c r="O159" s="2">
        <v>-2.1</v>
      </c>
      <c r="P159" s="2">
        <v>45.16</v>
      </c>
      <c r="Q159" s="2">
        <v>2.2000000000000002</v>
      </c>
      <c r="R159" s="2">
        <v>0.98</v>
      </c>
      <c r="S159" s="2">
        <v>16.46</v>
      </c>
      <c r="T159" s="2">
        <v>26.07</v>
      </c>
      <c r="U159" s="2">
        <v>4.6399999999999997</v>
      </c>
      <c r="V159" s="2">
        <v>11.28</v>
      </c>
      <c r="W159" s="2">
        <v>15.43</v>
      </c>
      <c r="X159" s="2">
        <v>8.2200000000000006</v>
      </c>
      <c r="Y159" s="2">
        <v>6.91</v>
      </c>
      <c r="Z159" s="2">
        <v>12.01</v>
      </c>
      <c r="AA159" s="2">
        <v>0</v>
      </c>
      <c r="AB159" s="2">
        <v>1.49</v>
      </c>
      <c r="AC159" s="2">
        <v>9.98</v>
      </c>
      <c r="AD159" s="2">
        <v>3.04</v>
      </c>
      <c r="AE159" s="2">
        <v>23.21</v>
      </c>
      <c r="AF159" s="2">
        <v>63.57</v>
      </c>
      <c r="AG159" s="2">
        <v>12.92</v>
      </c>
      <c r="AH159" s="4">
        <f t="shared" si="2"/>
        <v>388.1699999999999</v>
      </c>
    </row>
    <row r="160" spans="1:34" x14ac:dyDescent="0.2">
      <c r="A160" s="3">
        <v>12784</v>
      </c>
      <c r="B160" s="2">
        <v>0.04</v>
      </c>
      <c r="C160" s="2">
        <v>12.59</v>
      </c>
      <c r="D160" s="2">
        <v>-3.09</v>
      </c>
      <c r="E160" s="2">
        <v>9.75</v>
      </c>
      <c r="F160" s="2">
        <v>2.2200000000000002</v>
      </c>
      <c r="G160" s="2">
        <v>23.85</v>
      </c>
      <c r="H160" s="2">
        <v>9.98</v>
      </c>
      <c r="I160" s="2">
        <v>18.39</v>
      </c>
      <c r="J160" s="2">
        <v>27.03</v>
      </c>
      <c r="K160" s="2">
        <v>12.6</v>
      </c>
      <c r="L160" s="2">
        <v>13.7</v>
      </c>
      <c r="M160" s="2">
        <v>7.88</v>
      </c>
      <c r="N160" s="2">
        <v>26.48</v>
      </c>
      <c r="O160" s="2">
        <v>-2.29</v>
      </c>
      <c r="P160" s="2">
        <v>40.68</v>
      </c>
      <c r="Q160" s="2">
        <v>2.46</v>
      </c>
      <c r="R160" s="2">
        <v>1.68</v>
      </c>
      <c r="S160" s="2">
        <v>12.59</v>
      </c>
      <c r="T160" s="2">
        <v>25.17</v>
      </c>
      <c r="U160" s="2">
        <v>3.79</v>
      </c>
      <c r="V160" s="2">
        <v>11.18</v>
      </c>
      <c r="W160" s="2">
        <v>11.73</v>
      </c>
      <c r="X160" s="2">
        <v>6.33</v>
      </c>
      <c r="Y160" s="2">
        <v>6.23</v>
      </c>
      <c r="Z160" s="2">
        <v>7.8</v>
      </c>
      <c r="AA160" s="2">
        <v>3.58</v>
      </c>
      <c r="AB160" s="2">
        <v>2.98</v>
      </c>
      <c r="AC160" s="2">
        <v>0</v>
      </c>
      <c r="AD160" s="2">
        <v>3.07</v>
      </c>
      <c r="AE160" s="2">
        <v>30.76</v>
      </c>
      <c r="AF160" s="2">
        <v>58.4</v>
      </c>
      <c r="AG160" s="2">
        <v>11.2</v>
      </c>
      <c r="AH160" s="4">
        <f t="shared" si="2"/>
        <v>256.68</v>
      </c>
    </row>
    <row r="161" spans="1:34" x14ac:dyDescent="0.2">
      <c r="A161" s="3">
        <v>12815</v>
      </c>
      <c r="B161" s="2">
        <v>5.61</v>
      </c>
      <c r="C161" s="2">
        <v>24.62</v>
      </c>
      <c r="D161" s="2">
        <v>36.799999999999997</v>
      </c>
      <c r="E161" s="2">
        <v>83.46</v>
      </c>
      <c r="F161" s="2">
        <v>53.79</v>
      </c>
      <c r="G161" s="2">
        <v>153.26</v>
      </c>
      <c r="H161" s="2">
        <v>28.01</v>
      </c>
      <c r="I161" s="2">
        <v>29.24</v>
      </c>
      <c r="J161" s="2">
        <v>82.73</v>
      </c>
      <c r="K161" s="2">
        <v>41.06</v>
      </c>
      <c r="L161" s="2">
        <v>15.85</v>
      </c>
      <c r="M161" s="2">
        <v>20.76</v>
      </c>
      <c r="N161" s="2">
        <v>73.959999999999994</v>
      </c>
      <c r="O161" s="2">
        <v>-2.0699999999999998</v>
      </c>
      <c r="P161" s="2">
        <v>58.82</v>
      </c>
      <c r="Q161" s="2">
        <v>4.13</v>
      </c>
      <c r="R161" s="2">
        <v>5.85</v>
      </c>
      <c r="S161" s="2">
        <v>28.14</v>
      </c>
      <c r="T161" s="2">
        <v>37.020000000000003</v>
      </c>
      <c r="U161" s="2">
        <v>5.24</v>
      </c>
      <c r="V161" s="2">
        <v>11.23</v>
      </c>
      <c r="W161" s="2">
        <v>4.26</v>
      </c>
      <c r="X161" s="2">
        <v>10.15</v>
      </c>
      <c r="Y161" s="2">
        <v>8.89</v>
      </c>
      <c r="Z161" s="2">
        <v>11.1</v>
      </c>
      <c r="AA161" s="2">
        <v>8.4600000000000009</v>
      </c>
      <c r="AB161" s="2">
        <v>4.58</v>
      </c>
      <c r="AC161" s="2">
        <v>15.14</v>
      </c>
      <c r="AD161" s="2">
        <v>3.08</v>
      </c>
      <c r="AE161" s="2">
        <v>35.14</v>
      </c>
      <c r="AF161" s="2">
        <v>69.56</v>
      </c>
      <c r="AG161" s="2">
        <v>9.8800000000000008</v>
      </c>
      <c r="AH161" s="4">
        <f t="shared" si="2"/>
        <v>797.51</v>
      </c>
    </row>
    <row r="162" spans="1:34" x14ac:dyDescent="0.2">
      <c r="A162" s="3">
        <v>12843</v>
      </c>
      <c r="B162" s="2">
        <v>6.94</v>
      </c>
      <c r="C162" s="2">
        <v>25.96</v>
      </c>
      <c r="D162" s="2">
        <v>-0.72</v>
      </c>
      <c r="E162" s="2">
        <v>6.71</v>
      </c>
      <c r="F162" s="2">
        <v>-7.9</v>
      </c>
      <c r="G162" s="2">
        <v>5.78</v>
      </c>
      <c r="H162" s="2">
        <v>13.25</v>
      </c>
      <c r="I162" s="2">
        <v>21.33</v>
      </c>
      <c r="J162" s="2">
        <v>12.97</v>
      </c>
      <c r="K162" s="2">
        <v>-10.4</v>
      </c>
      <c r="L162" s="2">
        <v>-6.73</v>
      </c>
      <c r="M162" s="2">
        <v>-8.82</v>
      </c>
      <c r="N162" s="2">
        <v>21.96</v>
      </c>
      <c r="O162" s="2">
        <v>-2.5</v>
      </c>
      <c r="P162" s="2">
        <v>28.39</v>
      </c>
      <c r="Q162" s="2">
        <v>4.43</v>
      </c>
      <c r="R162" s="2">
        <v>8.17</v>
      </c>
      <c r="S162" s="2">
        <v>13.49</v>
      </c>
      <c r="T162" s="2">
        <v>22.88</v>
      </c>
      <c r="U162" s="2">
        <v>5.56</v>
      </c>
      <c r="V162" s="2">
        <v>10.24</v>
      </c>
      <c r="W162" s="2">
        <v>0</v>
      </c>
      <c r="X162" s="2">
        <v>3.6</v>
      </c>
      <c r="Y162" s="2">
        <v>3.77</v>
      </c>
      <c r="Z162" s="2">
        <v>4.12</v>
      </c>
      <c r="AA162" s="2">
        <v>18.64</v>
      </c>
      <c r="AB162" s="2">
        <v>3.42</v>
      </c>
      <c r="AC162" s="2">
        <v>4.95</v>
      </c>
      <c r="AD162" s="2">
        <v>3.52</v>
      </c>
      <c r="AE162" s="2">
        <v>4.29</v>
      </c>
      <c r="AF162" s="2">
        <v>57.98</v>
      </c>
      <c r="AG162" s="2">
        <v>10.08</v>
      </c>
      <c r="AH162" s="4">
        <f t="shared" si="2"/>
        <v>170.98999999999998</v>
      </c>
    </row>
    <row r="163" spans="1:34" x14ac:dyDescent="0.2">
      <c r="A163" s="3">
        <v>12874</v>
      </c>
      <c r="B163" s="2">
        <v>7.34</v>
      </c>
      <c r="C163" s="2">
        <v>26.17</v>
      </c>
      <c r="D163" s="2">
        <v>8.61</v>
      </c>
      <c r="E163" s="2">
        <v>31.08</v>
      </c>
      <c r="F163" s="2">
        <v>39.08</v>
      </c>
      <c r="G163" s="2">
        <v>90.54</v>
      </c>
      <c r="H163" s="2">
        <v>18.010000000000002</v>
      </c>
      <c r="I163" s="2">
        <v>25.44</v>
      </c>
      <c r="J163" s="2">
        <v>35.78</v>
      </c>
      <c r="K163" s="2">
        <v>26.96</v>
      </c>
      <c r="L163" s="2">
        <v>-0.18</v>
      </c>
      <c r="M163" s="2">
        <v>12.62</v>
      </c>
      <c r="N163" s="2">
        <v>50.41</v>
      </c>
      <c r="O163" s="2">
        <v>-0.96</v>
      </c>
      <c r="P163" s="2">
        <v>56.91</v>
      </c>
      <c r="Q163" s="2">
        <v>8.4700000000000006</v>
      </c>
      <c r="R163" s="2">
        <v>7.61</v>
      </c>
      <c r="S163" s="2">
        <v>27.44</v>
      </c>
      <c r="T163" s="2">
        <v>25.39</v>
      </c>
      <c r="U163" s="2">
        <v>5.15</v>
      </c>
      <c r="V163" s="2">
        <v>18.920000000000002</v>
      </c>
      <c r="W163" s="2">
        <v>0</v>
      </c>
      <c r="X163" s="2">
        <v>4.54</v>
      </c>
      <c r="Y163" s="2">
        <v>3.63</v>
      </c>
      <c r="Z163" s="2">
        <v>8.42</v>
      </c>
      <c r="AA163" s="2">
        <v>2.72</v>
      </c>
      <c r="AB163" s="2">
        <v>1.93</v>
      </c>
      <c r="AC163" s="2">
        <v>1.44</v>
      </c>
      <c r="AD163" s="2">
        <v>5.17</v>
      </c>
      <c r="AE163" s="2">
        <v>31.23</v>
      </c>
      <c r="AF163" s="2">
        <v>68.42</v>
      </c>
      <c r="AG163" s="2">
        <v>10.69</v>
      </c>
      <c r="AH163" s="4">
        <f t="shared" si="2"/>
        <v>520.79</v>
      </c>
    </row>
    <row r="164" spans="1:34" x14ac:dyDescent="0.2">
      <c r="A164" s="3">
        <v>12904</v>
      </c>
      <c r="B164" s="2">
        <v>11.64</v>
      </c>
      <c r="C164" s="2">
        <v>28.53</v>
      </c>
      <c r="D164" s="2">
        <v>10.98</v>
      </c>
      <c r="E164" s="2">
        <v>88.79</v>
      </c>
      <c r="F164" s="2">
        <v>152.44999999999999</v>
      </c>
      <c r="G164" s="2">
        <v>58.63</v>
      </c>
      <c r="H164" s="2">
        <v>24.59</v>
      </c>
      <c r="I164" s="2">
        <v>33.43</v>
      </c>
      <c r="J164" s="2">
        <v>91.17</v>
      </c>
      <c r="K164" s="2">
        <v>66.790000000000006</v>
      </c>
      <c r="L164" s="2">
        <v>116.99</v>
      </c>
      <c r="M164" s="2">
        <v>69.540000000000006</v>
      </c>
      <c r="N164" s="2">
        <v>86.51</v>
      </c>
      <c r="O164" s="2">
        <v>3.38</v>
      </c>
      <c r="P164" s="2">
        <v>89.83</v>
      </c>
      <c r="Q164" s="2">
        <v>14.34</v>
      </c>
      <c r="R164" s="2">
        <v>13.91</v>
      </c>
      <c r="S164" s="2">
        <v>55.45</v>
      </c>
      <c r="T164" s="2">
        <v>22.67</v>
      </c>
      <c r="U164" s="2">
        <v>7.77</v>
      </c>
      <c r="V164" s="2">
        <v>26.41</v>
      </c>
      <c r="W164" s="2">
        <v>0</v>
      </c>
      <c r="X164" s="2">
        <v>5.53</v>
      </c>
      <c r="Y164" s="2">
        <v>4.9400000000000004</v>
      </c>
      <c r="Z164" s="2">
        <v>2.68</v>
      </c>
      <c r="AA164" s="2">
        <v>0</v>
      </c>
      <c r="AB164" s="2">
        <v>3.31</v>
      </c>
      <c r="AC164" s="2">
        <v>0</v>
      </c>
      <c r="AD164" s="2">
        <v>6.09</v>
      </c>
      <c r="AE164" s="2">
        <v>28.25</v>
      </c>
      <c r="AF164" s="2">
        <v>84.67</v>
      </c>
      <c r="AG164" s="2">
        <v>14.64</v>
      </c>
      <c r="AH164" s="4">
        <f t="shared" si="2"/>
        <v>1073.8000000000002</v>
      </c>
    </row>
    <row r="165" spans="1:34" x14ac:dyDescent="0.2">
      <c r="A165" s="3">
        <v>12935</v>
      </c>
      <c r="B165" s="2">
        <v>2.11</v>
      </c>
      <c r="C165" s="2">
        <v>14.15</v>
      </c>
      <c r="D165" s="2">
        <v>-17.88</v>
      </c>
      <c r="E165" s="2">
        <v>-63.46</v>
      </c>
      <c r="F165" s="2">
        <v>-68.03</v>
      </c>
      <c r="G165" s="2">
        <v>-52.6</v>
      </c>
      <c r="H165" s="2">
        <v>13.9</v>
      </c>
      <c r="I165" s="2">
        <v>24.32</v>
      </c>
      <c r="J165" s="2">
        <v>23.1</v>
      </c>
      <c r="K165" s="2">
        <v>9.74</v>
      </c>
      <c r="L165" s="2">
        <v>44.16</v>
      </c>
      <c r="M165" s="2">
        <v>13.5</v>
      </c>
      <c r="N165" s="2">
        <v>43.72</v>
      </c>
      <c r="O165" s="2">
        <v>10.89</v>
      </c>
      <c r="P165" s="2">
        <v>59.3</v>
      </c>
      <c r="Q165" s="2">
        <v>15.24</v>
      </c>
      <c r="R165" s="2">
        <v>18.91</v>
      </c>
      <c r="S165" s="2">
        <v>13.3</v>
      </c>
      <c r="T165" s="2">
        <v>32.19</v>
      </c>
      <c r="U165" s="2">
        <v>5.37</v>
      </c>
      <c r="V165" s="2">
        <v>26.58</v>
      </c>
      <c r="W165" s="2">
        <v>4.88</v>
      </c>
      <c r="X165" s="2">
        <v>8.6</v>
      </c>
      <c r="Y165" s="2">
        <v>7.33</v>
      </c>
      <c r="Z165" s="2">
        <v>0</v>
      </c>
      <c r="AA165" s="2">
        <v>3.73</v>
      </c>
      <c r="AB165" s="2">
        <v>0</v>
      </c>
      <c r="AC165" s="2">
        <v>0</v>
      </c>
      <c r="AD165" s="2">
        <v>6.46</v>
      </c>
      <c r="AE165" s="2">
        <v>0</v>
      </c>
      <c r="AF165" s="2">
        <v>95.62</v>
      </c>
      <c r="AG165" s="2">
        <v>17.690000000000001</v>
      </c>
      <c r="AH165" s="4">
        <f t="shared" si="2"/>
        <v>168.50999999999993</v>
      </c>
    </row>
    <row r="166" spans="1:34" x14ac:dyDescent="0.2">
      <c r="A166" s="3">
        <v>12965</v>
      </c>
      <c r="B166" s="2">
        <v>-3.12</v>
      </c>
      <c r="C166" s="2">
        <v>8.27</v>
      </c>
      <c r="D166" s="2">
        <v>-20.85</v>
      </c>
      <c r="E166" s="2">
        <v>-86.01</v>
      </c>
      <c r="F166" s="2">
        <v>-77.81</v>
      </c>
      <c r="G166" s="2">
        <v>-43.3</v>
      </c>
      <c r="H166" s="2">
        <v>-4.37</v>
      </c>
      <c r="I166" s="2">
        <v>19.07</v>
      </c>
      <c r="J166" s="2">
        <v>-5.8</v>
      </c>
      <c r="K166" s="2">
        <v>-3.11</v>
      </c>
      <c r="L166" s="2">
        <v>0.86</v>
      </c>
      <c r="M166" s="2">
        <v>10.32</v>
      </c>
      <c r="N166" s="2">
        <v>31.85</v>
      </c>
      <c r="O166" s="2">
        <v>16.64</v>
      </c>
      <c r="P166" s="2">
        <v>58.43</v>
      </c>
      <c r="Q166" s="2">
        <v>14.7</v>
      </c>
      <c r="R166" s="2">
        <v>15.95</v>
      </c>
      <c r="S166" s="2">
        <v>17.93</v>
      </c>
      <c r="T166" s="2">
        <v>36.549999999999997</v>
      </c>
      <c r="U166" s="2">
        <v>6.16</v>
      </c>
      <c r="V166" s="2">
        <v>31.49</v>
      </c>
      <c r="W166" s="2">
        <v>18.62</v>
      </c>
      <c r="X166" s="2">
        <v>13.99</v>
      </c>
      <c r="Y166" s="2">
        <v>13.45</v>
      </c>
      <c r="Z166" s="2">
        <v>0</v>
      </c>
      <c r="AA166" s="2">
        <v>0</v>
      </c>
      <c r="AB166" s="2">
        <v>0</v>
      </c>
      <c r="AC166" s="2">
        <v>0.28999999999999998</v>
      </c>
      <c r="AD166" s="2">
        <v>6.8</v>
      </c>
      <c r="AE166" s="2">
        <v>0</v>
      </c>
      <c r="AF166" s="2">
        <v>104.64</v>
      </c>
      <c r="AG166" s="2">
        <v>22.83</v>
      </c>
      <c r="AH166" s="4">
        <f t="shared" si="2"/>
        <v>23.849999999999994</v>
      </c>
    </row>
    <row r="167" spans="1:34" x14ac:dyDescent="0.2">
      <c r="A167" s="3">
        <v>12996</v>
      </c>
      <c r="B167" s="2">
        <v>-3.64</v>
      </c>
      <c r="C167" s="2">
        <v>8.91</v>
      </c>
      <c r="D167" s="2">
        <v>-16.14</v>
      </c>
      <c r="E167" s="2">
        <v>-71.34</v>
      </c>
      <c r="F167" s="2">
        <v>-45.23</v>
      </c>
      <c r="G167" s="2">
        <v>-33.43</v>
      </c>
      <c r="H167" s="2">
        <v>-3.8</v>
      </c>
      <c r="I167" s="2">
        <v>11.64</v>
      </c>
      <c r="J167" s="2">
        <v>-45.68</v>
      </c>
      <c r="K167" s="2">
        <v>-58.28</v>
      </c>
      <c r="L167" s="2">
        <v>-79.319999999999993</v>
      </c>
      <c r="M167" s="2">
        <v>-48.62</v>
      </c>
      <c r="N167" s="2">
        <v>-6.44</v>
      </c>
      <c r="O167" s="2">
        <v>24.5</v>
      </c>
      <c r="P167" s="2">
        <v>30.72</v>
      </c>
      <c r="Q167" s="2">
        <v>4.28</v>
      </c>
      <c r="R167" s="2">
        <v>32.49</v>
      </c>
      <c r="S167" s="2">
        <v>10.18</v>
      </c>
      <c r="T167" s="2">
        <v>36.700000000000003</v>
      </c>
      <c r="U167" s="2">
        <v>0.41</v>
      </c>
      <c r="V167" s="2">
        <v>27.91</v>
      </c>
      <c r="W167" s="2">
        <v>30.39</v>
      </c>
      <c r="X167" s="2">
        <v>19.27</v>
      </c>
      <c r="Y167" s="2">
        <v>19.079999999999998</v>
      </c>
      <c r="Z167" s="2">
        <v>0</v>
      </c>
      <c r="AA167" s="2">
        <v>0</v>
      </c>
      <c r="AB167" s="2">
        <v>0.28000000000000003</v>
      </c>
      <c r="AC167" s="2">
        <v>0</v>
      </c>
      <c r="AD167" s="2">
        <v>5.86</v>
      </c>
      <c r="AE167" s="2">
        <v>0</v>
      </c>
      <c r="AF167" s="2">
        <v>113.96</v>
      </c>
      <c r="AG167" s="2">
        <v>24.8</v>
      </c>
      <c r="AH167" s="4">
        <f t="shared" si="2"/>
        <v>-224.18</v>
      </c>
    </row>
    <row r="168" spans="1:34" x14ac:dyDescent="0.2">
      <c r="A168" s="3">
        <v>13027</v>
      </c>
      <c r="B168" s="2">
        <v>-3.67</v>
      </c>
      <c r="C168" s="2">
        <v>9.89</v>
      </c>
      <c r="D168" s="2">
        <v>-10.08</v>
      </c>
      <c r="E168" s="2">
        <v>-48.11</v>
      </c>
      <c r="F168" s="2">
        <v>-14.59</v>
      </c>
      <c r="G168" s="2">
        <v>-14.61</v>
      </c>
      <c r="H168" s="2">
        <v>4.9400000000000004</v>
      </c>
      <c r="I168" s="2">
        <v>14.02</v>
      </c>
      <c r="J168" s="2">
        <v>-25.88</v>
      </c>
      <c r="K168" s="2">
        <v>-30.3</v>
      </c>
      <c r="L168" s="2">
        <v>-40.36</v>
      </c>
      <c r="M168" s="2">
        <v>-25.81</v>
      </c>
      <c r="N168" s="2">
        <v>0.83</v>
      </c>
      <c r="O168" s="2">
        <v>27.2</v>
      </c>
      <c r="P168" s="2">
        <v>37.18</v>
      </c>
      <c r="Q168" s="2">
        <v>5.15</v>
      </c>
      <c r="R168" s="2">
        <v>18.7</v>
      </c>
      <c r="S168" s="2">
        <v>11.96</v>
      </c>
      <c r="T168" s="2">
        <v>35.26</v>
      </c>
      <c r="U168" s="2">
        <v>2.63</v>
      </c>
      <c r="V168" s="2">
        <v>27.27</v>
      </c>
      <c r="W168" s="2">
        <v>31.47</v>
      </c>
      <c r="X168" s="2">
        <v>21.6</v>
      </c>
      <c r="Y168" s="2">
        <v>21.55</v>
      </c>
      <c r="Z168" s="2">
        <v>6.6</v>
      </c>
      <c r="AA168" s="2">
        <v>6.74</v>
      </c>
      <c r="AB168" s="2">
        <v>1.1000000000000001</v>
      </c>
      <c r="AC168" s="2">
        <v>0.36</v>
      </c>
      <c r="AD168" s="2">
        <v>5.57</v>
      </c>
      <c r="AE168" s="2">
        <v>3.26</v>
      </c>
      <c r="AF168" s="2">
        <v>115.89</v>
      </c>
      <c r="AG168" s="2">
        <v>23.65</v>
      </c>
      <c r="AH168" s="4">
        <f t="shared" si="2"/>
        <v>-18.379999999999992</v>
      </c>
    </row>
    <row r="169" spans="1:34" x14ac:dyDescent="0.2">
      <c r="A169" s="3">
        <v>13057</v>
      </c>
      <c r="B169" s="2">
        <v>-3.66</v>
      </c>
      <c r="C169" s="2">
        <v>10.11</v>
      </c>
      <c r="D169" s="2">
        <v>-7.9</v>
      </c>
      <c r="E169" s="2">
        <v>-26.35</v>
      </c>
      <c r="F169" s="2">
        <v>-8.69</v>
      </c>
      <c r="G169" s="2">
        <v>-0.57999999999999996</v>
      </c>
      <c r="H169" s="2">
        <v>12.1</v>
      </c>
      <c r="I169" s="2">
        <v>18.46</v>
      </c>
      <c r="J169" s="2">
        <v>2.87</v>
      </c>
      <c r="K169" s="2">
        <v>-12.84</v>
      </c>
      <c r="L169" s="2">
        <v>-17.739999999999998</v>
      </c>
      <c r="M169" s="2">
        <v>-9.14</v>
      </c>
      <c r="N169" s="2">
        <v>12.86</v>
      </c>
      <c r="O169" s="2">
        <v>-1.38</v>
      </c>
      <c r="P169" s="2">
        <v>27.91</v>
      </c>
      <c r="Q169" s="2">
        <v>6</v>
      </c>
      <c r="R169" s="2">
        <v>14.71</v>
      </c>
      <c r="S169" s="2">
        <v>1.04</v>
      </c>
      <c r="T169" s="2">
        <v>23.1</v>
      </c>
      <c r="U169" s="2">
        <v>4.4800000000000004</v>
      </c>
      <c r="V169" s="2">
        <v>11.57</v>
      </c>
      <c r="W169" s="2">
        <v>26.1</v>
      </c>
      <c r="X169" s="2">
        <v>20.48</v>
      </c>
      <c r="Y169" s="2">
        <v>20.23</v>
      </c>
      <c r="Z169" s="2">
        <v>0.33</v>
      </c>
      <c r="AA169" s="2">
        <v>0</v>
      </c>
      <c r="AB169" s="2">
        <v>0.61</v>
      </c>
      <c r="AC169" s="2">
        <v>0</v>
      </c>
      <c r="AD169" s="2">
        <v>5.01</v>
      </c>
      <c r="AE169" s="2">
        <v>0</v>
      </c>
      <c r="AF169" s="2">
        <v>107.95</v>
      </c>
      <c r="AG169" s="2">
        <v>20.170000000000002</v>
      </c>
      <c r="AH169" s="4">
        <f t="shared" si="2"/>
        <v>56.93</v>
      </c>
    </row>
    <row r="170" spans="1:34" x14ac:dyDescent="0.2">
      <c r="A170" s="3">
        <v>13088</v>
      </c>
      <c r="B170" s="2">
        <v>-2.27</v>
      </c>
      <c r="C170" s="2">
        <v>10.95</v>
      </c>
      <c r="D170" s="2">
        <v>-5.84</v>
      </c>
      <c r="E170" s="2">
        <v>-3.28</v>
      </c>
      <c r="F170" s="2">
        <v>-3.83</v>
      </c>
      <c r="G170" s="2">
        <v>8.56</v>
      </c>
      <c r="H170" s="2">
        <v>12.42</v>
      </c>
      <c r="I170" s="2">
        <v>20.399999999999999</v>
      </c>
      <c r="J170" s="2">
        <v>9.4600000000000009</v>
      </c>
      <c r="K170" s="2">
        <v>-3.32</v>
      </c>
      <c r="L170" s="2">
        <v>-4.6900000000000004</v>
      </c>
      <c r="M170" s="2">
        <v>-2.61</v>
      </c>
      <c r="N170" s="2">
        <v>10.08</v>
      </c>
      <c r="O170" s="2">
        <v>1.41</v>
      </c>
      <c r="P170" s="2">
        <v>29.32</v>
      </c>
      <c r="Q170" s="2">
        <v>3.44</v>
      </c>
      <c r="R170" s="2">
        <v>8.8000000000000007</v>
      </c>
      <c r="S170" s="2">
        <v>-0.5</v>
      </c>
      <c r="T170" s="2">
        <v>22.91</v>
      </c>
      <c r="U170" s="2">
        <v>2.3199999999999998</v>
      </c>
      <c r="V170" s="2">
        <v>10.52</v>
      </c>
      <c r="W170" s="2">
        <v>22.19</v>
      </c>
      <c r="X170" s="2">
        <v>18.97</v>
      </c>
      <c r="Y170" s="2">
        <v>18.690000000000001</v>
      </c>
      <c r="Z170" s="2">
        <v>0.33</v>
      </c>
      <c r="AA170" s="2">
        <v>0.14000000000000001</v>
      </c>
      <c r="AB170" s="2">
        <v>4.75</v>
      </c>
      <c r="AC170" s="2">
        <v>6.6</v>
      </c>
      <c r="AD170" s="2">
        <v>4.26</v>
      </c>
      <c r="AE170" s="2">
        <v>7.83</v>
      </c>
      <c r="AF170" s="2">
        <v>97.91</v>
      </c>
      <c r="AG170" s="2">
        <v>16.420000000000002</v>
      </c>
      <c r="AH170" s="4">
        <f t="shared" si="2"/>
        <v>124.24999999999997</v>
      </c>
    </row>
    <row r="171" spans="1:34" x14ac:dyDescent="0.2">
      <c r="A171" s="3">
        <v>13118</v>
      </c>
      <c r="B171" s="2">
        <v>-0.93</v>
      </c>
      <c r="C171" s="2">
        <v>10.89</v>
      </c>
      <c r="D171" s="2">
        <v>-5.01</v>
      </c>
      <c r="E171" s="2">
        <v>0.48</v>
      </c>
      <c r="F171" s="2">
        <v>-1.95</v>
      </c>
      <c r="G171" s="2">
        <v>8.2799999999999994</v>
      </c>
      <c r="H171" s="2">
        <v>10.119999999999999</v>
      </c>
      <c r="I171" s="2">
        <v>17.52</v>
      </c>
      <c r="J171" s="2">
        <v>13.01</v>
      </c>
      <c r="K171" s="2">
        <v>-7.25</v>
      </c>
      <c r="L171" s="2">
        <v>-4.8099999999999996</v>
      </c>
      <c r="M171" s="2">
        <v>-4.99</v>
      </c>
      <c r="N171" s="2">
        <v>5.75</v>
      </c>
      <c r="O171" s="2">
        <v>-0.65</v>
      </c>
      <c r="P171" s="2">
        <v>25.08</v>
      </c>
      <c r="Q171" s="2">
        <v>3.69</v>
      </c>
      <c r="R171" s="2">
        <v>6.88</v>
      </c>
      <c r="S171" s="2">
        <v>-1.02</v>
      </c>
      <c r="T171" s="2">
        <v>22</v>
      </c>
      <c r="U171" s="2">
        <v>4.54</v>
      </c>
      <c r="V171" s="2">
        <v>11.14</v>
      </c>
      <c r="W171" s="2">
        <v>15.43</v>
      </c>
      <c r="X171" s="2">
        <v>12.47</v>
      </c>
      <c r="Y171" s="2">
        <v>11.16</v>
      </c>
      <c r="Z171" s="2">
        <v>1.53</v>
      </c>
      <c r="AA171" s="2">
        <v>4.59</v>
      </c>
      <c r="AB171" s="2">
        <v>0</v>
      </c>
      <c r="AC171" s="2">
        <v>18.02</v>
      </c>
      <c r="AD171" s="2">
        <v>3.27</v>
      </c>
      <c r="AE171" s="2">
        <v>2.14</v>
      </c>
      <c r="AF171" s="2">
        <v>64.239999999999995</v>
      </c>
      <c r="AG171" s="2">
        <v>12.92</v>
      </c>
      <c r="AH171" s="4">
        <f t="shared" si="2"/>
        <v>112.77</v>
      </c>
    </row>
    <row r="172" spans="1:34" x14ac:dyDescent="0.2">
      <c r="A172" s="3">
        <v>13149</v>
      </c>
      <c r="B172" s="2">
        <v>1</v>
      </c>
      <c r="C172" s="2">
        <v>15.55</v>
      </c>
      <c r="D172" s="2">
        <v>3.85</v>
      </c>
      <c r="E172" s="2">
        <v>32.450000000000003</v>
      </c>
      <c r="F172" s="2">
        <v>11.13</v>
      </c>
      <c r="G172" s="2">
        <v>18.28</v>
      </c>
      <c r="H172" s="2">
        <v>13.72</v>
      </c>
      <c r="I172" s="2">
        <v>19.079999999999998</v>
      </c>
      <c r="J172" s="2">
        <v>16.05</v>
      </c>
      <c r="K172" s="2">
        <v>-2.39</v>
      </c>
      <c r="L172" s="2">
        <v>0.51</v>
      </c>
      <c r="M172" s="2">
        <v>3.63</v>
      </c>
      <c r="N172" s="2">
        <v>4.59</v>
      </c>
      <c r="O172" s="2">
        <v>-1.1100000000000001</v>
      </c>
      <c r="P172" s="2">
        <v>26.48</v>
      </c>
      <c r="Q172" s="2">
        <v>1.49</v>
      </c>
      <c r="R172" s="2">
        <v>4.9400000000000004</v>
      </c>
      <c r="S172" s="2">
        <v>4.88</v>
      </c>
      <c r="T172" s="2">
        <v>20.65</v>
      </c>
      <c r="U172" s="2">
        <v>4.04</v>
      </c>
      <c r="V172" s="2">
        <v>10.14</v>
      </c>
      <c r="W172" s="2">
        <v>11.73</v>
      </c>
      <c r="X172" s="2">
        <v>10.23</v>
      </c>
      <c r="Y172" s="2">
        <v>10.14</v>
      </c>
      <c r="Z172" s="2">
        <v>0.19</v>
      </c>
      <c r="AA172" s="2">
        <v>4.59</v>
      </c>
      <c r="AB172" s="2">
        <v>10.69</v>
      </c>
      <c r="AC172" s="2">
        <v>11.7</v>
      </c>
      <c r="AD172" s="2">
        <v>3.28</v>
      </c>
      <c r="AE172" s="2">
        <v>10.81</v>
      </c>
      <c r="AF172" s="2">
        <v>59.02</v>
      </c>
      <c r="AG172" s="2">
        <v>11.2</v>
      </c>
      <c r="AH172" s="4">
        <f t="shared" si="2"/>
        <v>208.95999999999998</v>
      </c>
    </row>
    <row r="173" spans="1:34" x14ac:dyDescent="0.2">
      <c r="A173" s="3">
        <v>13180</v>
      </c>
      <c r="B173" s="2">
        <v>9.64</v>
      </c>
      <c r="C173" s="2">
        <v>25.99</v>
      </c>
      <c r="D173" s="2">
        <v>21.77</v>
      </c>
      <c r="E173" s="2">
        <v>121.67</v>
      </c>
      <c r="F173" s="2">
        <v>122.72</v>
      </c>
      <c r="G173" s="2">
        <v>143.46</v>
      </c>
      <c r="H173" s="2">
        <v>33.200000000000003</v>
      </c>
      <c r="I173" s="2">
        <v>32.85</v>
      </c>
      <c r="J173" s="2">
        <v>65.180000000000007</v>
      </c>
      <c r="K173" s="2">
        <v>9.02</v>
      </c>
      <c r="L173" s="2">
        <v>11.45</v>
      </c>
      <c r="M173" s="2">
        <v>2.95</v>
      </c>
      <c r="N173" s="2">
        <v>14.63</v>
      </c>
      <c r="O173" s="2">
        <v>-1.47</v>
      </c>
      <c r="P173" s="2">
        <v>25.99</v>
      </c>
      <c r="Q173" s="2">
        <v>1.1000000000000001</v>
      </c>
      <c r="R173" s="2">
        <v>4.3499999999999996</v>
      </c>
      <c r="S173" s="2">
        <v>2.76</v>
      </c>
      <c r="T173" s="2">
        <v>23.98</v>
      </c>
      <c r="U173" s="2">
        <v>3.25</v>
      </c>
      <c r="V173" s="2">
        <v>12.2</v>
      </c>
      <c r="W173" s="2">
        <v>4.26</v>
      </c>
      <c r="X173" s="2">
        <v>9.8699999999999992</v>
      </c>
      <c r="Y173" s="2">
        <v>8.58</v>
      </c>
      <c r="Z173" s="2">
        <v>0.19</v>
      </c>
      <c r="AA173" s="2">
        <v>0.28999999999999998</v>
      </c>
      <c r="AB173" s="2">
        <v>0.11</v>
      </c>
      <c r="AC173" s="2">
        <v>16.649999999999999</v>
      </c>
      <c r="AD173" s="2">
        <v>3.31</v>
      </c>
      <c r="AE173" s="2">
        <v>16.41</v>
      </c>
      <c r="AF173" s="2">
        <v>69.56</v>
      </c>
      <c r="AG173" s="2">
        <v>9.8800000000000008</v>
      </c>
      <c r="AH173" s="4">
        <f t="shared" si="2"/>
        <v>686.69000000000017</v>
      </c>
    </row>
    <row r="174" spans="1:34" x14ac:dyDescent="0.2">
      <c r="A174" s="3">
        <v>13209</v>
      </c>
      <c r="B174" s="2">
        <v>13.34</v>
      </c>
      <c r="C174" s="2">
        <v>34.65</v>
      </c>
      <c r="D174" s="2">
        <v>43.37</v>
      </c>
      <c r="E174" s="2">
        <v>118.79</v>
      </c>
      <c r="F174" s="2">
        <v>130.18</v>
      </c>
      <c r="G174" s="2">
        <v>200.49</v>
      </c>
      <c r="H174" s="2">
        <v>29.42</v>
      </c>
      <c r="I174" s="2">
        <v>55.63</v>
      </c>
      <c r="J174" s="2">
        <v>167.19</v>
      </c>
      <c r="K174" s="2">
        <v>144.05000000000001</v>
      </c>
      <c r="L174" s="2">
        <v>94.34</v>
      </c>
      <c r="M174" s="2">
        <v>77.8</v>
      </c>
      <c r="N174" s="2">
        <v>188.27</v>
      </c>
      <c r="O174" s="2">
        <v>3.62</v>
      </c>
      <c r="P174" s="2">
        <v>206.89</v>
      </c>
      <c r="Q174" s="2">
        <v>4.6100000000000003</v>
      </c>
      <c r="R174" s="2">
        <v>13.55</v>
      </c>
      <c r="S174" s="2">
        <v>155.4</v>
      </c>
      <c r="T174" s="2">
        <v>74.06</v>
      </c>
      <c r="U174" s="2">
        <v>8.5399999999999991</v>
      </c>
      <c r="V174" s="2">
        <v>25.53</v>
      </c>
      <c r="W174" s="2">
        <v>0</v>
      </c>
      <c r="X174" s="2">
        <v>3.34</v>
      </c>
      <c r="Y174" s="2">
        <v>3.44</v>
      </c>
      <c r="Z174" s="2">
        <v>15.22</v>
      </c>
      <c r="AA174" s="2">
        <v>13.62</v>
      </c>
      <c r="AB174" s="2">
        <v>17.079999999999998</v>
      </c>
      <c r="AC174" s="2">
        <v>6.17</v>
      </c>
      <c r="AD174" s="2">
        <v>4.0999999999999996</v>
      </c>
      <c r="AE174" s="2">
        <v>50.25</v>
      </c>
      <c r="AF174" s="2">
        <v>57.98</v>
      </c>
      <c r="AG174" s="2">
        <v>10.08</v>
      </c>
      <c r="AH174" s="4">
        <f t="shared" si="2"/>
        <v>1789.7199999999996</v>
      </c>
    </row>
    <row r="175" spans="1:34" x14ac:dyDescent="0.2">
      <c r="A175" s="3">
        <v>13240</v>
      </c>
      <c r="B175" s="2">
        <v>8.3000000000000007</v>
      </c>
      <c r="C175" s="2">
        <v>19.89</v>
      </c>
      <c r="D175" s="2">
        <v>-25.53</v>
      </c>
      <c r="E175" s="2">
        <v>-56.04</v>
      </c>
      <c r="F175" s="2">
        <v>-69.510000000000005</v>
      </c>
      <c r="G175" s="2">
        <v>-83.83</v>
      </c>
      <c r="H175" s="2">
        <v>12.73</v>
      </c>
      <c r="I175" s="2">
        <v>30.36</v>
      </c>
      <c r="J175" s="2">
        <v>-0.43</v>
      </c>
      <c r="K175" s="2">
        <v>-46.01</v>
      </c>
      <c r="L175" s="2">
        <v>11.05</v>
      </c>
      <c r="M175" s="2">
        <v>-13.46</v>
      </c>
      <c r="N175" s="2">
        <v>2.14</v>
      </c>
      <c r="O175" s="2">
        <v>2.34</v>
      </c>
      <c r="P175" s="2">
        <v>25.62</v>
      </c>
      <c r="Q175" s="2">
        <v>6.79</v>
      </c>
      <c r="R175" s="2">
        <v>8.4600000000000009</v>
      </c>
      <c r="S175" s="2">
        <v>11.53</v>
      </c>
      <c r="T175" s="2">
        <v>23.41</v>
      </c>
      <c r="U175" s="2">
        <v>6.5</v>
      </c>
      <c r="V175" s="2">
        <v>18.2</v>
      </c>
      <c r="W175" s="2">
        <v>0</v>
      </c>
      <c r="X175" s="2">
        <v>4.24</v>
      </c>
      <c r="Y175" s="2">
        <v>3.31</v>
      </c>
      <c r="Z175" s="2">
        <v>3.45</v>
      </c>
      <c r="AA175" s="2">
        <v>1.86</v>
      </c>
      <c r="AB175" s="2">
        <v>0.11</v>
      </c>
      <c r="AC175" s="2">
        <v>12.63</v>
      </c>
      <c r="AD175" s="2">
        <v>5.8</v>
      </c>
      <c r="AE175" s="2">
        <v>8.1999999999999993</v>
      </c>
      <c r="AF175" s="2">
        <v>68.42</v>
      </c>
      <c r="AG175" s="2">
        <v>10.69</v>
      </c>
      <c r="AH175" s="4">
        <f t="shared" si="2"/>
        <v>-107.49</v>
      </c>
    </row>
    <row r="176" spans="1:34" x14ac:dyDescent="0.2">
      <c r="A176" s="3">
        <v>13270</v>
      </c>
      <c r="B176" s="2">
        <v>5.64</v>
      </c>
      <c r="C176" s="2">
        <v>19.41</v>
      </c>
      <c r="D176" s="2">
        <v>-8.86</v>
      </c>
      <c r="E176" s="2">
        <v>-26.47</v>
      </c>
      <c r="F176" s="2">
        <v>-3.79</v>
      </c>
      <c r="G176" s="2">
        <v>-29.49</v>
      </c>
      <c r="H176" s="2">
        <v>14.64</v>
      </c>
      <c r="I176" s="2">
        <v>37.44</v>
      </c>
      <c r="J176" s="2">
        <v>22.56</v>
      </c>
      <c r="K176" s="2">
        <v>13.95</v>
      </c>
      <c r="L176" s="2">
        <v>21.98</v>
      </c>
      <c r="M176" s="2">
        <v>7.66</v>
      </c>
      <c r="N176" s="2">
        <v>33.450000000000003</v>
      </c>
      <c r="O176" s="2">
        <v>5.0599999999999996</v>
      </c>
      <c r="P176" s="2">
        <v>60.55</v>
      </c>
      <c r="Q176" s="2">
        <v>11.21</v>
      </c>
      <c r="R176" s="2">
        <v>12.76</v>
      </c>
      <c r="S176" s="2">
        <v>17.2</v>
      </c>
      <c r="T176" s="2">
        <v>15.26</v>
      </c>
      <c r="U176" s="2">
        <v>15.5</v>
      </c>
      <c r="V176" s="2">
        <v>24.59</v>
      </c>
      <c r="W176" s="2">
        <v>0</v>
      </c>
      <c r="X176" s="2">
        <v>5.17</v>
      </c>
      <c r="Y176" s="2">
        <v>4.53</v>
      </c>
      <c r="Z176" s="2">
        <v>1.91</v>
      </c>
      <c r="AA176" s="2">
        <v>0.56999999999999995</v>
      </c>
      <c r="AB176" s="2">
        <v>2.15</v>
      </c>
      <c r="AC176" s="2">
        <v>4.0199999999999996</v>
      </c>
      <c r="AD176" s="2">
        <v>7.42</v>
      </c>
      <c r="AE176" s="2">
        <v>10.72</v>
      </c>
      <c r="AF176" s="2">
        <v>84.67</v>
      </c>
      <c r="AG176" s="2">
        <v>14.64</v>
      </c>
      <c r="AH176" s="4">
        <f t="shared" si="2"/>
        <v>270.25</v>
      </c>
    </row>
    <row r="177" spans="1:34" x14ac:dyDescent="0.2">
      <c r="A177" s="3">
        <v>13301</v>
      </c>
      <c r="B177" s="2">
        <v>1.63</v>
      </c>
      <c r="C177" s="2">
        <v>9.83</v>
      </c>
      <c r="D177" s="2">
        <v>-9.34</v>
      </c>
      <c r="E177" s="2">
        <v>-55.81</v>
      </c>
      <c r="F177" s="2">
        <v>-43.72</v>
      </c>
      <c r="G177" s="2">
        <v>-38.49</v>
      </c>
      <c r="H177" s="2">
        <v>2.9</v>
      </c>
      <c r="I177" s="2">
        <v>23.17</v>
      </c>
      <c r="J177" s="2">
        <v>16.25</v>
      </c>
      <c r="K177" s="2">
        <v>14.6</v>
      </c>
      <c r="L177" s="2">
        <v>27.9</v>
      </c>
      <c r="M177" s="2">
        <v>19.649999999999999</v>
      </c>
      <c r="N177" s="2">
        <v>38.69</v>
      </c>
      <c r="O177" s="2">
        <v>12.87</v>
      </c>
      <c r="P177" s="2">
        <v>59.99</v>
      </c>
      <c r="Q177" s="2">
        <v>16.63</v>
      </c>
      <c r="R177" s="2">
        <v>21.78</v>
      </c>
      <c r="S177" s="2">
        <v>17.7</v>
      </c>
      <c r="T177" s="2">
        <v>28.05</v>
      </c>
      <c r="U177" s="2">
        <v>23.36</v>
      </c>
      <c r="V177" s="2">
        <v>30.64</v>
      </c>
      <c r="W177" s="2">
        <v>4.88</v>
      </c>
      <c r="X177" s="2">
        <v>8.17</v>
      </c>
      <c r="Y177" s="2">
        <v>6.87</v>
      </c>
      <c r="Z177" s="2">
        <v>0</v>
      </c>
      <c r="AA177" s="2">
        <v>0</v>
      </c>
      <c r="AB177" s="2">
        <v>0</v>
      </c>
      <c r="AC177" s="2">
        <v>0</v>
      </c>
      <c r="AD177" s="2">
        <v>8.19</v>
      </c>
      <c r="AE177" s="2">
        <v>7.55</v>
      </c>
      <c r="AF177" s="2">
        <v>95.62</v>
      </c>
      <c r="AG177" s="2">
        <v>17.690000000000001</v>
      </c>
      <c r="AH177" s="4">
        <f t="shared" si="2"/>
        <v>218.27999999999997</v>
      </c>
    </row>
    <row r="178" spans="1:34" x14ac:dyDescent="0.2">
      <c r="A178" s="3">
        <v>13331</v>
      </c>
      <c r="B178" s="2">
        <v>0.54</v>
      </c>
      <c r="C178" s="2">
        <v>11.89</v>
      </c>
      <c r="D178" s="2">
        <v>-11.05</v>
      </c>
      <c r="E178" s="2">
        <v>-59.49</v>
      </c>
      <c r="F178" s="2">
        <v>-40.53</v>
      </c>
      <c r="G178" s="2">
        <v>-30.48</v>
      </c>
      <c r="H178" s="2">
        <v>1.69</v>
      </c>
      <c r="I178" s="2">
        <v>24.48</v>
      </c>
      <c r="J178" s="2">
        <v>-13.42</v>
      </c>
      <c r="K178" s="2">
        <v>-24.49</v>
      </c>
      <c r="L178" s="2">
        <v>-23.58</v>
      </c>
      <c r="M178" s="2">
        <v>-10.51</v>
      </c>
      <c r="N178" s="2">
        <v>10.14</v>
      </c>
      <c r="O178" s="2">
        <v>16.62</v>
      </c>
      <c r="P178" s="2">
        <v>39.53</v>
      </c>
      <c r="Q178" s="2">
        <v>10.48</v>
      </c>
      <c r="R178" s="2">
        <v>7.46</v>
      </c>
      <c r="S178" s="2">
        <v>11.45</v>
      </c>
      <c r="T178" s="2">
        <v>37.44</v>
      </c>
      <c r="U178" s="2">
        <v>8.06</v>
      </c>
      <c r="V178" s="2">
        <v>25.65</v>
      </c>
      <c r="W178" s="2">
        <v>18.62</v>
      </c>
      <c r="X178" s="2">
        <v>13.53</v>
      </c>
      <c r="Y178" s="2">
        <v>12.93</v>
      </c>
      <c r="Z178" s="2">
        <v>0.72</v>
      </c>
      <c r="AA178" s="2">
        <v>0</v>
      </c>
      <c r="AB178" s="2">
        <v>0</v>
      </c>
      <c r="AC178" s="2">
        <v>0</v>
      </c>
      <c r="AD178" s="2">
        <v>7.18</v>
      </c>
      <c r="AE178" s="2">
        <v>3.64</v>
      </c>
      <c r="AF178" s="2">
        <v>104.64</v>
      </c>
      <c r="AG178" s="2">
        <v>22.83</v>
      </c>
      <c r="AH178" s="4">
        <f t="shared" si="2"/>
        <v>-8.1199999999999974</v>
      </c>
    </row>
    <row r="179" spans="1:34" x14ac:dyDescent="0.2">
      <c r="A179" s="3">
        <v>13362</v>
      </c>
      <c r="B179" s="2">
        <v>-1.1299999999999999</v>
      </c>
      <c r="C179" s="2">
        <v>9.8000000000000007</v>
      </c>
      <c r="D179" s="2">
        <v>-13.75</v>
      </c>
      <c r="E179" s="2">
        <v>-64.78</v>
      </c>
      <c r="F179" s="2">
        <v>-30.22</v>
      </c>
      <c r="G179" s="2">
        <v>-30.56</v>
      </c>
      <c r="H179" s="2">
        <v>0.43</v>
      </c>
      <c r="I179" s="2">
        <v>16.41</v>
      </c>
      <c r="J179" s="2">
        <v>-35.369999999999997</v>
      </c>
      <c r="K179" s="2">
        <v>-31.59</v>
      </c>
      <c r="L179" s="2">
        <v>-62.42</v>
      </c>
      <c r="M179" s="2">
        <v>-33.24</v>
      </c>
      <c r="N179" s="2">
        <v>6.48</v>
      </c>
      <c r="O179" s="2">
        <v>28.42</v>
      </c>
      <c r="P179" s="2">
        <v>33.799999999999997</v>
      </c>
      <c r="Q179" s="2">
        <v>3.49</v>
      </c>
      <c r="R179" s="2">
        <v>32.14</v>
      </c>
      <c r="S179" s="2">
        <v>13.6</v>
      </c>
      <c r="T179" s="2">
        <v>37.26</v>
      </c>
      <c r="U179" s="2">
        <v>1.38</v>
      </c>
      <c r="V179" s="2">
        <v>25.59</v>
      </c>
      <c r="W179" s="2">
        <v>30.39</v>
      </c>
      <c r="X179" s="2">
        <v>18.77</v>
      </c>
      <c r="Y179" s="2">
        <v>18.55</v>
      </c>
      <c r="Z179" s="2">
        <v>0.24</v>
      </c>
      <c r="AA179" s="2">
        <v>26.81</v>
      </c>
      <c r="AB179" s="2">
        <v>2.4300000000000002</v>
      </c>
      <c r="AC179" s="2">
        <v>0</v>
      </c>
      <c r="AD179" s="2">
        <v>6.42</v>
      </c>
      <c r="AE179" s="2">
        <v>0.19</v>
      </c>
      <c r="AF179" s="2">
        <v>113.96</v>
      </c>
      <c r="AG179" s="2">
        <v>24.8</v>
      </c>
      <c r="AH179" s="4">
        <f t="shared" si="2"/>
        <v>-94.259999999999991</v>
      </c>
    </row>
    <row r="180" spans="1:34" x14ac:dyDescent="0.2">
      <c r="A180" s="3">
        <v>13393</v>
      </c>
      <c r="B180" s="2">
        <v>-1.76</v>
      </c>
      <c r="C180" s="2">
        <v>10.29</v>
      </c>
      <c r="D180" s="2">
        <v>-8.67</v>
      </c>
      <c r="E180" s="2">
        <v>-46.9</v>
      </c>
      <c r="F180" s="2">
        <v>-12.52</v>
      </c>
      <c r="G180" s="2">
        <v>-18.04</v>
      </c>
      <c r="H180" s="2">
        <v>6.62</v>
      </c>
      <c r="I180" s="2">
        <v>18.079999999999998</v>
      </c>
      <c r="J180" s="2">
        <v>-18.649999999999999</v>
      </c>
      <c r="K180" s="2">
        <v>-16.059999999999999</v>
      </c>
      <c r="L180" s="2">
        <v>-37.76</v>
      </c>
      <c r="M180" s="2">
        <v>-24.22</v>
      </c>
      <c r="N180" s="2">
        <v>2.41</v>
      </c>
      <c r="O180" s="2">
        <v>28.2</v>
      </c>
      <c r="P180" s="2">
        <v>34.19</v>
      </c>
      <c r="Q180" s="2">
        <v>4.58</v>
      </c>
      <c r="R180" s="2">
        <v>17.809999999999999</v>
      </c>
      <c r="S180" s="2">
        <v>12.71</v>
      </c>
      <c r="T180" s="2">
        <v>34.53</v>
      </c>
      <c r="U180" s="2">
        <v>2.37</v>
      </c>
      <c r="V180" s="2">
        <v>25.51</v>
      </c>
      <c r="W180" s="2">
        <v>31.47</v>
      </c>
      <c r="X180" s="2">
        <v>21.1</v>
      </c>
      <c r="Y180" s="2">
        <v>21</v>
      </c>
      <c r="Z180" s="2">
        <v>0.1</v>
      </c>
      <c r="AA180" s="2">
        <v>4.3</v>
      </c>
      <c r="AB180" s="2">
        <v>0.79</v>
      </c>
      <c r="AC180" s="2">
        <v>9.91</v>
      </c>
      <c r="AD180" s="2">
        <v>6</v>
      </c>
      <c r="AE180" s="2">
        <v>0</v>
      </c>
      <c r="AF180" s="2">
        <v>115.89</v>
      </c>
      <c r="AG180" s="2">
        <v>23.65</v>
      </c>
      <c r="AH180" s="4">
        <f t="shared" si="2"/>
        <v>12.720000000000027</v>
      </c>
    </row>
    <row r="181" spans="1:34" x14ac:dyDescent="0.2">
      <c r="A181" s="3">
        <v>13423</v>
      </c>
      <c r="B181" s="2">
        <v>-2.11</v>
      </c>
      <c r="C181" s="2">
        <v>10.57</v>
      </c>
      <c r="D181" s="2">
        <v>-7.68</v>
      </c>
      <c r="E181" s="2">
        <v>-21.73</v>
      </c>
      <c r="F181" s="2">
        <v>-7.65</v>
      </c>
      <c r="G181" s="2">
        <v>-1.77</v>
      </c>
      <c r="H181" s="2">
        <v>13.95</v>
      </c>
      <c r="I181" s="2">
        <v>22.61</v>
      </c>
      <c r="J181" s="2">
        <v>5.97</v>
      </c>
      <c r="K181" s="2">
        <v>-9.1199999999999992</v>
      </c>
      <c r="L181" s="2">
        <v>-17.02</v>
      </c>
      <c r="M181" s="2">
        <v>-10.34</v>
      </c>
      <c r="N181" s="2">
        <v>14.26</v>
      </c>
      <c r="O181" s="2">
        <v>-0.5</v>
      </c>
      <c r="P181" s="2">
        <v>25.85</v>
      </c>
      <c r="Q181" s="2">
        <v>5.97</v>
      </c>
      <c r="R181" s="2">
        <v>12.56</v>
      </c>
      <c r="S181" s="2">
        <v>2.59</v>
      </c>
      <c r="T181" s="2">
        <v>24.29</v>
      </c>
      <c r="U181" s="2">
        <v>5.27</v>
      </c>
      <c r="V181" s="2">
        <v>10.24</v>
      </c>
      <c r="W181" s="2">
        <v>26.1</v>
      </c>
      <c r="X181" s="2">
        <v>20.03</v>
      </c>
      <c r="Y181" s="2">
        <v>19.73</v>
      </c>
      <c r="Z181" s="2">
        <v>0</v>
      </c>
      <c r="AA181" s="2">
        <v>0</v>
      </c>
      <c r="AB181" s="2">
        <v>0</v>
      </c>
      <c r="AC181" s="2">
        <v>0.5</v>
      </c>
      <c r="AD181" s="2">
        <v>5.27</v>
      </c>
      <c r="AE181" s="2">
        <v>0</v>
      </c>
      <c r="AF181" s="2">
        <v>107.95</v>
      </c>
      <c r="AG181" s="2">
        <v>20.170000000000002</v>
      </c>
      <c r="AH181" s="4">
        <f t="shared" si="2"/>
        <v>76.209999999999994</v>
      </c>
    </row>
    <row r="182" spans="1:34" x14ac:dyDescent="0.2">
      <c r="A182" s="3">
        <v>13454</v>
      </c>
      <c r="B182" s="2">
        <v>-2.1800000000000002</v>
      </c>
      <c r="C182" s="2">
        <v>11.38</v>
      </c>
      <c r="D182" s="2">
        <v>-7.21</v>
      </c>
      <c r="E182" s="2">
        <v>-9.32</v>
      </c>
      <c r="F182" s="2">
        <v>-8.86</v>
      </c>
      <c r="G182" s="2">
        <v>3.53</v>
      </c>
      <c r="H182" s="2">
        <v>12.86</v>
      </c>
      <c r="I182" s="2">
        <v>22.77</v>
      </c>
      <c r="J182" s="2">
        <v>8.68</v>
      </c>
      <c r="K182" s="2">
        <v>-2.35</v>
      </c>
      <c r="L182" s="2">
        <v>-6.7</v>
      </c>
      <c r="M182" s="2">
        <v>-0.95</v>
      </c>
      <c r="N182" s="2">
        <v>6.93</v>
      </c>
      <c r="O182" s="2">
        <v>1.55</v>
      </c>
      <c r="P182" s="2">
        <v>32.32</v>
      </c>
      <c r="Q182" s="2">
        <v>3.77</v>
      </c>
      <c r="R182" s="2">
        <v>6.88</v>
      </c>
      <c r="S182" s="2">
        <v>11.76</v>
      </c>
      <c r="T182" s="2">
        <v>24.94</v>
      </c>
      <c r="U182" s="2">
        <v>5.59</v>
      </c>
      <c r="V182" s="2">
        <v>10.16</v>
      </c>
      <c r="W182" s="2">
        <v>22.19</v>
      </c>
      <c r="X182" s="2">
        <v>18.57</v>
      </c>
      <c r="Y182" s="2">
        <v>18.239999999999998</v>
      </c>
      <c r="Z182" s="2">
        <v>0.19</v>
      </c>
      <c r="AA182" s="2">
        <v>22.22</v>
      </c>
      <c r="AB182" s="2">
        <v>15.45</v>
      </c>
      <c r="AC182" s="2">
        <v>0.5</v>
      </c>
      <c r="AD182" s="2">
        <v>3.2</v>
      </c>
      <c r="AE182" s="2">
        <v>7.92</v>
      </c>
      <c r="AF182" s="2">
        <v>97.91</v>
      </c>
      <c r="AG182" s="2">
        <v>16.420000000000002</v>
      </c>
      <c r="AH182" s="4">
        <f t="shared" si="2"/>
        <v>125.55</v>
      </c>
    </row>
    <row r="183" spans="1:34" x14ac:dyDescent="0.2">
      <c r="A183" s="3">
        <v>13484</v>
      </c>
      <c r="B183" s="2">
        <v>0.28999999999999998</v>
      </c>
      <c r="C183" s="2">
        <v>10.67</v>
      </c>
      <c r="D183" s="2">
        <v>-5.33</v>
      </c>
      <c r="E183" s="2">
        <v>-2</v>
      </c>
      <c r="F183" s="2">
        <v>-5.01</v>
      </c>
      <c r="G183" s="2">
        <v>5.52</v>
      </c>
      <c r="H183" s="2">
        <v>11.45</v>
      </c>
      <c r="I183" s="2">
        <v>19.05</v>
      </c>
      <c r="J183" s="2">
        <v>10.029999999999999</v>
      </c>
      <c r="K183" s="2">
        <v>-4.63</v>
      </c>
      <c r="L183" s="2">
        <v>-1.56</v>
      </c>
      <c r="M183" s="2">
        <v>-4.5999999999999996</v>
      </c>
      <c r="N183" s="2">
        <v>5.75</v>
      </c>
      <c r="O183" s="2">
        <v>-0.87</v>
      </c>
      <c r="P183" s="2">
        <v>26.24</v>
      </c>
      <c r="Q183" s="2">
        <v>3.57</v>
      </c>
      <c r="R183" s="2">
        <v>4.78</v>
      </c>
      <c r="S183" s="2">
        <v>-0.52</v>
      </c>
      <c r="T183" s="2">
        <v>23.37</v>
      </c>
      <c r="U183" s="2">
        <v>4.74</v>
      </c>
      <c r="V183" s="2">
        <v>9.9499999999999993</v>
      </c>
      <c r="W183" s="2">
        <v>15.43</v>
      </c>
      <c r="X183" s="2">
        <v>12.13</v>
      </c>
      <c r="Y183" s="2">
        <v>10.79</v>
      </c>
      <c r="Z183" s="2">
        <v>23.69</v>
      </c>
      <c r="AA183" s="2">
        <v>7.89</v>
      </c>
      <c r="AB183" s="2">
        <v>0</v>
      </c>
      <c r="AC183" s="2">
        <v>2.2999999999999998</v>
      </c>
      <c r="AD183" s="2">
        <v>1.93</v>
      </c>
      <c r="AE183" s="2">
        <v>0.28000000000000003</v>
      </c>
      <c r="AF183" s="2">
        <v>64.239999999999995</v>
      </c>
      <c r="AG183" s="2">
        <v>12.92</v>
      </c>
      <c r="AH183" s="4">
        <f t="shared" si="2"/>
        <v>110.89</v>
      </c>
    </row>
    <row r="184" spans="1:34" x14ac:dyDescent="0.2">
      <c r="A184" s="3">
        <v>13515</v>
      </c>
      <c r="B184" s="2">
        <v>1.77</v>
      </c>
      <c r="C184" s="2">
        <v>13.08</v>
      </c>
      <c r="D184" s="2">
        <v>-0.09</v>
      </c>
      <c r="E184" s="2">
        <v>18.899999999999999</v>
      </c>
      <c r="F184" s="2">
        <v>2.62</v>
      </c>
      <c r="G184" s="2">
        <v>20.58</v>
      </c>
      <c r="H184" s="2">
        <v>12.68</v>
      </c>
      <c r="I184" s="2">
        <v>23.27</v>
      </c>
      <c r="J184" s="2">
        <v>27.3</v>
      </c>
      <c r="K184" s="2">
        <v>27</v>
      </c>
      <c r="L184" s="2">
        <v>12.18</v>
      </c>
      <c r="M184" s="2">
        <v>17.53</v>
      </c>
      <c r="N184" s="2">
        <v>23.69</v>
      </c>
      <c r="O184" s="2">
        <v>0.69</v>
      </c>
      <c r="P184" s="2">
        <v>87.33</v>
      </c>
      <c r="Q184" s="2">
        <v>4.97</v>
      </c>
      <c r="R184" s="2">
        <v>6.02</v>
      </c>
      <c r="S184" s="2">
        <v>63.27</v>
      </c>
      <c r="T184" s="2">
        <v>51.25</v>
      </c>
      <c r="U184" s="2">
        <v>5.46</v>
      </c>
      <c r="V184" s="2">
        <v>14.77</v>
      </c>
      <c r="W184" s="2">
        <v>11.73</v>
      </c>
      <c r="X184" s="2">
        <v>9.92</v>
      </c>
      <c r="Y184" s="2">
        <v>9.7899999999999991</v>
      </c>
      <c r="Z184" s="2">
        <v>2.78</v>
      </c>
      <c r="AA184" s="2">
        <v>19.36</v>
      </c>
      <c r="AB184" s="2">
        <v>11.93</v>
      </c>
      <c r="AC184" s="2">
        <v>0.28999999999999998</v>
      </c>
      <c r="AD184" s="2">
        <v>1.92</v>
      </c>
      <c r="AE184" s="2">
        <v>35.979999999999997</v>
      </c>
      <c r="AF184" s="2">
        <v>59.02</v>
      </c>
      <c r="AG184" s="2">
        <v>11.2</v>
      </c>
      <c r="AH184" s="4">
        <f t="shared" si="2"/>
        <v>434.26999999999992</v>
      </c>
    </row>
    <row r="185" spans="1:34" x14ac:dyDescent="0.2">
      <c r="A185" s="3">
        <v>13546</v>
      </c>
      <c r="B185" s="2">
        <v>2.38</v>
      </c>
      <c r="C185" s="2">
        <v>14.34</v>
      </c>
      <c r="D185" s="2">
        <v>2.99</v>
      </c>
      <c r="E185" s="2">
        <v>23.41</v>
      </c>
      <c r="F185" s="2">
        <v>7</v>
      </c>
      <c r="G185" s="2">
        <v>28.35</v>
      </c>
      <c r="H185" s="2">
        <v>13.3</v>
      </c>
      <c r="I185" s="2">
        <v>25.85</v>
      </c>
      <c r="J185" s="2">
        <v>31.27</v>
      </c>
      <c r="K185" s="2">
        <v>2.5299999999999998</v>
      </c>
      <c r="L185" s="2">
        <v>1.7</v>
      </c>
      <c r="M185" s="2">
        <v>-0.66</v>
      </c>
      <c r="N185" s="2">
        <v>11.8</v>
      </c>
      <c r="O185" s="2">
        <v>-0.77</v>
      </c>
      <c r="P185" s="2">
        <v>28.99</v>
      </c>
      <c r="Q185" s="2">
        <v>1.08</v>
      </c>
      <c r="R185" s="2">
        <v>6.09</v>
      </c>
      <c r="S185" s="2">
        <v>21.4</v>
      </c>
      <c r="T185" s="2">
        <v>25.28</v>
      </c>
      <c r="U185" s="2">
        <v>5.97</v>
      </c>
      <c r="V185" s="2">
        <v>10.92</v>
      </c>
      <c r="W185" s="2">
        <v>4.26</v>
      </c>
      <c r="X185" s="2">
        <v>9.32</v>
      </c>
      <c r="Y185" s="2">
        <v>8.06</v>
      </c>
      <c r="Z185" s="2">
        <v>9.19</v>
      </c>
      <c r="AA185" s="2">
        <v>3.01</v>
      </c>
      <c r="AB185" s="2">
        <v>2.78</v>
      </c>
      <c r="AC185" s="2">
        <v>0.28999999999999998</v>
      </c>
      <c r="AD185" s="2">
        <v>1.94</v>
      </c>
      <c r="AE185" s="2">
        <v>29.27</v>
      </c>
      <c r="AF185" s="2">
        <v>71.25</v>
      </c>
      <c r="AG185" s="2">
        <v>9.8800000000000008</v>
      </c>
      <c r="AH185" s="4">
        <f t="shared" si="2"/>
        <v>263.22000000000003</v>
      </c>
    </row>
    <row r="186" spans="1:34" x14ac:dyDescent="0.2">
      <c r="A186" s="3">
        <v>13574</v>
      </c>
      <c r="B186" s="2">
        <v>4.8099999999999996</v>
      </c>
      <c r="C186" s="2">
        <v>23.69</v>
      </c>
      <c r="D186" s="2">
        <v>31.03</v>
      </c>
      <c r="E186" s="2">
        <v>74.48</v>
      </c>
      <c r="F186" s="2">
        <v>58.32</v>
      </c>
      <c r="G186" s="2">
        <v>155.46</v>
      </c>
      <c r="H186" s="2">
        <v>32.03</v>
      </c>
      <c r="I186" s="2">
        <v>43.59</v>
      </c>
      <c r="J186" s="2">
        <v>107.39</v>
      </c>
      <c r="K186" s="2">
        <v>91.92</v>
      </c>
      <c r="L186" s="2">
        <v>47.43</v>
      </c>
      <c r="M186" s="2">
        <v>44.05</v>
      </c>
      <c r="N186" s="2">
        <v>142.38</v>
      </c>
      <c r="O186" s="2">
        <v>3.31</v>
      </c>
      <c r="P186" s="2">
        <v>138.44</v>
      </c>
      <c r="Q186" s="2">
        <v>12.62</v>
      </c>
      <c r="R186" s="2">
        <v>14.27</v>
      </c>
      <c r="S186" s="2">
        <v>74.099999999999994</v>
      </c>
      <c r="T186" s="2">
        <v>47.79</v>
      </c>
      <c r="U186" s="2">
        <v>24.2</v>
      </c>
      <c r="V186" s="2">
        <v>35.4</v>
      </c>
      <c r="W186" s="2">
        <v>0</v>
      </c>
      <c r="X186" s="2">
        <v>2.9</v>
      </c>
      <c r="Y186" s="2">
        <v>3.08</v>
      </c>
      <c r="Z186" s="2">
        <v>10.86</v>
      </c>
      <c r="AA186" s="2">
        <v>10.75</v>
      </c>
      <c r="AB186" s="2">
        <v>12.73</v>
      </c>
      <c r="AC186" s="2">
        <v>22.83</v>
      </c>
      <c r="AD186" s="2">
        <v>2.4300000000000002</v>
      </c>
      <c r="AE186" s="2">
        <v>36.92</v>
      </c>
      <c r="AF186" s="2">
        <v>59.39</v>
      </c>
      <c r="AG186" s="2">
        <v>10.08</v>
      </c>
      <c r="AH186" s="4">
        <f t="shared" si="2"/>
        <v>1206.7099999999998</v>
      </c>
    </row>
    <row r="187" spans="1:34" x14ac:dyDescent="0.2">
      <c r="A187" s="3">
        <v>13605</v>
      </c>
      <c r="B187" s="2">
        <v>11.96</v>
      </c>
      <c r="C187" s="2">
        <v>29.72</v>
      </c>
      <c r="D187" s="2">
        <v>21.64</v>
      </c>
      <c r="E187" s="2">
        <v>91.96</v>
      </c>
      <c r="F187" s="2">
        <v>86.11</v>
      </c>
      <c r="G187" s="2">
        <v>85.3</v>
      </c>
      <c r="H187" s="2">
        <v>27.02</v>
      </c>
      <c r="I187" s="2">
        <v>48.32</v>
      </c>
      <c r="J187" s="2">
        <v>75.81</v>
      </c>
      <c r="K187" s="2">
        <v>7.21</v>
      </c>
      <c r="L187" s="2">
        <v>28.61</v>
      </c>
      <c r="M187" s="2">
        <v>17.22</v>
      </c>
      <c r="N187" s="2">
        <v>49.3</v>
      </c>
      <c r="O187" s="2">
        <v>4.08</v>
      </c>
      <c r="P187" s="2">
        <v>78.81</v>
      </c>
      <c r="Q187" s="2">
        <v>11.61</v>
      </c>
      <c r="R187" s="2">
        <v>0.65</v>
      </c>
      <c r="S187" s="2">
        <v>42.8</v>
      </c>
      <c r="T187" s="2">
        <v>28.83</v>
      </c>
      <c r="U187" s="2">
        <v>21.57</v>
      </c>
      <c r="V187" s="2">
        <v>22.09</v>
      </c>
      <c r="W187" s="2">
        <v>0</v>
      </c>
      <c r="X187" s="2">
        <v>3.72</v>
      </c>
      <c r="Y187" s="2">
        <v>2.82</v>
      </c>
      <c r="Z187" s="2">
        <v>12.16</v>
      </c>
      <c r="AA187" s="2">
        <v>1.29</v>
      </c>
      <c r="AB187" s="2">
        <v>0.23</v>
      </c>
      <c r="AC187" s="2">
        <v>5.17</v>
      </c>
      <c r="AD187" s="2">
        <v>4.17</v>
      </c>
      <c r="AE187" s="2">
        <v>58.17</v>
      </c>
      <c r="AF187" s="2">
        <v>70.09</v>
      </c>
      <c r="AG187" s="2">
        <v>10.69</v>
      </c>
      <c r="AH187" s="4">
        <f t="shared" si="2"/>
        <v>790.62</v>
      </c>
    </row>
    <row r="188" spans="1:34" x14ac:dyDescent="0.2">
      <c r="A188" s="3">
        <v>13635</v>
      </c>
      <c r="B188" s="2">
        <v>10.34</v>
      </c>
      <c r="C188" s="2">
        <v>20.53</v>
      </c>
      <c r="D188" s="2">
        <v>-9.59</v>
      </c>
      <c r="E188" s="2">
        <v>2.2599999999999998</v>
      </c>
      <c r="F188" s="2">
        <v>19.239999999999998</v>
      </c>
      <c r="G188" s="2">
        <v>-20.34</v>
      </c>
      <c r="H188" s="2">
        <v>25.03</v>
      </c>
      <c r="I188" s="2">
        <v>36.950000000000003</v>
      </c>
      <c r="J188" s="2">
        <v>17.149999999999999</v>
      </c>
      <c r="K188" s="2">
        <v>-12.36</v>
      </c>
      <c r="L188" s="2">
        <v>22.43</v>
      </c>
      <c r="M188" s="2">
        <v>2.6</v>
      </c>
      <c r="N188" s="2">
        <v>26.11</v>
      </c>
      <c r="O188" s="2">
        <v>6.9</v>
      </c>
      <c r="P188" s="2">
        <v>38.200000000000003</v>
      </c>
      <c r="Q188" s="2">
        <v>10.38</v>
      </c>
      <c r="R188" s="2">
        <v>5.51</v>
      </c>
      <c r="S188" s="2">
        <v>12.48</v>
      </c>
      <c r="T188" s="2">
        <v>-3.35</v>
      </c>
      <c r="U188" s="2">
        <v>29.89</v>
      </c>
      <c r="V188" s="2">
        <v>27.1</v>
      </c>
      <c r="W188" s="2">
        <v>0</v>
      </c>
      <c r="X188" s="2">
        <v>4.51</v>
      </c>
      <c r="Y188" s="2">
        <v>3.93</v>
      </c>
      <c r="Z188" s="2">
        <v>0.43</v>
      </c>
      <c r="AA188" s="2">
        <v>0</v>
      </c>
      <c r="AB188" s="2">
        <v>0</v>
      </c>
      <c r="AC188" s="2">
        <v>2.87</v>
      </c>
      <c r="AD188" s="2">
        <v>5.95</v>
      </c>
      <c r="AE188" s="2">
        <v>7.08</v>
      </c>
      <c r="AF188" s="2">
        <v>86.72</v>
      </c>
      <c r="AG188" s="2">
        <v>14.64</v>
      </c>
      <c r="AH188" s="4">
        <f t="shared" si="2"/>
        <v>267.45999999999998</v>
      </c>
    </row>
    <row r="189" spans="1:34" x14ac:dyDescent="0.2">
      <c r="A189" s="3">
        <v>13666</v>
      </c>
      <c r="B189" s="2">
        <v>4.01</v>
      </c>
      <c r="C189" s="2">
        <v>13.56</v>
      </c>
      <c r="D189" s="2">
        <v>-11.06</v>
      </c>
      <c r="E189" s="2">
        <v>-37.99</v>
      </c>
      <c r="F189" s="2">
        <v>-20.59</v>
      </c>
      <c r="G189" s="2">
        <v>-30.03</v>
      </c>
      <c r="H189" s="2">
        <v>10.210000000000001</v>
      </c>
      <c r="I189" s="2">
        <v>26.56</v>
      </c>
      <c r="J189" s="2">
        <v>47.63</v>
      </c>
      <c r="K189" s="2">
        <v>69.790000000000006</v>
      </c>
      <c r="L189" s="2">
        <v>69.37</v>
      </c>
      <c r="M189" s="2">
        <v>52.09</v>
      </c>
      <c r="N189" s="2">
        <v>75.67</v>
      </c>
      <c r="O189" s="2">
        <v>19.100000000000001</v>
      </c>
      <c r="P189" s="2">
        <v>127.56</v>
      </c>
      <c r="Q189" s="2">
        <v>19.350000000000001</v>
      </c>
      <c r="R189" s="2">
        <v>17.559999999999999</v>
      </c>
      <c r="S189" s="2">
        <v>46.66</v>
      </c>
      <c r="T189" s="2">
        <v>23.18</v>
      </c>
      <c r="U189" s="2">
        <v>53.84</v>
      </c>
      <c r="V189" s="2">
        <v>43.51</v>
      </c>
      <c r="W189" s="2">
        <v>4.88</v>
      </c>
      <c r="X189" s="2">
        <v>7.45</v>
      </c>
      <c r="Y189" s="2">
        <v>6.18</v>
      </c>
      <c r="Z189" s="2">
        <v>1.58</v>
      </c>
      <c r="AA189" s="2">
        <v>0</v>
      </c>
      <c r="AB189" s="2">
        <v>0.23</v>
      </c>
      <c r="AC189" s="2">
        <v>0</v>
      </c>
      <c r="AD189" s="2">
        <v>9.84</v>
      </c>
      <c r="AE189" s="2">
        <v>0.47</v>
      </c>
      <c r="AF189" s="2">
        <v>97.94</v>
      </c>
      <c r="AG189" s="2">
        <v>17.690000000000001</v>
      </c>
      <c r="AH189" s="4">
        <f t="shared" si="2"/>
        <v>619.98</v>
      </c>
    </row>
    <row r="190" spans="1:34" x14ac:dyDescent="0.2">
      <c r="A190" s="3">
        <v>13696</v>
      </c>
      <c r="B190" s="2">
        <v>0.76</v>
      </c>
      <c r="C190" s="2">
        <v>11.55</v>
      </c>
      <c r="D190" s="2">
        <v>-15.94</v>
      </c>
      <c r="E190" s="2">
        <v>-68.47</v>
      </c>
      <c r="F190" s="2">
        <v>-63.78</v>
      </c>
      <c r="G190" s="2">
        <v>-34.31</v>
      </c>
      <c r="H190" s="2">
        <v>-0.96</v>
      </c>
      <c r="I190" s="2">
        <v>22.65</v>
      </c>
      <c r="J190" s="2">
        <v>-17.440000000000001</v>
      </c>
      <c r="K190" s="2">
        <v>-22.72</v>
      </c>
      <c r="L190" s="2">
        <v>-47.33</v>
      </c>
      <c r="M190" s="2">
        <v>-28.65</v>
      </c>
      <c r="N190" s="2">
        <v>10.91</v>
      </c>
      <c r="O190" s="2">
        <v>22.25</v>
      </c>
      <c r="P190" s="2">
        <v>30.61</v>
      </c>
      <c r="Q190" s="2">
        <v>15.36</v>
      </c>
      <c r="R190" s="2">
        <v>11.37</v>
      </c>
      <c r="S190" s="2">
        <v>33.090000000000003</v>
      </c>
      <c r="T190" s="2">
        <v>11.66</v>
      </c>
      <c r="U190" s="2">
        <v>32.880000000000003</v>
      </c>
      <c r="V190" s="2">
        <v>27.8</v>
      </c>
      <c r="W190" s="2">
        <v>18.62</v>
      </c>
      <c r="X190" s="2">
        <v>12.74</v>
      </c>
      <c r="Y190" s="2">
        <v>12.2</v>
      </c>
      <c r="Z190" s="2">
        <v>0.72</v>
      </c>
      <c r="AA190" s="2">
        <v>0</v>
      </c>
      <c r="AB190" s="2">
        <v>0</v>
      </c>
      <c r="AC190" s="2">
        <v>1.08</v>
      </c>
      <c r="AD190" s="2">
        <v>12.36</v>
      </c>
      <c r="AE190" s="2">
        <v>0.65</v>
      </c>
      <c r="AF190" s="2">
        <v>107.19</v>
      </c>
      <c r="AG190" s="2">
        <v>22.83</v>
      </c>
      <c r="AH190" s="4">
        <f t="shared" si="2"/>
        <v>-68.709999999999994</v>
      </c>
    </row>
    <row r="191" spans="1:34" x14ac:dyDescent="0.2">
      <c r="A191" s="3">
        <v>13727</v>
      </c>
      <c r="B191" s="2">
        <v>-1.42</v>
      </c>
      <c r="C191" s="2">
        <v>9.93</v>
      </c>
      <c r="D191" s="2">
        <v>-15.39</v>
      </c>
      <c r="E191" s="2">
        <v>-69.25</v>
      </c>
      <c r="F191" s="2">
        <v>-34.53</v>
      </c>
      <c r="G191" s="2">
        <v>-30.91</v>
      </c>
      <c r="H191" s="2">
        <v>-0.24</v>
      </c>
      <c r="I191" s="2">
        <v>18.32</v>
      </c>
      <c r="J191" s="2">
        <v>-38.340000000000003</v>
      </c>
      <c r="K191" s="2">
        <v>-41</v>
      </c>
      <c r="L191" s="2">
        <v>-66.709999999999994</v>
      </c>
      <c r="M191" s="2">
        <v>-45.13</v>
      </c>
      <c r="N191" s="2">
        <v>-5.61</v>
      </c>
      <c r="O191" s="2">
        <v>22.66</v>
      </c>
      <c r="P191" s="2">
        <v>5.34</v>
      </c>
      <c r="Q191" s="2">
        <v>5.01</v>
      </c>
      <c r="R191" s="2">
        <v>32.76</v>
      </c>
      <c r="S191" s="2">
        <v>19.25</v>
      </c>
      <c r="T191" s="2">
        <v>36.33</v>
      </c>
      <c r="U191" s="2">
        <v>5.76</v>
      </c>
      <c r="V191" s="2">
        <v>23.26</v>
      </c>
      <c r="W191" s="2">
        <v>30.39</v>
      </c>
      <c r="X191" s="2">
        <v>17.91</v>
      </c>
      <c r="Y191" s="2">
        <v>17.72</v>
      </c>
      <c r="Z191" s="2">
        <v>0</v>
      </c>
      <c r="AA191" s="2">
        <v>2.61</v>
      </c>
      <c r="AB191" s="2">
        <v>0</v>
      </c>
      <c r="AC191" s="2">
        <v>0.36</v>
      </c>
      <c r="AD191" s="2">
        <v>11.12</v>
      </c>
      <c r="AE191" s="2">
        <v>0</v>
      </c>
      <c r="AF191" s="2">
        <v>116.73</v>
      </c>
      <c r="AG191" s="2">
        <v>24.8</v>
      </c>
      <c r="AH191" s="4">
        <f t="shared" si="2"/>
        <v>-169.91000000000008</v>
      </c>
    </row>
    <row r="192" spans="1:34" x14ac:dyDescent="0.2">
      <c r="A192" s="3">
        <v>13758</v>
      </c>
      <c r="B192" s="2">
        <v>-1.99</v>
      </c>
      <c r="C192" s="2">
        <v>10.17</v>
      </c>
      <c r="D192" s="2">
        <v>-8.42</v>
      </c>
      <c r="E192" s="2">
        <v>-51.49</v>
      </c>
      <c r="F192" s="2">
        <v>-25.6</v>
      </c>
      <c r="G192" s="2">
        <v>-20.61</v>
      </c>
      <c r="H192" s="2">
        <v>5.92</v>
      </c>
      <c r="I192" s="2">
        <v>19.27</v>
      </c>
      <c r="J192" s="2">
        <v>-21.9</v>
      </c>
      <c r="K192" s="2">
        <v>-7.07</v>
      </c>
      <c r="L192" s="2">
        <v>-34.020000000000003</v>
      </c>
      <c r="M192" s="2">
        <v>-25.04</v>
      </c>
      <c r="N192" s="2">
        <v>-4.6100000000000003</v>
      </c>
      <c r="O192" s="2">
        <v>25.67</v>
      </c>
      <c r="P192" s="2">
        <v>15.48</v>
      </c>
      <c r="Q192" s="2">
        <v>4.0199999999999996</v>
      </c>
      <c r="R192" s="2">
        <v>14.55</v>
      </c>
      <c r="S192" s="2">
        <v>11.93</v>
      </c>
      <c r="T192" s="2">
        <v>34.270000000000003</v>
      </c>
      <c r="U192" s="2">
        <v>4.42</v>
      </c>
      <c r="V192" s="2">
        <v>23.73</v>
      </c>
      <c r="W192" s="2">
        <v>31.47</v>
      </c>
      <c r="X192" s="2">
        <v>20.21</v>
      </c>
      <c r="Y192" s="2">
        <v>20.170000000000002</v>
      </c>
      <c r="Z192" s="2">
        <v>0</v>
      </c>
      <c r="AA192" s="2">
        <v>0.14000000000000001</v>
      </c>
      <c r="AB192" s="2">
        <v>0</v>
      </c>
      <c r="AC192" s="2">
        <v>0.14000000000000001</v>
      </c>
      <c r="AD192" s="2">
        <v>7.36</v>
      </c>
      <c r="AE192" s="2">
        <v>0</v>
      </c>
      <c r="AF192" s="2">
        <v>118.71</v>
      </c>
      <c r="AG192" s="2">
        <v>23.65</v>
      </c>
      <c r="AH192" s="4">
        <f t="shared" si="2"/>
        <v>-31.320000000000032</v>
      </c>
    </row>
    <row r="193" spans="1:34" x14ac:dyDescent="0.2">
      <c r="A193" s="3">
        <v>13788</v>
      </c>
      <c r="B193" s="2">
        <v>-2.2999999999999998</v>
      </c>
      <c r="C193" s="2">
        <v>10.95</v>
      </c>
      <c r="D193" s="2">
        <v>-6.75</v>
      </c>
      <c r="E193" s="2">
        <v>-44.38</v>
      </c>
      <c r="F193" s="2">
        <v>-3.48</v>
      </c>
      <c r="G193" s="2">
        <v>-9.67</v>
      </c>
      <c r="H193" s="2">
        <v>12.65</v>
      </c>
      <c r="I193" s="2">
        <v>23.31</v>
      </c>
      <c r="J193" s="2">
        <v>3.99</v>
      </c>
      <c r="K193" s="2">
        <v>-11.81</v>
      </c>
      <c r="L193" s="2">
        <v>-12.84</v>
      </c>
      <c r="M193" s="2">
        <v>-7.83</v>
      </c>
      <c r="N193" s="2">
        <v>12.39</v>
      </c>
      <c r="O193" s="2">
        <v>1.18</v>
      </c>
      <c r="P193" s="2">
        <v>14.2</v>
      </c>
      <c r="Q193" s="2">
        <v>5.74</v>
      </c>
      <c r="R193" s="2">
        <v>9.52</v>
      </c>
      <c r="S193" s="2">
        <v>5.13</v>
      </c>
      <c r="T193" s="2">
        <v>23.53</v>
      </c>
      <c r="U193" s="2">
        <v>7.83</v>
      </c>
      <c r="V193" s="2">
        <v>10.17</v>
      </c>
      <c r="W193" s="2">
        <v>26.1</v>
      </c>
      <c r="X193" s="2">
        <v>19.190000000000001</v>
      </c>
      <c r="Y193" s="2">
        <v>18.940000000000001</v>
      </c>
      <c r="Z193" s="2">
        <v>0</v>
      </c>
      <c r="AA193" s="2">
        <v>0</v>
      </c>
      <c r="AB193" s="2">
        <v>0.11</v>
      </c>
      <c r="AC193" s="2">
        <v>0</v>
      </c>
      <c r="AD193" s="2">
        <v>4.59</v>
      </c>
      <c r="AE193" s="2">
        <v>0</v>
      </c>
      <c r="AF193" s="2">
        <v>110.57</v>
      </c>
      <c r="AG193" s="2">
        <v>20.170000000000002</v>
      </c>
      <c r="AH193" s="4">
        <f t="shared" si="2"/>
        <v>41.53</v>
      </c>
    </row>
    <row r="194" spans="1:34" x14ac:dyDescent="0.2">
      <c r="A194" s="3">
        <v>13819</v>
      </c>
      <c r="B194" s="2">
        <v>1</v>
      </c>
      <c r="C194" s="2">
        <v>14.36</v>
      </c>
      <c r="D194" s="2">
        <v>-0.34</v>
      </c>
      <c r="E194" s="2">
        <v>-3.41</v>
      </c>
      <c r="F194" s="2">
        <v>7.76</v>
      </c>
      <c r="G194" s="2">
        <v>10.56</v>
      </c>
      <c r="H194" s="2">
        <v>19.600000000000001</v>
      </c>
      <c r="I194" s="2">
        <v>26.47</v>
      </c>
      <c r="J194" s="2">
        <v>11.38</v>
      </c>
      <c r="K194" s="2">
        <v>-17.48</v>
      </c>
      <c r="L194" s="2">
        <v>-7.42</v>
      </c>
      <c r="M194" s="2">
        <v>-1.06</v>
      </c>
      <c r="N194" s="2">
        <v>-0.37</v>
      </c>
      <c r="O194" s="2">
        <v>3.34</v>
      </c>
      <c r="P194" s="2">
        <v>17.89</v>
      </c>
      <c r="Q194" s="2">
        <v>2.87</v>
      </c>
      <c r="R194" s="2">
        <v>3.72</v>
      </c>
      <c r="S194" s="2">
        <v>0.66</v>
      </c>
      <c r="T194" s="2">
        <v>22.72</v>
      </c>
      <c r="U194" s="2">
        <v>5.88</v>
      </c>
      <c r="V194" s="2">
        <v>10.31</v>
      </c>
      <c r="W194" s="2">
        <v>22.19</v>
      </c>
      <c r="X194" s="2">
        <v>17.8</v>
      </c>
      <c r="Y194" s="2">
        <v>17.52</v>
      </c>
      <c r="Z194" s="2">
        <v>0</v>
      </c>
      <c r="AA194" s="2">
        <v>0</v>
      </c>
      <c r="AB194" s="2">
        <v>0</v>
      </c>
      <c r="AC194" s="2">
        <v>0.28999999999999998</v>
      </c>
      <c r="AD194" s="2">
        <v>3</v>
      </c>
      <c r="AE194" s="2">
        <v>3.54</v>
      </c>
      <c r="AF194" s="2">
        <v>100.29</v>
      </c>
      <c r="AG194" s="2">
        <v>16.420000000000002</v>
      </c>
      <c r="AH194" s="4">
        <f t="shared" si="2"/>
        <v>128.43999999999997</v>
      </c>
    </row>
    <row r="195" spans="1:34" x14ac:dyDescent="0.2">
      <c r="A195" s="3">
        <v>13849</v>
      </c>
      <c r="B195" s="2">
        <v>9.31</v>
      </c>
      <c r="C195" s="2">
        <v>26.91</v>
      </c>
      <c r="D195" s="2">
        <v>25.15</v>
      </c>
      <c r="E195" s="2">
        <v>116.83</v>
      </c>
      <c r="F195" s="2">
        <v>76.09</v>
      </c>
      <c r="G195" s="2">
        <v>98.81</v>
      </c>
      <c r="H195" s="2">
        <v>31.58</v>
      </c>
      <c r="I195" s="2">
        <v>28.44</v>
      </c>
      <c r="J195" s="2">
        <v>28.67</v>
      </c>
      <c r="K195" s="2">
        <v>-3.35</v>
      </c>
      <c r="L195" s="2">
        <v>-1.34</v>
      </c>
      <c r="M195" s="2">
        <v>-3.4</v>
      </c>
      <c r="N195" s="2">
        <v>4.5199999999999996</v>
      </c>
      <c r="O195" s="2">
        <v>1.46</v>
      </c>
      <c r="P195" s="2">
        <v>18.43</v>
      </c>
      <c r="Q195" s="2">
        <v>3.43</v>
      </c>
      <c r="R195" s="2">
        <v>2.13</v>
      </c>
      <c r="S195" s="2">
        <v>1.37</v>
      </c>
      <c r="T195" s="2">
        <v>21.58</v>
      </c>
      <c r="U195" s="2">
        <v>6.28</v>
      </c>
      <c r="V195" s="2">
        <v>10.26</v>
      </c>
      <c r="W195" s="2">
        <v>15.43</v>
      </c>
      <c r="X195" s="2">
        <v>11.7</v>
      </c>
      <c r="Y195" s="2">
        <v>10.39</v>
      </c>
      <c r="Z195" s="2">
        <v>6.94</v>
      </c>
      <c r="AA195" s="2">
        <v>0</v>
      </c>
      <c r="AB195" s="2">
        <v>0</v>
      </c>
      <c r="AC195" s="2">
        <v>35.53</v>
      </c>
      <c r="AD195" s="2">
        <v>1.75</v>
      </c>
      <c r="AE195" s="2">
        <v>10.35</v>
      </c>
      <c r="AF195" s="2">
        <v>65.81</v>
      </c>
      <c r="AG195" s="2">
        <v>12.92</v>
      </c>
      <c r="AH195" s="4">
        <f t="shared" ref="AH195:AH258" si="3">SUM(B195:V195)</f>
        <v>503.15999999999997</v>
      </c>
    </row>
    <row r="196" spans="1:34" x14ac:dyDescent="0.2">
      <c r="A196" s="3">
        <v>13880</v>
      </c>
      <c r="B196" s="2">
        <v>14.13</v>
      </c>
      <c r="C196" s="2">
        <v>31.66</v>
      </c>
      <c r="D196" s="2">
        <v>30.56</v>
      </c>
      <c r="E196" s="2">
        <v>118.98</v>
      </c>
      <c r="F196" s="2">
        <v>139.85</v>
      </c>
      <c r="G196" s="2">
        <v>167.39</v>
      </c>
      <c r="H196" s="2">
        <v>31.09</v>
      </c>
      <c r="I196" s="2">
        <v>33.11</v>
      </c>
      <c r="J196" s="2">
        <v>75.7</v>
      </c>
      <c r="K196" s="2">
        <v>70.62</v>
      </c>
      <c r="L196" s="2">
        <v>43.63</v>
      </c>
      <c r="M196" s="2">
        <v>30.51</v>
      </c>
      <c r="N196" s="2">
        <v>61.7</v>
      </c>
      <c r="O196" s="2">
        <v>4.54</v>
      </c>
      <c r="P196" s="2">
        <v>109.1</v>
      </c>
      <c r="Q196" s="2">
        <v>6.57</v>
      </c>
      <c r="R196" s="2">
        <v>7.06</v>
      </c>
      <c r="S196" s="2">
        <v>71.3</v>
      </c>
      <c r="T196" s="2">
        <v>18.88</v>
      </c>
      <c r="U196" s="2">
        <v>9.59</v>
      </c>
      <c r="V196" s="2">
        <v>21.25</v>
      </c>
      <c r="W196" s="2">
        <v>11.73</v>
      </c>
      <c r="X196" s="2">
        <v>9.52</v>
      </c>
      <c r="Y196" s="2">
        <v>9.43</v>
      </c>
      <c r="Z196" s="2">
        <v>0.1</v>
      </c>
      <c r="AA196" s="2">
        <v>3.3</v>
      </c>
      <c r="AB196" s="2">
        <v>13.05</v>
      </c>
      <c r="AC196" s="2">
        <v>4.16</v>
      </c>
      <c r="AD196" s="2">
        <v>1.8</v>
      </c>
      <c r="AE196" s="2">
        <v>32.53</v>
      </c>
      <c r="AF196" s="2">
        <v>60.46</v>
      </c>
      <c r="AG196" s="2">
        <v>11.2</v>
      </c>
      <c r="AH196" s="4">
        <f t="shared" si="3"/>
        <v>1097.22</v>
      </c>
    </row>
    <row r="197" spans="1:34" x14ac:dyDescent="0.2">
      <c r="A197" s="3">
        <v>13911</v>
      </c>
      <c r="B197" s="2">
        <v>12.32</v>
      </c>
      <c r="C197" s="2">
        <v>32.74</v>
      </c>
      <c r="D197" s="2">
        <v>-1.45</v>
      </c>
      <c r="E197" s="2">
        <v>-10.44</v>
      </c>
      <c r="F197" s="2">
        <v>-70.45</v>
      </c>
      <c r="G197" s="2">
        <v>-27.18</v>
      </c>
      <c r="H197" s="2">
        <v>17.420000000000002</v>
      </c>
      <c r="I197" s="2">
        <v>29.86</v>
      </c>
      <c r="J197" s="2">
        <v>42.42</v>
      </c>
      <c r="K197" s="2">
        <v>-1.56</v>
      </c>
      <c r="L197" s="2">
        <v>5.62</v>
      </c>
      <c r="M197" s="2">
        <v>5.12</v>
      </c>
      <c r="N197" s="2">
        <v>17.98</v>
      </c>
      <c r="O197" s="2">
        <v>3</v>
      </c>
      <c r="P197" s="2">
        <v>32.93</v>
      </c>
      <c r="Q197" s="2">
        <v>1.05</v>
      </c>
      <c r="R197" s="2">
        <v>4.68</v>
      </c>
      <c r="S197" s="2">
        <v>21.65</v>
      </c>
      <c r="T197" s="2">
        <v>24.49</v>
      </c>
      <c r="U197" s="2">
        <v>7.85</v>
      </c>
      <c r="V197" s="2">
        <v>8.84</v>
      </c>
      <c r="W197" s="2">
        <v>4.26</v>
      </c>
      <c r="X197" s="2">
        <v>9.27</v>
      </c>
      <c r="Y197" s="2">
        <v>8.07</v>
      </c>
      <c r="Z197" s="2">
        <v>2.44</v>
      </c>
      <c r="AA197" s="2">
        <v>2.72</v>
      </c>
      <c r="AB197" s="2">
        <v>0.06</v>
      </c>
      <c r="AC197" s="2">
        <v>13.78</v>
      </c>
      <c r="AD197" s="2">
        <v>1.81</v>
      </c>
      <c r="AE197" s="2">
        <v>38.590000000000003</v>
      </c>
      <c r="AF197" s="2">
        <v>71.25</v>
      </c>
      <c r="AG197" s="2">
        <v>9.8800000000000008</v>
      </c>
      <c r="AH197" s="4">
        <f t="shared" si="3"/>
        <v>156.88999999999999</v>
      </c>
    </row>
    <row r="198" spans="1:34" x14ac:dyDescent="0.2">
      <c r="A198" s="3">
        <v>13939</v>
      </c>
      <c r="B198" s="2">
        <v>24.03</v>
      </c>
      <c r="C198" s="2">
        <v>72.430000000000007</v>
      </c>
      <c r="D198" s="2">
        <v>83.62</v>
      </c>
      <c r="E198" s="2">
        <v>197.9</v>
      </c>
      <c r="F198" s="2">
        <v>236.26</v>
      </c>
      <c r="G198" s="2">
        <v>281.39</v>
      </c>
      <c r="H198" s="2">
        <v>34.15</v>
      </c>
      <c r="I198" s="2">
        <v>59.49</v>
      </c>
      <c r="J198" s="2">
        <v>161.82</v>
      </c>
      <c r="K198" s="2">
        <v>102.76</v>
      </c>
      <c r="L198" s="2">
        <v>88.07</v>
      </c>
      <c r="M198" s="2">
        <v>83.99</v>
      </c>
      <c r="N198" s="2">
        <v>161.02000000000001</v>
      </c>
      <c r="O198" s="2">
        <v>5.03</v>
      </c>
      <c r="P198" s="2">
        <v>128.66</v>
      </c>
      <c r="Q198" s="2">
        <v>8.36</v>
      </c>
      <c r="R198" s="2">
        <v>18.149999999999999</v>
      </c>
      <c r="S198" s="2">
        <v>58.08</v>
      </c>
      <c r="T198" s="2">
        <v>54.62</v>
      </c>
      <c r="U198" s="2">
        <v>9.73</v>
      </c>
      <c r="V198" s="2">
        <v>14.73</v>
      </c>
      <c r="W198" s="2">
        <v>0</v>
      </c>
      <c r="X198" s="2">
        <v>2.86</v>
      </c>
      <c r="Y198" s="2">
        <v>3.08</v>
      </c>
      <c r="Z198" s="2">
        <v>20.87</v>
      </c>
      <c r="AA198" s="2">
        <v>10.039999999999999</v>
      </c>
      <c r="AB198" s="2">
        <v>6.1</v>
      </c>
      <c r="AC198" s="2">
        <v>16.29</v>
      </c>
      <c r="AD198" s="2">
        <v>2.2599999999999998</v>
      </c>
      <c r="AE198" s="2">
        <v>58.92</v>
      </c>
      <c r="AF198" s="2">
        <v>59.39</v>
      </c>
      <c r="AG198" s="2">
        <v>10.08</v>
      </c>
      <c r="AH198" s="4">
        <f t="shared" si="3"/>
        <v>1884.2899999999997</v>
      </c>
    </row>
    <row r="199" spans="1:34" x14ac:dyDescent="0.2">
      <c r="A199" s="3">
        <v>13970</v>
      </c>
      <c r="B199" s="2">
        <v>29.76</v>
      </c>
      <c r="C199" s="2">
        <v>69.91</v>
      </c>
      <c r="D199" s="2">
        <v>10.16</v>
      </c>
      <c r="E199" s="2">
        <v>107.43</v>
      </c>
      <c r="F199" s="2">
        <v>146.13</v>
      </c>
      <c r="G199" s="2">
        <v>-31.8</v>
      </c>
      <c r="H199" s="2">
        <v>20.81</v>
      </c>
      <c r="I199" s="2">
        <v>59.13</v>
      </c>
      <c r="J199" s="2">
        <v>80.44</v>
      </c>
      <c r="K199" s="2">
        <v>96.81</v>
      </c>
      <c r="L199" s="2">
        <v>48</v>
      </c>
      <c r="M199" s="2">
        <v>63.81</v>
      </c>
      <c r="N199" s="2">
        <v>187.76</v>
      </c>
      <c r="O199" s="2">
        <v>17.489999999999998</v>
      </c>
      <c r="P199" s="2">
        <v>286.69</v>
      </c>
      <c r="Q199" s="2">
        <v>16.72</v>
      </c>
      <c r="R199" s="2">
        <v>27.93</v>
      </c>
      <c r="S199" s="2">
        <v>155.53</v>
      </c>
      <c r="T199" s="2">
        <v>95.35</v>
      </c>
      <c r="U199" s="2">
        <v>31.47</v>
      </c>
      <c r="V199" s="2">
        <v>39.21</v>
      </c>
      <c r="W199" s="2">
        <v>0</v>
      </c>
      <c r="X199" s="2">
        <v>3.67</v>
      </c>
      <c r="Y199" s="2">
        <v>2.82</v>
      </c>
      <c r="Z199" s="2">
        <v>23.55</v>
      </c>
      <c r="AA199" s="2">
        <v>10.75</v>
      </c>
      <c r="AB199" s="2">
        <v>12.32</v>
      </c>
      <c r="AC199" s="2">
        <v>18.23</v>
      </c>
      <c r="AD199" s="2">
        <v>3.9</v>
      </c>
      <c r="AE199" s="2">
        <v>39.43</v>
      </c>
      <c r="AF199" s="2">
        <v>70.09</v>
      </c>
      <c r="AG199" s="2">
        <v>10.69</v>
      </c>
      <c r="AH199" s="4">
        <f t="shared" si="3"/>
        <v>1558.74</v>
      </c>
    </row>
    <row r="200" spans="1:34" x14ac:dyDescent="0.2">
      <c r="A200" s="3">
        <v>14000</v>
      </c>
      <c r="B200" s="2">
        <v>21.85</v>
      </c>
      <c r="C200" s="2">
        <v>33.94</v>
      </c>
      <c r="D200" s="2">
        <v>-21.59</v>
      </c>
      <c r="E200" s="2">
        <v>-63.24</v>
      </c>
      <c r="F200" s="2">
        <v>-3.17</v>
      </c>
      <c r="G200" s="2">
        <v>-65.61</v>
      </c>
      <c r="H200" s="2">
        <v>26.42</v>
      </c>
      <c r="I200" s="2">
        <v>48.81</v>
      </c>
      <c r="J200" s="2">
        <v>9.26</v>
      </c>
      <c r="K200" s="2">
        <v>-57.14</v>
      </c>
      <c r="L200" s="2">
        <v>2.59</v>
      </c>
      <c r="M200" s="2">
        <v>-24.7</v>
      </c>
      <c r="N200" s="2">
        <v>9.5</v>
      </c>
      <c r="O200" s="2">
        <v>11.47</v>
      </c>
      <c r="P200" s="2">
        <v>61.43</v>
      </c>
      <c r="Q200" s="2">
        <v>15.59</v>
      </c>
      <c r="R200" s="2">
        <v>3.54</v>
      </c>
      <c r="S200" s="2">
        <v>51.41</v>
      </c>
      <c r="T200" s="2">
        <v>5.0199999999999996</v>
      </c>
      <c r="U200" s="2">
        <v>39.229999999999997</v>
      </c>
      <c r="V200" s="2">
        <v>28.39</v>
      </c>
      <c r="W200" s="2">
        <v>0</v>
      </c>
      <c r="X200" s="2">
        <v>4.46</v>
      </c>
      <c r="Y200" s="2">
        <v>3.93</v>
      </c>
      <c r="Z200" s="2">
        <v>1.34</v>
      </c>
      <c r="AA200" s="2">
        <v>0</v>
      </c>
      <c r="AB200" s="2">
        <v>0</v>
      </c>
      <c r="AC200" s="2">
        <v>0.65</v>
      </c>
      <c r="AD200" s="2">
        <v>4.78</v>
      </c>
      <c r="AE200" s="2">
        <v>10.35</v>
      </c>
      <c r="AF200" s="2">
        <v>86.72</v>
      </c>
      <c r="AG200" s="2">
        <v>14.64</v>
      </c>
      <c r="AH200" s="4">
        <f t="shared" si="3"/>
        <v>133</v>
      </c>
    </row>
    <row r="201" spans="1:34" x14ac:dyDescent="0.2">
      <c r="A201" s="3">
        <v>14031</v>
      </c>
      <c r="B201" s="2">
        <v>16.47</v>
      </c>
      <c r="C201" s="2">
        <v>25.81</v>
      </c>
      <c r="D201" s="2">
        <v>-10.98</v>
      </c>
      <c r="E201" s="2">
        <v>-70.05</v>
      </c>
      <c r="F201" s="2">
        <v>-23.24</v>
      </c>
      <c r="G201" s="2">
        <v>-38.79</v>
      </c>
      <c r="H201" s="2">
        <v>25.63</v>
      </c>
      <c r="I201" s="2">
        <v>38.03</v>
      </c>
      <c r="J201" s="2">
        <v>30.46</v>
      </c>
      <c r="K201" s="2">
        <v>32.869999999999997</v>
      </c>
      <c r="L201" s="2">
        <v>49.47</v>
      </c>
      <c r="M201" s="2">
        <v>24.91</v>
      </c>
      <c r="N201" s="2">
        <v>53.19</v>
      </c>
      <c r="O201" s="2">
        <v>27.23</v>
      </c>
      <c r="P201" s="2">
        <v>124.79</v>
      </c>
      <c r="Q201" s="2">
        <v>17.600000000000001</v>
      </c>
      <c r="R201" s="2">
        <v>13.09</v>
      </c>
      <c r="S201" s="2">
        <v>71.150000000000006</v>
      </c>
      <c r="T201" s="2">
        <v>2.0499999999999998</v>
      </c>
      <c r="U201" s="2">
        <v>50.04</v>
      </c>
      <c r="V201" s="2">
        <v>37.520000000000003</v>
      </c>
      <c r="W201" s="2">
        <v>4.88</v>
      </c>
      <c r="X201" s="2">
        <v>7.38</v>
      </c>
      <c r="Y201" s="2">
        <v>6.19</v>
      </c>
      <c r="Z201" s="2">
        <v>0</v>
      </c>
      <c r="AA201" s="2">
        <v>0</v>
      </c>
      <c r="AB201" s="2">
        <v>3.62</v>
      </c>
      <c r="AC201" s="2">
        <v>2.37</v>
      </c>
      <c r="AD201" s="2">
        <v>10.06</v>
      </c>
      <c r="AE201" s="2">
        <v>0</v>
      </c>
      <c r="AF201" s="2">
        <v>97.94</v>
      </c>
      <c r="AG201" s="2">
        <v>17.690000000000001</v>
      </c>
      <c r="AH201" s="4">
        <f t="shared" si="3"/>
        <v>497.25</v>
      </c>
    </row>
    <row r="202" spans="1:34" x14ac:dyDescent="0.2">
      <c r="A202" s="3">
        <v>14061</v>
      </c>
      <c r="B202" s="2">
        <v>7.77</v>
      </c>
      <c r="C202" s="2">
        <v>20.27</v>
      </c>
      <c r="D202" s="2">
        <v>-16.059999999999999</v>
      </c>
      <c r="E202" s="2">
        <v>-117.58</v>
      </c>
      <c r="F202" s="2">
        <v>-132.87</v>
      </c>
      <c r="G202" s="2">
        <v>-52.14</v>
      </c>
      <c r="H202" s="2">
        <v>5.3</v>
      </c>
      <c r="I202" s="2">
        <v>32.380000000000003</v>
      </c>
      <c r="J202" s="2">
        <v>4.55</v>
      </c>
      <c r="K202" s="2">
        <v>30.63</v>
      </c>
      <c r="L202" s="2">
        <v>14.08</v>
      </c>
      <c r="M202" s="2">
        <v>39</v>
      </c>
      <c r="N202" s="2">
        <v>52.15</v>
      </c>
      <c r="O202" s="2">
        <v>43.5</v>
      </c>
      <c r="P202" s="2">
        <v>187.2</v>
      </c>
      <c r="Q202" s="2">
        <v>20.18</v>
      </c>
      <c r="R202" s="2">
        <v>15.4</v>
      </c>
      <c r="S202" s="2">
        <v>70.180000000000007</v>
      </c>
      <c r="T202" s="2">
        <v>18.809999999999999</v>
      </c>
      <c r="U202" s="2">
        <v>43.13</v>
      </c>
      <c r="V202" s="2">
        <v>34.880000000000003</v>
      </c>
      <c r="W202" s="2">
        <v>18.62</v>
      </c>
      <c r="X202" s="2">
        <v>12.66</v>
      </c>
      <c r="Y202" s="2">
        <v>12.21</v>
      </c>
      <c r="Z202" s="2">
        <v>0</v>
      </c>
      <c r="AA202" s="2">
        <v>0</v>
      </c>
      <c r="AB202" s="2">
        <v>0.62</v>
      </c>
      <c r="AC202" s="2">
        <v>1.08</v>
      </c>
      <c r="AD202" s="2">
        <v>12.9</v>
      </c>
      <c r="AE202" s="2">
        <v>0</v>
      </c>
      <c r="AF202" s="2">
        <v>107.19</v>
      </c>
      <c r="AG202" s="2">
        <v>22.83</v>
      </c>
      <c r="AH202" s="4">
        <f t="shared" si="3"/>
        <v>320.76000000000005</v>
      </c>
    </row>
    <row r="203" spans="1:34" x14ac:dyDescent="0.2">
      <c r="A203" s="3">
        <v>14092</v>
      </c>
      <c r="B203" s="2">
        <v>4.1399999999999997</v>
      </c>
      <c r="C203" s="2">
        <v>14.81</v>
      </c>
      <c r="D203" s="2">
        <v>-16.329999999999998</v>
      </c>
      <c r="E203" s="2">
        <v>-113.55</v>
      </c>
      <c r="F203" s="2">
        <v>-106.76</v>
      </c>
      <c r="G203" s="2">
        <v>-51.42</v>
      </c>
      <c r="H203" s="2">
        <v>-6.65</v>
      </c>
      <c r="I203" s="2">
        <v>21.64</v>
      </c>
      <c r="J203" s="2">
        <v>-43.23</v>
      </c>
      <c r="K203" s="2">
        <v>-74.64</v>
      </c>
      <c r="L203" s="2">
        <v>-99.84</v>
      </c>
      <c r="M203" s="2">
        <v>-71.23</v>
      </c>
      <c r="N203" s="2">
        <v>-11.79</v>
      </c>
      <c r="O203" s="2">
        <v>26.92</v>
      </c>
      <c r="P203" s="2">
        <v>-5.54</v>
      </c>
      <c r="Q203" s="2">
        <v>11.74</v>
      </c>
      <c r="R203" s="2">
        <v>4.41</v>
      </c>
      <c r="S203" s="2">
        <v>29.47</v>
      </c>
      <c r="T203" s="2">
        <v>25.65</v>
      </c>
      <c r="U203" s="2">
        <v>16.12</v>
      </c>
      <c r="V203" s="2">
        <v>25.61</v>
      </c>
      <c r="W203" s="2">
        <v>30.39</v>
      </c>
      <c r="X203" s="2">
        <v>17.829999999999998</v>
      </c>
      <c r="Y203" s="2">
        <v>17.72</v>
      </c>
      <c r="Z203" s="2">
        <v>0</v>
      </c>
      <c r="AA203" s="2">
        <v>1</v>
      </c>
      <c r="AB203" s="2">
        <v>0.23</v>
      </c>
      <c r="AC203" s="2">
        <v>0</v>
      </c>
      <c r="AD203" s="2">
        <v>10.76</v>
      </c>
      <c r="AE203" s="2">
        <v>0</v>
      </c>
      <c r="AF203" s="2">
        <v>116.73</v>
      </c>
      <c r="AG203" s="2">
        <v>24.8</v>
      </c>
      <c r="AH203" s="4">
        <f t="shared" si="3"/>
        <v>-420.47</v>
      </c>
    </row>
    <row r="204" spans="1:34" x14ac:dyDescent="0.2">
      <c r="A204" s="3">
        <v>14123</v>
      </c>
      <c r="B204" s="2">
        <v>2.83</v>
      </c>
      <c r="C204" s="2">
        <v>13.8</v>
      </c>
      <c r="D204" s="2">
        <v>-11.58</v>
      </c>
      <c r="E204" s="2">
        <v>-84.4</v>
      </c>
      <c r="F204" s="2">
        <v>-44.87</v>
      </c>
      <c r="G204" s="2">
        <v>-26.67</v>
      </c>
      <c r="H204" s="2">
        <v>2.96</v>
      </c>
      <c r="I204" s="2">
        <v>21.36</v>
      </c>
      <c r="J204" s="2">
        <v>-39</v>
      </c>
      <c r="K204" s="2">
        <v>-59.79</v>
      </c>
      <c r="L204" s="2">
        <v>-67.52</v>
      </c>
      <c r="M204" s="2">
        <v>-47.07</v>
      </c>
      <c r="N204" s="2">
        <v>-20.69</v>
      </c>
      <c r="O204" s="2">
        <v>25.48</v>
      </c>
      <c r="P204" s="2">
        <v>-6.48</v>
      </c>
      <c r="Q204" s="2">
        <v>0.98</v>
      </c>
      <c r="R204" s="2">
        <v>22.53</v>
      </c>
      <c r="S204" s="2">
        <v>15.22</v>
      </c>
      <c r="T204" s="2">
        <v>33.93</v>
      </c>
      <c r="U204" s="2">
        <v>7.07</v>
      </c>
      <c r="V204" s="2">
        <v>22.75</v>
      </c>
      <c r="W204" s="2">
        <v>31.47</v>
      </c>
      <c r="X204" s="2">
        <v>20.13</v>
      </c>
      <c r="Y204" s="2">
        <v>20.18</v>
      </c>
      <c r="Z204" s="2">
        <v>5.69</v>
      </c>
      <c r="AA204" s="2">
        <v>1</v>
      </c>
      <c r="AB204" s="2">
        <v>0.17</v>
      </c>
      <c r="AC204" s="2">
        <v>0</v>
      </c>
      <c r="AD204" s="2">
        <v>6.49</v>
      </c>
      <c r="AE204" s="2">
        <v>0</v>
      </c>
      <c r="AF204" s="2">
        <v>118.71</v>
      </c>
      <c r="AG204" s="2">
        <v>23.65</v>
      </c>
      <c r="AH204" s="4">
        <f t="shared" si="3"/>
        <v>-239.15999999999997</v>
      </c>
    </row>
    <row r="205" spans="1:34" x14ac:dyDescent="0.2">
      <c r="A205" s="3">
        <v>14153</v>
      </c>
      <c r="B205" s="2">
        <v>2.77</v>
      </c>
      <c r="C205" s="2">
        <v>15</v>
      </c>
      <c r="D205" s="2">
        <v>-5.9</v>
      </c>
      <c r="E205" s="2">
        <v>-49.75</v>
      </c>
      <c r="F205" s="2">
        <v>-26.63</v>
      </c>
      <c r="G205" s="2">
        <v>-6.84</v>
      </c>
      <c r="H205" s="2">
        <v>12.42</v>
      </c>
      <c r="I205" s="2">
        <v>26.05</v>
      </c>
      <c r="J205" s="2">
        <v>-12.27</v>
      </c>
      <c r="K205" s="2">
        <v>-31.79</v>
      </c>
      <c r="L205" s="2">
        <v>-28.89</v>
      </c>
      <c r="M205" s="2">
        <v>-16.88</v>
      </c>
      <c r="N205" s="2">
        <v>-3.01</v>
      </c>
      <c r="O205" s="2">
        <v>6.4</v>
      </c>
      <c r="P205" s="2">
        <v>-4.4000000000000004</v>
      </c>
      <c r="Q205" s="2">
        <v>4.83</v>
      </c>
      <c r="R205" s="2">
        <v>11.04</v>
      </c>
      <c r="S205" s="2">
        <v>5.43</v>
      </c>
      <c r="T205" s="2">
        <v>23.06</v>
      </c>
      <c r="U205" s="2">
        <v>10.46</v>
      </c>
      <c r="V205" s="2">
        <v>11.19</v>
      </c>
      <c r="W205" s="2">
        <v>26.1</v>
      </c>
      <c r="X205" s="2">
        <v>19.12</v>
      </c>
      <c r="Y205" s="2">
        <v>18.940000000000001</v>
      </c>
      <c r="Z205" s="2">
        <v>0.77</v>
      </c>
      <c r="AA205" s="2">
        <v>0</v>
      </c>
      <c r="AB205" s="2">
        <v>0.45</v>
      </c>
      <c r="AC205" s="2">
        <v>0</v>
      </c>
      <c r="AD205" s="2">
        <v>4.32</v>
      </c>
      <c r="AE205" s="2">
        <v>1.4</v>
      </c>
      <c r="AF205" s="2">
        <v>110.57</v>
      </c>
      <c r="AG205" s="2">
        <v>20.170000000000002</v>
      </c>
      <c r="AH205" s="4">
        <f t="shared" si="3"/>
        <v>-57.70999999999998</v>
      </c>
    </row>
    <row r="206" spans="1:34" x14ac:dyDescent="0.2">
      <c r="A206" s="3">
        <v>14184</v>
      </c>
      <c r="B206" s="2">
        <v>3.63</v>
      </c>
      <c r="C206" s="2">
        <v>15.04</v>
      </c>
      <c r="D206" s="2">
        <v>-4.26</v>
      </c>
      <c r="E206" s="2">
        <v>-18.52</v>
      </c>
      <c r="F206" s="2">
        <v>-15.28</v>
      </c>
      <c r="G206" s="2">
        <v>4.78</v>
      </c>
      <c r="H206" s="2">
        <v>15.05</v>
      </c>
      <c r="I206" s="2">
        <v>28.14</v>
      </c>
      <c r="J206" s="2">
        <v>1.1200000000000001</v>
      </c>
      <c r="K206" s="2">
        <v>-29.87</v>
      </c>
      <c r="L206" s="2">
        <v>-9.24</v>
      </c>
      <c r="M206" s="2">
        <v>-12.15</v>
      </c>
      <c r="N206" s="2">
        <v>-11.52</v>
      </c>
      <c r="O206" s="2">
        <v>6.44</v>
      </c>
      <c r="P206" s="2">
        <v>2.27</v>
      </c>
      <c r="Q206" s="2">
        <v>0.66</v>
      </c>
      <c r="R206" s="2">
        <v>2.76</v>
      </c>
      <c r="S206" s="2">
        <v>4.07</v>
      </c>
      <c r="T206" s="2">
        <v>23.09</v>
      </c>
      <c r="U206" s="2">
        <v>8.4</v>
      </c>
      <c r="V206" s="2">
        <v>10.44</v>
      </c>
      <c r="W206" s="2">
        <v>22.19</v>
      </c>
      <c r="X206" s="2">
        <v>17.739999999999998</v>
      </c>
      <c r="Y206" s="2">
        <v>17.53</v>
      </c>
      <c r="Z206" s="2">
        <v>0</v>
      </c>
      <c r="AA206" s="2">
        <v>0</v>
      </c>
      <c r="AB206" s="2">
        <v>0.9</v>
      </c>
      <c r="AC206" s="2">
        <v>0</v>
      </c>
      <c r="AD206" s="2">
        <v>2.4700000000000002</v>
      </c>
      <c r="AE206" s="2">
        <v>11.28</v>
      </c>
      <c r="AF206" s="2">
        <v>100.29</v>
      </c>
      <c r="AG206" s="2">
        <v>16.420000000000002</v>
      </c>
      <c r="AH206" s="4">
        <f t="shared" si="3"/>
        <v>25.050000000000004</v>
      </c>
    </row>
    <row r="207" spans="1:34" x14ac:dyDescent="0.2">
      <c r="A207" s="3">
        <v>14214</v>
      </c>
      <c r="B207" s="2">
        <v>3.76</v>
      </c>
      <c r="C207" s="2">
        <v>14.11</v>
      </c>
      <c r="D207" s="2">
        <v>-5.82</v>
      </c>
      <c r="E207" s="2">
        <v>-15.85</v>
      </c>
      <c r="F207" s="2">
        <v>-8.92</v>
      </c>
      <c r="G207" s="2">
        <v>6.06</v>
      </c>
      <c r="H207" s="2">
        <v>12.19</v>
      </c>
      <c r="I207" s="2">
        <v>25.05</v>
      </c>
      <c r="J207" s="2">
        <v>12.62</v>
      </c>
      <c r="K207" s="2">
        <v>-0.78</v>
      </c>
      <c r="L207" s="2">
        <v>3.55</v>
      </c>
      <c r="M207" s="2">
        <v>-0.82</v>
      </c>
      <c r="N207" s="2">
        <v>11.78</v>
      </c>
      <c r="O207" s="2">
        <v>4.9000000000000004</v>
      </c>
      <c r="P207" s="2">
        <v>4.9400000000000004</v>
      </c>
      <c r="Q207" s="2">
        <v>3.78</v>
      </c>
      <c r="R207" s="2">
        <v>0.14000000000000001</v>
      </c>
      <c r="S207" s="2">
        <v>5.38</v>
      </c>
      <c r="T207" s="2">
        <v>22.39</v>
      </c>
      <c r="U207" s="2">
        <v>9.67</v>
      </c>
      <c r="V207" s="2">
        <v>10.38</v>
      </c>
      <c r="W207" s="2">
        <v>15.43</v>
      </c>
      <c r="X207" s="2">
        <v>11.64</v>
      </c>
      <c r="Y207" s="2">
        <v>10.39</v>
      </c>
      <c r="Z207" s="2">
        <v>22.78</v>
      </c>
      <c r="AA207" s="2">
        <v>0</v>
      </c>
      <c r="AB207" s="2">
        <v>0.06</v>
      </c>
      <c r="AC207" s="2">
        <v>10.41</v>
      </c>
      <c r="AD207" s="2">
        <v>1.3</v>
      </c>
      <c r="AE207" s="2">
        <v>11.93</v>
      </c>
      <c r="AF207" s="2">
        <v>65.81</v>
      </c>
      <c r="AG207" s="2">
        <v>12.92</v>
      </c>
      <c r="AH207" s="4">
        <f t="shared" si="3"/>
        <v>118.50999999999999</v>
      </c>
    </row>
    <row r="208" spans="1:34" x14ac:dyDescent="0.2">
      <c r="A208" s="3">
        <v>14245</v>
      </c>
      <c r="B208" s="2">
        <v>4.93</v>
      </c>
      <c r="C208" s="2">
        <v>17.18</v>
      </c>
      <c r="D208" s="2">
        <v>-0.91</v>
      </c>
      <c r="E208" s="2">
        <v>3.32</v>
      </c>
      <c r="F208" s="2">
        <v>-5.81</v>
      </c>
      <c r="G208" s="2">
        <v>12.36</v>
      </c>
      <c r="H208" s="2">
        <v>12.43</v>
      </c>
      <c r="I208" s="2">
        <v>24.6</v>
      </c>
      <c r="J208" s="2">
        <v>12.02</v>
      </c>
      <c r="K208" s="2">
        <v>2.4</v>
      </c>
      <c r="L208" s="2">
        <v>-6.52</v>
      </c>
      <c r="M208" s="2">
        <v>-6.73</v>
      </c>
      <c r="N208" s="2">
        <v>7.88</v>
      </c>
      <c r="O208" s="2">
        <v>4.07</v>
      </c>
      <c r="P208" s="2">
        <v>13.61</v>
      </c>
      <c r="Q208" s="2">
        <v>1.22</v>
      </c>
      <c r="R208" s="2">
        <v>-0.43</v>
      </c>
      <c r="S208" s="2">
        <v>11.87</v>
      </c>
      <c r="T208" s="2">
        <v>21.89</v>
      </c>
      <c r="U208" s="2">
        <v>8.85</v>
      </c>
      <c r="V208" s="2">
        <v>11.48</v>
      </c>
      <c r="W208" s="2">
        <v>11.73</v>
      </c>
      <c r="X208" s="2">
        <v>9.4700000000000006</v>
      </c>
      <c r="Y208" s="2">
        <v>9.43</v>
      </c>
      <c r="Z208" s="2">
        <v>0</v>
      </c>
      <c r="AA208" s="2">
        <v>33.119999999999997</v>
      </c>
      <c r="AB208" s="2">
        <v>5.01</v>
      </c>
      <c r="AC208" s="2">
        <v>0.14000000000000001</v>
      </c>
      <c r="AD208" s="2">
        <v>1.79</v>
      </c>
      <c r="AE208" s="2">
        <v>13.8</v>
      </c>
      <c r="AF208" s="2">
        <v>60.46</v>
      </c>
      <c r="AG208" s="2">
        <v>11.2</v>
      </c>
      <c r="AH208" s="4">
        <f t="shared" si="3"/>
        <v>149.70999999999998</v>
      </c>
    </row>
    <row r="209" spans="1:34" x14ac:dyDescent="0.2">
      <c r="A209" s="3">
        <v>14276</v>
      </c>
      <c r="B209" s="2">
        <v>4.28</v>
      </c>
      <c r="C209" s="2">
        <v>16.3</v>
      </c>
      <c r="D209" s="2">
        <v>-2.58</v>
      </c>
      <c r="E209" s="2">
        <v>-1.36</v>
      </c>
      <c r="F209" s="2">
        <v>-9.02</v>
      </c>
      <c r="G209" s="2">
        <v>17.84</v>
      </c>
      <c r="H209" s="2">
        <v>10.54</v>
      </c>
      <c r="I209" s="2">
        <v>23.78</v>
      </c>
      <c r="J209" s="2">
        <v>17.78</v>
      </c>
      <c r="K209" s="2">
        <v>11.58</v>
      </c>
      <c r="L209" s="2">
        <v>2.0099999999999998</v>
      </c>
      <c r="M209" s="2">
        <v>-0.32</v>
      </c>
      <c r="N209" s="2">
        <v>9.2200000000000006</v>
      </c>
      <c r="O209" s="2">
        <v>3.88</v>
      </c>
      <c r="P209" s="2">
        <v>19.21</v>
      </c>
      <c r="Q209" s="2">
        <v>-0.15</v>
      </c>
      <c r="R209" s="2">
        <v>-0.22</v>
      </c>
      <c r="S209" s="2">
        <v>12.42</v>
      </c>
      <c r="T209" s="2">
        <v>23.47</v>
      </c>
      <c r="U209" s="2">
        <v>8.8800000000000008</v>
      </c>
      <c r="V209" s="2">
        <v>11.5</v>
      </c>
      <c r="W209" s="2">
        <v>4.26</v>
      </c>
      <c r="X209" s="2">
        <v>7.11</v>
      </c>
      <c r="Y209" s="2">
        <v>5.83</v>
      </c>
      <c r="Z209" s="2">
        <v>7.9</v>
      </c>
      <c r="AA209" s="2">
        <v>13.91</v>
      </c>
      <c r="AB209" s="2">
        <v>6.98</v>
      </c>
      <c r="AC209" s="2">
        <v>3.66</v>
      </c>
      <c r="AD209" s="2">
        <v>1.42</v>
      </c>
      <c r="AE209" s="2">
        <v>23.68</v>
      </c>
      <c r="AF209" s="2">
        <v>75.3</v>
      </c>
      <c r="AG209" s="2">
        <v>9.8800000000000008</v>
      </c>
      <c r="AH209" s="4">
        <f t="shared" si="3"/>
        <v>179.04</v>
      </c>
    </row>
    <row r="210" spans="1:34" x14ac:dyDescent="0.2">
      <c r="A210" s="3">
        <v>14304</v>
      </c>
      <c r="B210" s="2">
        <v>3.58</v>
      </c>
      <c r="C210" s="2">
        <v>14.78</v>
      </c>
      <c r="D210" s="2">
        <v>-6.21</v>
      </c>
      <c r="E210" s="2">
        <v>-13.58</v>
      </c>
      <c r="F210" s="2">
        <v>-11.22</v>
      </c>
      <c r="G210" s="2">
        <v>9.27</v>
      </c>
      <c r="H210" s="2">
        <v>9.9499999999999993</v>
      </c>
      <c r="I210" s="2">
        <v>23.48</v>
      </c>
      <c r="J210" s="2">
        <v>12.43</v>
      </c>
      <c r="K210" s="2">
        <v>4.9400000000000004</v>
      </c>
      <c r="L210" s="2">
        <v>-13.86</v>
      </c>
      <c r="M210" s="2">
        <v>-3.57</v>
      </c>
      <c r="N210" s="2">
        <v>10.78</v>
      </c>
      <c r="O210" s="2">
        <v>3.58</v>
      </c>
      <c r="P210" s="2">
        <v>25.73</v>
      </c>
      <c r="Q210" s="2">
        <v>-0.03</v>
      </c>
      <c r="R210" s="2">
        <v>-0.41</v>
      </c>
      <c r="S210" s="2">
        <v>10.25</v>
      </c>
      <c r="T210" s="2">
        <v>16.36</v>
      </c>
      <c r="U210" s="2">
        <v>10.69</v>
      </c>
      <c r="V210" s="2">
        <v>14.42</v>
      </c>
      <c r="W210" s="2">
        <v>0</v>
      </c>
      <c r="X210" s="2">
        <v>1.06</v>
      </c>
      <c r="Y210" s="2">
        <v>1.18</v>
      </c>
      <c r="Z210" s="2">
        <v>3.73</v>
      </c>
      <c r="AA210" s="2">
        <v>1.43</v>
      </c>
      <c r="AB210" s="2">
        <v>1.86</v>
      </c>
      <c r="AC210" s="2">
        <v>31.29</v>
      </c>
      <c r="AD210" s="2">
        <v>1.83</v>
      </c>
      <c r="AE210" s="2">
        <v>14.45</v>
      </c>
      <c r="AF210" s="2">
        <v>62.77</v>
      </c>
      <c r="AG210" s="2">
        <v>10.08</v>
      </c>
      <c r="AH210" s="4">
        <f t="shared" si="3"/>
        <v>121.36</v>
      </c>
    </row>
    <row r="211" spans="1:34" x14ac:dyDescent="0.2">
      <c r="A211" s="3">
        <v>14335</v>
      </c>
      <c r="B211" s="2">
        <v>6.95</v>
      </c>
      <c r="C211" s="2">
        <v>18.45</v>
      </c>
      <c r="D211" s="2">
        <v>3.27</v>
      </c>
      <c r="E211" s="2">
        <v>24.35</v>
      </c>
      <c r="F211" s="2">
        <v>20.56</v>
      </c>
      <c r="G211" s="2">
        <v>27.26</v>
      </c>
      <c r="H211" s="2">
        <v>19.61</v>
      </c>
      <c r="I211" s="2">
        <v>27.18</v>
      </c>
      <c r="J211" s="2">
        <v>20.43</v>
      </c>
      <c r="K211" s="2">
        <v>19.059999999999999</v>
      </c>
      <c r="L211" s="2">
        <v>-8.2799999999999994</v>
      </c>
      <c r="M211" s="2">
        <v>-5.63</v>
      </c>
      <c r="N211" s="2">
        <v>25.8</v>
      </c>
      <c r="O211" s="2">
        <v>6</v>
      </c>
      <c r="P211" s="2">
        <v>43.4</v>
      </c>
      <c r="Q211" s="2">
        <v>1.77</v>
      </c>
      <c r="R211" s="2">
        <v>-2.52</v>
      </c>
      <c r="S211" s="2">
        <v>26.53</v>
      </c>
      <c r="T211" s="2">
        <v>25.68</v>
      </c>
      <c r="U211" s="2">
        <v>10.88</v>
      </c>
      <c r="V211" s="2">
        <v>22.33</v>
      </c>
      <c r="W211" s="2">
        <v>0</v>
      </c>
      <c r="X211" s="2">
        <v>1.54</v>
      </c>
      <c r="Y211" s="2">
        <v>0.6</v>
      </c>
      <c r="Z211" s="2">
        <v>8.18</v>
      </c>
      <c r="AA211" s="2">
        <v>0</v>
      </c>
      <c r="AB211" s="2">
        <v>6.3</v>
      </c>
      <c r="AC211" s="2">
        <v>35.31</v>
      </c>
      <c r="AD211" s="2">
        <v>3.66</v>
      </c>
      <c r="AE211" s="2">
        <v>19.579999999999998</v>
      </c>
      <c r="AF211" s="2">
        <v>74.069999999999993</v>
      </c>
      <c r="AG211" s="2">
        <v>10.69</v>
      </c>
      <c r="AH211" s="4">
        <f t="shared" si="3"/>
        <v>333.08000000000004</v>
      </c>
    </row>
    <row r="212" spans="1:34" x14ac:dyDescent="0.2">
      <c r="A212" s="3">
        <v>14365</v>
      </c>
      <c r="B212" s="2">
        <v>0.38</v>
      </c>
      <c r="C212" s="2">
        <v>7.27</v>
      </c>
      <c r="D212" s="2">
        <v>-7.42</v>
      </c>
      <c r="E212" s="2">
        <v>-38.86</v>
      </c>
      <c r="F212" s="2">
        <v>-13.66</v>
      </c>
      <c r="G212" s="2">
        <v>-6.85</v>
      </c>
      <c r="H212" s="2">
        <v>4.49</v>
      </c>
      <c r="I212" s="2">
        <v>16.07</v>
      </c>
      <c r="J212" s="2">
        <v>9.17</v>
      </c>
      <c r="K212" s="2">
        <v>9.06</v>
      </c>
      <c r="L212" s="2">
        <v>15.92</v>
      </c>
      <c r="M212" s="2">
        <v>0.97</v>
      </c>
      <c r="N212" s="2">
        <v>30.32</v>
      </c>
      <c r="O212" s="2">
        <v>6.84</v>
      </c>
      <c r="P212" s="2">
        <v>38.28</v>
      </c>
      <c r="Q212" s="2">
        <v>5.98</v>
      </c>
      <c r="R212" s="2">
        <v>3.25</v>
      </c>
      <c r="S212" s="2">
        <v>6.73</v>
      </c>
      <c r="T212" s="2">
        <v>20.49</v>
      </c>
      <c r="U212" s="2">
        <v>9.1300000000000008</v>
      </c>
      <c r="V212" s="2">
        <v>21.24</v>
      </c>
      <c r="W212" s="2">
        <v>0</v>
      </c>
      <c r="X212" s="2">
        <v>1.82</v>
      </c>
      <c r="Y212" s="2">
        <v>1.19</v>
      </c>
      <c r="Z212" s="2">
        <v>1.05</v>
      </c>
      <c r="AA212" s="2">
        <v>1.86</v>
      </c>
      <c r="AB212" s="2">
        <v>3.21</v>
      </c>
      <c r="AC212" s="2">
        <v>1.08</v>
      </c>
      <c r="AD212" s="2">
        <v>4.57</v>
      </c>
      <c r="AE212" s="2">
        <v>4.0999999999999996</v>
      </c>
      <c r="AF212" s="2">
        <v>91.65</v>
      </c>
      <c r="AG212" s="2">
        <v>14.64</v>
      </c>
      <c r="AH212" s="4">
        <f t="shared" si="3"/>
        <v>138.80000000000001</v>
      </c>
    </row>
    <row r="213" spans="1:34" x14ac:dyDescent="0.2">
      <c r="A213" s="3">
        <v>14396</v>
      </c>
      <c r="B213" s="2">
        <v>-0.43</v>
      </c>
      <c r="C213" s="2">
        <v>12.06</v>
      </c>
      <c r="D213" s="2">
        <v>-3.77</v>
      </c>
      <c r="E213" s="2">
        <v>-44.31</v>
      </c>
      <c r="F213" s="2">
        <v>-27.98</v>
      </c>
      <c r="G213" s="2">
        <v>-10.029999999999999</v>
      </c>
      <c r="H213" s="2">
        <v>1.36</v>
      </c>
      <c r="I213" s="2">
        <v>16.63</v>
      </c>
      <c r="J213" s="2">
        <v>0.91</v>
      </c>
      <c r="K213" s="2">
        <v>-11.39</v>
      </c>
      <c r="L213" s="2">
        <v>-6.04</v>
      </c>
      <c r="M213" s="2">
        <v>-3.35</v>
      </c>
      <c r="N213" s="2">
        <v>16.649999999999999</v>
      </c>
      <c r="O213" s="2">
        <v>8.98</v>
      </c>
      <c r="P213" s="2">
        <v>35.64</v>
      </c>
      <c r="Q213" s="2">
        <v>4.5999999999999996</v>
      </c>
      <c r="R213" s="2">
        <v>1.42</v>
      </c>
      <c r="S213" s="2">
        <v>5.39</v>
      </c>
      <c r="T213" s="2">
        <v>24.94</v>
      </c>
      <c r="U213" s="2">
        <v>6.82</v>
      </c>
      <c r="V213" s="2">
        <v>22.29</v>
      </c>
      <c r="W213" s="2">
        <v>4.88</v>
      </c>
      <c r="X213" s="2">
        <v>4.4000000000000004</v>
      </c>
      <c r="Y213" s="2">
        <v>3.09</v>
      </c>
      <c r="Z213" s="2">
        <v>1.82</v>
      </c>
      <c r="AA213" s="2">
        <v>0</v>
      </c>
      <c r="AB213" s="2">
        <v>0</v>
      </c>
      <c r="AC213" s="2">
        <v>0</v>
      </c>
      <c r="AD213" s="2">
        <v>7.59</v>
      </c>
      <c r="AE213" s="2">
        <v>3.08</v>
      </c>
      <c r="AF213" s="2">
        <v>103.51</v>
      </c>
      <c r="AG213" s="2">
        <v>17.690000000000001</v>
      </c>
      <c r="AH213" s="4">
        <f t="shared" si="3"/>
        <v>50.389999999999979</v>
      </c>
    </row>
    <row r="214" spans="1:34" x14ac:dyDescent="0.2">
      <c r="A214" s="3">
        <v>14426</v>
      </c>
      <c r="B214" s="2">
        <v>-1.97</v>
      </c>
      <c r="C214" s="2">
        <v>10.91</v>
      </c>
      <c r="D214" s="2">
        <v>-9.51</v>
      </c>
      <c r="E214" s="2">
        <v>-54.66</v>
      </c>
      <c r="F214" s="2">
        <v>-21.98</v>
      </c>
      <c r="G214" s="2">
        <v>-9.91</v>
      </c>
      <c r="H214" s="2">
        <v>3.98</v>
      </c>
      <c r="I214" s="2">
        <v>15.93</v>
      </c>
      <c r="J214" s="2">
        <v>-6.35</v>
      </c>
      <c r="K214" s="2">
        <v>-0.57999999999999996</v>
      </c>
      <c r="L214" s="2">
        <v>-14.93</v>
      </c>
      <c r="M214" s="2">
        <v>-8.02</v>
      </c>
      <c r="N214" s="2">
        <v>8.76</v>
      </c>
      <c r="O214" s="2">
        <v>10.86</v>
      </c>
      <c r="P214" s="2">
        <v>28.13</v>
      </c>
      <c r="Q214" s="2">
        <v>0.5</v>
      </c>
      <c r="R214" s="2">
        <v>8.4</v>
      </c>
      <c r="S214" s="2">
        <v>-0.78</v>
      </c>
      <c r="T214" s="2">
        <v>37.700000000000003</v>
      </c>
      <c r="U214" s="2">
        <v>3.02</v>
      </c>
      <c r="V214" s="2">
        <v>23.5</v>
      </c>
      <c r="W214" s="2">
        <v>18.62</v>
      </c>
      <c r="X214" s="2">
        <v>9.4</v>
      </c>
      <c r="Y214" s="2">
        <v>8.81</v>
      </c>
      <c r="Z214" s="2">
        <v>0</v>
      </c>
      <c r="AA214" s="2">
        <v>0</v>
      </c>
      <c r="AB214" s="2">
        <v>0</v>
      </c>
      <c r="AC214" s="2">
        <v>0</v>
      </c>
      <c r="AD214" s="2">
        <v>12.88</v>
      </c>
      <c r="AE214" s="2">
        <v>0</v>
      </c>
      <c r="AF214" s="2">
        <v>113.28</v>
      </c>
      <c r="AG214" s="2">
        <v>22.83</v>
      </c>
      <c r="AH214" s="4">
        <f t="shared" si="3"/>
        <v>23.000000000000039</v>
      </c>
    </row>
    <row r="215" spans="1:34" x14ac:dyDescent="0.2">
      <c r="A215" s="3">
        <v>14457</v>
      </c>
      <c r="B215" s="2">
        <v>-2.11</v>
      </c>
      <c r="C215" s="2">
        <v>11.29</v>
      </c>
      <c r="D215" s="2">
        <v>-8.7100000000000009</v>
      </c>
      <c r="E215" s="2">
        <v>-41.82</v>
      </c>
      <c r="F215" s="2">
        <v>-12.1</v>
      </c>
      <c r="G215" s="2">
        <v>-1.18</v>
      </c>
      <c r="H215" s="2">
        <v>10.130000000000001</v>
      </c>
      <c r="I215" s="2">
        <v>19.600000000000001</v>
      </c>
      <c r="J215" s="2">
        <v>-2.62</v>
      </c>
      <c r="K215" s="2">
        <v>17.23</v>
      </c>
      <c r="L215" s="2">
        <v>-6.86</v>
      </c>
      <c r="M215" s="2">
        <v>-2.56</v>
      </c>
      <c r="N215" s="2">
        <v>14.59</v>
      </c>
      <c r="O215" s="2">
        <v>19.84</v>
      </c>
      <c r="P215" s="2">
        <v>29.49</v>
      </c>
      <c r="Q215" s="2">
        <v>2.61</v>
      </c>
      <c r="R215" s="2">
        <v>2.35</v>
      </c>
      <c r="S215" s="2">
        <v>1.62</v>
      </c>
      <c r="T215" s="2">
        <v>33.200000000000003</v>
      </c>
      <c r="U215" s="2">
        <v>3.29</v>
      </c>
      <c r="V215" s="2">
        <v>28.4</v>
      </c>
      <c r="W215" s="2">
        <v>30.39</v>
      </c>
      <c r="X215" s="2">
        <v>14.27</v>
      </c>
      <c r="Y215" s="2">
        <v>14.04</v>
      </c>
      <c r="Z215" s="2">
        <v>0</v>
      </c>
      <c r="AA215" s="2">
        <v>0</v>
      </c>
      <c r="AB215" s="2">
        <v>1.63</v>
      </c>
      <c r="AC215" s="2">
        <v>0.27</v>
      </c>
      <c r="AD215" s="2">
        <v>11.72</v>
      </c>
      <c r="AE215" s="2">
        <v>0</v>
      </c>
      <c r="AF215" s="2">
        <v>123.36</v>
      </c>
      <c r="AG215" s="2">
        <v>24.8</v>
      </c>
      <c r="AH215" s="4">
        <f t="shared" si="3"/>
        <v>115.68</v>
      </c>
    </row>
    <row r="216" spans="1:34" x14ac:dyDescent="0.2">
      <c r="A216" s="3">
        <v>14488</v>
      </c>
      <c r="B216" s="2">
        <v>-2.78</v>
      </c>
      <c r="C216" s="2">
        <v>10.72</v>
      </c>
      <c r="D216" s="2">
        <v>-8.07</v>
      </c>
      <c r="E216" s="2">
        <v>-35.47</v>
      </c>
      <c r="F216" s="2">
        <v>-3.03</v>
      </c>
      <c r="G216" s="2">
        <v>6.19</v>
      </c>
      <c r="H216" s="2">
        <v>13.46</v>
      </c>
      <c r="I216" s="2">
        <v>17.649999999999999</v>
      </c>
      <c r="J216" s="2">
        <v>2.46</v>
      </c>
      <c r="K216" s="2">
        <v>20.69</v>
      </c>
      <c r="L216" s="2">
        <v>-3.18</v>
      </c>
      <c r="M216" s="2">
        <v>-3.38</v>
      </c>
      <c r="N216" s="2">
        <v>15.43</v>
      </c>
      <c r="O216" s="2">
        <v>23.53</v>
      </c>
      <c r="P216" s="2">
        <v>28.53</v>
      </c>
      <c r="Q216" s="2">
        <v>1.21</v>
      </c>
      <c r="R216" s="2">
        <v>0.05</v>
      </c>
      <c r="S216" s="2">
        <v>1.57</v>
      </c>
      <c r="T216" s="2">
        <v>32.68</v>
      </c>
      <c r="U216" s="2">
        <v>4.51</v>
      </c>
      <c r="V216" s="2">
        <v>26.3</v>
      </c>
      <c r="W216" s="2">
        <v>31.47</v>
      </c>
      <c r="X216" s="2">
        <v>16.510000000000002</v>
      </c>
      <c r="Y216" s="2">
        <v>16.420000000000002</v>
      </c>
      <c r="Z216" s="2">
        <v>0.19</v>
      </c>
      <c r="AA216" s="2">
        <v>0</v>
      </c>
      <c r="AB216" s="2">
        <v>3.32</v>
      </c>
      <c r="AC216" s="2">
        <v>2.17</v>
      </c>
      <c r="AD216" s="2">
        <v>7.97</v>
      </c>
      <c r="AE216" s="2">
        <v>0.09</v>
      </c>
      <c r="AF216" s="2">
        <v>125.46</v>
      </c>
      <c r="AG216" s="2">
        <v>23.65</v>
      </c>
      <c r="AH216" s="4">
        <f t="shared" si="3"/>
        <v>149.07</v>
      </c>
    </row>
    <row r="217" spans="1:34" x14ac:dyDescent="0.2">
      <c r="A217" s="3">
        <v>14518</v>
      </c>
      <c r="B217" s="2">
        <v>-2.4500000000000002</v>
      </c>
      <c r="C217" s="2">
        <v>11.7</v>
      </c>
      <c r="D217" s="2">
        <v>-5.51</v>
      </c>
      <c r="E217" s="2">
        <v>-14.94</v>
      </c>
      <c r="F217" s="2">
        <v>3.47</v>
      </c>
      <c r="G217" s="2">
        <v>15.13</v>
      </c>
      <c r="H217" s="2">
        <v>18.72</v>
      </c>
      <c r="I217" s="2">
        <v>24.48</v>
      </c>
      <c r="J217" s="2">
        <v>18.71</v>
      </c>
      <c r="K217" s="2">
        <v>1.08</v>
      </c>
      <c r="L217" s="2">
        <v>-4.2699999999999996</v>
      </c>
      <c r="M217" s="2">
        <v>-3.19</v>
      </c>
      <c r="N217" s="2">
        <v>14.45</v>
      </c>
      <c r="O217" s="2">
        <v>1.41</v>
      </c>
      <c r="P217" s="2">
        <v>21.56</v>
      </c>
      <c r="Q217" s="2">
        <v>2.5</v>
      </c>
      <c r="R217" s="2">
        <v>0.77</v>
      </c>
      <c r="S217" s="2">
        <v>-0.8</v>
      </c>
      <c r="T217" s="2">
        <v>21.93</v>
      </c>
      <c r="U217" s="2">
        <v>8.82</v>
      </c>
      <c r="V217" s="2">
        <v>12.39</v>
      </c>
      <c r="W217" s="2">
        <v>26.1</v>
      </c>
      <c r="X217" s="2">
        <v>15.76</v>
      </c>
      <c r="Y217" s="2">
        <v>15.46</v>
      </c>
      <c r="Z217" s="2">
        <v>9.0399999999999991</v>
      </c>
      <c r="AA217" s="2">
        <v>128.47</v>
      </c>
      <c r="AB217" s="2">
        <v>3.49</v>
      </c>
      <c r="AC217" s="2">
        <v>8.93</v>
      </c>
      <c r="AD217" s="2">
        <v>4.9800000000000004</v>
      </c>
      <c r="AE217" s="2">
        <v>2.2400000000000002</v>
      </c>
      <c r="AF217" s="2">
        <v>116.86</v>
      </c>
      <c r="AG217" s="2">
        <v>20.170000000000002</v>
      </c>
      <c r="AH217" s="4">
        <f t="shared" si="3"/>
        <v>145.95999999999998</v>
      </c>
    </row>
    <row r="218" spans="1:34" x14ac:dyDescent="0.2">
      <c r="A218" s="3">
        <v>14549</v>
      </c>
      <c r="B218" s="2">
        <v>-2.0299999999999998</v>
      </c>
      <c r="C218" s="2">
        <v>12.13</v>
      </c>
      <c r="D218" s="2">
        <v>-3.91</v>
      </c>
      <c r="E218" s="2">
        <v>-0.38</v>
      </c>
      <c r="F218" s="2">
        <v>-2.7</v>
      </c>
      <c r="G218" s="2">
        <v>18.739999999999998</v>
      </c>
      <c r="H218" s="2">
        <v>17.079999999999998</v>
      </c>
      <c r="I218" s="2">
        <v>24.2</v>
      </c>
      <c r="J218" s="2">
        <v>12.83</v>
      </c>
      <c r="K218" s="2">
        <v>-2.29</v>
      </c>
      <c r="L218" s="2">
        <v>-3.23</v>
      </c>
      <c r="M218" s="2">
        <v>-3.49</v>
      </c>
      <c r="N218" s="2">
        <v>13.51</v>
      </c>
      <c r="O218" s="2">
        <v>3.47</v>
      </c>
      <c r="P218" s="2">
        <v>24.93</v>
      </c>
      <c r="Q218" s="2">
        <v>1.46</v>
      </c>
      <c r="R218" s="2">
        <v>-1.28</v>
      </c>
      <c r="S218" s="2">
        <v>1.39</v>
      </c>
      <c r="T218" s="2">
        <v>23.32</v>
      </c>
      <c r="U218" s="2">
        <v>7.91</v>
      </c>
      <c r="V218" s="2">
        <v>13.6</v>
      </c>
      <c r="W218" s="2">
        <v>22.19</v>
      </c>
      <c r="X218" s="2">
        <v>14.69</v>
      </c>
      <c r="Y218" s="2">
        <v>14.37</v>
      </c>
      <c r="Z218" s="2">
        <v>1.29</v>
      </c>
      <c r="AA218" s="2">
        <v>0</v>
      </c>
      <c r="AB218" s="2">
        <v>1.1599999999999999</v>
      </c>
      <c r="AC218" s="2">
        <v>0</v>
      </c>
      <c r="AD218" s="2">
        <v>4.47</v>
      </c>
      <c r="AE218" s="2">
        <v>9.7899999999999991</v>
      </c>
      <c r="AF218" s="2">
        <v>105.99</v>
      </c>
      <c r="AG218" s="2">
        <v>16.420000000000002</v>
      </c>
      <c r="AH218" s="4">
        <f t="shared" si="3"/>
        <v>155.25999999999996</v>
      </c>
    </row>
    <row r="219" spans="1:34" x14ac:dyDescent="0.2">
      <c r="A219" s="3">
        <v>14579</v>
      </c>
      <c r="B219" s="2">
        <v>0.39</v>
      </c>
      <c r="C219" s="2">
        <v>12.52</v>
      </c>
      <c r="D219" s="2">
        <v>-3.85</v>
      </c>
      <c r="E219" s="2">
        <v>8.4</v>
      </c>
      <c r="F219" s="2">
        <v>-4.91</v>
      </c>
      <c r="G219" s="2">
        <v>14.8</v>
      </c>
      <c r="H219" s="2">
        <v>13.59</v>
      </c>
      <c r="I219" s="2">
        <v>20.83</v>
      </c>
      <c r="J219" s="2">
        <v>13.54</v>
      </c>
      <c r="K219" s="2">
        <v>-1.68</v>
      </c>
      <c r="L219" s="2">
        <v>-2.99</v>
      </c>
      <c r="M219" s="2">
        <v>-3.7</v>
      </c>
      <c r="N219" s="2">
        <v>6.61</v>
      </c>
      <c r="O219" s="2">
        <v>1.88</v>
      </c>
      <c r="P219" s="2">
        <v>18.82</v>
      </c>
      <c r="Q219" s="2">
        <v>2.04</v>
      </c>
      <c r="R219" s="2">
        <v>-1.75</v>
      </c>
      <c r="S219" s="2">
        <v>-2.68</v>
      </c>
      <c r="T219" s="2">
        <v>20.72</v>
      </c>
      <c r="U219" s="2">
        <v>8.36</v>
      </c>
      <c r="V219" s="2">
        <v>12.5</v>
      </c>
      <c r="W219" s="2">
        <v>15.43</v>
      </c>
      <c r="X219" s="2">
        <v>9.6199999999999992</v>
      </c>
      <c r="Y219" s="2">
        <v>8.2799999999999994</v>
      </c>
      <c r="Z219" s="2">
        <v>1.53</v>
      </c>
      <c r="AA219" s="2">
        <v>8.0299999999999994</v>
      </c>
      <c r="AB219" s="2">
        <v>0</v>
      </c>
      <c r="AC219" s="2">
        <v>16.79</v>
      </c>
      <c r="AD219" s="2">
        <v>2.73</v>
      </c>
      <c r="AE219" s="2">
        <v>1.77</v>
      </c>
      <c r="AF219" s="2">
        <v>69.540000000000006</v>
      </c>
      <c r="AG219" s="2">
        <v>12.92</v>
      </c>
      <c r="AH219" s="4">
        <f t="shared" si="3"/>
        <v>133.44</v>
      </c>
    </row>
    <row r="220" spans="1:34" x14ac:dyDescent="0.2">
      <c r="A220" s="3">
        <v>14610</v>
      </c>
      <c r="B220" s="2">
        <v>4.63</v>
      </c>
      <c r="C220" s="2">
        <v>18.760000000000002</v>
      </c>
      <c r="D220" s="2">
        <v>7.49</v>
      </c>
      <c r="E220" s="2">
        <v>47.96</v>
      </c>
      <c r="F220" s="2">
        <v>5.61</v>
      </c>
      <c r="G220" s="2">
        <v>26.84</v>
      </c>
      <c r="H220" s="2">
        <v>19.38</v>
      </c>
      <c r="I220" s="2">
        <v>21.29</v>
      </c>
      <c r="J220" s="2">
        <v>16.7</v>
      </c>
      <c r="K220" s="2">
        <v>-1.1000000000000001</v>
      </c>
      <c r="L220" s="2">
        <v>-0.61</v>
      </c>
      <c r="M220" s="2">
        <v>-3.96</v>
      </c>
      <c r="N220" s="2">
        <v>5.26</v>
      </c>
      <c r="O220" s="2">
        <v>1.34</v>
      </c>
      <c r="P220" s="2">
        <v>18.850000000000001</v>
      </c>
      <c r="Q220" s="2">
        <v>0.26</v>
      </c>
      <c r="R220" s="2">
        <v>-2.25</v>
      </c>
      <c r="S220" s="2">
        <v>-2.61</v>
      </c>
      <c r="T220" s="2">
        <v>19.18</v>
      </c>
      <c r="U220" s="2">
        <v>7.53</v>
      </c>
      <c r="V220" s="2">
        <v>12.09</v>
      </c>
      <c r="W220" s="2">
        <v>11.73</v>
      </c>
      <c r="X220" s="2">
        <v>7.61</v>
      </c>
      <c r="Y220" s="2">
        <v>7.49</v>
      </c>
      <c r="Z220" s="2">
        <v>0.14000000000000001</v>
      </c>
      <c r="AA220" s="2">
        <v>1.86</v>
      </c>
      <c r="AB220" s="2">
        <v>0.5</v>
      </c>
      <c r="AC220" s="2">
        <v>0.68</v>
      </c>
      <c r="AD220" s="2">
        <v>2.56</v>
      </c>
      <c r="AE220" s="2">
        <v>4.75</v>
      </c>
      <c r="AF220" s="2">
        <v>63.89</v>
      </c>
      <c r="AG220" s="2">
        <v>11.2</v>
      </c>
      <c r="AH220" s="4">
        <f t="shared" si="3"/>
        <v>222.63999999999996</v>
      </c>
    </row>
    <row r="221" spans="1:34" x14ac:dyDescent="0.2">
      <c r="A221" s="3">
        <v>14641</v>
      </c>
      <c r="B221" s="2">
        <v>12.81</v>
      </c>
      <c r="C221" s="2">
        <v>32.85</v>
      </c>
      <c r="D221" s="2">
        <v>56.38</v>
      </c>
      <c r="E221" s="2">
        <v>177.89</v>
      </c>
      <c r="F221" s="2">
        <v>158.47999999999999</v>
      </c>
      <c r="G221" s="2">
        <v>205.25</v>
      </c>
      <c r="H221" s="2">
        <v>50.91</v>
      </c>
      <c r="I221" s="2">
        <v>43.2</v>
      </c>
      <c r="J221" s="2">
        <v>113.28</v>
      </c>
      <c r="K221" s="2">
        <v>106.74</v>
      </c>
      <c r="L221" s="2">
        <v>48.6</v>
      </c>
      <c r="M221" s="2">
        <v>43.15</v>
      </c>
      <c r="N221" s="2">
        <v>112.3</v>
      </c>
      <c r="O221" s="2">
        <v>5.66</v>
      </c>
      <c r="P221" s="2">
        <v>165.68</v>
      </c>
      <c r="Q221" s="2">
        <v>3.15</v>
      </c>
      <c r="R221" s="2">
        <v>6.33</v>
      </c>
      <c r="S221" s="2">
        <v>126.69</v>
      </c>
      <c r="T221" s="2">
        <v>36.74</v>
      </c>
      <c r="U221" s="2">
        <v>10.84</v>
      </c>
      <c r="V221" s="2">
        <v>27.61</v>
      </c>
      <c r="W221" s="2">
        <v>4.26</v>
      </c>
      <c r="X221" s="2">
        <v>9.8800000000000008</v>
      </c>
      <c r="Y221" s="2">
        <v>8.66</v>
      </c>
      <c r="Z221" s="2">
        <v>6.8</v>
      </c>
      <c r="AA221" s="2">
        <v>11.04</v>
      </c>
      <c r="AB221" s="2">
        <v>5.46</v>
      </c>
      <c r="AC221" s="2">
        <v>16.52</v>
      </c>
      <c r="AD221" s="2">
        <v>2.39</v>
      </c>
      <c r="AE221" s="2">
        <v>52.39</v>
      </c>
      <c r="AF221" s="2">
        <v>69.56</v>
      </c>
      <c r="AG221" s="2">
        <v>9.8800000000000008</v>
      </c>
      <c r="AH221" s="4">
        <f t="shared" si="3"/>
        <v>1544.54</v>
      </c>
    </row>
    <row r="222" spans="1:34" x14ac:dyDescent="0.2">
      <c r="A222" s="3">
        <v>14670</v>
      </c>
      <c r="B222" s="2">
        <v>20.97</v>
      </c>
      <c r="C222" s="2">
        <v>58.65</v>
      </c>
      <c r="D222" s="2">
        <v>68.44</v>
      </c>
      <c r="E222" s="2">
        <v>170.54</v>
      </c>
      <c r="F222" s="2">
        <v>145.41999999999999</v>
      </c>
      <c r="G222" s="2">
        <v>203.15</v>
      </c>
      <c r="H222" s="2">
        <v>49.88</v>
      </c>
      <c r="I222" s="2">
        <v>45.71</v>
      </c>
      <c r="J222" s="2">
        <v>110.32</v>
      </c>
      <c r="K222" s="2">
        <v>22.03</v>
      </c>
      <c r="L222" s="2">
        <v>55.74</v>
      </c>
      <c r="M222" s="2">
        <v>31.8</v>
      </c>
      <c r="N222" s="2">
        <v>61.67</v>
      </c>
      <c r="O222" s="2">
        <v>5.15</v>
      </c>
      <c r="P222" s="2">
        <v>117.24</v>
      </c>
      <c r="Q222" s="2">
        <v>8.58</v>
      </c>
      <c r="R222" s="2">
        <v>20.76</v>
      </c>
      <c r="S222" s="2">
        <v>85.19</v>
      </c>
      <c r="T222" s="2">
        <v>44.59</v>
      </c>
      <c r="U222" s="2">
        <v>15.31</v>
      </c>
      <c r="V222" s="2">
        <v>19.989999999999998</v>
      </c>
      <c r="W222" s="2">
        <v>0</v>
      </c>
      <c r="X222" s="2">
        <v>3.35</v>
      </c>
      <c r="Y222" s="2">
        <v>3.52</v>
      </c>
      <c r="Z222" s="2">
        <v>6.56</v>
      </c>
      <c r="AA222" s="2">
        <v>13.33</v>
      </c>
      <c r="AB222" s="2">
        <v>12.24</v>
      </c>
      <c r="AC222" s="2">
        <v>10.56</v>
      </c>
      <c r="AD222" s="2">
        <v>2.48</v>
      </c>
      <c r="AE222" s="2">
        <v>61.9</v>
      </c>
      <c r="AF222" s="2">
        <v>57.98</v>
      </c>
      <c r="AG222" s="2">
        <v>10.08</v>
      </c>
      <c r="AH222" s="4">
        <f t="shared" si="3"/>
        <v>1361.1299999999999</v>
      </c>
    </row>
    <row r="223" spans="1:34" x14ac:dyDescent="0.2">
      <c r="A223" s="3">
        <v>14701</v>
      </c>
      <c r="B223" s="2">
        <v>19.62</v>
      </c>
      <c r="C223" s="2">
        <v>37.880000000000003</v>
      </c>
      <c r="D223" s="2">
        <v>-5.44</v>
      </c>
      <c r="E223" s="2">
        <v>11.08</v>
      </c>
      <c r="F223" s="2">
        <v>93.59</v>
      </c>
      <c r="G223" s="2">
        <v>88.18</v>
      </c>
      <c r="H223" s="2">
        <v>-0.9</v>
      </c>
      <c r="I223" s="2">
        <v>35.049999999999997</v>
      </c>
      <c r="J223" s="2">
        <v>41.25</v>
      </c>
      <c r="K223" s="2">
        <v>-0.12</v>
      </c>
      <c r="L223" s="2">
        <v>43.69</v>
      </c>
      <c r="M223" s="2">
        <v>17.78</v>
      </c>
      <c r="N223" s="2">
        <v>36.369999999999997</v>
      </c>
      <c r="O223" s="2">
        <v>9.39</v>
      </c>
      <c r="P223" s="2">
        <v>55.65</v>
      </c>
      <c r="Q223" s="2">
        <v>7.59</v>
      </c>
      <c r="R223" s="2">
        <v>5.09</v>
      </c>
      <c r="S223" s="2">
        <v>19.23</v>
      </c>
      <c r="T223" s="2">
        <v>18.920000000000002</v>
      </c>
      <c r="U223" s="2">
        <v>12.38</v>
      </c>
      <c r="V223" s="2">
        <v>18.920000000000002</v>
      </c>
      <c r="W223" s="2">
        <v>0</v>
      </c>
      <c r="X223" s="2">
        <v>4.25</v>
      </c>
      <c r="Y223" s="2">
        <v>3.39</v>
      </c>
      <c r="Z223" s="2">
        <v>3.54</v>
      </c>
      <c r="AA223" s="2">
        <v>2.0099999999999998</v>
      </c>
      <c r="AB223" s="2">
        <v>1.49</v>
      </c>
      <c r="AC223" s="2">
        <v>9.07</v>
      </c>
      <c r="AD223" s="2">
        <v>4.24</v>
      </c>
      <c r="AE223" s="2">
        <v>31.32</v>
      </c>
      <c r="AF223" s="2">
        <v>68.42</v>
      </c>
      <c r="AG223" s="2">
        <v>10.69</v>
      </c>
      <c r="AH223" s="4">
        <f t="shared" si="3"/>
        <v>565.19999999999982</v>
      </c>
    </row>
    <row r="224" spans="1:34" x14ac:dyDescent="0.2">
      <c r="A224" s="3">
        <v>14731</v>
      </c>
      <c r="B224" s="2">
        <v>14.36</v>
      </c>
      <c r="C224" s="2">
        <v>23.94</v>
      </c>
      <c r="D224" s="2">
        <v>-29.68</v>
      </c>
      <c r="E224" s="2">
        <v>-66.150000000000006</v>
      </c>
      <c r="F224" s="2">
        <v>-37.090000000000003</v>
      </c>
      <c r="G224" s="2">
        <v>-85.83</v>
      </c>
      <c r="H224" s="2">
        <v>-4.45</v>
      </c>
      <c r="I224" s="2">
        <v>34.049999999999997</v>
      </c>
      <c r="J224" s="2">
        <v>8.8800000000000008</v>
      </c>
      <c r="K224" s="2">
        <v>1.92</v>
      </c>
      <c r="L224" s="2">
        <v>-1.58</v>
      </c>
      <c r="M224" s="2">
        <v>-3.16</v>
      </c>
      <c r="N224" s="2">
        <v>33.619999999999997</v>
      </c>
      <c r="O224" s="2">
        <v>6.43</v>
      </c>
      <c r="P224" s="2">
        <v>32.53</v>
      </c>
      <c r="Q224" s="2">
        <v>9.65</v>
      </c>
      <c r="R224" s="2">
        <v>4.24</v>
      </c>
      <c r="S224" s="2">
        <v>12.25</v>
      </c>
      <c r="T224" s="2">
        <v>13.56</v>
      </c>
      <c r="U224" s="2">
        <v>15.33</v>
      </c>
      <c r="V224" s="2">
        <v>21.75</v>
      </c>
      <c r="W224" s="2">
        <v>0</v>
      </c>
      <c r="X224" s="2">
        <v>5.18</v>
      </c>
      <c r="Y224" s="2">
        <v>4.63</v>
      </c>
      <c r="Z224" s="2">
        <v>2.87</v>
      </c>
      <c r="AA224" s="2">
        <v>0.14000000000000001</v>
      </c>
      <c r="AB224" s="2">
        <v>0.83</v>
      </c>
      <c r="AC224" s="2">
        <v>2.44</v>
      </c>
      <c r="AD224" s="2">
        <v>5.85</v>
      </c>
      <c r="AE224" s="2">
        <v>2.7</v>
      </c>
      <c r="AF224" s="2">
        <v>84.67</v>
      </c>
      <c r="AG224" s="2">
        <v>14.64</v>
      </c>
      <c r="AH224" s="4">
        <f t="shared" si="3"/>
        <v>4.5700000000000216</v>
      </c>
    </row>
    <row r="225" spans="1:34" x14ac:dyDescent="0.2">
      <c r="A225" s="3">
        <v>14762</v>
      </c>
      <c r="B225" s="2">
        <v>7.35</v>
      </c>
      <c r="C225" s="2">
        <v>15.66</v>
      </c>
      <c r="D225" s="2">
        <v>-17.399999999999999</v>
      </c>
      <c r="E225" s="2">
        <v>-90.33</v>
      </c>
      <c r="F225" s="2">
        <v>-115.63</v>
      </c>
      <c r="G225" s="2">
        <v>-91.68</v>
      </c>
      <c r="H225" s="2">
        <v>11.6</v>
      </c>
      <c r="I225" s="2">
        <v>27.5</v>
      </c>
      <c r="J225" s="2">
        <v>17.36</v>
      </c>
      <c r="K225" s="2">
        <v>30.42</v>
      </c>
      <c r="L225" s="2">
        <v>20.28</v>
      </c>
      <c r="M225" s="2">
        <v>16.260000000000002</v>
      </c>
      <c r="N225" s="2">
        <v>56.2</v>
      </c>
      <c r="O225" s="2">
        <v>15.47</v>
      </c>
      <c r="P225" s="2">
        <v>73.78</v>
      </c>
      <c r="Q225" s="2">
        <v>15.91</v>
      </c>
      <c r="R225" s="2">
        <v>13.05</v>
      </c>
      <c r="S225" s="2">
        <v>26.2</v>
      </c>
      <c r="T225" s="2">
        <v>9.25</v>
      </c>
      <c r="U225" s="2">
        <v>28.46</v>
      </c>
      <c r="V225" s="2">
        <v>31.06</v>
      </c>
      <c r="W225" s="2">
        <v>4.88</v>
      </c>
      <c r="X225" s="2">
        <v>8.18</v>
      </c>
      <c r="Y225" s="2">
        <v>6.98</v>
      </c>
      <c r="Z225" s="2">
        <v>0</v>
      </c>
      <c r="AA225" s="2">
        <v>0</v>
      </c>
      <c r="AB225" s="2">
        <v>0</v>
      </c>
      <c r="AC225" s="2">
        <v>0</v>
      </c>
      <c r="AD225" s="2">
        <v>7.39</v>
      </c>
      <c r="AE225" s="2">
        <v>1.96</v>
      </c>
      <c r="AF225" s="2">
        <v>95.62</v>
      </c>
      <c r="AG225" s="2">
        <v>17.690000000000001</v>
      </c>
      <c r="AH225" s="4">
        <f t="shared" si="3"/>
        <v>100.77000000000007</v>
      </c>
    </row>
    <row r="226" spans="1:34" x14ac:dyDescent="0.2">
      <c r="A226" s="3">
        <v>14792</v>
      </c>
      <c r="B226" s="2">
        <v>2.4</v>
      </c>
      <c r="C226" s="2">
        <v>14.16</v>
      </c>
      <c r="D226" s="2">
        <v>-18.3</v>
      </c>
      <c r="E226" s="2">
        <v>-89.41</v>
      </c>
      <c r="F226" s="2">
        <v>-73.47</v>
      </c>
      <c r="G226" s="2">
        <v>-52.54</v>
      </c>
      <c r="H226" s="2">
        <v>-0.3</v>
      </c>
      <c r="I226" s="2">
        <v>22.1</v>
      </c>
      <c r="J226" s="2">
        <v>-21.05</v>
      </c>
      <c r="K226" s="2">
        <v>-15.9</v>
      </c>
      <c r="L226" s="2">
        <v>-36.28</v>
      </c>
      <c r="M226" s="2">
        <v>-11.47</v>
      </c>
      <c r="N226" s="2">
        <v>16.86</v>
      </c>
      <c r="O226" s="2">
        <v>19.350000000000001</v>
      </c>
      <c r="P226" s="2">
        <v>17.690000000000001</v>
      </c>
      <c r="Q226" s="2">
        <v>10.84</v>
      </c>
      <c r="R226" s="2">
        <v>4.4800000000000004</v>
      </c>
      <c r="S226" s="2">
        <v>11.04</v>
      </c>
      <c r="T226" s="2">
        <v>28.1</v>
      </c>
      <c r="U226" s="2">
        <v>16.28</v>
      </c>
      <c r="V226" s="2">
        <v>27.65</v>
      </c>
      <c r="W226" s="2">
        <v>18.62</v>
      </c>
      <c r="X226" s="2">
        <v>13.54</v>
      </c>
      <c r="Y226" s="2">
        <v>13.06</v>
      </c>
      <c r="Z226" s="2">
        <v>0</v>
      </c>
      <c r="AA226" s="2">
        <v>0</v>
      </c>
      <c r="AB226" s="2">
        <v>0</v>
      </c>
      <c r="AC226" s="2">
        <v>0</v>
      </c>
      <c r="AD226" s="2">
        <v>7.89</v>
      </c>
      <c r="AE226" s="2">
        <v>0</v>
      </c>
      <c r="AF226" s="2">
        <v>104.64</v>
      </c>
      <c r="AG226" s="2">
        <v>22.83</v>
      </c>
      <c r="AH226" s="4">
        <f t="shared" si="3"/>
        <v>-127.77000000000007</v>
      </c>
    </row>
    <row r="227" spans="1:34" x14ac:dyDescent="0.2">
      <c r="A227" s="3">
        <v>14823</v>
      </c>
      <c r="B227" s="2">
        <v>1.4</v>
      </c>
      <c r="C227" s="2">
        <v>13.92</v>
      </c>
      <c r="D227" s="2">
        <v>-13.56</v>
      </c>
      <c r="E227" s="2">
        <v>-74.84</v>
      </c>
      <c r="F227" s="2">
        <v>-41.08</v>
      </c>
      <c r="G227" s="2">
        <v>-33.07</v>
      </c>
      <c r="H227" s="2">
        <v>3.92</v>
      </c>
      <c r="I227" s="2">
        <v>19.22</v>
      </c>
      <c r="J227" s="2">
        <v>-38.43</v>
      </c>
      <c r="K227" s="2">
        <v>-40.15</v>
      </c>
      <c r="L227" s="2">
        <v>-62.08</v>
      </c>
      <c r="M227" s="2">
        <v>-37.99</v>
      </c>
      <c r="N227" s="2">
        <v>-9.51</v>
      </c>
      <c r="O227" s="2">
        <v>26.57</v>
      </c>
      <c r="P227" s="2">
        <v>13.88</v>
      </c>
      <c r="Q227" s="2">
        <v>3.32</v>
      </c>
      <c r="R227" s="2">
        <v>18.53</v>
      </c>
      <c r="S227" s="2">
        <v>7.56</v>
      </c>
      <c r="T227" s="2">
        <v>37.369999999999997</v>
      </c>
      <c r="U227" s="2">
        <v>3.73</v>
      </c>
      <c r="V227" s="2">
        <v>25.17</v>
      </c>
      <c r="W227" s="2">
        <v>30.39</v>
      </c>
      <c r="X227" s="2">
        <v>18.78</v>
      </c>
      <c r="Y227" s="2">
        <v>18.68</v>
      </c>
      <c r="Z227" s="2">
        <v>0</v>
      </c>
      <c r="AA227" s="2">
        <v>0.28999999999999998</v>
      </c>
      <c r="AB227" s="2">
        <v>0</v>
      </c>
      <c r="AC227" s="2">
        <v>0</v>
      </c>
      <c r="AD227" s="2">
        <v>7.01</v>
      </c>
      <c r="AE227" s="2">
        <v>0</v>
      </c>
      <c r="AF227" s="2">
        <v>113.96</v>
      </c>
      <c r="AG227" s="2">
        <v>24.8</v>
      </c>
      <c r="AH227" s="4">
        <f t="shared" si="3"/>
        <v>-176.12</v>
      </c>
    </row>
    <row r="228" spans="1:34" x14ac:dyDescent="0.2">
      <c r="A228" s="3">
        <v>14854</v>
      </c>
      <c r="B228" s="2">
        <v>0.78</v>
      </c>
      <c r="C228" s="2">
        <v>14.47</v>
      </c>
      <c r="D228" s="2">
        <v>-9.17</v>
      </c>
      <c r="E228" s="2">
        <v>-57.83</v>
      </c>
      <c r="F228" s="2">
        <v>-22.57</v>
      </c>
      <c r="G228" s="2">
        <v>-14.83</v>
      </c>
      <c r="H228" s="2">
        <v>9.92</v>
      </c>
      <c r="I228" s="2">
        <v>20.93</v>
      </c>
      <c r="J228" s="2">
        <v>-16.899999999999999</v>
      </c>
      <c r="K228" s="2">
        <v>-5.65</v>
      </c>
      <c r="L228" s="2">
        <v>-28.45</v>
      </c>
      <c r="M228" s="2">
        <v>-18.739999999999998</v>
      </c>
      <c r="N228" s="2">
        <v>5.29</v>
      </c>
      <c r="O228" s="2">
        <v>29.73</v>
      </c>
      <c r="P228" s="2">
        <v>21.89</v>
      </c>
      <c r="Q228" s="2">
        <v>1.92</v>
      </c>
      <c r="R228" s="2">
        <v>5.58</v>
      </c>
      <c r="S228" s="2">
        <v>4.17</v>
      </c>
      <c r="T228" s="2">
        <v>33.799999999999997</v>
      </c>
      <c r="U228" s="2">
        <v>4.54</v>
      </c>
      <c r="V228" s="2">
        <v>27.23</v>
      </c>
      <c r="W228" s="2">
        <v>31.47</v>
      </c>
      <c r="X228" s="2">
        <v>21.11</v>
      </c>
      <c r="Y228" s="2">
        <v>21.14</v>
      </c>
      <c r="Z228" s="2">
        <v>0</v>
      </c>
      <c r="AA228" s="2">
        <v>0</v>
      </c>
      <c r="AB228" s="2">
        <v>0</v>
      </c>
      <c r="AC228" s="2">
        <v>0</v>
      </c>
      <c r="AD228" s="2">
        <v>5.97</v>
      </c>
      <c r="AE228" s="2">
        <v>0</v>
      </c>
      <c r="AF228" s="2">
        <v>115.89</v>
      </c>
      <c r="AG228" s="2">
        <v>23.65</v>
      </c>
      <c r="AH228" s="4">
        <f t="shared" si="3"/>
        <v>6.1100000000000172</v>
      </c>
    </row>
    <row r="229" spans="1:34" x14ac:dyDescent="0.2">
      <c r="A229" s="3">
        <v>14884</v>
      </c>
      <c r="B229" s="2">
        <v>0.81</v>
      </c>
      <c r="C229" s="2">
        <v>15.29</v>
      </c>
      <c r="D229" s="2">
        <v>-5.55</v>
      </c>
      <c r="E229" s="2">
        <v>-33.49</v>
      </c>
      <c r="F229" s="2">
        <v>-10.41</v>
      </c>
      <c r="G229" s="2">
        <v>1.03</v>
      </c>
      <c r="H229" s="2">
        <v>17.52</v>
      </c>
      <c r="I229" s="2">
        <v>25.03</v>
      </c>
      <c r="J229" s="2">
        <v>7.85</v>
      </c>
      <c r="K229" s="2">
        <v>-8.19</v>
      </c>
      <c r="L229" s="2">
        <v>-7.76</v>
      </c>
      <c r="M229" s="2">
        <v>-2.63</v>
      </c>
      <c r="N229" s="2">
        <v>16.72</v>
      </c>
      <c r="O229" s="2">
        <v>1.68</v>
      </c>
      <c r="P229" s="2">
        <v>18.11</v>
      </c>
      <c r="Q229" s="2">
        <v>3.46</v>
      </c>
      <c r="R229" s="2">
        <v>3.4</v>
      </c>
      <c r="S229" s="2">
        <v>-0.5</v>
      </c>
      <c r="T229" s="2">
        <v>22</v>
      </c>
      <c r="U229" s="2">
        <v>8.5299999999999994</v>
      </c>
      <c r="V229" s="2">
        <v>12.36</v>
      </c>
      <c r="W229" s="2">
        <v>26.1</v>
      </c>
      <c r="X229" s="2">
        <v>20.04</v>
      </c>
      <c r="Y229" s="2">
        <v>19.850000000000001</v>
      </c>
      <c r="Z229" s="2">
        <v>0</v>
      </c>
      <c r="AA229" s="2">
        <v>0.86</v>
      </c>
      <c r="AB229" s="2">
        <v>0</v>
      </c>
      <c r="AC229" s="2">
        <v>0</v>
      </c>
      <c r="AD229" s="2">
        <v>4.4000000000000004</v>
      </c>
      <c r="AE229" s="2">
        <v>2.42</v>
      </c>
      <c r="AF229" s="2">
        <v>107.95</v>
      </c>
      <c r="AG229" s="2">
        <v>20.170000000000002</v>
      </c>
      <c r="AH229" s="4">
        <f t="shared" si="3"/>
        <v>85.259999999999991</v>
      </c>
    </row>
    <row r="230" spans="1:34" x14ac:dyDescent="0.2">
      <c r="A230" s="3">
        <v>14915</v>
      </c>
      <c r="B230" s="2">
        <v>2.36</v>
      </c>
      <c r="C230" s="2">
        <v>16.21</v>
      </c>
      <c r="D230" s="2">
        <v>-0.19</v>
      </c>
      <c r="E230" s="2">
        <v>-0.03</v>
      </c>
      <c r="F230" s="2">
        <v>-7.67</v>
      </c>
      <c r="G230" s="2">
        <v>10.73</v>
      </c>
      <c r="H230" s="2">
        <v>19.14</v>
      </c>
      <c r="I230" s="2">
        <v>27.21</v>
      </c>
      <c r="J230" s="2">
        <v>12.7</v>
      </c>
      <c r="K230" s="2">
        <v>-2.77</v>
      </c>
      <c r="L230" s="2">
        <v>-7.1</v>
      </c>
      <c r="M230" s="2">
        <v>-5.4</v>
      </c>
      <c r="N230" s="2">
        <v>10.45</v>
      </c>
      <c r="O230" s="2">
        <v>6.42</v>
      </c>
      <c r="P230" s="2">
        <v>28.75</v>
      </c>
      <c r="Q230" s="2">
        <v>1.58</v>
      </c>
      <c r="R230" s="2">
        <v>-1.55</v>
      </c>
      <c r="S230" s="2">
        <v>11.38</v>
      </c>
      <c r="T230" s="2">
        <v>22.42</v>
      </c>
      <c r="U230" s="2">
        <v>8.32</v>
      </c>
      <c r="V230" s="2">
        <v>11.84</v>
      </c>
      <c r="W230" s="2">
        <v>22.19</v>
      </c>
      <c r="X230" s="2">
        <v>18.579999999999998</v>
      </c>
      <c r="Y230" s="2">
        <v>18.350000000000001</v>
      </c>
      <c r="Z230" s="2">
        <v>0.62</v>
      </c>
      <c r="AA230" s="2">
        <v>0.43</v>
      </c>
      <c r="AB230" s="2">
        <v>1.25</v>
      </c>
      <c r="AC230" s="2">
        <v>1.62</v>
      </c>
      <c r="AD230" s="2">
        <v>3.81</v>
      </c>
      <c r="AE230" s="2">
        <v>3.64</v>
      </c>
      <c r="AF230" s="2">
        <v>97.91</v>
      </c>
      <c r="AG230" s="2">
        <v>16.420000000000002</v>
      </c>
      <c r="AH230" s="4">
        <f t="shared" si="3"/>
        <v>164.79999999999998</v>
      </c>
    </row>
    <row r="231" spans="1:34" x14ac:dyDescent="0.2">
      <c r="A231" s="3">
        <v>14945</v>
      </c>
      <c r="B231" s="2">
        <v>4.32</v>
      </c>
      <c r="C231" s="2">
        <v>15.73</v>
      </c>
      <c r="D231" s="2">
        <v>-1</v>
      </c>
      <c r="E231" s="2">
        <v>7.93</v>
      </c>
      <c r="F231" s="2">
        <v>-0.09</v>
      </c>
      <c r="G231" s="2">
        <v>13.58</v>
      </c>
      <c r="H231" s="2">
        <v>15.92</v>
      </c>
      <c r="I231" s="2">
        <v>23.97</v>
      </c>
      <c r="J231" s="2">
        <v>13.65</v>
      </c>
      <c r="K231" s="2">
        <v>-2.1800000000000002</v>
      </c>
      <c r="L231" s="2">
        <v>1.3</v>
      </c>
      <c r="M231" s="2">
        <v>-3.65</v>
      </c>
      <c r="N231" s="2">
        <v>7.86</v>
      </c>
      <c r="O231" s="2">
        <v>2.39</v>
      </c>
      <c r="P231" s="2">
        <v>13.57</v>
      </c>
      <c r="Q231" s="2">
        <v>1.84</v>
      </c>
      <c r="R231" s="2">
        <v>-1.1100000000000001</v>
      </c>
      <c r="S231" s="2">
        <v>2.91</v>
      </c>
      <c r="T231" s="2">
        <v>21.12</v>
      </c>
      <c r="U231" s="2">
        <v>8.5500000000000007</v>
      </c>
      <c r="V231" s="2">
        <v>11.73</v>
      </c>
      <c r="W231" s="2">
        <v>15.43</v>
      </c>
      <c r="X231" s="2">
        <v>12.14</v>
      </c>
      <c r="Y231" s="2">
        <v>10.88</v>
      </c>
      <c r="Z231" s="2">
        <v>19.09</v>
      </c>
      <c r="AA231" s="2">
        <v>0</v>
      </c>
      <c r="AB231" s="2">
        <v>0.06</v>
      </c>
      <c r="AC231" s="2">
        <v>2.17</v>
      </c>
      <c r="AD231" s="2">
        <v>2.33</v>
      </c>
      <c r="AE231" s="2">
        <v>5.03</v>
      </c>
      <c r="AF231" s="2">
        <v>64.239999999999995</v>
      </c>
      <c r="AG231" s="2">
        <v>12.92</v>
      </c>
      <c r="AH231" s="4">
        <f t="shared" si="3"/>
        <v>158.33999999999997</v>
      </c>
    </row>
    <row r="232" spans="1:34" x14ac:dyDescent="0.2">
      <c r="A232" s="3">
        <v>14976</v>
      </c>
      <c r="B232" s="2">
        <v>16.420000000000002</v>
      </c>
      <c r="C232" s="2">
        <v>40.22</v>
      </c>
      <c r="D232" s="2">
        <v>75.02</v>
      </c>
      <c r="E232" s="2">
        <v>226.84</v>
      </c>
      <c r="F232" s="2">
        <v>186.43</v>
      </c>
      <c r="G232" s="2">
        <v>234.11</v>
      </c>
      <c r="H232" s="2">
        <v>45.58</v>
      </c>
      <c r="I232" s="2">
        <v>40.56</v>
      </c>
      <c r="J232" s="2">
        <v>107.32</v>
      </c>
      <c r="K232" s="2">
        <v>93.67</v>
      </c>
      <c r="L232" s="2">
        <v>26.5</v>
      </c>
      <c r="M232" s="2">
        <v>41.56</v>
      </c>
      <c r="N232" s="2">
        <v>92.78</v>
      </c>
      <c r="O232" s="2">
        <v>6.03</v>
      </c>
      <c r="P232" s="2">
        <v>128.43</v>
      </c>
      <c r="Q232" s="2">
        <v>4.1399999999999997</v>
      </c>
      <c r="R232" s="2">
        <v>3.05</v>
      </c>
      <c r="S232" s="2">
        <v>66.7</v>
      </c>
      <c r="T232" s="2">
        <v>38.119999999999997</v>
      </c>
      <c r="U232" s="2">
        <v>10.06</v>
      </c>
      <c r="V232" s="2">
        <v>17.13</v>
      </c>
      <c r="W232" s="2">
        <v>11.73</v>
      </c>
      <c r="X232" s="2">
        <v>9.92</v>
      </c>
      <c r="Y232" s="2">
        <v>9.8699999999999992</v>
      </c>
      <c r="Z232" s="2">
        <v>3.06</v>
      </c>
      <c r="AA232" s="2">
        <v>42.15</v>
      </c>
      <c r="AB232" s="2">
        <v>12.25</v>
      </c>
      <c r="AC232" s="2">
        <v>21.39</v>
      </c>
      <c r="AD232" s="2">
        <v>2.21</v>
      </c>
      <c r="AE232" s="2">
        <v>58.45</v>
      </c>
      <c r="AF232" s="2">
        <v>59.02</v>
      </c>
      <c r="AG232" s="2">
        <v>11.2</v>
      </c>
      <c r="AH232" s="4">
        <f t="shared" si="3"/>
        <v>1500.67</v>
      </c>
    </row>
    <row r="233" spans="1:34" x14ac:dyDescent="0.2">
      <c r="A233" s="3">
        <v>15007</v>
      </c>
      <c r="B233" s="2">
        <v>22.58</v>
      </c>
      <c r="C233" s="2">
        <v>75.709999999999994</v>
      </c>
      <c r="D233" s="2">
        <v>78.47</v>
      </c>
      <c r="E233" s="2">
        <v>177.3</v>
      </c>
      <c r="F233" s="2">
        <v>170.92</v>
      </c>
      <c r="G233" s="2">
        <v>195.01</v>
      </c>
      <c r="H233" s="2">
        <v>34.9</v>
      </c>
      <c r="I233" s="2">
        <v>36.68</v>
      </c>
      <c r="J233" s="2">
        <v>82.95</v>
      </c>
      <c r="K233" s="2">
        <v>-10.48</v>
      </c>
      <c r="L233" s="2">
        <v>6.05</v>
      </c>
      <c r="M233" s="2">
        <v>-4.55</v>
      </c>
      <c r="N233" s="2">
        <v>28.65</v>
      </c>
      <c r="O233" s="2">
        <v>5.12</v>
      </c>
      <c r="P233" s="2">
        <v>32.64</v>
      </c>
      <c r="Q233" s="2">
        <v>4.92</v>
      </c>
      <c r="R233" s="2">
        <v>4.0199999999999996</v>
      </c>
      <c r="S233" s="2">
        <v>22.15</v>
      </c>
      <c r="T233" s="2">
        <v>21.43</v>
      </c>
      <c r="U233" s="2">
        <v>11.52</v>
      </c>
      <c r="V233" s="2">
        <v>17.59</v>
      </c>
      <c r="W233" s="2">
        <v>4.26</v>
      </c>
      <c r="X233" s="2">
        <v>9.6300000000000008</v>
      </c>
      <c r="Y233" s="2">
        <v>8.5399999999999991</v>
      </c>
      <c r="Z233" s="2">
        <v>7.13</v>
      </c>
      <c r="AA233" s="2">
        <v>16.63</v>
      </c>
      <c r="AB233" s="2">
        <v>3.3</v>
      </c>
      <c r="AC233" s="2">
        <v>22.2</v>
      </c>
      <c r="AD233" s="2">
        <v>2.33</v>
      </c>
      <c r="AE233" s="2">
        <v>41.3</v>
      </c>
      <c r="AF233" s="2">
        <v>71.25</v>
      </c>
      <c r="AG233" s="2">
        <v>9.8800000000000008</v>
      </c>
      <c r="AH233" s="4">
        <f t="shared" si="3"/>
        <v>1013.5799999999998</v>
      </c>
    </row>
    <row r="234" spans="1:34" x14ac:dyDescent="0.2">
      <c r="A234" s="3">
        <v>15035</v>
      </c>
      <c r="B234" s="2">
        <v>26.87</v>
      </c>
      <c r="C234" s="2">
        <v>100.73</v>
      </c>
      <c r="D234" s="2">
        <v>72.430000000000007</v>
      </c>
      <c r="E234" s="2">
        <v>119.94</v>
      </c>
      <c r="F234" s="2">
        <v>150.5</v>
      </c>
      <c r="G234" s="2">
        <v>126.72</v>
      </c>
      <c r="H234" s="2">
        <v>36.18</v>
      </c>
      <c r="I234" s="2">
        <v>46.9</v>
      </c>
      <c r="J234" s="2">
        <v>111.45</v>
      </c>
      <c r="K234" s="2">
        <v>81.239999999999995</v>
      </c>
      <c r="L234" s="2">
        <v>38.75</v>
      </c>
      <c r="M234" s="2">
        <v>36.700000000000003</v>
      </c>
      <c r="N234" s="2">
        <v>145.81</v>
      </c>
      <c r="O234" s="2">
        <v>6.43</v>
      </c>
      <c r="P234" s="2">
        <v>155.19</v>
      </c>
      <c r="Q234" s="2">
        <v>11.02</v>
      </c>
      <c r="R234" s="2">
        <v>30.05</v>
      </c>
      <c r="S234" s="2">
        <v>80.040000000000006</v>
      </c>
      <c r="T234" s="2">
        <v>52.24</v>
      </c>
      <c r="U234" s="2">
        <v>20.94</v>
      </c>
      <c r="V234" s="2">
        <v>25.02</v>
      </c>
      <c r="W234" s="2">
        <v>0</v>
      </c>
      <c r="X234" s="2">
        <v>3.19</v>
      </c>
      <c r="Y234" s="2">
        <v>3.59</v>
      </c>
      <c r="Z234" s="2">
        <v>22.01</v>
      </c>
      <c r="AA234" s="2">
        <v>9.89</v>
      </c>
      <c r="AB234" s="2">
        <v>13.67</v>
      </c>
      <c r="AC234" s="2">
        <v>26.94</v>
      </c>
      <c r="AD234" s="2">
        <v>2.6</v>
      </c>
      <c r="AE234" s="2">
        <v>51.46</v>
      </c>
      <c r="AF234" s="2">
        <v>59.39</v>
      </c>
      <c r="AG234" s="2">
        <v>10.08</v>
      </c>
      <c r="AH234" s="4">
        <f t="shared" si="3"/>
        <v>1475.15</v>
      </c>
    </row>
    <row r="235" spans="1:34" x14ac:dyDescent="0.2">
      <c r="A235" s="3">
        <v>15066</v>
      </c>
      <c r="B235" s="2">
        <v>27.28</v>
      </c>
      <c r="C235" s="2">
        <v>65.12</v>
      </c>
      <c r="D235" s="2">
        <v>5.13</v>
      </c>
      <c r="E235" s="2">
        <v>-7.46</v>
      </c>
      <c r="F235" s="2">
        <v>1.46</v>
      </c>
      <c r="G235" s="2">
        <v>18.57</v>
      </c>
      <c r="H235" s="2">
        <v>16.25</v>
      </c>
      <c r="I235" s="2">
        <v>39.01</v>
      </c>
      <c r="J235" s="2">
        <v>38.64</v>
      </c>
      <c r="K235" s="2">
        <v>4.01</v>
      </c>
      <c r="L235" s="2">
        <v>42.31</v>
      </c>
      <c r="M235" s="2">
        <v>20.399999999999999</v>
      </c>
      <c r="N235" s="2">
        <v>53.75</v>
      </c>
      <c r="O235" s="2">
        <v>6.81</v>
      </c>
      <c r="P235" s="2">
        <v>76.75</v>
      </c>
      <c r="Q235" s="2">
        <v>11.73</v>
      </c>
      <c r="R235" s="2">
        <v>12.62</v>
      </c>
      <c r="S235" s="2">
        <v>18.87</v>
      </c>
      <c r="T235" s="2">
        <v>36.270000000000003</v>
      </c>
      <c r="U235" s="2">
        <v>21.5</v>
      </c>
      <c r="V235" s="2">
        <v>29.01</v>
      </c>
      <c r="W235" s="2">
        <v>0</v>
      </c>
      <c r="X235" s="2">
        <v>4.0599999999999996</v>
      </c>
      <c r="Y235" s="2">
        <v>3.32</v>
      </c>
      <c r="Z235" s="2">
        <v>23.64</v>
      </c>
      <c r="AA235" s="2">
        <v>19.5</v>
      </c>
      <c r="AB235" s="2">
        <v>3.19</v>
      </c>
      <c r="AC235" s="2">
        <v>24.5</v>
      </c>
      <c r="AD235" s="2">
        <v>4.45</v>
      </c>
      <c r="AE235" s="2">
        <v>40.18</v>
      </c>
      <c r="AF235" s="2">
        <v>70.09</v>
      </c>
      <c r="AG235" s="2">
        <v>10.69</v>
      </c>
      <c r="AH235" s="4">
        <f t="shared" si="3"/>
        <v>538.03</v>
      </c>
    </row>
    <row r="236" spans="1:34" x14ac:dyDescent="0.2">
      <c r="A236" s="3">
        <v>15096</v>
      </c>
      <c r="B236" s="2">
        <v>25.34</v>
      </c>
      <c r="C236" s="2">
        <v>46.37</v>
      </c>
      <c r="D236" s="2">
        <v>-10.56</v>
      </c>
      <c r="E236" s="2">
        <v>-1.02</v>
      </c>
      <c r="F236" s="2">
        <v>23.49</v>
      </c>
      <c r="G236" s="2">
        <v>-79.38</v>
      </c>
      <c r="H236" s="2">
        <v>21.09</v>
      </c>
      <c r="I236" s="2">
        <v>35.950000000000003</v>
      </c>
      <c r="J236" s="2">
        <v>17.489999999999998</v>
      </c>
      <c r="K236" s="2">
        <v>2.96</v>
      </c>
      <c r="L236" s="2">
        <v>8.82</v>
      </c>
      <c r="M236" s="2">
        <v>1.99</v>
      </c>
      <c r="N236" s="2">
        <v>42.28</v>
      </c>
      <c r="O236" s="2">
        <v>8.27</v>
      </c>
      <c r="P236" s="2">
        <v>83.94</v>
      </c>
      <c r="Q236" s="2">
        <v>14.62</v>
      </c>
      <c r="R236" s="2">
        <v>3.63</v>
      </c>
      <c r="S236" s="2">
        <v>47.37</v>
      </c>
      <c r="T236" s="2">
        <v>16.18</v>
      </c>
      <c r="U236" s="2">
        <v>26.07</v>
      </c>
      <c r="V236" s="2">
        <v>26.3</v>
      </c>
      <c r="W236" s="2">
        <v>0</v>
      </c>
      <c r="X236" s="2">
        <v>4.91</v>
      </c>
      <c r="Y236" s="2">
        <v>4.5599999999999996</v>
      </c>
      <c r="Z236" s="2">
        <v>11.34</v>
      </c>
      <c r="AA236" s="2">
        <v>7.74</v>
      </c>
      <c r="AB236" s="2">
        <v>11.33</v>
      </c>
      <c r="AC236" s="2">
        <v>17.329999999999998</v>
      </c>
      <c r="AD236" s="2">
        <v>5.69</v>
      </c>
      <c r="AE236" s="2">
        <v>32.630000000000003</v>
      </c>
      <c r="AF236" s="2">
        <v>86.72</v>
      </c>
      <c r="AG236" s="2">
        <v>14.64</v>
      </c>
      <c r="AH236" s="4">
        <f t="shared" si="3"/>
        <v>361.2</v>
      </c>
    </row>
    <row r="237" spans="1:34" x14ac:dyDescent="0.2">
      <c r="A237" s="3">
        <v>15127</v>
      </c>
      <c r="B237" s="2">
        <v>17.600000000000001</v>
      </c>
      <c r="C237" s="2">
        <v>27.4</v>
      </c>
      <c r="D237" s="2">
        <v>-16.329999999999998</v>
      </c>
      <c r="E237" s="2">
        <v>-107.03</v>
      </c>
      <c r="F237" s="2">
        <v>-66.59</v>
      </c>
      <c r="G237" s="2">
        <v>-71.17</v>
      </c>
      <c r="H237" s="2">
        <v>24.57</v>
      </c>
      <c r="I237" s="2">
        <v>36.869999999999997</v>
      </c>
      <c r="J237" s="2">
        <v>35.26</v>
      </c>
      <c r="K237" s="2">
        <v>67</v>
      </c>
      <c r="L237" s="2">
        <v>62.93</v>
      </c>
      <c r="M237" s="2">
        <v>40.6</v>
      </c>
      <c r="N237" s="2">
        <v>84.97</v>
      </c>
      <c r="O237" s="2">
        <v>20.190000000000001</v>
      </c>
      <c r="P237" s="2">
        <v>123.84</v>
      </c>
      <c r="Q237" s="2">
        <v>16.940000000000001</v>
      </c>
      <c r="R237" s="2">
        <v>12.47</v>
      </c>
      <c r="S237" s="2">
        <v>49.49</v>
      </c>
      <c r="T237" s="2">
        <v>28.92</v>
      </c>
      <c r="U237" s="2">
        <v>60.02</v>
      </c>
      <c r="V237" s="2">
        <v>51.29</v>
      </c>
      <c r="W237" s="2">
        <v>4.88</v>
      </c>
      <c r="X237" s="2">
        <v>7.93</v>
      </c>
      <c r="Y237" s="2">
        <v>6.89</v>
      </c>
      <c r="Z237" s="2">
        <v>1.2</v>
      </c>
      <c r="AA237" s="2">
        <v>0.14000000000000001</v>
      </c>
      <c r="AB237" s="2">
        <v>0.68</v>
      </c>
      <c r="AC237" s="2">
        <v>1.22</v>
      </c>
      <c r="AD237" s="2">
        <v>10.58</v>
      </c>
      <c r="AE237" s="2">
        <v>4.1900000000000004</v>
      </c>
      <c r="AF237" s="2">
        <v>97.94</v>
      </c>
      <c r="AG237" s="2">
        <v>17.690000000000001</v>
      </c>
      <c r="AH237" s="4">
        <f t="shared" si="3"/>
        <v>499.24000000000007</v>
      </c>
    </row>
    <row r="238" spans="1:34" x14ac:dyDescent="0.2">
      <c r="A238" s="3">
        <v>15157</v>
      </c>
      <c r="B238" s="2">
        <v>10.61</v>
      </c>
      <c r="C238" s="2">
        <v>21.92</v>
      </c>
      <c r="D238" s="2">
        <v>-16.079999999999998</v>
      </c>
      <c r="E238" s="2">
        <v>-116.35</v>
      </c>
      <c r="F238" s="2">
        <v>-128.01</v>
      </c>
      <c r="G238" s="2">
        <v>-59.13</v>
      </c>
      <c r="H238" s="2">
        <v>-1.62</v>
      </c>
      <c r="I238" s="2">
        <v>24.72</v>
      </c>
      <c r="J238" s="2">
        <v>-2.21</v>
      </c>
      <c r="K238" s="2">
        <v>14.06</v>
      </c>
      <c r="L238" s="2">
        <v>-8.0399999999999991</v>
      </c>
      <c r="M238" s="2">
        <v>16.579999999999998</v>
      </c>
      <c r="N238" s="2">
        <v>41.79</v>
      </c>
      <c r="O238" s="2">
        <v>27.41</v>
      </c>
      <c r="P238" s="2">
        <v>42.05</v>
      </c>
      <c r="Q238" s="2">
        <v>17.07</v>
      </c>
      <c r="R238" s="2">
        <v>11.47</v>
      </c>
      <c r="S238" s="2">
        <v>36.25</v>
      </c>
      <c r="T238" s="2">
        <v>16.95</v>
      </c>
      <c r="U238" s="2">
        <v>47.49</v>
      </c>
      <c r="V238" s="2">
        <v>38.33</v>
      </c>
      <c r="W238" s="2">
        <v>18.62</v>
      </c>
      <c r="X238" s="2">
        <v>13.25</v>
      </c>
      <c r="Y238" s="2">
        <v>13.01</v>
      </c>
      <c r="Z238" s="2">
        <v>0</v>
      </c>
      <c r="AA238" s="2">
        <v>0</v>
      </c>
      <c r="AB238" s="2">
        <v>0</v>
      </c>
      <c r="AC238" s="2">
        <v>0</v>
      </c>
      <c r="AD238" s="2">
        <v>13.96</v>
      </c>
      <c r="AE238" s="2">
        <v>0.28000000000000003</v>
      </c>
      <c r="AF238" s="2">
        <v>107.19</v>
      </c>
      <c r="AG238" s="2">
        <v>22.83</v>
      </c>
      <c r="AH238" s="4">
        <f t="shared" si="3"/>
        <v>35.260000000000041</v>
      </c>
    </row>
    <row r="239" spans="1:34" x14ac:dyDescent="0.2">
      <c r="A239" s="3">
        <v>15188</v>
      </c>
      <c r="B239" s="2">
        <v>5.95</v>
      </c>
      <c r="C239" s="2">
        <v>19.32</v>
      </c>
      <c r="D239" s="2">
        <v>-13.75</v>
      </c>
      <c r="E239" s="2">
        <v>-108.73</v>
      </c>
      <c r="F239" s="2">
        <v>-74.27</v>
      </c>
      <c r="G239" s="2">
        <v>-40.85</v>
      </c>
      <c r="H239" s="2">
        <v>2.6</v>
      </c>
      <c r="I239" s="2">
        <v>20.440000000000001</v>
      </c>
      <c r="J239" s="2">
        <v>-38.47</v>
      </c>
      <c r="K239" s="2">
        <v>-58.58</v>
      </c>
      <c r="L239" s="2">
        <v>-71.349999999999994</v>
      </c>
      <c r="M239" s="2">
        <v>-51.05</v>
      </c>
      <c r="N239" s="2">
        <v>-4.03</v>
      </c>
      <c r="O239" s="2">
        <v>27.62</v>
      </c>
      <c r="P239" s="2">
        <v>8.5500000000000007</v>
      </c>
      <c r="Q239" s="2">
        <v>9.35</v>
      </c>
      <c r="R239" s="2">
        <v>4.7300000000000004</v>
      </c>
      <c r="S239" s="2">
        <v>18.2</v>
      </c>
      <c r="T239" s="2">
        <v>24.57</v>
      </c>
      <c r="U239" s="2">
        <v>21.58</v>
      </c>
      <c r="V239" s="2">
        <v>32.119999999999997</v>
      </c>
      <c r="W239" s="2">
        <v>30.39</v>
      </c>
      <c r="X239" s="2">
        <v>18.46</v>
      </c>
      <c r="Y239" s="2">
        <v>18.54</v>
      </c>
      <c r="Z239" s="2">
        <v>0</v>
      </c>
      <c r="AA239" s="2">
        <v>0.17</v>
      </c>
      <c r="AB239" s="2">
        <v>0</v>
      </c>
      <c r="AC239" s="2">
        <v>0</v>
      </c>
      <c r="AD239" s="2">
        <v>9.5</v>
      </c>
      <c r="AE239" s="2">
        <v>0</v>
      </c>
      <c r="AF239" s="2">
        <v>116.73</v>
      </c>
      <c r="AG239" s="2">
        <v>24.8</v>
      </c>
      <c r="AH239" s="4">
        <f t="shared" si="3"/>
        <v>-266.05</v>
      </c>
    </row>
    <row r="240" spans="1:34" x14ac:dyDescent="0.2">
      <c r="A240" s="3">
        <v>15219</v>
      </c>
      <c r="B240" s="2">
        <v>4.0199999999999996</v>
      </c>
      <c r="C240" s="2">
        <v>18.72</v>
      </c>
      <c r="D240" s="2">
        <v>-8.9700000000000006</v>
      </c>
      <c r="E240" s="2">
        <v>-90.91</v>
      </c>
      <c r="F240" s="2">
        <v>-46.26</v>
      </c>
      <c r="G240" s="2">
        <v>-22.3</v>
      </c>
      <c r="H240" s="2">
        <v>7.64</v>
      </c>
      <c r="I240" s="2">
        <v>20.45</v>
      </c>
      <c r="J240" s="2">
        <v>-31.54</v>
      </c>
      <c r="K240" s="2">
        <v>-47.34</v>
      </c>
      <c r="L240" s="2">
        <v>-46.31</v>
      </c>
      <c r="M240" s="2">
        <v>-33.090000000000003</v>
      </c>
      <c r="N240" s="2">
        <v>-14.43</v>
      </c>
      <c r="O240" s="2">
        <v>30.54</v>
      </c>
      <c r="P240" s="2">
        <v>-1.64</v>
      </c>
      <c r="Q240" s="2">
        <v>-0.35</v>
      </c>
      <c r="R240" s="2">
        <v>12.77</v>
      </c>
      <c r="S240" s="2">
        <v>8.73</v>
      </c>
      <c r="T240" s="2">
        <v>37.340000000000003</v>
      </c>
      <c r="U240" s="2">
        <v>6.69</v>
      </c>
      <c r="V240" s="2">
        <v>26.22</v>
      </c>
      <c r="W240" s="2">
        <v>31.47</v>
      </c>
      <c r="X240" s="2">
        <v>20.76</v>
      </c>
      <c r="Y240" s="2">
        <v>21.02</v>
      </c>
      <c r="Z240" s="2">
        <v>0.24</v>
      </c>
      <c r="AA240" s="2">
        <v>20.93</v>
      </c>
      <c r="AB240" s="2">
        <v>1.71</v>
      </c>
      <c r="AC240" s="2">
        <v>6.5</v>
      </c>
      <c r="AD240" s="2">
        <v>6.45</v>
      </c>
      <c r="AE240" s="2">
        <v>0.19</v>
      </c>
      <c r="AF240" s="2">
        <v>118.71</v>
      </c>
      <c r="AG240" s="2">
        <v>23.65</v>
      </c>
      <c r="AH240" s="4">
        <f t="shared" si="3"/>
        <v>-170.02000000000004</v>
      </c>
    </row>
    <row r="241" spans="1:34" x14ac:dyDescent="0.2">
      <c r="A241" s="3">
        <v>15249</v>
      </c>
      <c r="B241" s="2">
        <v>3.1</v>
      </c>
      <c r="C241" s="2">
        <v>18.54</v>
      </c>
      <c r="D241" s="2">
        <v>-4.71</v>
      </c>
      <c r="E241" s="2">
        <v>-65.180000000000007</v>
      </c>
      <c r="F241" s="2">
        <v>-34.630000000000003</v>
      </c>
      <c r="G241" s="2">
        <v>-5.93</v>
      </c>
      <c r="H241" s="2">
        <v>15.7</v>
      </c>
      <c r="I241" s="2">
        <v>25.18</v>
      </c>
      <c r="J241" s="2">
        <v>-4.76</v>
      </c>
      <c r="K241" s="2">
        <v>-24.83</v>
      </c>
      <c r="L241" s="2">
        <v>-22.9</v>
      </c>
      <c r="M241" s="2">
        <v>-17.62</v>
      </c>
      <c r="N241" s="2">
        <v>7.18</v>
      </c>
      <c r="O241" s="2">
        <v>4.79</v>
      </c>
      <c r="P241" s="2">
        <v>-0.5</v>
      </c>
      <c r="Q241" s="2">
        <v>3.86</v>
      </c>
      <c r="R241" s="2">
        <v>4.53</v>
      </c>
      <c r="S241" s="2">
        <v>2.81</v>
      </c>
      <c r="T241" s="2">
        <v>22.81</v>
      </c>
      <c r="U241" s="2">
        <v>9.94</v>
      </c>
      <c r="V241" s="2">
        <v>13.26</v>
      </c>
      <c r="W241" s="2">
        <v>26.1</v>
      </c>
      <c r="X241" s="2">
        <v>19.690000000000001</v>
      </c>
      <c r="Y241" s="2">
        <v>19.71</v>
      </c>
      <c r="Z241" s="2">
        <v>0</v>
      </c>
      <c r="AA241" s="2">
        <v>0.14000000000000001</v>
      </c>
      <c r="AB241" s="2">
        <v>0</v>
      </c>
      <c r="AC241" s="2">
        <v>0</v>
      </c>
      <c r="AD241" s="2">
        <v>4.62</v>
      </c>
      <c r="AE241" s="2">
        <v>0</v>
      </c>
      <c r="AF241" s="2">
        <v>110.57</v>
      </c>
      <c r="AG241" s="2">
        <v>20.170000000000002</v>
      </c>
      <c r="AH241" s="4">
        <f t="shared" si="3"/>
        <v>-49.359999999999978</v>
      </c>
    </row>
    <row r="242" spans="1:34" x14ac:dyDescent="0.2">
      <c r="A242" s="3">
        <v>15280</v>
      </c>
      <c r="B242" s="2">
        <v>3.72</v>
      </c>
      <c r="C242" s="2">
        <v>19.59</v>
      </c>
      <c r="D242" s="2">
        <v>-0.33</v>
      </c>
      <c r="E242" s="2">
        <v>-23.87</v>
      </c>
      <c r="F242" s="2">
        <v>-20.68</v>
      </c>
      <c r="G242" s="2">
        <v>5.49</v>
      </c>
      <c r="H242" s="2">
        <v>17.38</v>
      </c>
      <c r="I242" s="2">
        <v>26.89</v>
      </c>
      <c r="J242" s="2">
        <v>5.66</v>
      </c>
      <c r="K242" s="2">
        <v>-12.35</v>
      </c>
      <c r="L242" s="2">
        <v>-8.58</v>
      </c>
      <c r="M242" s="2">
        <v>-5.99</v>
      </c>
      <c r="N242" s="2">
        <v>5.95</v>
      </c>
      <c r="O242" s="2">
        <v>7.54</v>
      </c>
      <c r="P242" s="2">
        <v>8.06</v>
      </c>
      <c r="Q242" s="2">
        <v>2.33</v>
      </c>
      <c r="R242" s="2">
        <v>-1.78</v>
      </c>
      <c r="S242" s="2">
        <v>2.17</v>
      </c>
      <c r="T242" s="2">
        <v>23.01</v>
      </c>
      <c r="U242" s="2">
        <v>9</v>
      </c>
      <c r="V242" s="2">
        <v>14.4</v>
      </c>
      <c r="W242" s="2">
        <v>22.19</v>
      </c>
      <c r="X242" s="2">
        <v>18.25</v>
      </c>
      <c r="Y242" s="2">
        <v>18.22</v>
      </c>
      <c r="Z242" s="2">
        <v>1.63</v>
      </c>
      <c r="AA242" s="2">
        <v>12.9</v>
      </c>
      <c r="AB242" s="2">
        <v>4.12</v>
      </c>
      <c r="AC242" s="2">
        <v>23.96</v>
      </c>
      <c r="AD242" s="2">
        <v>2.46</v>
      </c>
      <c r="AE242" s="2">
        <v>7.64</v>
      </c>
      <c r="AF242" s="2">
        <v>100.29</v>
      </c>
      <c r="AG242" s="2">
        <v>16.420000000000002</v>
      </c>
      <c r="AH242" s="4">
        <f t="shared" si="3"/>
        <v>77.61</v>
      </c>
    </row>
    <row r="243" spans="1:34" x14ac:dyDescent="0.2">
      <c r="A243" s="3">
        <v>15310</v>
      </c>
      <c r="B243" s="2">
        <v>5.37</v>
      </c>
      <c r="C243" s="2">
        <v>19.93</v>
      </c>
      <c r="D243" s="2">
        <v>0.73</v>
      </c>
      <c r="E243" s="2">
        <v>-3.54</v>
      </c>
      <c r="F243" s="2">
        <v>-4.26</v>
      </c>
      <c r="G243" s="2">
        <v>12.41</v>
      </c>
      <c r="H243" s="2">
        <v>16.079999999999998</v>
      </c>
      <c r="I243" s="2">
        <v>25.57</v>
      </c>
      <c r="J243" s="2">
        <v>9.59</v>
      </c>
      <c r="K243" s="2">
        <v>-11.3</v>
      </c>
      <c r="L243" s="2">
        <v>-5.14</v>
      </c>
      <c r="M243" s="2">
        <v>-6.64</v>
      </c>
      <c r="N243" s="2">
        <v>3.31</v>
      </c>
      <c r="O243" s="2">
        <v>4.1900000000000004</v>
      </c>
      <c r="P243" s="2">
        <v>7.95</v>
      </c>
      <c r="Q243" s="2">
        <v>1.4</v>
      </c>
      <c r="R243" s="2">
        <v>-4.2699999999999996</v>
      </c>
      <c r="S243" s="2">
        <v>2.0499999999999998</v>
      </c>
      <c r="T243" s="2">
        <v>22.06</v>
      </c>
      <c r="U243" s="2">
        <v>9.59</v>
      </c>
      <c r="V243" s="2">
        <v>11.2</v>
      </c>
      <c r="W243" s="2">
        <v>15.43</v>
      </c>
      <c r="X243" s="2">
        <v>12.07</v>
      </c>
      <c r="Y243" s="2">
        <v>10.96</v>
      </c>
      <c r="Z243" s="2">
        <v>14.69</v>
      </c>
      <c r="AA243" s="2">
        <v>21.36</v>
      </c>
      <c r="AB243" s="2">
        <v>0.17</v>
      </c>
      <c r="AC243" s="2">
        <v>2.44</v>
      </c>
      <c r="AD243" s="2">
        <v>1.32</v>
      </c>
      <c r="AE243" s="2">
        <v>4.0999999999999996</v>
      </c>
      <c r="AF243" s="2">
        <v>65.81</v>
      </c>
      <c r="AG243" s="2">
        <v>12.92</v>
      </c>
      <c r="AH243" s="4">
        <f t="shared" si="3"/>
        <v>116.28000000000002</v>
      </c>
    </row>
    <row r="244" spans="1:34" x14ac:dyDescent="0.2">
      <c r="A244" s="3">
        <v>15341</v>
      </c>
      <c r="B244" s="2">
        <v>16.43</v>
      </c>
      <c r="C244" s="2">
        <v>38.56</v>
      </c>
      <c r="D244" s="2">
        <v>56.76</v>
      </c>
      <c r="E244" s="2">
        <v>175.96</v>
      </c>
      <c r="F244" s="2">
        <v>173.25</v>
      </c>
      <c r="G244" s="2">
        <v>180.07</v>
      </c>
      <c r="H244" s="2">
        <v>54.14</v>
      </c>
      <c r="I244" s="2">
        <v>41.52</v>
      </c>
      <c r="J244" s="2">
        <v>79.569999999999993</v>
      </c>
      <c r="K244" s="2">
        <v>60.93</v>
      </c>
      <c r="L244" s="2">
        <v>31.78</v>
      </c>
      <c r="M244" s="2">
        <v>29.4</v>
      </c>
      <c r="N244" s="2">
        <v>64.69</v>
      </c>
      <c r="O244" s="2">
        <v>7.2</v>
      </c>
      <c r="P244" s="2">
        <v>109.52</v>
      </c>
      <c r="Q244" s="2">
        <v>4.4800000000000004</v>
      </c>
      <c r="R244" s="2">
        <v>2.11</v>
      </c>
      <c r="S244" s="2">
        <v>57.74</v>
      </c>
      <c r="T244" s="2">
        <v>60.49</v>
      </c>
      <c r="U244" s="2">
        <v>9.65</v>
      </c>
      <c r="V244" s="2">
        <v>20.12</v>
      </c>
      <c r="W244" s="2">
        <v>11.73</v>
      </c>
      <c r="X244" s="2">
        <v>9.86</v>
      </c>
      <c r="Y244" s="2">
        <v>9.9600000000000009</v>
      </c>
      <c r="Z244" s="2">
        <v>6.27</v>
      </c>
      <c r="AA244" s="2">
        <v>9.18</v>
      </c>
      <c r="AB244" s="2">
        <v>14.02</v>
      </c>
      <c r="AC244" s="2">
        <v>18.68</v>
      </c>
      <c r="AD244" s="2">
        <v>1.41</v>
      </c>
      <c r="AE244" s="2">
        <v>54.25</v>
      </c>
      <c r="AF244" s="2">
        <v>60.46</v>
      </c>
      <c r="AG244" s="2">
        <v>11.2</v>
      </c>
      <c r="AH244" s="4">
        <f t="shared" si="3"/>
        <v>1274.3699999999999</v>
      </c>
    </row>
    <row r="245" spans="1:34" x14ac:dyDescent="0.2">
      <c r="A245" s="3">
        <v>15372</v>
      </c>
      <c r="B245" s="2">
        <v>17.79</v>
      </c>
      <c r="C245" s="2">
        <v>48.24</v>
      </c>
      <c r="D245" s="2">
        <v>34.42</v>
      </c>
      <c r="E245" s="2">
        <v>77.59</v>
      </c>
      <c r="F245" s="2">
        <v>89.64</v>
      </c>
      <c r="G245" s="2">
        <v>128.53</v>
      </c>
      <c r="H245" s="2">
        <v>27.59</v>
      </c>
      <c r="I245" s="2">
        <v>47.06</v>
      </c>
      <c r="J245" s="2">
        <v>93.06</v>
      </c>
      <c r="K245" s="2">
        <v>8.86</v>
      </c>
      <c r="L245" s="2">
        <v>20.41</v>
      </c>
      <c r="M245" s="2">
        <v>5.79</v>
      </c>
      <c r="N245" s="2">
        <v>34.36</v>
      </c>
      <c r="O245" s="2">
        <v>6.67</v>
      </c>
      <c r="P245" s="2">
        <v>44.27</v>
      </c>
      <c r="Q245" s="2">
        <v>2.61</v>
      </c>
      <c r="R245" s="2">
        <v>2.13</v>
      </c>
      <c r="S245" s="2">
        <v>14.12</v>
      </c>
      <c r="T245" s="2">
        <v>10.01</v>
      </c>
      <c r="U245" s="2">
        <v>12.46</v>
      </c>
      <c r="V245" s="2">
        <v>19.260000000000002</v>
      </c>
      <c r="W245" s="2">
        <v>4.26</v>
      </c>
      <c r="X245" s="2">
        <v>9.06</v>
      </c>
      <c r="Y245" s="2">
        <v>7.74</v>
      </c>
      <c r="Z245" s="2">
        <v>0.43</v>
      </c>
      <c r="AA245" s="2">
        <v>0.72</v>
      </c>
      <c r="AB245" s="2">
        <v>0.78</v>
      </c>
      <c r="AC245" s="2">
        <v>0</v>
      </c>
      <c r="AD245" s="2">
        <v>1.45</v>
      </c>
      <c r="AE245" s="2">
        <v>41.67</v>
      </c>
      <c r="AF245" s="2">
        <v>71.25</v>
      </c>
      <c r="AG245" s="2">
        <v>9.8800000000000008</v>
      </c>
      <c r="AH245" s="4">
        <f t="shared" si="3"/>
        <v>744.87</v>
      </c>
    </row>
    <row r="246" spans="1:34" x14ac:dyDescent="0.2">
      <c r="A246" s="3">
        <v>15400</v>
      </c>
      <c r="B246" s="2">
        <v>24.5</v>
      </c>
      <c r="C246" s="2">
        <v>66.56</v>
      </c>
      <c r="D246" s="2">
        <v>49.51</v>
      </c>
      <c r="E246" s="2">
        <v>117.59</v>
      </c>
      <c r="F246" s="2">
        <v>145.08000000000001</v>
      </c>
      <c r="G246" s="2">
        <v>157.44999999999999</v>
      </c>
      <c r="H246" s="2">
        <v>13.8</v>
      </c>
      <c r="I246" s="2">
        <v>40.119999999999997</v>
      </c>
      <c r="J246" s="2">
        <v>40.17</v>
      </c>
      <c r="K246" s="2">
        <v>1</v>
      </c>
      <c r="L246" s="2">
        <v>18.05</v>
      </c>
      <c r="M246" s="2">
        <v>-7.2</v>
      </c>
      <c r="N246" s="2">
        <v>28.89</v>
      </c>
      <c r="O246" s="2">
        <v>6.47</v>
      </c>
      <c r="P246" s="2">
        <v>15.91</v>
      </c>
      <c r="Q246" s="2">
        <v>-0.09</v>
      </c>
      <c r="R246" s="2">
        <v>1.1100000000000001</v>
      </c>
      <c r="S246" s="2">
        <v>1.08</v>
      </c>
      <c r="T246" s="2">
        <v>12.08</v>
      </c>
      <c r="U246" s="2">
        <v>11.02</v>
      </c>
      <c r="V246" s="2">
        <v>15.57</v>
      </c>
      <c r="W246" s="2">
        <v>0</v>
      </c>
      <c r="X246" s="2">
        <v>2.67</v>
      </c>
      <c r="Y246" s="2">
        <v>2.73</v>
      </c>
      <c r="Z246" s="2">
        <v>2.06</v>
      </c>
      <c r="AA246" s="2">
        <v>1.86</v>
      </c>
      <c r="AB246" s="2">
        <v>0.11</v>
      </c>
      <c r="AC246" s="2">
        <v>1.08</v>
      </c>
      <c r="AD246" s="2">
        <v>1.76</v>
      </c>
      <c r="AE246" s="2">
        <v>16.22</v>
      </c>
      <c r="AF246" s="2">
        <v>59.39</v>
      </c>
      <c r="AG246" s="2">
        <v>10.08</v>
      </c>
      <c r="AH246" s="4">
        <f t="shared" si="3"/>
        <v>758.67</v>
      </c>
    </row>
    <row r="247" spans="1:34" x14ac:dyDescent="0.2">
      <c r="A247" s="3">
        <v>15431</v>
      </c>
      <c r="B247" s="2">
        <v>14.5</v>
      </c>
      <c r="C247" s="2">
        <v>30.87</v>
      </c>
      <c r="D247" s="2">
        <v>-24.26</v>
      </c>
      <c r="E247" s="2">
        <v>-121.87</v>
      </c>
      <c r="F247" s="2">
        <v>-142.13</v>
      </c>
      <c r="G247" s="2">
        <v>-103.88</v>
      </c>
      <c r="H247" s="2">
        <v>17.14</v>
      </c>
      <c r="I247" s="2">
        <v>33.619999999999997</v>
      </c>
      <c r="J247" s="2">
        <v>2.73</v>
      </c>
      <c r="K247" s="2">
        <v>13.42</v>
      </c>
      <c r="L247" s="2">
        <v>-4.67</v>
      </c>
      <c r="M247" s="2">
        <v>5.55</v>
      </c>
      <c r="N247" s="2">
        <v>32.44</v>
      </c>
      <c r="O247" s="2">
        <v>7.84</v>
      </c>
      <c r="P247" s="2">
        <v>32.74</v>
      </c>
      <c r="Q247" s="2">
        <v>1.55</v>
      </c>
      <c r="R247" s="2">
        <v>-1.75</v>
      </c>
      <c r="S247" s="2">
        <v>5.13</v>
      </c>
      <c r="T247" s="2">
        <v>24.04</v>
      </c>
      <c r="U247" s="2">
        <v>8.74</v>
      </c>
      <c r="V247" s="2">
        <v>18.14</v>
      </c>
      <c r="W247" s="2">
        <v>0</v>
      </c>
      <c r="X247" s="2">
        <v>3.45</v>
      </c>
      <c r="Y247" s="2">
        <v>2.4700000000000002</v>
      </c>
      <c r="Z247" s="2">
        <v>2.68</v>
      </c>
      <c r="AA247" s="2">
        <v>9.4600000000000009</v>
      </c>
      <c r="AB247" s="2">
        <v>1.5</v>
      </c>
      <c r="AC247" s="2">
        <v>5.55</v>
      </c>
      <c r="AD247" s="2">
        <v>3.53</v>
      </c>
      <c r="AE247" s="2">
        <v>20.23</v>
      </c>
      <c r="AF247" s="2">
        <v>70.09</v>
      </c>
      <c r="AG247" s="2">
        <v>10.69</v>
      </c>
      <c r="AH247" s="4">
        <f t="shared" si="3"/>
        <v>-150.10999999999996</v>
      </c>
    </row>
    <row r="248" spans="1:34" x14ac:dyDescent="0.2">
      <c r="A248" s="3">
        <v>15461</v>
      </c>
      <c r="B248" s="2">
        <v>16.39</v>
      </c>
      <c r="C248" s="2">
        <v>35.42</v>
      </c>
      <c r="D248" s="2">
        <v>11.01</v>
      </c>
      <c r="E248" s="2">
        <v>28.72</v>
      </c>
      <c r="F248" s="2">
        <v>48.53</v>
      </c>
      <c r="G248" s="2">
        <v>-14.56</v>
      </c>
      <c r="H248" s="2">
        <v>34.840000000000003</v>
      </c>
      <c r="I248" s="2">
        <v>42.39</v>
      </c>
      <c r="J248" s="2">
        <v>51.59</v>
      </c>
      <c r="K248" s="2">
        <v>39.76</v>
      </c>
      <c r="L248" s="2">
        <v>38.75</v>
      </c>
      <c r="M248" s="2">
        <v>23.23</v>
      </c>
      <c r="N248" s="2">
        <v>46.38</v>
      </c>
      <c r="O248" s="2">
        <v>6.72</v>
      </c>
      <c r="P248" s="2">
        <v>41.05</v>
      </c>
      <c r="Q248" s="2">
        <v>7.65</v>
      </c>
      <c r="R248" s="2">
        <v>2.69</v>
      </c>
      <c r="S248" s="2">
        <v>18.64</v>
      </c>
      <c r="T248" s="2">
        <v>10.72</v>
      </c>
      <c r="U248" s="2">
        <v>15.94</v>
      </c>
      <c r="V248" s="2">
        <v>26.51</v>
      </c>
      <c r="W248" s="2">
        <v>0</v>
      </c>
      <c r="X248" s="2">
        <v>4.1900000000000004</v>
      </c>
      <c r="Y248" s="2">
        <v>3.5</v>
      </c>
      <c r="Z248" s="2">
        <v>5.26</v>
      </c>
      <c r="AA248" s="2">
        <v>2.72</v>
      </c>
      <c r="AB248" s="2">
        <v>4.2300000000000004</v>
      </c>
      <c r="AC248" s="2">
        <v>1.35</v>
      </c>
      <c r="AD248" s="2">
        <v>4.18</v>
      </c>
      <c r="AE248" s="2">
        <v>23.12</v>
      </c>
      <c r="AF248" s="2">
        <v>86.72</v>
      </c>
      <c r="AG248" s="2">
        <v>14.64</v>
      </c>
      <c r="AH248" s="4">
        <f t="shared" si="3"/>
        <v>532.37000000000012</v>
      </c>
    </row>
    <row r="249" spans="1:34" x14ac:dyDescent="0.2">
      <c r="A249" s="3">
        <v>15492</v>
      </c>
      <c r="B249" s="2">
        <v>12.33</v>
      </c>
      <c r="C249" s="2">
        <v>25.2</v>
      </c>
      <c r="D249" s="2">
        <v>-7.75</v>
      </c>
      <c r="E249" s="2">
        <v>-63.41</v>
      </c>
      <c r="F249" s="2">
        <v>-51.18</v>
      </c>
      <c r="G249" s="2">
        <v>-37.520000000000003</v>
      </c>
      <c r="H249" s="2">
        <v>15.16</v>
      </c>
      <c r="I249" s="2">
        <v>38.630000000000003</v>
      </c>
      <c r="J249" s="2">
        <v>32.42</v>
      </c>
      <c r="K249" s="2">
        <v>28.5</v>
      </c>
      <c r="L249" s="2">
        <v>38.619999999999997</v>
      </c>
      <c r="M249" s="2">
        <v>23.3</v>
      </c>
      <c r="N249" s="2">
        <v>47.12</v>
      </c>
      <c r="O249" s="2">
        <v>14.95</v>
      </c>
      <c r="P249" s="2">
        <v>73.12</v>
      </c>
      <c r="Q249" s="2">
        <v>10.76</v>
      </c>
      <c r="R249" s="2">
        <v>8.16</v>
      </c>
      <c r="S249" s="2">
        <v>20.65</v>
      </c>
      <c r="T249" s="2">
        <v>7.05</v>
      </c>
      <c r="U249" s="2">
        <v>24.78</v>
      </c>
      <c r="V249" s="2">
        <v>29.9</v>
      </c>
      <c r="W249" s="2">
        <v>4.88</v>
      </c>
      <c r="X249" s="2">
        <v>7.06</v>
      </c>
      <c r="Y249" s="2">
        <v>5.71</v>
      </c>
      <c r="Z249" s="2">
        <v>0</v>
      </c>
      <c r="AA249" s="2">
        <v>0</v>
      </c>
      <c r="AB249" s="2">
        <v>0</v>
      </c>
      <c r="AC249" s="2">
        <v>0</v>
      </c>
      <c r="AD249" s="2">
        <v>8.3800000000000008</v>
      </c>
      <c r="AE249" s="2">
        <v>7.83</v>
      </c>
      <c r="AF249" s="2">
        <v>97.94</v>
      </c>
      <c r="AG249" s="2">
        <v>17.690000000000001</v>
      </c>
      <c r="AH249" s="4">
        <f t="shared" si="3"/>
        <v>290.78999999999996</v>
      </c>
    </row>
    <row r="250" spans="1:34" x14ac:dyDescent="0.2">
      <c r="A250" s="3">
        <v>15522</v>
      </c>
      <c r="B250" s="2">
        <v>5.37</v>
      </c>
      <c r="C250" s="2">
        <v>20.57</v>
      </c>
      <c r="D250" s="2">
        <v>-9.74</v>
      </c>
      <c r="E250" s="2">
        <v>-84.86</v>
      </c>
      <c r="F250" s="2">
        <v>-73.55</v>
      </c>
      <c r="G250" s="2">
        <v>-42.75</v>
      </c>
      <c r="H250" s="2">
        <v>3.96</v>
      </c>
      <c r="I250" s="2">
        <v>25.29</v>
      </c>
      <c r="J250" s="2">
        <v>12.59</v>
      </c>
      <c r="K250" s="2">
        <v>29.72</v>
      </c>
      <c r="L250" s="2">
        <v>28.04</v>
      </c>
      <c r="M250" s="2">
        <v>34.07</v>
      </c>
      <c r="N250" s="2">
        <v>48.92</v>
      </c>
      <c r="O250" s="2">
        <v>27.22</v>
      </c>
      <c r="P250" s="2">
        <v>74.16</v>
      </c>
      <c r="Q250" s="2">
        <v>13.45</v>
      </c>
      <c r="R250" s="2">
        <v>9.36</v>
      </c>
      <c r="S250" s="2">
        <v>30.43</v>
      </c>
      <c r="T250" s="2">
        <v>25.56</v>
      </c>
      <c r="U250" s="2">
        <v>23.65</v>
      </c>
      <c r="V250" s="2">
        <v>36.700000000000003</v>
      </c>
      <c r="W250" s="2">
        <v>18.62</v>
      </c>
      <c r="X250" s="2">
        <v>12.32</v>
      </c>
      <c r="Y250" s="2">
        <v>11.65</v>
      </c>
      <c r="Z250" s="2">
        <v>0</v>
      </c>
      <c r="AA250" s="2">
        <v>0</v>
      </c>
      <c r="AB250" s="2">
        <v>0</v>
      </c>
      <c r="AC250" s="2">
        <v>0</v>
      </c>
      <c r="AD250" s="2">
        <v>11.63</v>
      </c>
      <c r="AE250" s="2">
        <v>0</v>
      </c>
      <c r="AF250" s="2">
        <v>107.19</v>
      </c>
      <c r="AG250" s="2">
        <v>22.83</v>
      </c>
      <c r="AH250" s="4">
        <f t="shared" si="3"/>
        <v>238.16000000000003</v>
      </c>
    </row>
    <row r="251" spans="1:34" x14ac:dyDescent="0.2">
      <c r="A251" s="3">
        <v>15553</v>
      </c>
      <c r="B251" s="2">
        <v>1.82</v>
      </c>
      <c r="C251" s="2">
        <v>16.920000000000002</v>
      </c>
      <c r="D251" s="2">
        <v>-11.88</v>
      </c>
      <c r="E251" s="2">
        <v>-100.49</v>
      </c>
      <c r="F251" s="2">
        <v>-74.709999999999994</v>
      </c>
      <c r="G251" s="2">
        <v>-41.47</v>
      </c>
      <c r="H251" s="2">
        <v>-1.75</v>
      </c>
      <c r="I251" s="2">
        <v>19.36</v>
      </c>
      <c r="J251" s="2">
        <v>-38.340000000000003</v>
      </c>
      <c r="K251" s="2">
        <v>-47.44</v>
      </c>
      <c r="L251" s="2">
        <v>-69.09</v>
      </c>
      <c r="M251" s="2">
        <v>-46.36</v>
      </c>
      <c r="N251" s="2">
        <v>-0.02</v>
      </c>
      <c r="O251" s="2">
        <v>39.04</v>
      </c>
      <c r="P251" s="2">
        <v>2.58</v>
      </c>
      <c r="Q251" s="2">
        <v>5.56</v>
      </c>
      <c r="R251" s="2">
        <v>14.81</v>
      </c>
      <c r="S251" s="2">
        <v>10.7</v>
      </c>
      <c r="T251" s="2">
        <v>39.79</v>
      </c>
      <c r="U251" s="2">
        <v>4.75</v>
      </c>
      <c r="V251" s="2">
        <v>33.99</v>
      </c>
      <c r="W251" s="2">
        <v>30.39</v>
      </c>
      <c r="X251" s="2">
        <v>17.45</v>
      </c>
      <c r="Y251" s="2">
        <v>17.16</v>
      </c>
      <c r="Z251" s="2">
        <v>0</v>
      </c>
      <c r="AA251" s="2">
        <v>0</v>
      </c>
      <c r="AB251" s="2">
        <v>0</v>
      </c>
      <c r="AC251" s="2">
        <v>0</v>
      </c>
      <c r="AD251" s="2">
        <v>11.36</v>
      </c>
      <c r="AE251" s="2">
        <v>0</v>
      </c>
      <c r="AF251" s="2">
        <v>116.73</v>
      </c>
      <c r="AG251" s="2">
        <v>24.8</v>
      </c>
      <c r="AH251" s="4">
        <f t="shared" si="3"/>
        <v>-242.23000000000002</v>
      </c>
    </row>
    <row r="252" spans="1:34" x14ac:dyDescent="0.2">
      <c r="A252" s="3">
        <v>15584</v>
      </c>
      <c r="B252" s="2">
        <v>0.56999999999999995</v>
      </c>
      <c r="C252" s="2">
        <v>17.13</v>
      </c>
      <c r="D252" s="2">
        <v>-6.9</v>
      </c>
      <c r="E252" s="2">
        <v>-80.53</v>
      </c>
      <c r="F252" s="2">
        <v>-38.43</v>
      </c>
      <c r="G252" s="2">
        <v>-24.14</v>
      </c>
      <c r="H252" s="2">
        <v>5.07</v>
      </c>
      <c r="I252" s="2">
        <v>18.61</v>
      </c>
      <c r="J252" s="2">
        <v>-34.04</v>
      </c>
      <c r="K252" s="2">
        <v>-40.630000000000003</v>
      </c>
      <c r="L252" s="2">
        <v>-57.41</v>
      </c>
      <c r="M252" s="2">
        <v>-36.32</v>
      </c>
      <c r="N252" s="2">
        <v>-13.41</v>
      </c>
      <c r="O252" s="2">
        <v>36.03</v>
      </c>
      <c r="P252" s="2">
        <v>7.9</v>
      </c>
      <c r="Q252" s="2">
        <v>-0.35</v>
      </c>
      <c r="R252" s="2">
        <v>3.83</v>
      </c>
      <c r="S252" s="2">
        <v>4.03</v>
      </c>
      <c r="T252" s="2">
        <v>36.24</v>
      </c>
      <c r="U252" s="2">
        <v>3.41</v>
      </c>
      <c r="V252" s="2">
        <v>33.83</v>
      </c>
      <c r="W252" s="2">
        <v>31.47</v>
      </c>
      <c r="X252" s="2">
        <v>19.75</v>
      </c>
      <c r="Y252" s="2">
        <v>19.59</v>
      </c>
      <c r="Z252" s="2">
        <v>5.0199999999999996</v>
      </c>
      <c r="AA252" s="2">
        <v>6.96</v>
      </c>
      <c r="AB252" s="2">
        <v>0</v>
      </c>
      <c r="AC252" s="2">
        <v>37.770000000000003</v>
      </c>
      <c r="AD252" s="2">
        <v>7.29</v>
      </c>
      <c r="AE252" s="2">
        <v>0</v>
      </c>
      <c r="AF252" s="2">
        <v>118.71</v>
      </c>
      <c r="AG252" s="2">
        <v>23.65</v>
      </c>
      <c r="AH252" s="4">
        <f t="shared" si="3"/>
        <v>-165.51000000000005</v>
      </c>
    </row>
    <row r="253" spans="1:34" x14ac:dyDescent="0.2">
      <c r="A253" s="3">
        <v>15614</v>
      </c>
      <c r="B253" s="2">
        <v>0.12</v>
      </c>
      <c r="C253" s="2">
        <v>17.96</v>
      </c>
      <c r="D253" s="2">
        <v>-3.01</v>
      </c>
      <c r="E253" s="2">
        <v>-57.56</v>
      </c>
      <c r="F253" s="2">
        <v>-22.1</v>
      </c>
      <c r="G253" s="2">
        <v>-5.47</v>
      </c>
      <c r="H253" s="2">
        <v>14.52</v>
      </c>
      <c r="I253" s="2">
        <v>25</v>
      </c>
      <c r="J253" s="2">
        <v>-3.35</v>
      </c>
      <c r="K253" s="2">
        <v>-19.61</v>
      </c>
      <c r="L253" s="2">
        <v>-27.11</v>
      </c>
      <c r="M253" s="2">
        <v>-16.649999999999999</v>
      </c>
      <c r="N253" s="2">
        <v>10.83</v>
      </c>
      <c r="O253" s="2">
        <v>3.57</v>
      </c>
      <c r="P253" s="2">
        <v>5.28</v>
      </c>
      <c r="Q253" s="2">
        <v>2.08</v>
      </c>
      <c r="R253" s="2">
        <v>0.48</v>
      </c>
      <c r="S253" s="2">
        <v>-0.06</v>
      </c>
      <c r="T253" s="2">
        <v>21.66</v>
      </c>
      <c r="U253" s="2">
        <v>8.16</v>
      </c>
      <c r="V253" s="2">
        <v>14.22</v>
      </c>
      <c r="W253" s="2">
        <v>26.1</v>
      </c>
      <c r="X253" s="2">
        <v>18.78</v>
      </c>
      <c r="Y253" s="2">
        <v>18.420000000000002</v>
      </c>
      <c r="Z253" s="2">
        <v>0</v>
      </c>
      <c r="AA253" s="2">
        <v>0</v>
      </c>
      <c r="AB253" s="2">
        <v>0.67</v>
      </c>
      <c r="AC253" s="2">
        <v>0</v>
      </c>
      <c r="AD253" s="2">
        <v>4.32</v>
      </c>
      <c r="AE253" s="2">
        <v>1.31</v>
      </c>
      <c r="AF253" s="2">
        <v>110.57</v>
      </c>
      <c r="AG253" s="2">
        <v>20.170000000000002</v>
      </c>
      <c r="AH253" s="4">
        <f t="shared" si="3"/>
        <v>-31.040000000000035</v>
      </c>
    </row>
    <row r="254" spans="1:34" x14ac:dyDescent="0.2">
      <c r="A254" s="3">
        <v>15645</v>
      </c>
      <c r="B254" s="2">
        <v>0.67</v>
      </c>
      <c r="C254" s="2">
        <v>19.38</v>
      </c>
      <c r="D254" s="2">
        <v>-2.96</v>
      </c>
      <c r="E254" s="2">
        <v>-20.260000000000002</v>
      </c>
      <c r="F254" s="2">
        <v>-17.739999999999998</v>
      </c>
      <c r="G254" s="2">
        <v>5.9</v>
      </c>
      <c r="H254" s="2">
        <v>18.04</v>
      </c>
      <c r="I254" s="2">
        <v>27.1</v>
      </c>
      <c r="J254" s="2">
        <v>5.01</v>
      </c>
      <c r="K254" s="2">
        <v>-19.010000000000002</v>
      </c>
      <c r="L254" s="2">
        <v>-12.34</v>
      </c>
      <c r="M254" s="2">
        <v>-8.99</v>
      </c>
      <c r="N254" s="2">
        <v>8.51</v>
      </c>
      <c r="O254" s="2">
        <v>7.86</v>
      </c>
      <c r="P254" s="2">
        <v>14.43</v>
      </c>
      <c r="Q254" s="2">
        <v>1.18</v>
      </c>
      <c r="R254" s="2">
        <v>-3.27</v>
      </c>
      <c r="S254" s="2">
        <v>-1.42</v>
      </c>
      <c r="T254" s="2">
        <v>22.66</v>
      </c>
      <c r="U254" s="2">
        <v>6.55</v>
      </c>
      <c r="V254" s="2">
        <v>15.14</v>
      </c>
      <c r="W254" s="2">
        <v>22.19</v>
      </c>
      <c r="X254" s="2">
        <v>17.43</v>
      </c>
      <c r="Y254" s="2">
        <v>17.05</v>
      </c>
      <c r="Z254" s="2">
        <v>0.53</v>
      </c>
      <c r="AA254" s="2">
        <v>0.43</v>
      </c>
      <c r="AB254" s="2">
        <v>0</v>
      </c>
      <c r="AC254" s="2">
        <v>2.98</v>
      </c>
      <c r="AD254" s="2">
        <v>3.49</v>
      </c>
      <c r="AE254" s="2">
        <v>9.7899999999999991</v>
      </c>
      <c r="AF254" s="2">
        <v>100.29</v>
      </c>
      <c r="AG254" s="2">
        <v>16.420000000000002</v>
      </c>
      <c r="AH254" s="4">
        <f t="shared" si="3"/>
        <v>66.44</v>
      </c>
    </row>
    <row r="255" spans="1:34" x14ac:dyDescent="0.2">
      <c r="A255" s="3">
        <v>15675</v>
      </c>
      <c r="B255" s="2">
        <v>3.6</v>
      </c>
      <c r="C255" s="2">
        <v>21.22</v>
      </c>
      <c r="D255" s="2">
        <v>6.19</v>
      </c>
      <c r="E255" s="2">
        <v>17.82</v>
      </c>
      <c r="F255" s="2">
        <v>12.37</v>
      </c>
      <c r="G255" s="2">
        <v>29.18</v>
      </c>
      <c r="H255" s="2">
        <v>21.69</v>
      </c>
      <c r="I255" s="2">
        <v>31.56</v>
      </c>
      <c r="J255" s="2">
        <v>21.1</v>
      </c>
      <c r="K255" s="2">
        <v>0.22</v>
      </c>
      <c r="L255" s="2">
        <v>2.11</v>
      </c>
      <c r="M255" s="2">
        <v>-1.66</v>
      </c>
      <c r="N255" s="2">
        <v>11.02</v>
      </c>
      <c r="O255" s="2">
        <v>4.5</v>
      </c>
      <c r="P255" s="2">
        <v>17.82</v>
      </c>
      <c r="Q255" s="2">
        <v>0.72</v>
      </c>
      <c r="R255" s="2">
        <v>-4.09</v>
      </c>
      <c r="S255" s="2">
        <v>3.16</v>
      </c>
      <c r="T255" s="2">
        <v>20</v>
      </c>
      <c r="U255" s="2">
        <v>8.31</v>
      </c>
      <c r="V255" s="2">
        <v>13.24</v>
      </c>
      <c r="W255" s="2">
        <v>15.43</v>
      </c>
      <c r="X255" s="2">
        <v>11.39</v>
      </c>
      <c r="Y255" s="2">
        <v>10</v>
      </c>
      <c r="Z255" s="2">
        <v>1.1000000000000001</v>
      </c>
      <c r="AA255" s="2">
        <v>0</v>
      </c>
      <c r="AB255" s="2">
        <v>0</v>
      </c>
      <c r="AC255" s="2">
        <v>0</v>
      </c>
      <c r="AD255" s="2">
        <v>2.34</v>
      </c>
      <c r="AE255" s="2">
        <v>14.73</v>
      </c>
      <c r="AF255" s="2">
        <v>65.81</v>
      </c>
      <c r="AG255" s="2">
        <v>12.92</v>
      </c>
      <c r="AH255" s="4">
        <f t="shared" si="3"/>
        <v>240.08</v>
      </c>
    </row>
    <row r="256" spans="1:34" x14ac:dyDescent="0.2">
      <c r="A256" s="3">
        <v>15706</v>
      </c>
      <c r="B256" s="2">
        <v>6.76</v>
      </c>
      <c r="C256" s="2">
        <v>26.69</v>
      </c>
      <c r="D256" s="2">
        <v>20.07</v>
      </c>
      <c r="E256" s="2">
        <v>37.43</v>
      </c>
      <c r="F256" s="2">
        <v>33.85</v>
      </c>
      <c r="G256" s="2">
        <v>61.17</v>
      </c>
      <c r="H256" s="2">
        <v>28.64</v>
      </c>
      <c r="I256" s="2">
        <v>34.130000000000003</v>
      </c>
      <c r="J256" s="2">
        <v>35.9</v>
      </c>
      <c r="K256" s="2">
        <v>2.68</v>
      </c>
      <c r="L256" s="2">
        <v>23.87</v>
      </c>
      <c r="M256" s="2">
        <v>8.49</v>
      </c>
      <c r="N256" s="2">
        <v>10.57</v>
      </c>
      <c r="O256" s="2">
        <v>3.96</v>
      </c>
      <c r="P256" s="2">
        <v>25.34</v>
      </c>
      <c r="Q256" s="2">
        <v>-0.56000000000000005</v>
      </c>
      <c r="R256" s="2">
        <v>-2.94</v>
      </c>
      <c r="S256" s="2">
        <v>15.56</v>
      </c>
      <c r="T256" s="2">
        <v>19.41</v>
      </c>
      <c r="U256" s="2">
        <v>7.55</v>
      </c>
      <c r="V256" s="2">
        <v>13.33</v>
      </c>
      <c r="W256" s="2">
        <v>11.73</v>
      </c>
      <c r="X256" s="2">
        <v>9.24</v>
      </c>
      <c r="Y256" s="2">
        <v>9.07</v>
      </c>
      <c r="Z256" s="2">
        <v>3.06</v>
      </c>
      <c r="AA256" s="2">
        <v>2.0099999999999998</v>
      </c>
      <c r="AB256" s="2">
        <v>3.17</v>
      </c>
      <c r="AC256" s="2">
        <v>5.42</v>
      </c>
      <c r="AD256" s="2">
        <v>2.4900000000000002</v>
      </c>
      <c r="AE256" s="2">
        <v>12.96</v>
      </c>
      <c r="AF256" s="2">
        <v>60.46</v>
      </c>
      <c r="AG256" s="2">
        <v>11.2</v>
      </c>
      <c r="AH256" s="4">
        <f t="shared" si="3"/>
        <v>411.9</v>
      </c>
    </row>
    <row r="257" spans="1:34" x14ac:dyDescent="0.2">
      <c r="A257" s="3">
        <v>15737</v>
      </c>
      <c r="B257" s="2">
        <v>14.68</v>
      </c>
      <c r="C257" s="2">
        <v>41.26</v>
      </c>
      <c r="D257" s="2">
        <v>49.66</v>
      </c>
      <c r="E257" s="2">
        <v>143.66999999999999</v>
      </c>
      <c r="F257" s="2">
        <v>183.19</v>
      </c>
      <c r="G257" s="2">
        <v>200.76</v>
      </c>
      <c r="H257" s="2">
        <v>36.840000000000003</v>
      </c>
      <c r="I257" s="2">
        <v>48.34</v>
      </c>
      <c r="J257" s="2">
        <v>115.87</v>
      </c>
      <c r="K257" s="2">
        <v>57.45</v>
      </c>
      <c r="L257" s="2">
        <v>26.34</v>
      </c>
      <c r="M257" s="2">
        <v>14.45</v>
      </c>
      <c r="N257" s="2">
        <v>68.959999999999994</v>
      </c>
      <c r="O257" s="2">
        <v>6.49</v>
      </c>
      <c r="P257" s="2">
        <v>120.58</v>
      </c>
      <c r="Q257" s="2">
        <v>2.91</v>
      </c>
      <c r="R257" s="2">
        <v>2.73</v>
      </c>
      <c r="S257" s="2">
        <v>72.72</v>
      </c>
      <c r="T257" s="2">
        <v>81.06</v>
      </c>
      <c r="U257" s="2">
        <v>19.03</v>
      </c>
      <c r="V257" s="2">
        <v>38.04</v>
      </c>
      <c r="W257" s="2">
        <v>4.26</v>
      </c>
      <c r="X257" s="2">
        <v>9.1300000000000008</v>
      </c>
      <c r="Y257" s="2">
        <v>7.94</v>
      </c>
      <c r="Z257" s="2">
        <v>26.75</v>
      </c>
      <c r="AA257" s="2">
        <v>26.67</v>
      </c>
      <c r="AB257" s="2">
        <v>20.52</v>
      </c>
      <c r="AC257" s="2">
        <v>31.41</v>
      </c>
      <c r="AD257" s="2">
        <v>2.34</v>
      </c>
      <c r="AE257" s="2">
        <v>44.47</v>
      </c>
      <c r="AF257" s="2">
        <v>71.25</v>
      </c>
      <c r="AG257" s="2">
        <v>9.8800000000000008</v>
      </c>
      <c r="AH257" s="4">
        <f t="shared" si="3"/>
        <v>1345.0300000000002</v>
      </c>
    </row>
    <row r="258" spans="1:34" x14ac:dyDescent="0.2">
      <c r="A258" s="3">
        <v>15765</v>
      </c>
      <c r="B258" s="2">
        <v>13.24</v>
      </c>
      <c r="C258" s="2">
        <v>26.05</v>
      </c>
      <c r="D258" s="2">
        <v>-6.52</v>
      </c>
      <c r="E258" s="2">
        <v>-36.200000000000003</v>
      </c>
      <c r="F258" s="2">
        <v>-64.63</v>
      </c>
      <c r="G258" s="2">
        <v>-6.11</v>
      </c>
      <c r="H258" s="2">
        <v>15.4</v>
      </c>
      <c r="I258" s="2">
        <v>35.64</v>
      </c>
      <c r="J258" s="2">
        <v>26.13</v>
      </c>
      <c r="K258" s="2">
        <v>-0.64</v>
      </c>
      <c r="L258" s="2">
        <v>20.48</v>
      </c>
      <c r="M258" s="2">
        <v>9.11</v>
      </c>
      <c r="N258" s="2">
        <v>18.09</v>
      </c>
      <c r="O258" s="2">
        <v>7</v>
      </c>
      <c r="P258" s="2">
        <v>19.940000000000001</v>
      </c>
      <c r="Q258" s="2">
        <v>-1.1000000000000001</v>
      </c>
      <c r="R258" s="2">
        <v>1.89</v>
      </c>
      <c r="S258" s="2">
        <v>14.18</v>
      </c>
      <c r="T258" s="2">
        <v>9.68</v>
      </c>
      <c r="U258" s="2">
        <v>14.94</v>
      </c>
      <c r="V258" s="2">
        <v>16.21</v>
      </c>
      <c r="W258" s="2">
        <v>0</v>
      </c>
      <c r="X258" s="2">
        <v>2.74</v>
      </c>
      <c r="Y258" s="2">
        <v>2.95</v>
      </c>
      <c r="Z258" s="2">
        <v>9.6199999999999992</v>
      </c>
      <c r="AA258" s="2">
        <v>2.87</v>
      </c>
      <c r="AB258" s="2">
        <v>1.75</v>
      </c>
      <c r="AC258" s="2">
        <v>13.54</v>
      </c>
      <c r="AD258" s="2">
        <v>2.4</v>
      </c>
      <c r="AE258" s="2">
        <v>22.28</v>
      </c>
      <c r="AF258" s="2">
        <v>59.39</v>
      </c>
      <c r="AG258" s="2">
        <v>10.08</v>
      </c>
      <c r="AH258" s="4">
        <f t="shared" si="3"/>
        <v>132.78</v>
      </c>
    </row>
    <row r="259" spans="1:34" x14ac:dyDescent="0.2">
      <c r="A259" s="3">
        <v>15796</v>
      </c>
      <c r="B259" s="2">
        <v>15.35</v>
      </c>
      <c r="C259" s="2">
        <v>27.48</v>
      </c>
      <c r="D259" s="2">
        <v>2.56</v>
      </c>
      <c r="E259" s="2">
        <v>38.29</v>
      </c>
      <c r="F259" s="2">
        <v>84.39</v>
      </c>
      <c r="G259" s="2">
        <v>16.149999999999999</v>
      </c>
      <c r="H259" s="2">
        <v>34.340000000000003</v>
      </c>
      <c r="I259" s="2">
        <v>56.66</v>
      </c>
      <c r="J259" s="2">
        <v>82.73</v>
      </c>
      <c r="K259" s="2">
        <v>78.95</v>
      </c>
      <c r="L259" s="2">
        <v>73.81</v>
      </c>
      <c r="M259" s="2">
        <v>53.26</v>
      </c>
      <c r="N259" s="2">
        <v>102.18</v>
      </c>
      <c r="O259" s="2">
        <v>11.86</v>
      </c>
      <c r="P259" s="2">
        <v>182.93</v>
      </c>
      <c r="Q259" s="2">
        <v>8.65</v>
      </c>
      <c r="R259" s="2">
        <v>2.64</v>
      </c>
      <c r="S259" s="2">
        <v>129.47999999999999</v>
      </c>
      <c r="T259" s="2">
        <v>78.13</v>
      </c>
      <c r="U259" s="2">
        <v>42.64</v>
      </c>
      <c r="V259" s="2">
        <v>50.07</v>
      </c>
      <c r="W259" s="2">
        <v>0</v>
      </c>
      <c r="X259" s="2">
        <v>3.52</v>
      </c>
      <c r="Y259" s="2">
        <v>2.68</v>
      </c>
      <c r="Z259" s="2">
        <v>12.59</v>
      </c>
      <c r="AA259" s="2">
        <v>21.65</v>
      </c>
      <c r="AB259" s="2">
        <v>5.03</v>
      </c>
      <c r="AC259" s="2">
        <v>17.190000000000001</v>
      </c>
      <c r="AD259" s="2">
        <v>4.1100000000000003</v>
      </c>
      <c r="AE259" s="2">
        <v>24.42</v>
      </c>
      <c r="AF259" s="2">
        <v>70.09</v>
      </c>
      <c r="AG259" s="2">
        <v>10.69</v>
      </c>
      <c r="AH259" s="4">
        <f t="shared" ref="AH259:AH322" si="4">SUM(B259:V259)</f>
        <v>1172.5500000000002</v>
      </c>
    </row>
    <row r="260" spans="1:34" x14ac:dyDescent="0.2">
      <c r="A260" s="3">
        <v>15826</v>
      </c>
      <c r="B260" s="2">
        <v>11.37</v>
      </c>
      <c r="C260" s="2">
        <v>20.09</v>
      </c>
      <c r="D260" s="2">
        <v>-3.83</v>
      </c>
      <c r="E260" s="2">
        <v>-37.86</v>
      </c>
      <c r="F260" s="2">
        <v>-56.28</v>
      </c>
      <c r="G260" s="2">
        <v>-38.56</v>
      </c>
      <c r="H260" s="2">
        <v>16.23</v>
      </c>
      <c r="I260" s="2">
        <v>39.4</v>
      </c>
      <c r="J260" s="2">
        <v>8.06</v>
      </c>
      <c r="K260" s="2">
        <v>-17.75</v>
      </c>
      <c r="L260" s="2">
        <v>-3.54</v>
      </c>
      <c r="M260" s="2">
        <v>-17.11</v>
      </c>
      <c r="N260" s="2">
        <v>17.170000000000002</v>
      </c>
      <c r="O260" s="2">
        <v>10.76</v>
      </c>
      <c r="P260" s="2">
        <v>55.02</v>
      </c>
      <c r="Q260" s="2">
        <v>7.88</v>
      </c>
      <c r="R260" s="2">
        <v>3.43</v>
      </c>
      <c r="S260" s="2">
        <v>34.090000000000003</v>
      </c>
      <c r="T260" s="2">
        <v>-7.1</v>
      </c>
      <c r="U260" s="2">
        <v>44.99</v>
      </c>
      <c r="V260" s="2">
        <v>26.28</v>
      </c>
      <c r="W260" s="2">
        <v>0</v>
      </c>
      <c r="X260" s="2">
        <v>4.28</v>
      </c>
      <c r="Y260" s="2">
        <v>3.76</v>
      </c>
      <c r="Z260" s="2">
        <v>3.25</v>
      </c>
      <c r="AA260" s="2">
        <v>0.28999999999999998</v>
      </c>
      <c r="AB260" s="2">
        <v>1.75</v>
      </c>
      <c r="AC260" s="2">
        <v>4.47</v>
      </c>
      <c r="AD260" s="2">
        <v>5.05</v>
      </c>
      <c r="AE260" s="2">
        <v>12.58</v>
      </c>
      <c r="AF260" s="2">
        <v>86.72</v>
      </c>
      <c r="AG260" s="2">
        <v>14.64</v>
      </c>
      <c r="AH260" s="4">
        <f t="shared" si="4"/>
        <v>112.74000000000002</v>
      </c>
    </row>
    <row r="261" spans="1:34" x14ac:dyDescent="0.2">
      <c r="A261" s="3">
        <v>15857</v>
      </c>
      <c r="B261" s="2">
        <v>5.44</v>
      </c>
      <c r="C261" s="2">
        <v>15.54</v>
      </c>
      <c r="D261" s="2">
        <v>-9.66</v>
      </c>
      <c r="E261" s="2">
        <v>-68.88</v>
      </c>
      <c r="F261" s="2">
        <v>-81.22</v>
      </c>
      <c r="G261" s="2">
        <v>-45.99</v>
      </c>
      <c r="H261" s="2">
        <v>-4.8600000000000003</v>
      </c>
      <c r="I261" s="2">
        <v>23.44</v>
      </c>
      <c r="J261" s="2">
        <v>3.6</v>
      </c>
      <c r="K261" s="2">
        <v>14.51</v>
      </c>
      <c r="L261" s="2">
        <v>-1.87</v>
      </c>
      <c r="M261" s="2">
        <v>9.27</v>
      </c>
      <c r="N261" s="2">
        <v>46.23</v>
      </c>
      <c r="O261" s="2">
        <v>19.739999999999998</v>
      </c>
      <c r="P261" s="2">
        <v>56.77</v>
      </c>
      <c r="Q261" s="2">
        <v>13.45</v>
      </c>
      <c r="R261" s="2">
        <v>11.81</v>
      </c>
      <c r="S261" s="2">
        <v>41.68</v>
      </c>
      <c r="T261" s="2">
        <v>-1.23</v>
      </c>
      <c r="U261" s="2">
        <v>45.68</v>
      </c>
      <c r="V261" s="2">
        <v>33.869999999999997</v>
      </c>
      <c r="W261" s="2">
        <v>4.88</v>
      </c>
      <c r="X261" s="2">
        <v>7.17</v>
      </c>
      <c r="Y261" s="2">
        <v>6</v>
      </c>
      <c r="Z261" s="2">
        <v>0</v>
      </c>
      <c r="AA261" s="2">
        <v>0</v>
      </c>
      <c r="AB261" s="2">
        <v>0</v>
      </c>
      <c r="AC261" s="2">
        <v>0</v>
      </c>
      <c r="AD261" s="2">
        <v>6.97</v>
      </c>
      <c r="AE261" s="2">
        <v>0</v>
      </c>
      <c r="AF261" s="2">
        <v>97.94</v>
      </c>
      <c r="AG261" s="2">
        <v>17.690000000000001</v>
      </c>
      <c r="AH261" s="4">
        <f t="shared" si="4"/>
        <v>127.31999999999996</v>
      </c>
    </row>
    <row r="262" spans="1:34" x14ac:dyDescent="0.2">
      <c r="A262" s="3">
        <v>15887</v>
      </c>
      <c r="B262" s="2">
        <v>2.1800000000000002</v>
      </c>
      <c r="C262" s="2">
        <v>14.42</v>
      </c>
      <c r="D262" s="2">
        <v>-10.15</v>
      </c>
      <c r="E262" s="2">
        <v>-76.260000000000005</v>
      </c>
      <c r="F262" s="2">
        <v>-48.95</v>
      </c>
      <c r="G262" s="2">
        <v>-36.880000000000003</v>
      </c>
      <c r="H262" s="2">
        <v>1.85</v>
      </c>
      <c r="I262" s="2">
        <v>25.11</v>
      </c>
      <c r="J262" s="2">
        <v>-20.78</v>
      </c>
      <c r="K262" s="2">
        <v>-32.72</v>
      </c>
      <c r="L262" s="2">
        <v>-30.6</v>
      </c>
      <c r="M262" s="2">
        <v>-18.47</v>
      </c>
      <c r="N262" s="2">
        <v>6.73</v>
      </c>
      <c r="O262" s="2">
        <v>26.98</v>
      </c>
      <c r="P262" s="2">
        <v>11.26</v>
      </c>
      <c r="Q262" s="2">
        <v>7.89</v>
      </c>
      <c r="R262" s="2">
        <v>2.3199999999999998</v>
      </c>
      <c r="S262" s="2">
        <v>14.21</v>
      </c>
      <c r="T262" s="2">
        <v>23.32</v>
      </c>
      <c r="U262" s="2">
        <v>23.09</v>
      </c>
      <c r="V262" s="2">
        <v>29.88</v>
      </c>
      <c r="W262" s="2">
        <v>18.62</v>
      </c>
      <c r="X262" s="2">
        <v>12.43</v>
      </c>
      <c r="Y262" s="2">
        <v>11.99</v>
      </c>
      <c r="Z262" s="2">
        <v>0</v>
      </c>
      <c r="AA262" s="2">
        <v>0</v>
      </c>
      <c r="AB262" s="2">
        <v>0.06</v>
      </c>
      <c r="AC262" s="2">
        <v>0</v>
      </c>
      <c r="AD262" s="2">
        <v>11.25</v>
      </c>
      <c r="AE262" s="2">
        <v>0.09</v>
      </c>
      <c r="AF262" s="2">
        <v>107.19</v>
      </c>
      <c r="AG262" s="2">
        <v>22.83</v>
      </c>
      <c r="AH262" s="4">
        <f t="shared" si="4"/>
        <v>-85.57000000000005</v>
      </c>
    </row>
    <row r="263" spans="1:34" x14ac:dyDescent="0.2">
      <c r="A263" s="3">
        <v>15918</v>
      </c>
      <c r="B263" s="2">
        <v>-0.39</v>
      </c>
      <c r="C263" s="2">
        <v>13.47</v>
      </c>
      <c r="D263" s="2">
        <v>-9.6</v>
      </c>
      <c r="E263" s="2">
        <v>-77.28</v>
      </c>
      <c r="F263" s="2">
        <v>-40.18</v>
      </c>
      <c r="G263" s="2">
        <v>-30.2</v>
      </c>
      <c r="H263" s="2">
        <v>3.52</v>
      </c>
      <c r="I263" s="2">
        <v>21.66</v>
      </c>
      <c r="J263" s="2">
        <v>-35.53</v>
      </c>
      <c r="K263" s="2">
        <v>-31.39</v>
      </c>
      <c r="L263" s="2">
        <v>-60.68</v>
      </c>
      <c r="M263" s="2">
        <v>-33.729999999999997</v>
      </c>
      <c r="N263" s="2">
        <v>6.45</v>
      </c>
      <c r="O263" s="2">
        <v>46.59</v>
      </c>
      <c r="P263" s="2">
        <v>16.52</v>
      </c>
      <c r="Q263" s="2">
        <v>0.92</v>
      </c>
      <c r="R263" s="2">
        <v>12.67</v>
      </c>
      <c r="S263" s="2">
        <v>12.54</v>
      </c>
      <c r="T263" s="2">
        <v>40.840000000000003</v>
      </c>
      <c r="U263" s="2">
        <v>5.66</v>
      </c>
      <c r="V263" s="2">
        <v>33.979999999999997</v>
      </c>
      <c r="W263" s="2">
        <v>30.39</v>
      </c>
      <c r="X263" s="2">
        <v>17.57</v>
      </c>
      <c r="Y263" s="2">
        <v>17.5</v>
      </c>
      <c r="Z263" s="2">
        <v>0</v>
      </c>
      <c r="AA263" s="2">
        <v>0</v>
      </c>
      <c r="AB263" s="2">
        <v>0.23</v>
      </c>
      <c r="AC263" s="2">
        <v>0</v>
      </c>
      <c r="AD263" s="2">
        <v>11.66</v>
      </c>
      <c r="AE263" s="2">
        <v>0</v>
      </c>
      <c r="AF263" s="2">
        <v>116.73</v>
      </c>
      <c r="AG263" s="2">
        <v>24.8</v>
      </c>
      <c r="AH263" s="4">
        <f t="shared" si="4"/>
        <v>-104.16000000000003</v>
      </c>
    </row>
    <row r="264" spans="1:34" x14ac:dyDescent="0.2">
      <c r="A264" s="3">
        <v>15949</v>
      </c>
      <c r="B264" s="2">
        <v>-1.19</v>
      </c>
      <c r="C264" s="2">
        <v>13.63</v>
      </c>
      <c r="D264" s="2">
        <v>-5.58</v>
      </c>
      <c r="E264" s="2">
        <v>-65.069999999999993</v>
      </c>
      <c r="F264" s="2">
        <v>-26.89</v>
      </c>
      <c r="G264" s="2">
        <v>-15.71</v>
      </c>
      <c r="H264" s="2">
        <v>9.31</v>
      </c>
      <c r="I264" s="2">
        <v>22.08</v>
      </c>
      <c r="J264" s="2">
        <v>-17.43</v>
      </c>
      <c r="K264" s="2">
        <v>-16.989999999999998</v>
      </c>
      <c r="L264" s="2">
        <v>-28.32</v>
      </c>
      <c r="M264" s="2">
        <v>-18.22</v>
      </c>
      <c r="N264" s="2">
        <v>3.71</v>
      </c>
      <c r="O264" s="2">
        <v>40.17</v>
      </c>
      <c r="P264" s="2">
        <v>18.45</v>
      </c>
      <c r="Q264" s="2">
        <v>-0.16</v>
      </c>
      <c r="R264" s="2">
        <v>0.99</v>
      </c>
      <c r="S264" s="2">
        <v>6.08</v>
      </c>
      <c r="T264" s="2">
        <v>37.54</v>
      </c>
      <c r="U264" s="2">
        <v>5.86</v>
      </c>
      <c r="V264" s="2">
        <v>33.700000000000003</v>
      </c>
      <c r="W264" s="2">
        <v>31.47</v>
      </c>
      <c r="X264" s="2">
        <v>19.87</v>
      </c>
      <c r="Y264" s="2">
        <v>19.95</v>
      </c>
      <c r="Z264" s="2">
        <v>0</v>
      </c>
      <c r="AA264" s="2">
        <v>8.75</v>
      </c>
      <c r="AB264" s="2">
        <v>0</v>
      </c>
      <c r="AC264" s="2">
        <v>0</v>
      </c>
      <c r="AD264" s="2">
        <v>7.38</v>
      </c>
      <c r="AE264" s="2">
        <v>0</v>
      </c>
      <c r="AF264" s="2">
        <v>118.71</v>
      </c>
      <c r="AG264" s="2">
        <v>23.65</v>
      </c>
      <c r="AH264" s="4">
        <f t="shared" si="4"/>
        <v>-4.0399999999999849</v>
      </c>
    </row>
    <row r="265" spans="1:34" x14ac:dyDescent="0.2">
      <c r="A265" s="3">
        <v>15979</v>
      </c>
      <c r="B265" s="2">
        <v>-1.56</v>
      </c>
      <c r="C265" s="2">
        <v>14.98</v>
      </c>
      <c r="D265" s="2">
        <v>-3.65</v>
      </c>
      <c r="E265" s="2">
        <v>-43.19</v>
      </c>
      <c r="F265" s="2">
        <v>-21.49</v>
      </c>
      <c r="G265" s="2">
        <v>-7.0000000000000007E-2</v>
      </c>
      <c r="H265" s="2">
        <v>16.559999999999999</v>
      </c>
      <c r="I265" s="2">
        <v>27.06</v>
      </c>
      <c r="J265" s="2">
        <v>6.67</v>
      </c>
      <c r="K265" s="2">
        <v>-11.62</v>
      </c>
      <c r="L265" s="2">
        <v>-16.579999999999998</v>
      </c>
      <c r="M265" s="2">
        <v>-10.09</v>
      </c>
      <c r="N265" s="2">
        <v>17.079999999999998</v>
      </c>
      <c r="O265" s="2">
        <v>3.08</v>
      </c>
      <c r="P265" s="2">
        <v>11.4</v>
      </c>
      <c r="Q265" s="2">
        <v>1.73</v>
      </c>
      <c r="R265" s="2">
        <v>-0.57999999999999996</v>
      </c>
      <c r="S265" s="2">
        <v>0.51</v>
      </c>
      <c r="T265" s="2">
        <v>21</v>
      </c>
      <c r="U265" s="2">
        <v>9.2899999999999991</v>
      </c>
      <c r="V265" s="2">
        <v>14.62</v>
      </c>
      <c r="W265" s="2">
        <v>26.1</v>
      </c>
      <c r="X265" s="2">
        <v>18.89</v>
      </c>
      <c r="Y265" s="2">
        <v>18.739999999999998</v>
      </c>
      <c r="Z265" s="2">
        <v>1.58</v>
      </c>
      <c r="AA265" s="2">
        <v>4.59</v>
      </c>
      <c r="AB265" s="2">
        <v>4.8</v>
      </c>
      <c r="AC265" s="2">
        <v>2.17</v>
      </c>
      <c r="AD265" s="2">
        <v>4.66</v>
      </c>
      <c r="AE265" s="2">
        <v>0</v>
      </c>
      <c r="AF265" s="2">
        <v>110.57</v>
      </c>
      <c r="AG265" s="2">
        <v>20.170000000000002</v>
      </c>
      <c r="AH265" s="4">
        <f t="shared" si="4"/>
        <v>35.149999999999991</v>
      </c>
    </row>
    <row r="266" spans="1:34" x14ac:dyDescent="0.2">
      <c r="A266" s="3">
        <v>16010</v>
      </c>
      <c r="B266" s="2">
        <v>-0.79</v>
      </c>
      <c r="C266" s="2">
        <v>16.899999999999999</v>
      </c>
      <c r="D266" s="2">
        <v>-3.31</v>
      </c>
      <c r="E266" s="2">
        <v>-14.15</v>
      </c>
      <c r="F266" s="2">
        <v>-5.63</v>
      </c>
      <c r="G266" s="2">
        <v>9.7899999999999991</v>
      </c>
      <c r="H266" s="2">
        <v>19.38</v>
      </c>
      <c r="I266" s="2">
        <v>29.43</v>
      </c>
      <c r="J266" s="2">
        <v>11.4</v>
      </c>
      <c r="K266" s="2">
        <v>-4.68</v>
      </c>
      <c r="L266" s="2">
        <v>-7.98</v>
      </c>
      <c r="M266" s="2">
        <v>-4.7300000000000004</v>
      </c>
      <c r="N266" s="2">
        <v>13.92</v>
      </c>
      <c r="O266" s="2">
        <v>7.83</v>
      </c>
      <c r="P266" s="2">
        <v>19.73</v>
      </c>
      <c r="Q266" s="2">
        <v>0.61</v>
      </c>
      <c r="R266" s="2">
        <v>-3.46</v>
      </c>
      <c r="S266" s="2">
        <v>-1.33</v>
      </c>
      <c r="T266" s="2">
        <v>22.42</v>
      </c>
      <c r="U266" s="2">
        <v>7.57</v>
      </c>
      <c r="V266" s="2">
        <v>16.45</v>
      </c>
      <c r="W266" s="2">
        <v>22.19</v>
      </c>
      <c r="X266" s="2">
        <v>17.53</v>
      </c>
      <c r="Y266" s="2">
        <v>17.34</v>
      </c>
      <c r="Z266" s="2">
        <v>0.38</v>
      </c>
      <c r="AA266" s="2">
        <v>2.0099999999999998</v>
      </c>
      <c r="AB266" s="2">
        <v>0.55000000000000004</v>
      </c>
      <c r="AC266" s="2">
        <v>2.71</v>
      </c>
      <c r="AD266" s="2">
        <v>3.08</v>
      </c>
      <c r="AE266" s="2">
        <v>2.7</v>
      </c>
      <c r="AF266" s="2">
        <v>100.29</v>
      </c>
      <c r="AG266" s="2">
        <v>16.420000000000002</v>
      </c>
      <c r="AH266" s="4">
        <f t="shared" si="4"/>
        <v>129.37</v>
      </c>
    </row>
    <row r="267" spans="1:34" x14ac:dyDescent="0.2">
      <c r="A267" s="3">
        <v>16040</v>
      </c>
      <c r="B267" s="2">
        <v>1.19</v>
      </c>
      <c r="C267" s="2">
        <v>14.96</v>
      </c>
      <c r="D267" s="2">
        <v>-2.71</v>
      </c>
      <c r="E267" s="2">
        <v>-3.7</v>
      </c>
      <c r="F267" s="2">
        <v>-5.59</v>
      </c>
      <c r="G267" s="2">
        <v>9.99</v>
      </c>
      <c r="H267" s="2">
        <v>16.649999999999999</v>
      </c>
      <c r="I267" s="2">
        <v>25.86</v>
      </c>
      <c r="J267" s="2">
        <v>12.95</v>
      </c>
      <c r="K267" s="2">
        <v>-8.1300000000000008</v>
      </c>
      <c r="L267" s="2">
        <v>-2.16</v>
      </c>
      <c r="M267" s="2">
        <v>-5.05</v>
      </c>
      <c r="N267" s="2">
        <v>7.42</v>
      </c>
      <c r="O267" s="2">
        <v>4.0999999999999996</v>
      </c>
      <c r="P267" s="2">
        <v>14.05</v>
      </c>
      <c r="Q267" s="2">
        <v>0.3</v>
      </c>
      <c r="R267" s="2">
        <v>-4.42</v>
      </c>
      <c r="S267" s="2">
        <v>-2.4300000000000002</v>
      </c>
      <c r="T267" s="2">
        <v>19.649999999999999</v>
      </c>
      <c r="U267" s="2">
        <v>9.01</v>
      </c>
      <c r="V267" s="2">
        <v>13.25</v>
      </c>
      <c r="W267" s="2">
        <v>15.43</v>
      </c>
      <c r="X267" s="2">
        <v>11.47</v>
      </c>
      <c r="Y267" s="2">
        <v>10.24</v>
      </c>
      <c r="Z267" s="2">
        <v>36.130000000000003</v>
      </c>
      <c r="AA267" s="2">
        <v>0</v>
      </c>
      <c r="AB267" s="2">
        <v>0</v>
      </c>
      <c r="AC267" s="2">
        <v>0</v>
      </c>
      <c r="AD267" s="2">
        <v>1.91</v>
      </c>
      <c r="AE267" s="2">
        <v>4.1900000000000004</v>
      </c>
      <c r="AF267" s="2">
        <v>65.81</v>
      </c>
      <c r="AG267" s="2">
        <v>12.92</v>
      </c>
      <c r="AH267" s="4">
        <f t="shared" si="4"/>
        <v>115.18999999999998</v>
      </c>
    </row>
    <row r="268" spans="1:34" x14ac:dyDescent="0.2">
      <c r="A268" s="3">
        <v>16071</v>
      </c>
      <c r="B268" s="2">
        <v>1.07</v>
      </c>
      <c r="C268" s="2">
        <v>14.04</v>
      </c>
      <c r="D268" s="2">
        <v>-1.51</v>
      </c>
      <c r="E268" s="2">
        <v>-1.17</v>
      </c>
      <c r="F268" s="2">
        <v>-1.59</v>
      </c>
      <c r="G268" s="2">
        <v>12.48</v>
      </c>
      <c r="H268" s="2">
        <v>12.91</v>
      </c>
      <c r="I268" s="2">
        <v>25.81</v>
      </c>
      <c r="J268" s="2">
        <v>16.510000000000002</v>
      </c>
      <c r="K268" s="2">
        <v>-0.51</v>
      </c>
      <c r="L268" s="2">
        <v>2.4700000000000002</v>
      </c>
      <c r="M268" s="2">
        <v>0.6</v>
      </c>
      <c r="N268" s="2">
        <v>9.7799999999999994</v>
      </c>
      <c r="O268" s="2">
        <v>3.45</v>
      </c>
      <c r="P268" s="2">
        <v>16.47</v>
      </c>
      <c r="Q268" s="2">
        <v>-1.85</v>
      </c>
      <c r="R268" s="2">
        <v>-4.76</v>
      </c>
      <c r="S268" s="2">
        <v>6.82</v>
      </c>
      <c r="T268" s="2">
        <v>20.260000000000002</v>
      </c>
      <c r="U268" s="2">
        <v>8.56</v>
      </c>
      <c r="V268" s="2">
        <v>13.77</v>
      </c>
      <c r="W268" s="2">
        <v>11.73</v>
      </c>
      <c r="X268" s="2">
        <v>9.31</v>
      </c>
      <c r="Y268" s="2">
        <v>9.2899999999999991</v>
      </c>
      <c r="Z268" s="2">
        <v>0.53</v>
      </c>
      <c r="AA268" s="2">
        <v>49.04</v>
      </c>
      <c r="AB268" s="2">
        <v>13.93</v>
      </c>
      <c r="AC268" s="2">
        <v>22.34</v>
      </c>
      <c r="AD268" s="2">
        <v>1.77</v>
      </c>
      <c r="AE268" s="2">
        <v>12.21</v>
      </c>
      <c r="AF268" s="2">
        <v>60.46</v>
      </c>
      <c r="AG268" s="2">
        <v>11.2</v>
      </c>
      <c r="AH268" s="4">
        <f t="shared" si="4"/>
        <v>153.61000000000001</v>
      </c>
    </row>
    <row r="269" spans="1:34" x14ac:dyDescent="0.2">
      <c r="A269" s="3">
        <v>16102</v>
      </c>
      <c r="B269" s="2">
        <v>0.71</v>
      </c>
      <c r="C269" s="2">
        <v>18.62</v>
      </c>
      <c r="D269" s="2">
        <v>8.69</v>
      </c>
      <c r="E269" s="2">
        <v>7.8</v>
      </c>
      <c r="F269" s="2">
        <v>4.05</v>
      </c>
      <c r="G269" s="2">
        <v>32.520000000000003</v>
      </c>
      <c r="H269" s="2">
        <v>14.1</v>
      </c>
      <c r="I269" s="2">
        <v>27.01</v>
      </c>
      <c r="J269" s="2">
        <v>18.86</v>
      </c>
      <c r="K269" s="2">
        <v>8.1999999999999993</v>
      </c>
      <c r="L269" s="2">
        <v>-1.68</v>
      </c>
      <c r="M269" s="2">
        <v>-3.19</v>
      </c>
      <c r="N269" s="2">
        <v>12.88</v>
      </c>
      <c r="O269" s="2">
        <v>2.79</v>
      </c>
      <c r="P269" s="2">
        <v>21.16</v>
      </c>
      <c r="Q269" s="2">
        <v>-1.78</v>
      </c>
      <c r="R269" s="2">
        <v>-4.74</v>
      </c>
      <c r="S269" s="2">
        <v>11.29</v>
      </c>
      <c r="T269" s="2">
        <v>20.87</v>
      </c>
      <c r="U269" s="2">
        <v>8.07</v>
      </c>
      <c r="V269" s="2">
        <v>13.91</v>
      </c>
      <c r="W269" s="2">
        <v>4.26</v>
      </c>
      <c r="X269" s="2">
        <v>10.54</v>
      </c>
      <c r="Y269" s="2">
        <v>9.3800000000000008</v>
      </c>
      <c r="Z269" s="2">
        <v>2.4900000000000002</v>
      </c>
      <c r="AA269" s="2">
        <v>0</v>
      </c>
      <c r="AB269" s="2">
        <v>2.66</v>
      </c>
      <c r="AC269" s="2">
        <v>2.84</v>
      </c>
      <c r="AD269" s="2">
        <v>1.97</v>
      </c>
      <c r="AE269" s="2">
        <v>18.36</v>
      </c>
      <c r="AF269" s="2">
        <v>71.459999999999994</v>
      </c>
      <c r="AG269" s="2">
        <v>9.8800000000000008</v>
      </c>
      <c r="AH269" s="4">
        <f t="shared" si="4"/>
        <v>220.13999999999996</v>
      </c>
    </row>
    <row r="270" spans="1:34" x14ac:dyDescent="0.2">
      <c r="A270" s="3">
        <v>16131</v>
      </c>
      <c r="B270" s="2">
        <v>1.54</v>
      </c>
      <c r="C270" s="2">
        <v>23.65</v>
      </c>
      <c r="D270" s="2">
        <v>23.43</v>
      </c>
      <c r="E270" s="2">
        <v>42.27</v>
      </c>
      <c r="F270" s="2">
        <v>38.840000000000003</v>
      </c>
      <c r="G270" s="2">
        <v>92.72</v>
      </c>
      <c r="H270" s="2">
        <v>25.03</v>
      </c>
      <c r="I270" s="2">
        <v>35.33</v>
      </c>
      <c r="J270" s="2">
        <v>67.36</v>
      </c>
      <c r="K270" s="2">
        <v>35.03</v>
      </c>
      <c r="L270" s="2">
        <v>-0.89</v>
      </c>
      <c r="M270" s="2">
        <v>7.92</v>
      </c>
      <c r="N270" s="2">
        <v>43.98</v>
      </c>
      <c r="O270" s="2">
        <v>3.39</v>
      </c>
      <c r="P270" s="2">
        <v>60.55</v>
      </c>
      <c r="Q270" s="2">
        <v>0.62</v>
      </c>
      <c r="R270" s="2">
        <v>-0.76</v>
      </c>
      <c r="S270" s="2">
        <v>34.07</v>
      </c>
      <c r="T270" s="2">
        <v>52.46</v>
      </c>
      <c r="U270" s="2">
        <v>9.91</v>
      </c>
      <c r="V270" s="2">
        <v>21.51</v>
      </c>
      <c r="W270" s="2">
        <v>0</v>
      </c>
      <c r="X270" s="2">
        <v>3.93</v>
      </c>
      <c r="Y270" s="2">
        <v>4.22</v>
      </c>
      <c r="Z270" s="2">
        <v>34.65</v>
      </c>
      <c r="AA270" s="2">
        <v>12.19</v>
      </c>
      <c r="AB270" s="2">
        <v>4.99</v>
      </c>
      <c r="AC270" s="2">
        <v>23.96</v>
      </c>
      <c r="AD270" s="2">
        <v>2.11</v>
      </c>
      <c r="AE270" s="2">
        <v>50.71</v>
      </c>
      <c r="AF270" s="2">
        <v>59.57</v>
      </c>
      <c r="AG270" s="2">
        <v>10.08</v>
      </c>
      <c r="AH270" s="4">
        <f t="shared" si="4"/>
        <v>617.96000000000015</v>
      </c>
    </row>
    <row r="271" spans="1:34" x14ac:dyDescent="0.2">
      <c r="A271" s="3">
        <v>16162</v>
      </c>
      <c r="B271" s="2">
        <v>0.45</v>
      </c>
      <c r="C271" s="2">
        <v>18.16</v>
      </c>
      <c r="D271" s="2">
        <v>-13.26</v>
      </c>
      <c r="E271" s="2">
        <v>-33.520000000000003</v>
      </c>
      <c r="F271" s="2">
        <v>5.88</v>
      </c>
      <c r="G271" s="2">
        <v>8.34</v>
      </c>
      <c r="H271" s="2">
        <v>16.18</v>
      </c>
      <c r="I271" s="2">
        <v>29.57</v>
      </c>
      <c r="J271" s="2">
        <v>15.06</v>
      </c>
      <c r="K271" s="2">
        <v>-8.57</v>
      </c>
      <c r="L271" s="2">
        <v>20.350000000000001</v>
      </c>
      <c r="M271" s="2">
        <v>-3.31</v>
      </c>
      <c r="N271" s="2">
        <v>21.12</v>
      </c>
      <c r="O271" s="2">
        <v>6.27</v>
      </c>
      <c r="P271" s="2">
        <v>37.31</v>
      </c>
      <c r="Q271" s="2">
        <v>0.33</v>
      </c>
      <c r="R271" s="2">
        <v>-2.2799999999999998</v>
      </c>
      <c r="S271" s="2">
        <v>3.12</v>
      </c>
      <c r="T271" s="2">
        <v>16.97</v>
      </c>
      <c r="U271" s="2">
        <v>8.9</v>
      </c>
      <c r="V271" s="2">
        <v>30.09</v>
      </c>
      <c r="W271" s="2">
        <v>0</v>
      </c>
      <c r="X271" s="2">
        <v>4.9400000000000004</v>
      </c>
      <c r="Y271" s="2">
        <v>4.13</v>
      </c>
      <c r="Z271" s="2">
        <v>6.32</v>
      </c>
      <c r="AA271" s="2">
        <v>5.88</v>
      </c>
      <c r="AB271" s="2">
        <v>1.94</v>
      </c>
      <c r="AC271" s="2">
        <v>5.69</v>
      </c>
      <c r="AD271" s="2">
        <v>3.97</v>
      </c>
      <c r="AE271" s="2">
        <v>6.71</v>
      </c>
      <c r="AF271" s="2">
        <v>70.290000000000006</v>
      </c>
      <c r="AG271" s="2">
        <v>10.69</v>
      </c>
      <c r="AH271" s="4">
        <f t="shared" si="4"/>
        <v>177.16000000000003</v>
      </c>
    </row>
    <row r="272" spans="1:34" x14ac:dyDescent="0.2">
      <c r="A272" s="3">
        <v>16192</v>
      </c>
      <c r="B272" s="2">
        <v>0.72</v>
      </c>
      <c r="C272" s="2">
        <v>12.83</v>
      </c>
      <c r="D272" s="2">
        <v>-4.87</v>
      </c>
      <c r="E272" s="2">
        <v>-33.22</v>
      </c>
      <c r="F272" s="2">
        <v>-1.97</v>
      </c>
      <c r="G272" s="2">
        <v>-7.51</v>
      </c>
      <c r="H272" s="2">
        <v>5.58</v>
      </c>
      <c r="I272" s="2">
        <v>29.59</v>
      </c>
      <c r="J272" s="2">
        <v>9.76</v>
      </c>
      <c r="K272" s="2">
        <v>10.36</v>
      </c>
      <c r="L272" s="2">
        <v>-10.39</v>
      </c>
      <c r="M272" s="2">
        <v>-2</v>
      </c>
      <c r="N272" s="2">
        <v>32.479999999999997</v>
      </c>
      <c r="O272" s="2">
        <v>4.96</v>
      </c>
      <c r="P272" s="2">
        <v>34.880000000000003</v>
      </c>
      <c r="Q272" s="2">
        <v>1.77</v>
      </c>
      <c r="R272" s="2">
        <v>0.49</v>
      </c>
      <c r="S272" s="2">
        <v>11.42</v>
      </c>
      <c r="T272" s="2">
        <v>16.62</v>
      </c>
      <c r="U272" s="2">
        <v>10.050000000000001</v>
      </c>
      <c r="V272" s="2">
        <v>24.94</v>
      </c>
      <c r="W272" s="2">
        <v>0</v>
      </c>
      <c r="X272" s="2">
        <v>6.01</v>
      </c>
      <c r="Y272" s="2">
        <v>5.55</v>
      </c>
      <c r="Z272" s="2">
        <v>1.05</v>
      </c>
      <c r="AA272" s="2">
        <v>4.3</v>
      </c>
      <c r="AB272" s="2">
        <v>0.28000000000000003</v>
      </c>
      <c r="AC272" s="2">
        <v>0.54</v>
      </c>
      <c r="AD272" s="2">
        <v>5.26</v>
      </c>
      <c r="AE272" s="2">
        <v>8.86</v>
      </c>
      <c r="AF272" s="2">
        <v>86.98</v>
      </c>
      <c r="AG272" s="2">
        <v>14.64</v>
      </c>
      <c r="AH272" s="4">
        <f t="shared" si="4"/>
        <v>146.49</v>
      </c>
    </row>
    <row r="273" spans="1:34" x14ac:dyDescent="0.2">
      <c r="A273" s="3">
        <v>16223</v>
      </c>
      <c r="B273" s="2">
        <v>-0.68</v>
      </c>
      <c r="C273" s="2">
        <v>15.39</v>
      </c>
      <c r="D273" s="2">
        <v>3.84</v>
      </c>
      <c r="E273" s="2">
        <v>-18.05</v>
      </c>
      <c r="F273" s="2">
        <v>-4.34</v>
      </c>
      <c r="G273" s="2">
        <v>-5.15</v>
      </c>
      <c r="H273" s="2">
        <v>12.36</v>
      </c>
      <c r="I273" s="2">
        <v>23.06</v>
      </c>
      <c r="J273" s="2">
        <v>16.149999999999999</v>
      </c>
      <c r="K273" s="2">
        <v>-3.85</v>
      </c>
      <c r="L273" s="2">
        <v>30.05</v>
      </c>
      <c r="M273" s="2">
        <v>6.01</v>
      </c>
      <c r="N273" s="2">
        <v>26.54</v>
      </c>
      <c r="O273" s="2">
        <v>13.69</v>
      </c>
      <c r="P273" s="2">
        <v>45.66</v>
      </c>
      <c r="Q273" s="2">
        <v>6.94</v>
      </c>
      <c r="R273" s="2">
        <v>12.19</v>
      </c>
      <c r="S273" s="2">
        <v>18.89</v>
      </c>
      <c r="T273" s="2">
        <v>19.68</v>
      </c>
      <c r="U273" s="2">
        <v>19.21</v>
      </c>
      <c r="V273" s="2">
        <v>35.49</v>
      </c>
      <c r="W273" s="2">
        <v>4.88</v>
      </c>
      <c r="X273" s="2">
        <v>9.15</v>
      </c>
      <c r="Y273" s="2">
        <v>8.01</v>
      </c>
      <c r="Z273" s="2">
        <v>0</v>
      </c>
      <c r="AA273" s="2">
        <v>0</v>
      </c>
      <c r="AB273" s="2">
        <v>0</v>
      </c>
      <c r="AC273" s="2">
        <v>0</v>
      </c>
      <c r="AD273" s="2">
        <v>8.76</v>
      </c>
      <c r="AE273" s="2">
        <v>3.64</v>
      </c>
      <c r="AF273" s="2">
        <v>98.23</v>
      </c>
      <c r="AG273" s="2">
        <v>17.690000000000001</v>
      </c>
      <c r="AH273" s="4">
        <f t="shared" si="4"/>
        <v>273.08</v>
      </c>
    </row>
    <row r="274" spans="1:34" x14ac:dyDescent="0.2">
      <c r="A274" s="3">
        <v>16253</v>
      </c>
      <c r="B274" s="2">
        <v>-1.47</v>
      </c>
      <c r="C274" s="2">
        <v>13.86</v>
      </c>
      <c r="D274" s="2">
        <v>-5.55</v>
      </c>
      <c r="E274" s="2">
        <v>-51.42</v>
      </c>
      <c r="F274" s="2">
        <v>-43.52</v>
      </c>
      <c r="G274" s="2">
        <v>-14.89</v>
      </c>
      <c r="H274" s="2">
        <v>3.56</v>
      </c>
      <c r="I274" s="2">
        <v>20.41</v>
      </c>
      <c r="J274" s="2">
        <v>-3.85</v>
      </c>
      <c r="K274" s="2">
        <v>-2.42</v>
      </c>
      <c r="L274" s="2">
        <v>-10.51</v>
      </c>
      <c r="M274" s="2">
        <v>-2.38</v>
      </c>
      <c r="N274" s="2">
        <v>26.43</v>
      </c>
      <c r="O274" s="2">
        <v>27.58</v>
      </c>
      <c r="P274" s="2">
        <v>28.93</v>
      </c>
      <c r="Q274" s="2">
        <v>6.3</v>
      </c>
      <c r="R274" s="2">
        <v>2.21</v>
      </c>
      <c r="S274" s="2">
        <v>10.82</v>
      </c>
      <c r="T274" s="2">
        <v>36.880000000000003</v>
      </c>
      <c r="U274" s="2">
        <v>8.39</v>
      </c>
      <c r="V274" s="2">
        <v>36.71</v>
      </c>
      <c r="W274" s="2">
        <v>18.62</v>
      </c>
      <c r="X274" s="2">
        <v>14.59</v>
      </c>
      <c r="Y274" s="2">
        <v>14.22</v>
      </c>
      <c r="Z274" s="2">
        <v>0</v>
      </c>
      <c r="AA274" s="2">
        <v>0</v>
      </c>
      <c r="AB274" s="2">
        <v>0</v>
      </c>
      <c r="AC274" s="2">
        <v>0</v>
      </c>
      <c r="AD274" s="2">
        <v>9.4</v>
      </c>
      <c r="AE274" s="2">
        <v>0.28000000000000003</v>
      </c>
      <c r="AF274" s="2">
        <v>107.5</v>
      </c>
      <c r="AG274" s="2">
        <v>22.83</v>
      </c>
      <c r="AH274" s="4">
        <f t="shared" si="4"/>
        <v>86.07</v>
      </c>
    </row>
    <row r="275" spans="1:34" x14ac:dyDescent="0.2">
      <c r="A275" s="3">
        <v>16284</v>
      </c>
      <c r="B275" s="2">
        <v>-2.21</v>
      </c>
      <c r="C275" s="2">
        <v>13.81</v>
      </c>
      <c r="D275" s="2">
        <v>-3.48</v>
      </c>
      <c r="E275" s="2">
        <v>-47.86</v>
      </c>
      <c r="F275" s="2">
        <v>-24.24</v>
      </c>
      <c r="G275" s="2">
        <v>-10</v>
      </c>
      <c r="H275" s="2">
        <v>7.29</v>
      </c>
      <c r="I275" s="2">
        <v>19.66</v>
      </c>
      <c r="J275" s="2">
        <v>-5.33</v>
      </c>
      <c r="K275" s="2">
        <v>6.01</v>
      </c>
      <c r="L275" s="2">
        <v>-22.45</v>
      </c>
      <c r="M275" s="2">
        <v>-4.67</v>
      </c>
      <c r="N275" s="2">
        <v>29.96</v>
      </c>
      <c r="O275" s="2">
        <v>53.96</v>
      </c>
      <c r="P275" s="2">
        <v>32.29</v>
      </c>
      <c r="Q275" s="2">
        <v>2.14</v>
      </c>
      <c r="R275" s="2">
        <v>6.82</v>
      </c>
      <c r="S275" s="2">
        <v>2.9</v>
      </c>
      <c r="T275" s="2">
        <v>39.49</v>
      </c>
      <c r="U275" s="2">
        <v>1.57</v>
      </c>
      <c r="V275" s="2">
        <v>41.66</v>
      </c>
      <c r="W275" s="2">
        <v>30.39</v>
      </c>
      <c r="X275" s="2">
        <v>19.93</v>
      </c>
      <c r="Y275" s="2">
        <v>19.89</v>
      </c>
      <c r="Z275" s="2">
        <v>0</v>
      </c>
      <c r="AA275" s="2">
        <v>0</v>
      </c>
      <c r="AB275" s="2">
        <v>0</v>
      </c>
      <c r="AC275" s="2">
        <v>0</v>
      </c>
      <c r="AD275" s="2">
        <v>9.4499999999999993</v>
      </c>
      <c r="AE275" s="2">
        <v>0</v>
      </c>
      <c r="AF275" s="2">
        <v>117.07</v>
      </c>
      <c r="AG275" s="2">
        <v>24.8</v>
      </c>
      <c r="AH275" s="4">
        <f t="shared" si="4"/>
        <v>137.32</v>
      </c>
    </row>
    <row r="276" spans="1:34" x14ac:dyDescent="0.2">
      <c r="A276" s="3">
        <v>16315</v>
      </c>
      <c r="B276" s="2">
        <v>-2.62</v>
      </c>
      <c r="C276" s="2">
        <v>13.68</v>
      </c>
      <c r="D276" s="2">
        <v>-2.02</v>
      </c>
      <c r="E276" s="2">
        <v>-47.11</v>
      </c>
      <c r="F276" s="2">
        <v>-18.05</v>
      </c>
      <c r="G276" s="2">
        <v>-0.56000000000000005</v>
      </c>
      <c r="H276" s="2">
        <v>12.39</v>
      </c>
      <c r="I276" s="2">
        <v>20.7</v>
      </c>
      <c r="J276" s="2">
        <v>2.89</v>
      </c>
      <c r="K276" s="2">
        <v>2.85</v>
      </c>
      <c r="L276" s="2">
        <v>-13.05</v>
      </c>
      <c r="M276" s="2">
        <v>-3.5</v>
      </c>
      <c r="N276" s="2">
        <v>21.12</v>
      </c>
      <c r="O276" s="2">
        <v>43.18</v>
      </c>
      <c r="P276" s="2">
        <v>34.99</v>
      </c>
      <c r="Q276" s="2">
        <v>1.32</v>
      </c>
      <c r="R276" s="2">
        <v>-1.36</v>
      </c>
      <c r="S276" s="2">
        <v>1.07</v>
      </c>
      <c r="T276" s="2">
        <v>35.1</v>
      </c>
      <c r="U276" s="2">
        <v>2.92</v>
      </c>
      <c r="V276" s="2">
        <v>42.41</v>
      </c>
      <c r="W276" s="2">
        <v>31.47</v>
      </c>
      <c r="X276" s="2">
        <v>22.26</v>
      </c>
      <c r="Y276" s="2">
        <v>22.39</v>
      </c>
      <c r="Z276" s="2">
        <v>0</v>
      </c>
      <c r="AA276" s="2">
        <v>0</v>
      </c>
      <c r="AB276" s="2">
        <v>0</v>
      </c>
      <c r="AC276" s="2">
        <v>0</v>
      </c>
      <c r="AD276" s="2">
        <v>6.44</v>
      </c>
      <c r="AE276" s="2">
        <v>0</v>
      </c>
      <c r="AF276" s="2">
        <v>119.06</v>
      </c>
      <c r="AG276" s="2">
        <v>23.65</v>
      </c>
      <c r="AH276" s="4">
        <f t="shared" si="4"/>
        <v>146.34999999999997</v>
      </c>
    </row>
    <row r="277" spans="1:34" x14ac:dyDescent="0.2">
      <c r="A277" s="3">
        <v>16345</v>
      </c>
      <c r="B277" s="2">
        <v>-3.92</v>
      </c>
      <c r="C277" s="2">
        <v>13.31</v>
      </c>
      <c r="D277" s="2">
        <v>-5.46</v>
      </c>
      <c r="E277" s="2">
        <v>-36.450000000000003</v>
      </c>
      <c r="F277" s="2">
        <v>-13.61</v>
      </c>
      <c r="G277" s="2">
        <v>7.76</v>
      </c>
      <c r="H277" s="2">
        <v>16.53</v>
      </c>
      <c r="I277" s="2">
        <v>25.56</v>
      </c>
      <c r="J277" s="2">
        <v>18.16</v>
      </c>
      <c r="K277" s="2">
        <v>-7.85</v>
      </c>
      <c r="L277" s="2">
        <v>-8.6</v>
      </c>
      <c r="M277" s="2">
        <v>-3.53</v>
      </c>
      <c r="N277" s="2">
        <v>25.25</v>
      </c>
      <c r="O277" s="2">
        <v>2.0699999999999998</v>
      </c>
      <c r="P277" s="2">
        <v>23.19</v>
      </c>
      <c r="Q277" s="2">
        <v>2.54</v>
      </c>
      <c r="R277" s="2">
        <v>-0.28000000000000003</v>
      </c>
      <c r="S277" s="2">
        <v>-3.75</v>
      </c>
      <c r="T277" s="2">
        <v>20.57</v>
      </c>
      <c r="U277" s="2">
        <v>7.59</v>
      </c>
      <c r="V277" s="2">
        <v>17.309999999999999</v>
      </c>
      <c r="W277" s="2">
        <v>26.1</v>
      </c>
      <c r="X277" s="2">
        <v>21.1</v>
      </c>
      <c r="Y277" s="2">
        <v>20.99</v>
      </c>
      <c r="Z277" s="2">
        <v>0</v>
      </c>
      <c r="AA277" s="2">
        <v>0.28999999999999998</v>
      </c>
      <c r="AB277" s="2">
        <v>0</v>
      </c>
      <c r="AC277" s="2">
        <v>0</v>
      </c>
      <c r="AD277" s="2">
        <v>4.41</v>
      </c>
      <c r="AE277" s="2">
        <v>0</v>
      </c>
      <c r="AF277" s="2">
        <v>110.9</v>
      </c>
      <c r="AG277" s="2">
        <v>20.170000000000002</v>
      </c>
      <c r="AH277" s="4">
        <f t="shared" si="4"/>
        <v>96.39</v>
      </c>
    </row>
    <row r="278" spans="1:34" x14ac:dyDescent="0.2">
      <c r="A278" s="3">
        <v>16376</v>
      </c>
      <c r="B278" s="2">
        <v>-3.8</v>
      </c>
      <c r="C278" s="2">
        <v>13.89</v>
      </c>
      <c r="D278" s="2">
        <v>-5.79</v>
      </c>
      <c r="E278" s="2">
        <v>-15.38</v>
      </c>
      <c r="F278" s="2">
        <v>-0.17</v>
      </c>
      <c r="G278" s="2">
        <v>11.78</v>
      </c>
      <c r="H278" s="2">
        <v>15.8</v>
      </c>
      <c r="I278" s="2">
        <v>25.74</v>
      </c>
      <c r="J278" s="2">
        <v>15.89</v>
      </c>
      <c r="K278" s="2">
        <v>-14.39</v>
      </c>
      <c r="L278" s="2">
        <v>-7.0000000000000007E-2</v>
      </c>
      <c r="M278" s="2">
        <v>-0.1</v>
      </c>
      <c r="N278" s="2">
        <v>11.09</v>
      </c>
      <c r="O278" s="2">
        <v>8.09</v>
      </c>
      <c r="P278" s="2">
        <v>28.32</v>
      </c>
      <c r="Q278" s="2">
        <v>0.55000000000000004</v>
      </c>
      <c r="R278" s="2">
        <v>-2.98</v>
      </c>
      <c r="S278" s="2">
        <v>-5.0199999999999996</v>
      </c>
      <c r="T278" s="2">
        <v>23.33</v>
      </c>
      <c r="U278" s="2">
        <v>5.35</v>
      </c>
      <c r="V278" s="2">
        <v>18.68</v>
      </c>
      <c r="W278" s="2">
        <v>22.19</v>
      </c>
      <c r="X278" s="2">
        <v>19.53</v>
      </c>
      <c r="Y278" s="2">
        <v>19.39</v>
      </c>
      <c r="Z278" s="2">
        <v>14.07</v>
      </c>
      <c r="AA278" s="2">
        <v>0.56999999999999995</v>
      </c>
      <c r="AB278" s="2">
        <v>0.45</v>
      </c>
      <c r="AC278" s="2">
        <v>0</v>
      </c>
      <c r="AD278" s="2">
        <v>3.85</v>
      </c>
      <c r="AE278" s="2">
        <v>14.45</v>
      </c>
      <c r="AF278" s="2">
        <v>100.59</v>
      </c>
      <c r="AG278" s="2">
        <v>16.420000000000002</v>
      </c>
      <c r="AH278" s="4">
        <f t="shared" si="4"/>
        <v>130.81</v>
      </c>
    </row>
    <row r="279" spans="1:34" x14ac:dyDescent="0.2">
      <c r="A279" s="3">
        <v>16406</v>
      </c>
      <c r="B279" s="2">
        <v>-0.67</v>
      </c>
      <c r="C279" s="2">
        <v>22.14</v>
      </c>
      <c r="D279" s="2">
        <v>11.47</v>
      </c>
      <c r="E279" s="2">
        <v>37.85</v>
      </c>
      <c r="F279" s="2">
        <v>29.85</v>
      </c>
      <c r="G279" s="2">
        <v>44.34</v>
      </c>
      <c r="H279" s="2">
        <v>24.32</v>
      </c>
      <c r="I279" s="2">
        <v>32.409999999999997</v>
      </c>
      <c r="J279" s="2">
        <v>30.2</v>
      </c>
      <c r="K279" s="2">
        <v>1.91</v>
      </c>
      <c r="L279" s="2">
        <v>14.58</v>
      </c>
      <c r="M279" s="2">
        <v>10.34</v>
      </c>
      <c r="N279" s="2">
        <v>13.46</v>
      </c>
      <c r="O279" s="2">
        <v>3.63</v>
      </c>
      <c r="P279" s="2">
        <v>50.38</v>
      </c>
      <c r="Q279" s="2">
        <v>0.75</v>
      </c>
      <c r="R279" s="2">
        <v>-2.73</v>
      </c>
      <c r="S279" s="2">
        <v>37.49</v>
      </c>
      <c r="T279" s="2">
        <v>23.66</v>
      </c>
      <c r="U279" s="2">
        <v>8.92</v>
      </c>
      <c r="V279" s="2">
        <v>15.87</v>
      </c>
      <c r="W279" s="2">
        <v>15.43</v>
      </c>
      <c r="X279" s="2">
        <v>12.85</v>
      </c>
      <c r="Y279" s="2">
        <v>11.66</v>
      </c>
      <c r="Z279" s="2">
        <v>2.92</v>
      </c>
      <c r="AA279" s="2">
        <v>16.920000000000002</v>
      </c>
      <c r="AB279" s="2">
        <v>2.6</v>
      </c>
      <c r="AC279" s="2">
        <v>19.22</v>
      </c>
      <c r="AD279" s="2">
        <v>2.4900000000000002</v>
      </c>
      <c r="AE279" s="2">
        <v>26.75</v>
      </c>
      <c r="AF279" s="2">
        <v>66</v>
      </c>
      <c r="AG279" s="2">
        <v>12.92</v>
      </c>
      <c r="AH279" s="4">
        <f t="shared" si="4"/>
        <v>410.16999999999996</v>
      </c>
    </row>
    <row r="280" spans="1:34" x14ac:dyDescent="0.2">
      <c r="A280" s="3">
        <v>16437</v>
      </c>
      <c r="B280" s="2">
        <v>0.19</v>
      </c>
      <c r="C280" s="2">
        <v>21.58</v>
      </c>
      <c r="D280" s="2">
        <v>6.03</v>
      </c>
      <c r="E280" s="2">
        <v>13.92</v>
      </c>
      <c r="F280" s="2">
        <v>13.37</v>
      </c>
      <c r="G280" s="2">
        <v>33.35</v>
      </c>
      <c r="H280" s="2">
        <v>17.68</v>
      </c>
      <c r="I280" s="2">
        <v>28.97</v>
      </c>
      <c r="J280" s="2">
        <v>29.89</v>
      </c>
      <c r="K280" s="2">
        <v>-7.72</v>
      </c>
      <c r="L280" s="2">
        <v>18.89</v>
      </c>
      <c r="M280" s="2">
        <v>-1.66</v>
      </c>
      <c r="N280" s="2">
        <v>12.09</v>
      </c>
      <c r="O280" s="2">
        <v>2.31</v>
      </c>
      <c r="P280" s="2">
        <v>19.43</v>
      </c>
      <c r="Q280" s="2">
        <v>-2.13</v>
      </c>
      <c r="R280" s="2">
        <v>-1.33</v>
      </c>
      <c r="S280" s="2">
        <v>3.05</v>
      </c>
      <c r="T280" s="2">
        <v>18.489999999999998</v>
      </c>
      <c r="U280" s="2">
        <v>7.27</v>
      </c>
      <c r="V280" s="2">
        <v>15.96</v>
      </c>
      <c r="W280" s="2">
        <v>11.73</v>
      </c>
      <c r="X280" s="2">
        <v>10.58</v>
      </c>
      <c r="Y280" s="2">
        <v>10.6</v>
      </c>
      <c r="Z280" s="2">
        <v>0</v>
      </c>
      <c r="AA280" s="2">
        <v>2.15</v>
      </c>
      <c r="AB280" s="2">
        <v>0.91</v>
      </c>
      <c r="AC280" s="2">
        <v>2.57</v>
      </c>
      <c r="AD280" s="2">
        <v>2.42</v>
      </c>
      <c r="AE280" s="2">
        <v>20.6</v>
      </c>
      <c r="AF280" s="2">
        <v>60.63</v>
      </c>
      <c r="AG280" s="2">
        <v>11.2</v>
      </c>
      <c r="AH280" s="4">
        <f t="shared" si="4"/>
        <v>249.63000000000008</v>
      </c>
    </row>
    <row r="281" spans="1:34" x14ac:dyDescent="0.2">
      <c r="A281" s="3">
        <v>16468</v>
      </c>
      <c r="B281" s="2">
        <v>1.83</v>
      </c>
      <c r="C281" s="2">
        <v>17.940000000000001</v>
      </c>
      <c r="D281" s="2">
        <v>-0.89</v>
      </c>
      <c r="E281" s="2">
        <v>-4.67</v>
      </c>
      <c r="F281" s="2">
        <v>-16.739999999999998</v>
      </c>
      <c r="G281" s="2">
        <v>17.52</v>
      </c>
      <c r="H281" s="2">
        <v>10.1</v>
      </c>
      <c r="I281" s="2">
        <v>23.59</v>
      </c>
      <c r="J281" s="2">
        <v>8.82</v>
      </c>
      <c r="K281" s="2">
        <v>-0.94</v>
      </c>
      <c r="L281" s="2">
        <v>-4.83</v>
      </c>
      <c r="M281" s="2">
        <v>-13.6</v>
      </c>
      <c r="N281" s="2">
        <v>18.649999999999999</v>
      </c>
      <c r="O281" s="2">
        <v>2.96</v>
      </c>
      <c r="P281" s="2">
        <v>14.45</v>
      </c>
      <c r="Q281" s="2">
        <v>-1.7</v>
      </c>
      <c r="R281" s="2">
        <v>-1.46</v>
      </c>
      <c r="S281" s="2">
        <v>-2.2200000000000002</v>
      </c>
      <c r="T281" s="2">
        <v>19.89</v>
      </c>
      <c r="U281" s="2">
        <v>5.81</v>
      </c>
      <c r="V281" s="2">
        <v>15.43</v>
      </c>
      <c r="W281" s="2">
        <v>4.26</v>
      </c>
      <c r="X281" s="2">
        <v>9.99</v>
      </c>
      <c r="Y281" s="2">
        <v>8.7100000000000009</v>
      </c>
      <c r="Z281" s="2">
        <v>0</v>
      </c>
      <c r="AA281" s="2">
        <v>1.72</v>
      </c>
      <c r="AB281" s="2">
        <v>0</v>
      </c>
      <c r="AC281" s="2">
        <v>5.55</v>
      </c>
      <c r="AD281" s="2">
        <v>2.38</v>
      </c>
      <c r="AE281" s="2">
        <v>4.01</v>
      </c>
      <c r="AF281" s="2">
        <v>69.56</v>
      </c>
      <c r="AG281" s="2">
        <v>9.8800000000000008</v>
      </c>
      <c r="AH281" s="4">
        <f t="shared" si="4"/>
        <v>109.94000000000003</v>
      </c>
    </row>
    <row r="282" spans="1:34" x14ac:dyDescent="0.2">
      <c r="A282" s="3">
        <v>16496</v>
      </c>
      <c r="B282" s="2">
        <v>2.67</v>
      </c>
      <c r="C282" s="2">
        <v>24.54</v>
      </c>
      <c r="D282" s="2">
        <v>11.33</v>
      </c>
      <c r="E282" s="2">
        <v>46.92</v>
      </c>
      <c r="F282" s="2">
        <v>94.28</v>
      </c>
      <c r="G282" s="2">
        <v>119.61</v>
      </c>
      <c r="H282" s="2">
        <v>29.97</v>
      </c>
      <c r="I282" s="2">
        <v>44.18</v>
      </c>
      <c r="J282" s="2">
        <v>92.48</v>
      </c>
      <c r="K282" s="2">
        <v>72.14</v>
      </c>
      <c r="L282" s="2">
        <v>37.020000000000003</v>
      </c>
      <c r="M282" s="2">
        <v>36.4</v>
      </c>
      <c r="N282" s="2">
        <v>91.07</v>
      </c>
      <c r="O282" s="2">
        <v>5.61</v>
      </c>
      <c r="P282" s="2">
        <v>112.36</v>
      </c>
      <c r="Q282" s="2">
        <v>1.68</v>
      </c>
      <c r="R282" s="2">
        <v>4.76</v>
      </c>
      <c r="S282" s="2">
        <v>64.78</v>
      </c>
      <c r="T282" s="2">
        <v>21.9</v>
      </c>
      <c r="U282" s="2">
        <v>13.7</v>
      </c>
      <c r="V282" s="2">
        <v>31.75</v>
      </c>
      <c r="W282" s="2">
        <v>0</v>
      </c>
      <c r="X282" s="2">
        <v>3.45</v>
      </c>
      <c r="Y282" s="2">
        <v>3.57</v>
      </c>
      <c r="Z282" s="2">
        <v>8.0399999999999991</v>
      </c>
      <c r="AA282" s="2">
        <v>1.1499999999999999</v>
      </c>
      <c r="AB282" s="2">
        <v>20.49</v>
      </c>
      <c r="AC282" s="2">
        <v>10.97</v>
      </c>
      <c r="AD282" s="2">
        <v>2.64</v>
      </c>
      <c r="AE282" s="2">
        <v>26.57</v>
      </c>
      <c r="AF282" s="2">
        <v>57.98</v>
      </c>
      <c r="AG282" s="2">
        <v>10.08</v>
      </c>
      <c r="AH282" s="4">
        <f t="shared" si="4"/>
        <v>959.15000000000009</v>
      </c>
    </row>
    <row r="283" spans="1:34" x14ac:dyDescent="0.2">
      <c r="A283" s="3">
        <v>16527</v>
      </c>
      <c r="B283" s="2">
        <v>3.13</v>
      </c>
      <c r="C283" s="2">
        <v>22.28</v>
      </c>
      <c r="D283" s="2">
        <v>0.6</v>
      </c>
      <c r="E283" s="2">
        <v>-8.64</v>
      </c>
      <c r="F283" s="2">
        <v>-46.05</v>
      </c>
      <c r="G283" s="2">
        <v>3.21</v>
      </c>
      <c r="H283" s="2">
        <v>13.58</v>
      </c>
      <c r="I283" s="2">
        <v>29.35</v>
      </c>
      <c r="J283" s="2">
        <v>29.91</v>
      </c>
      <c r="K283" s="2">
        <v>12.12</v>
      </c>
      <c r="L283" s="2">
        <v>14.95</v>
      </c>
      <c r="M283" s="2">
        <v>5.54</v>
      </c>
      <c r="N283" s="2">
        <v>46.99</v>
      </c>
      <c r="O283" s="2">
        <v>10.99</v>
      </c>
      <c r="P283" s="2">
        <v>63.03</v>
      </c>
      <c r="Q283" s="2">
        <v>6.75</v>
      </c>
      <c r="R283" s="2">
        <v>1.82</v>
      </c>
      <c r="S283" s="2">
        <v>30.29</v>
      </c>
      <c r="T283" s="2">
        <v>26.93</v>
      </c>
      <c r="U283" s="2">
        <v>11.17</v>
      </c>
      <c r="V283" s="2">
        <v>27.18</v>
      </c>
      <c r="W283" s="2">
        <v>0</v>
      </c>
      <c r="X283" s="2">
        <v>4.3600000000000003</v>
      </c>
      <c r="Y283" s="2">
        <v>3.44</v>
      </c>
      <c r="Z283" s="2">
        <v>11.72</v>
      </c>
      <c r="AA283" s="2">
        <v>6.74</v>
      </c>
      <c r="AB283" s="2">
        <v>12.68</v>
      </c>
      <c r="AC283" s="2">
        <v>22.07</v>
      </c>
      <c r="AD283" s="2">
        <v>4.5999999999999996</v>
      </c>
      <c r="AE283" s="2">
        <v>24.61</v>
      </c>
      <c r="AF283" s="2">
        <v>68.42</v>
      </c>
      <c r="AG283" s="2">
        <v>10.69</v>
      </c>
      <c r="AH283" s="4">
        <f t="shared" si="4"/>
        <v>305.13</v>
      </c>
    </row>
    <row r="284" spans="1:34" x14ac:dyDescent="0.2">
      <c r="A284" s="3">
        <v>16557</v>
      </c>
      <c r="B284" s="2">
        <v>1.19</v>
      </c>
      <c r="C284" s="2">
        <v>16.04</v>
      </c>
      <c r="D284" s="2">
        <v>-11.16</v>
      </c>
      <c r="E284" s="2">
        <v>-46.74</v>
      </c>
      <c r="F284" s="2">
        <v>-1.86</v>
      </c>
      <c r="G284" s="2">
        <v>-20.36</v>
      </c>
      <c r="H284" s="2">
        <v>8.07</v>
      </c>
      <c r="I284" s="2">
        <v>28.33</v>
      </c>
      <c r="J284" s="2">
        <v>10.06</v>
      </c>
      <c r="K284" s="2">
        <v>1.2</v>
      </c>
      <c r="L284" s="2">
        <v>5.63</v>
      </c>
      <c r="M284" s="2">
        <v>-3.94</v>
      </c>
      <c r="N284" s="2">
        <v>41.24</v>
      </c>
      <c r="O284" s="2">
        <v>8.19</v>
      </c>
      <c r="P284" s="2">
        <v>51.1</v>
      </c>
      <c r="Q284" s="2">
        <v>6.78</v>
      </c>
      <c r="R284" s="2">
        <v>2.63</v>
      </c>
      <c r="S284" s="2">
        <v>4.03</v>
      </c>
      <c r="T284" s="2">
        <v>8.36</v>
      </c>
      <c r="U284" s="2">
        <v>14.11</v>
      </c>
      <c r="V284" s="2">
        <v>30.04</v>
      </c>
      <c r="W284" s="2">
        <v>0</v>
      </c>
      <c r="X284" s="2">
        <v>5.32</v>
      </c>
      <c r="Y284" s="2">
        <v>4.6900000000000004</v>
      </c>
      <c r="Z284" s="2">
        <v>1.58</v>
      </c>
      <c r="AA284" s="2">
        <v>0</v>
      </c>
      <c r="AB284" s="2">
        <v>0</v>
      </c>
      <c r="AC284" s="2">
        <v>0</v>
      </c>
      <c r="AD284" s="2">
        <v>5.16</v>
      </c>
      <c r="AE284" s="2">
        <v>1.58</v>
      </c>
      <c r="AF284" s="2">
        <v>84.67</v>
      </c>
      <c r="AG284" s="2">
        <v>14.64</v>
      </c>
      <c r="AH284" s="4">
        <f t="shared" si="4"/>
        <v>152.94</v>
      </c>
    </row>
    <row r="285" spans="1:34" x14ac:dyDescent="0.2">
      <c r="A285" s="3">
        <v>16588</v>
      </c>
      <c r="B285" s="2">
        <v>1.54</v>
      </c>
      <c r="C285" s="2">
        <v>15.01</v>
      </c>
      <c r="D285" s="2">
        <v>3.89</v>
      </c>
      <c r="E285" s="2">
        <v>-20.46</v>
      </c>
      <c r="F285" s="2">
        <v>-3.25</v>
      </c>
      <c r="G285" s="2">
        <v>-12.75</v>
      </c>
      <c r="H285" s="2">
        <v>9.8000000000000007</v>
      </c>
      <c r="I285" s="2">
        <v>29.7</v>
      </c>
      <c r="J285" s="2">
        <v>26</v>
      </c>
      <c r="K285" s="2">
        <v>14.68</v>
      </c>
      <c r="L285" s="2">
        <v>32.270000000000003</v>
      </c>
      <c r="M285" s="2">
        <v>13.82</v>
      </c>
      <c r="N285" s="2">
        <v>41.04</v>
      </c>
      <c r="O285" s="2">
        <v>17.21</v>
      </c>
      <c r="P285" s="2">
        <v>54.03</v>
      </c>
      <c r="Q285" s="2">
        <v>12.37</v>
      </c>
      <c r="R285" s="2">
        <v>14.09</v>
      </c>
      <c r="S285" s="2">
        <v>31.74</v>
      </c>
      <c r="T285" s="2">
        <v>9.6300000000000008</v>
      </c>
      <c r="U285" s="2">
        <v>27.12</v>
      </c>
      <c r="V285" s="2">
        <v>35.74</v>
      </c>
      <c r="W285" s="2">
        <v>4.88</v>
      </c>
      <c r="X285" s="2">
        <v>8.34</v>
      </c>
      <c r="Y285" s="2">
        <v>7.05</v>
      </c>
      <c r="Z285" s="2">
        <v>0</v>
      </c>
      <c r="AA285" s="2">
        <v>0</v>
      </c>
      <c r="AB285" s="2">
        <v>0</v>
      </c>
      <c r="AC285" s="2">
        <v>0.81</v>
      </c>
      <c r="AD285" s="2">
        <v>8.67</v>
      </c>
      <c r="AE285" s="2">
        <v>1.86</v>
      </c>
      <c r="AF285" s="2">
        <v>95.62</v>
      </c>
      <c r="AG285" s="2">
        <v>17.690000000000001</v>
      </c>
      <c r="AH285" s="4">
        <f t="shared" si="4"/>
        <v>353.22</v>
      </c>
    </row>
    <row r="286" spans="1:34" x14ac:dyDescent="0.2">
      <c r="A286" s="3">
        <v>16618</v>
      </c>
      <c r="B286" s="2">
        <v>0.36</v>
      </c>
      <c r="C286" s="2">
        <v>14.25</v>
      </c>
      <c r="D286" s="2">
        <v>-5.27</v>
      </c>
      <c r="E286" s="2">
        <v>-50.81</v>
      </c>
      <c r="F286" s="2">
        <v>-43.07</v>
      </c>
      <c r="G286" s="2">
        <v>-17.64</v>
      </c>
      <c r="H286" s="2">
        <v>3.87</v>
      </c>
      <c r="I286" s="2">
        <v>24.56</v>
      </c>
      <c r="J286" s="2">
        <v>1.91</v>
      </c>
      <c r="K286" s="2">
        <v>-3.41</v>
      </c>
      <c r="L286" s="2">
        <v>2.19</v>
      </c>
      <c r="M286" s="2">
        <v>12.52</v>
      </c>
      <c r="N286" s="2">
        <v>29.91</v>
      </c>
      <c r="O286" s="2">
        <v>44.33</v>
      </c>
      <c r="P286" s="2">
        <v>58.88</v>
      </c>
      <c r="Q286" s="2">
        <v>11.33</v>
      </c>
      <c r="R286" s="2">
        <v>8.8699999999999992</v>
      </c>
      <c r="S286" s="2">
        <v>25.47</v>
      </c>
      <c r="T286" s="2">
        <v>31.36</v>
      </c>
      <c r="U286" s="2">
        <v>17.41</v>
      </c>
      <c r="V286" s="2">
        <v>38.26</v>
      </c>
      <c r="W286" s="2">
        <v>18.62</v>
      </c>
      <c r="X286" s="2">
        <v>13.72</v>
      </c>
      <c r="Y286" s="2">
        <v>13.14</v>
      </c>
      <c r="Z286" s="2">
        <v>0</v>
      </c>
      <c r="AA286" s="2">
        <v>0</v>
      </c>
      <c r="AB286" s="2">
        <v>0</v>
      </c>
      <c r="AC286" s="2">
        <v>0</v>
      </c>
      <c r="AD286" s="2">
        <v>10.220000000000001</v>
      </c>
      <c r="AE286" s="2">
        <v>0.37</v>
      </c>
      <c r="AF286" s="2">
        <v>104.64</v>
      </c>
      <c r="AG286" s="2">
        <v>22.83</v>
      </c>
      <c r="AH286" s="4">
        <f t="shared" si="4"/>
        <v>205.28</v>
      </c>
    </row>
    <row r="287" spans="1:34" x14ac:dyDescent="0.2">
      <c r="A287" s="3">
        <v>16649</v>
      </c>
      <c r="B287" s="2">
        <v>0.82</v>
      </c>
      <c r="C287" s="2">
        <v>15.08</v>
      </c>
      <c r="D287" s="2">
        <v>-0.32</v>
      </c>
      <c r="E287" s="2">
        <v>-37.799999999999997</v>
      </c>
      <c r="F287" s="2">
        <v>-25.32</v>
      </c>
      <c r="G287" s="2">
        <v>-13.8</v>
      </c>
      <c r="H287" s="2">
        <v>7.94</v>
      </c>
      <c r="I287" s="2">
        <v>18.27</v>
      </c>
      <c r="J287" s="2">
        <v>-23.13</v>
      </c>
      <c r="K287" s="2">
        <v>-26.54</v>
      </c>
      <c r="L287" s="2">
        <v>-51.9</v>
      </c>
      <c r="M287" s="2">
        <v>-22.08</v>
      </c>
      <c r="N287" s="2">
        <v>19.88</v>
      </c>
      <c r="O287" s="2">
        <v>63.74</v>
      </c>
      <c r="P287" s="2">
        <v>17.399999999999999</v>
      </c>
      <c r="Q287" s="2">
        <v>5.49</v>
      </c>
      <c r="R287" s="2">
        <v>16.89</v>
      </c>
      <c r="S287" s="2">
        <v>11.77</v>
      </c>
      <c r="T287" s="2">
        <v>41.3</v>
      </c>
      <c r="U287" s="2">
        <v>1.57</v>
      </c>
      <c r="V287" s="2">
        <v>40.99</v>
      </c>
      <c r="W287" s="2">
        <v>30.39</v>
      </c>
      <c r="X287" s="2">
        <v>18.98</v>
      </c>
      <c r="Y287" s="2">
        <v>18.760000000000002</v>
      </c>
      <c r="Z287" s="2">
        <v>0</v>
      </c>
      <c r="AA287" s="2">
        <v>0</v>
      </c>
      <c r="AB287" s="2">
        <v>0.28000000000000003</v>
      </c>
      <c r="AC287" s="2">
        <v>5.55</v>
      </c>
      <c r="AD287" s="2">
        <v>10.62</v>
      </c>
      <c r="AE287" s="2">
        <v>0</v>
      </c>
      <c r="AF287" s="2">
        <v>113.96</v>
      </c>
      <c r="AG287" s="2">
        <v>24.8</v>
      </c>
      <c r="AH287" s="4">
        <f t="shared" si="4"/>
        <v>60.249999999999972</v>
      </c>
    </row>
    <row r="288" spans="1:34" x14ac:dyDescent="0.2">
      <c r="A288" s="3">
        <v>16680</v>
      </c>
      <c r="B288" s="2">
        <v>-0.2</v>
      </c>
      <c r="C288" s="2">
        <v>14.23</v>
      </c>
      <c r="D288" s="2">
        <v>-1.79</v>
      </c>
      <c r="E288" s="2">
        <v>-45.94</v>
      </c>
      <c r="F288" s="2">
        <v>-15.94</v>
      </c>
      <c r="G288" s="2">
        <v>-4.5199999999999996</v>
      </c>
      <c r="H288" s="2">
        <v>11.57</v>
      </c>
      <c r="I288" s="2">
        <v>19.7</v>
      </c>
      <c r="J288" s="2">
        <v>-12.91</v>
      </c>
      <c r="K288" s="2">
        <v>-26.35</v>
      </c>
      <c r="L288" s="2">
        <v>-36.64</v>
      </c>
      <c r="M288" s="2">
        <v>-17.48</v>
      </c>
      <c r="N288" s="2">
        <v>11.95</v>
      </c>
      <c r="O288" s="2">
        <v>49.65</v>
      </c>
      <c r="P288" s="2">
        <v>24.7</v>
      </c>
      <c r="Q288" s="2">
        <v>1.29</v>
      </c>
      <c r="R288" s="2">
        <v>3.34</v>
      </c>
      <c r="S288" s="2">
        <v>6.51</v>
      </c>
      <c r="T288" s="2">
        <v>39.54</v>
      </c>
      <c r="U288" s="2">
        <v>2.23</v>
      </c>
      <c r="V288" s="2">
        <v>42.49</v>
      </c>
      <c r="W288" s="2">
        <v>31.47</v>
      </c>
      <c r="X288" s="2">
        <v>21.3</v>
      </c>
      <c r="Y288" s="2">
        <v>21.22</v>
      </c>
      <c r="Z288" s="2">
        <v>1.1000000000000001</v>
      </c>
      <c r="AA288" s="2">
        <v>34.119999999999997</v>
      </c>
      <c r="AB288" s="2">
        <v>0.4</v>
      </c>
      <c r="AC288" s="2">
        <v>20.98</v>
      </c>
      <c r="AD288" s="2">
        <v>6.8</v>
      </c>
      <c r="AE288" s="2">
        <v>0</v>
      </c>
      <c r="AF288" s="2">
        <v>115.89</v>
      </c>
      <c r="AG288" s="2">
        <v>23.65</v>
      </c>
      <c r="AH288" s="4">
        <f t="shared" si="4"/>
        <v>65.430000000000007</v>
      </c>
    </row>
    <row r="289" spans="1:34" x14ac:dyDescent="0.2">
      <c r="A289" s="3">
        <v>16710</v>
      </c>
      <c r="B289" s="2">
        <v>-1.82</v>
      </c>
      <c r="C289" s="2">
        <v>13.42</v>
      </c>
      <c r="D289" s="2">
        <v>-6.74</v>
      </c>
      <c r="E289" s="2">
        <v>-43.61</v>
      </c>
      <c r="F289" s="2">
        <v>-8.5</v>
      </c>
      <c r="G289" s="2">
        <v>4.3600000000000003</v>
      </c>
      <c r="H289" s="2">
        <v>15.29</v>
      </c>
      <c r="I289" s="2">
        <v>24.56</v>
      </c>
      <c r="J289" s="2">
        <v>8.2899999999999991</v>
      </c>
      <c r="K289" s="2">
        <v>-24.65</v>
      </c>
      <c r="L289" s="2">
        <v>-19.809999999999999</v>
      </c>
      <c r="M289" s="2">
        <v>-11.31</v>
      </c>
      <c r="N289" s="2">
        <v>17.350000000000001</v>
      </c>
      <c r="O289" s="2">
        <v>3.68</v>
      </c>
      <c r="P289" s="2">
        <v>15.88</v>
      </c>
      <c r="Q289" s="2">
        <v>2.63</v>
      </c>
      <c r="R289" s="2">
        <v>1.0900000000000001</v>
      </c>
      <c r="S289" s="2">
        <v>0.09</v>
      </c>
      <c r="T289" s="2">
        <v>21.65</v>
      </c>
      <c r="U289" s="2">
        <v>7.25</v>
      </c>
      <c r="V289" s="2">
        <v>16.89</v>
      </c>
      <c r="W289" s="2">
        <v>26.1</v>
      </c>
      <c r="X289" s="2">
        <v>20.22</v>
      </c>
      <c r="Y289" s="2">
        <v>19.93</v>
      </c>
      <c r="Z289" s="2">
        <v>2.0099999999999998</v>
      </c>
      <c r="AA289" s="2">
        <v>7.46</v>
      </c>
      <c r="AB289" s="2">
        <v>0.79</v>
      </c>
      <c r="AC289" s="2">
        <v>0</v>
      </c>
      <c r="AD289" s="2">
        <v>4.8600000000000003</v>
      </c>
      <c r="AE289" s="2">
        <v>0</v>
      </c>
      <c r="AF289" s="2">
        <v>107.95</v>
      </c>
      <c r="AG289" s="2">
        <v>20.170000000000002</v>
      </c>
      <c r="AH289" s="4">
        <f t="shared" si="4"/>
        <v>35.989999999999995</v>
      </c>
    </row>
    <row r="290" spans="1:34" x14ac:dyDescent="0.2">
      <c r="A290" s="3">
        <v>16741</v>
      </c>
      <c r="B290" s="2">
        <v>-0.59</v>
      </c>
      <c r="C290" s="2">
        <v>17.66</v>
      </c>
      <c r="D290" s="2">
        <v>3.91</v>
      </c>
      <c r="E290" s="2">
        <v>5.79</v>
      </c>
      <c r="F290" s="2">
        <v>3.18</v>
      </c>
      <c r="G290" s="2">
        <v>19.37</v>
      </c>
      <c r="H290" s="2">
        <v>17.28</v>
      </c>
      <c r="I290" s="2">
        <v>26.7</v>
      </c>
      <c r="J290" s="2">
        <v>17.84</v>
      </c>
      <c r="K290" s="2">
        <v>-8.9</v>
      </c>
      <c r="L290" s="2">
        <v>-2.75</v>
      </c>
      <c r="M290" s="2">
        <v>2.71</v>
      </c>
      <c r="N290" s="2">
        <v>12.9</v>
      </c>
      <c r="O290" s="2">
        <v>10.27</v>
      </c>
      <c r="P290" s="2">
        <v>38.69</v>
      </c>
      <c r="Q290" s="2">
        <v>1.34</v>
      </c>
      <c r="R290" s="2">
        <v>-2.81</v>
      </c>
      <c r="S290" s="2">
        <v>4</v>
      </c>
      <c r="T290" s="2">
        <v>20.92</v>
      </c>
      <c r="U290" s="2">
        <v>6.11</v>
      </c>
      <c r="V290" s="2">
        <v>22.46</v>
      </c>
      <c r="W290" s="2">
        <v>22.19</v>
      </c>
      <c r="X290" s="2">
        <v>18.73</v>
      </c>
      <c r="Y290" s="2">
        <v>18.420000000000002</v>
      </c>
      <c r="Z290" s="2">
        <v>0.1</v>
      </c>
      <c r="AA290" s="2">
        <v>3.01</v>
      </c>
      <c r="AB290" s="2">
        <v>17.440000000000001</v>
      </c>
      <c r="AC290" s="2">
        <v>1.08</v>
      </c>
      <c r="AD290" s="2">
        <v>2.94</v>
      </c>
      <c r="AE290" s="2">
        <v>15.29</v>
      </c>
      <c r="AF290" s="2">
        <v>97.91</v>
      </c>
      <c r="AG290" s="2">
        <v>16.420000000000002</v>
      </c>
      <c r="AH290" s="4">
        <f t="shared" si="4"/>
        <v>216.08</v>
      </c>
    </row>
    <row r="291" spans="1:34" x14ac:dyDescent="0.2">
      <c r="A291" s="3">
        <v>16771</v>
      </c>
      <c r="B291" s="2">
        <v>0.77</v>
      </c>
      <c r="C291" s="2">
        <v>17.920000000000002</v>
      </c>
      <c r="D291" s="2">
        <v>3.04</v>
      </c>
      <c r="E291" s="2">
        <v>17.739999999999998</v>
      </c>
      <c r="F291" s="2">
        <v>21.37</v>
      </c>
      <c r="G291" s="2">
        <v>32.17</v>
      </c>
      <c r="H291" s="2">
        <v>18.12</v>
      </c>
      <c r="I291" s="2">
        <v>27.43</v>
      </c>
      <c r="J291" s="2">
        <v>18.100000000000001</v>
      </c>
      <c r="K291" s="2">
        <v>-13.24</v>
      </c>
      <c r="L291" s="2">
        <v>7.66</v>
      </c>
      <c r="M291" s="2">
        <v>-1.39</v>
      </c>
      <c r="N291" s="2">
        <v>4.67</v>
      </c>
      <c r="O291" s="2">
        <v>4.9000000000000004</v>
      </c>
      <c r="P291" s="2">
        <v>11.59</v>
      </c>
      <c r="Q291" s="2">
        <v>0.23</v>
      </c>
      <c r="R291" s="2">
        <v>-5.25</v>
      </c>
      <c r="S291" s="2">
        <v>5.95</v>
      </c>
      <c r="T291" s="2">
        <v>20.76</v>
      </c>
      <c r="U291" s="2">
        <v>6.47</v>
      </c>
      <c r="V291" s="2">
        <v>14.85</v>
      </c>
      <c r="W291" s="2">
        <v>15.43</v>
      </c>
      <c r="X291" s="2">
        <v>12.27</v>
      </c>
      <c r="Y291" s="2">
        <v>10.93</v>
      </c>
      <c r="Z291" s="2">
        <v>12.2</v>
      </c>
      <c r="AA291" s="2">
        <v>0</v>
      </c>
      <c r="AB291" s="2">
        <v>0.85</v>
      </c>
      <c r="AC291" s="2">
        <v>0</v>
      </c>
      <c r="AD291" s="2">
        <v>1.92</v>
      </c>
      <c r="AE291" s="2">
        <v>12.03</v>
      </c>
      <c r="AF291" s="2">
        <v>64.239999999999995</v>
      </c>
      <c r="AG291" s="2">
        <v>12.92</v>
      </c>
      <c r="AH291" s="4">
        <f t="shared" si="4"/>
        <v>213.85999999999996</v>
      </c>
    </row>
    <row r="292" spans="1:34" x14ac:dyDescent="0.2">
      <c r="A292" s="3">
        <v>16802</v>
      </c>
      <c r="B292" s="2">
        <v>6.65</v>
      </c>
      <c r="C292" s="2">
        <v>34.770000000000003</v>
      </c>
      <c r="D292" s="2">
        <v>48.12</v>
      </c>
      <c r="E292" s="2">
        <v>136.78</v>
      </c>
      <c r="F292" s="2">
        <v>162.09</v>
      </c>
      <c r="G292" s="2">
        <v>192.38</v>
      </c>
      <c r="H292" s="2">
        <v>42.07</v>
      </c>
      <c r="I292" s="2">
        <v>47.77</v>
      </c>
      <c r="J292" s="2">
        <v>93.88</v>
      </c>
      <c r="K292" s="2">
        <v>22.74</v>
      </c>
      <c r="L292" s="2">
        <v>32.75</v>
      </c>
      <c r="M292" s="2">
        <v>14.81</v>
      </c>
      <c r="N292" s="2">
        <v>38.67</v>
      </c>
      <c r="O292" s="2">
        <v>6.65</v>
      </c>
      <c r="P292" s="2">
        <v>48.68</v>
      </c>
      <c r="Q292" s="2">
        <v>0.05</v>
      </c>
      <c r="R292" s="2">
        <v>-3.17</v>
      </c>
      <c r="S292" s="2">
        <v>25.82</v>
      </c>
      <c r="T292" s="2">
        <v>13.6</v>
      </c>
      <c r="U292" s="2">
        <v>7.96</v>
      </c>
      <c r="V292" s="2">
        <v>22.07</v>
      </c>
      <c r="W292" s="2">
        <v>11.73</v>
      </c>
      <c r="X292" s="2">
        <v>10.039999999999999</v>
      </c>
      <c r="Y292" s="2">
        <v>9.93</v>
      </c>
      <c r="Z292" s="2">
        <v>4.74</v>
      </c>
      <c r="AA292" s="2">
        <v>17.64</v>
      </c>
      <c r="AB292" s="2">
        <v>12.8</v>
      </c>
      <c r="AC292" s="2">
        <v>18.55</v>
      </c>
      <c r="AD292" s="2">
        <v>1.81</v>
      </c>
      <c r="AE292" s="2">
        <v>45.31</v>
      </c>
      <c r="AF292" s="2">
        <v>59.02</v>
      </c>
      <c r="AG292" s="2">
        <v>11.2</v>
      </c>
      <c r="AH292" s="4">
        <f t="shared" si="4"/>
        <v>995.14</v>
      </c>
    </row>
    <row r="293" spans="1:34" x14ac:dyDescent="0.2">
      <c r="A293" s="3">
        <v>16833</v>
      </c>
      <c r="B293" s="2">
        <v>13.57</v>
      </c>
      <c r="C293" s="2">
        <v>25.99</v>
      </c>
      <c r="D293" s="2">
        <v>-4.9400000000000004</v>
      </c>
      <c r="E293" s="2">
        <v>5.74</v>
      </c>
      <c r="F293" s="2">
        <v>-30.65</v>
      </c>
      <c r="G293" s="2">
        <v>22.35</v>
      </c>
      <c r="H293" s="2">
        <v>11.87</v>
      </c>
      <c r="I293" s="2">
        <v>30.31</v>
      </c>
      <c r="J293" s="2">
        <v>24.48</v>
      </c>
      <c r="K293" s="2">
        <v>7.54</v>
      </c>
      <c r="L293" s="2">
        <v>18.82</v>
      </c>
      <c r="M293" s="2">
        <v>-1.6</v>
      </c>
      <c r="N293" s="2">
        <v>21.39</v>
      </c>
      <c r="O293" s="2">
        <v>4.93</v>
      </c>
      <c r="P293" s="2">
        <v>17.11</v>
      </c>
      <c r="Q293" s="2">
        <v>-1</v>
      </c>
      <c r="R293" s="2">
        <v>-3.4</v>
      </c>
      <c r="S293" s="2">
        <v>2.56</v>
      </c>
      <c r="T293" s="2">
        <v>16.399999999999999</v>
      </c>
      <c r="U293" s="2">
        <v>6.11</v>
      </c>
      <c r="V293" s="2">
        <v>18.29</v>
      </c>
      <c r="W293" s="2">
        <v>4.26</v>
      </c>
      <c r="X293" s="2">
        <v>9.93</v>
      </c>
      <c r="Y293" s="2">
        <v>8.64</v>
      </c>
      <c r="Z293" s="2">
        <v>0.1</v>
      </c>
      <c r="AA293" s="2">
        <v>1.29</v>
      </c>
      <c r="AB293" s="2">
        <v>0.96</v>
      </c>
      <c r="AC293" s="2">
        <v>0</v>
      </c>
      <c r="AD293" s="2">
        <v>1.77</v>
      </c>
      <c r="AE293" s="2">
        <v>8.67</v>
      </c>
      <c r="AF293" s="2">
        <v>69.56</v>
      </c>
      <c r="AG293" s="2">
        <v>9.8800000000000008</v>
      </c>
      <c r="AH293" s="4">
        <f t="shared" si="4"/>
        <v>205.87000000000003</v>
      </c>
    </row>
    <row r="294" spans="1:34" x14ac:dyDescent="0.2">
      <c r="A294" s="3">
        <v>16861</v>
      </c>
      <c r="B294" s="2">
        <v>6.28</v>
      </c>
      <c r="C294" s="2">
        <v>17.18</v>
      </c>
      <c r="D294" s="2">
        <v>-23.17</v>
      </c>
      <c r="E294" s="2">
        <v>-72.41</v>
      </c>
      <c r="F294" s="2">
        <v>-66</v>
      </c>
      <c r="G294" s="2">
        <v>-48.34</v>
      </c>
      <c r="H294" s="2">
        <v>1.79</v>
      </c>
      <c r="I294" s="2">
        <v>22.62</v>
      </c>
      <c r="J294" s="2">
        <v>-4.38</v>
      </c>
      <c r="K294" s="2">
        <v>-8.7899999999999991</v>
      </c>
      <c r="L294" s="2">
        <v>-22.83</v>
      </c>
      <c r="M294" s="2">
        <v>-13.9</v>
      </c>
      <c r="N294" s="2">
        <v>6.01</v>
      </c>
      <c r="O294" s="2">
        <v>3.13</v>
      </c>
      <c r="P294" s="2">
        <v>11.96</v>
      </c>
      <c r="Q294" s="2">
        <v>-5.28</v>
      </c>
      <c r="R294" s="2">
        <v>-2.91</v>
      </c>
      <c r="S294" s="2">
        <v>7.39</v>
      </c>
      <c r="T294" s="2">
        <v>19.89</v>
      </c>
      <c r="U294" s="2">
        <v>6.17</v>
      </c>
      <c r="V294" s="2">
        <v>14.13</v>
      </c>
      <c r="W294" s="2">
        <v>0</v>
      </c>
      <c r="X294" s="2">
        <v>3.4</v>
      </c>
      <c r="Y294" s="2">
        <v>3.5</v>
      </c>
      <c r="Z294" s="2">
        <v>4.79</v>
      </c>
      <c r="AA294" s="2">
        <v>0</v>
      </c>
      <c r="AB294" s="2">
        <v>0</v>
      </c>
      <c r="AC294" s="2">
        <v>3.79</v>
      </c>
      <c r="AD294" s="2">
        <v>2.21</v>
      </c>
      <c r="AE294" s="2">
        <v>16.690000000000001</v>
      </c>
      <c r="AF294" s="2">
        <v>57.98</v>
      </c>
      <c r="AG294" s="2">
        <v>10.08</v>
      </c>
      <c r="AH294" s="4">
        <f t="shared" si="4"/>
        <v>-151.46000000000006</v>
      </c>
    </row>
    <row r="295" spans="1:34" x14ac:dyDescent="0.2">
      <c r="A295" s="3">
        <v>16892</v>
      </c>
      <c r="B295" s="2">
        <v>4.6100000000000003</v>
      </c>
      <c r="C295" s="2">
        <v>18.71</v>
      </c>
      <c r="D295" s="2">
        <v>-13.29</v>
      </c>
      <c r="E295" s="2">
        <v>-32.14</v>
      </c>
      <c r="F295" s="2">
        <v>-4.8600000000000003</v>
      </c>
      <c r="G295" s="2">
        <v>-26.28</v>
      </c>
      <c r="H295" s="2">
        <v>11.04</v>
      </c>
      <c r="I295" s="2">
        <v>26.93</v>
      </c>
      <c r="J295" s="2">
        <v>12.25</v>
      </c>
      <c r="K295" s="2">
        <v>3.28</v>
      </c>
      <c r="L295" s="2">
        <v>-4.18</v>
      </c>
      <c r="M295" s="2">
        <v>-5.21</v>
      </c>
      <c r="N295" s="2">
        <v>32.270000000000003</v>
      </c>
      <c r="O295" s="2">
        <v>10.89</v>
      </c>
      <c r="P295" s="2">
        <v>65.25</v>
      </c>
      <c r="Q295" s="2">
        <v>2.48</v>
      </c>
      <c r="R295" s="2">
        <v>-3.35</v>
      </c>
      <c r="S295" s="2">
        <v>26.87</v>
      </c>
      <c r="T295" s="2">
        <v>28.34</v>
      </c>
      <c r="U295" s="2">
        <v>7.12</v>
      </c>
      <c r="V295" s="2">
        <v>26.35</v>
      </c>
      <c r="W295" s="2">
        <v>0</v>
      </c>
      <c r="X295" s="2">
        <v>4.3099999999999996</v>
      </c>
      <c r="Y295" s="2">
        <v>3.37</v>
      </c>
      <c r="Z295" s="2">
        <v>11.92</v>
      </c>
      <c r="AA295" s="2">
        <v>0</v>
      </c>
      <c r="AB295" s="2">
        <v>0.79</v>
      </c>
      <c r="AC295" s="2">
        <v>3.66</v>
      </c>
      <c r="AD295" s="2">
        <v>3.85</v>
      </c>
      <c r="AE295" s="2">
        <v>12.58</v>
      </c>
      <c r="AF295" s="2">
        <v>68.42</v>
      </c>
      <c r="AG295" s="2">
        <v>10.69</v>
      </c>
      <c r="AH295" s="4">
        <f t="shared" si="4"/>
        <v>187.08</v>
      </c>
    </row>
    <row r="296" spans="1:34" x14ac:dyDescent="0.2">
      <c r="A296" s="3">
        <v>16922</v>
      </c>
      <c r="B296" s="2">
        <v>3.76</v>
      </c>
      <c r="C296" s="2">
        <v>14.96</v>
      </c>
      <c r="D296" s="2">
        <v>-5.79</v>
      </c>
      <c r="E296" s="2">
        <v>-25.72</v>
      </c>
      <c r="F296" s="2">
        <v>12.78</v>
      </c>
      <c r="G296" s="2">
        <v>-9.08</v>
      </c>
      <c r="H296" s="2">
        <v>12.73</v>
      </c>
      <c r="I296" s="2">
        <v>32.53</v>
      </c>
      <c r="J296" s="2">
        <v>25.83</v>
      </c>
      <c r="K296" s="2">
        <v>5.22</v>
      </c>
      <c r="L296" s="2">
        <v>34.229999999999997</v>
      </c>
      <c r="M296" s="2">
        <v>13.87</v>
      </c>
      <c r="N296" s="2">
        <v>27.86</v>
      </c>
      <c r="O296" s="2">
        <v>9.15</v>
      </c>
      <c r="P296" s="2">
        <v>60.9</v>
      </c>
      <c r="Q296" s="2">
        <v>3.28</v>
      </c>
      <c r="R296" s="2">
        <v>3.42</v>
      </c>
      <c r="S296" s="2">
        <v>5.31</v>
      </c>
      <c r="T296" s="2">
        <v>20.6</v>
      </c>
      <c r="U296" s="2">
        <v>9.49</v>
      </c>
      <c r="V296" s="2">
        <v>30.18</v>
      </c>
      <c r="W296" s="2">
        <v>0</v>
      </c>
      <c r="X296" s="2">
        <v>5.25</v>
      </c>
      <c r="Y296" s="2">
        <v>4.6100000000000003</v>
      </c>
      <c r="Z296" s="2">
        <v>1.24</v>
      </c>
      <c r="AA296" s="2">
        <v>0</v>
      </c>
      <c r="AB296" s="2">
        <v>0.23</v>
      </c>
      <c r="AC296" s="2">
        <v>0</v>
      </c>
      <c r="AD296" s="2">
        <v>4.99</v>
      </c>
      <c r="AE296" s="2">
        <v>0.28000000000000003</v>
      </c>
      <c r="AF296" s="2">
        <v>84.67</v>
      </c>
      <c r="AG296" s="2">
        <v>14.64</v>
      </c>
      <c r="AH296" s="4">
        <f t="shared" si="4"/>
        <v>285.51</v>
      </c>
    </row>
    <row r="297" spans="1:34" x14ac:dyDescent="0.2">
      <c r="A297" s="3">
        <v>16953</v>
      </c>
      <c r="B297" s="2">
        <v>1.49</v>
      </c>
      <c r="C297" s="2">
        <v>13.52</v>
      </c>
      <c r="D297" s="2">
        <v>1.81</v>
      </c>
      <c r="E297" s="2">
        <v>-35.380000000000003</v>
      </c>
      <c r="F297" s="2">
        <v>-23.62</v>
      </c>
      <c r="G297" s="2">
        <v>-16.22</v>
      </c>
      <c r="H297" s="2">
        <v>7.72</v>
      </c>
      <c r="I297" s="2">
        <v>28.41</v>
      </c>
      <c r="J297" s="2">
        <v>35.17</v>
      </c>
      <c r="K297" s="2">
        <v>36.58</v>
      </c>
      <c r="L297" s="2">
        <v>50.28</v>
      </c>
      <c r="M297" s="2">
        <v>35.869999999999997</v>
      </c>
      <c r="N297" s="2">
        <v>53.69</v>
      </c>
      <c r="O297" s="2">
        <v>16.32</v>
      </c>
      <c r="P297" s="2">
        <v>50.07</v>
      </c>
      <c r="Q297" s="2">
        <v>10.99</v>
      </c>
      <c r="R297" s="2">
        <v>9.5500000000000007</v>
      </c>
      <c r="S297" s="2">
        <v>15.75</v>
      </c>
      <c r="T297" s="2">
        <v>20.93</v>
      </c>
      <c r="U297" s="2">
        <v>10.9</v>
      </c>
      <c r="V297" s="2">
        <v>35.96</v>
      </c>
      <c r="W297" s="2">
        <v>4.88</v>
      </c>
      <c r="X297" s="2">
        <v>8.26</v>
      </c>
      <c r="Y297" s="2">
        <v>6.96</v>
      </c>
      <c r="Z297" s="2">
        <v>0</v>
      </c>
      <c r="AA297" s="2">
        <v>0</v>
      </c>
      <c r="AB297" s="2">
        <v>0.85</v>
      </c>
      <c r="AC297" s="2">
        <v>0</v>
      </c>
      <c r="AD297" s="2">
        <v>8.5500000000000007</v>
      </c>
      <c r="AE297" s="2">
        <v>7.83</v>
      </c>
      <c r="AF297" s="2">
        <v>95.62</v>
      </c>
      <c r="AG297" s="2">
        <v>17.690000000000001</v>
      </c>
      <c r="AH297" s="4">
        <f t="shared" si="4"/>
        <v>359.78999999999996</v>
      </c>
    </row>
    <row r="298" spans="1:34" x14ac:dyDescent="0.2">
      <c r="A298" s="3">
        <v>16983</v>
      </c>
      <c r="B298" s="2">
        <v>0.47</v>
      </c>
      <c r="C298" s="2">
        <v>13.92</v>
      </c>
      <c r="D298" s="2">
        <v>-6.15</v>
      </c>
      <c r="E298" s="2">
        <v>-55.93</v>
      </c>
      <c r="F298" s="2">
        <v>-43.29</v>
      </c>
      <c r="G298" s="2">
        <v>-20.91</v>
      </c>
      <c r="H298" s="2">
        <v>1.74</v>
      </c>
      <c r="I298" s="2">
        <v>20.93</v>
      </c>
      <c r="J298" s="2">
        <v>-14.14</v>
      </c>
      <c r="K298" s="2">
        <v>-18.329999999999998</v>
      </c>
      <c r="L298" s="2">
        <v>-40.770000000000003</v>
      </c>
      <c r="M298" s="2">
        <v>-19.690000000000001</v>
      </c>
      <c r="N298" s="2">
        <v>15.29</v>
      </c>
      <c r="O298" s="2">
        <v>51.86</v>
      </c>
      <c r="P298" s="2">
        <v>27.24</v>
      </c>
      <c r="Q298" s="2">
        <v>5.19</v>
      </c>
      <c r="R298" s="2">
        <v>8.17</v>
      </c>
      <c r="S298" s="2">
        <v>8.73</v>
      </c>
      <c r="T298" s="2">
        <v>48.81</v>
      </c>
      <c r="U298" s="2">
        <v>0.27</v>
      </c>
      <c r="V298" s="2">
        <v>36.86</v>
      </c>
      <c r="W298" s="2">
        <v>18.62</v>
      </c>
      <c r="X298" s="2">
        <v>13.63</v>
      </c>
      <c r="Y298" s="2">
        <v>13.03</v>
      </c>
      <c r="Z298" s="2">
        <v>0</v>
      </c>
      <c r="AA298" s="2">
        <v>0</v>
      </c>
      <c r="AB298" s="2">
        <v>0</v>
      </c>
      <c r="AC298" s="2">
        <v>0</v>
      </c>
      <c r="AD298" s="2">
        <v>11.64</v>
      </c>
      <c r="AE298" s="2">
        <v>0</v>
      </c>
      <c r="AF298" s="2">
        <v>104.64</v>
      </c>
      <c r="AG298" s="2">
        <v>22.83</v>
      </c>
      <c r="AH298" s="4">
        <f t="shared" si="4"/>
        <v>20.269999999999985</v>
      </c>
    </row>
    <row r="299" spans="1:34" x14ac:dyDescent="0.2">
      <c r="A299" s="3">
        <v>17014</v>
      </c>
      <c r="B299" s="2">
        <v>1.46</v>
      </c>
      <c r="C299" s="2">
        <v>15.2</v>
      </c>
      <c r="D299" s="2">
        <v>-2.74</v>
      </c>
      <c r="E299" s="2">
        <v>-43.14</v>
      </c>
      <c r="F299" s="2">
        <v>-19.809999999999999</v>
      </c>
      <c r="G299" s="2">
        <v>-13.62</v>
      </c>
      <c r="H299" s="2">
        <v>8.65</v>
      </c>
      <c r="I299" s="2">
        <v>19.32</v>
      </c>
      <c r="J299" s="2">
        <v>-23.07</v>
      </c>
      <c r="K299" s="2">
        <v>-15.93</v>
      </c>
      <c r="L299" s="2">
        <v>-45</v>
      </c>
      <c r="M299" s="2">
        <v>-23.52</v>
      </c>
      <c r="N299" s="2">
        <v>21.21</v>
      </c>
      <c r="O299" s="2">
        <v>67.87</v>
      </c>
      <c r="P299" s="2">
        <v>43.93</v>
      </c>
      <c r="Q299" s="2">
        <v>0.08</v>
      </c>
      <c r="R299" s="2">
        <v>3.56</v>
      </c>
      <c r="S299" s="2">
        <v>11.83</v>
      </c>
      <c r="T299" s="2">
        <v>43.71</v>
      </c>
      <c r="U299" s="2">
        <v>-2.0099999999999998</v>
      </c>
      <c r="V299" s="2">
        <v>49.27</v>
      </c>
      <c r="W299" s="2">
        <v>30.39</v>
      </c>
      <c r="X299" s="2">
        <v>18.88</v>
      </c>
      <c r="Y299" s="2">
        <v>18.649999999999999</v>
      </c>
      <c r="Z299" s="2">
        <v>0.62</v>
      </c>
      <c r="AA299" s="2">
        <v>0.14000000000000001</v>
      </c>
      <c r="AB299" s="2">
        <v>1.7</v>
      </c>
      <c r="AC299" s="2">
        <v>5.42</v>
      </c>
      <c r="AD299" s="2">
        <v>12.3</v>
      </c>
      <c r="AE299" s="2">
        <v>0</v>
      </c>
      <c r="AF299" s="2">
        <v>113.96</v>
      </c>
      <c r="AG299" s="2">
        <v>24.8</v>
      </c>
      <c r="AH299" s="4">
        <f t="shared" si="4"/>
        <v>97.25</v>
      </c>
    </row>
    <row r="300" spans="1:34" x14ac:dyDescent="0.2">
      <c r="A300" s="3">
        <v>17045</v>
      </c>
      <c r="B300" s="2">
        <v>0.01</v>
      </c>
      <c r="C300" s="2">
        <v>13.76</v>
      </c>
      <c r="D300" s="2">
        <v>-3.09</v>
      </c>
      <c r="E300" s="2">
        <v>-48.21</v>
      </c>
      <c r="F300" s="2">
        <v>-12.5</v>
      </c>
      <c r="G300" s="2">
        <v>-5.26</v>
      </c>
      <c r="H300" s="2">
        <v>12.05</v>
      </c>
      <c r="I300" s="2">
        <v>20.84</v>
      </c>
      <c r="J300" s="2">
        <v>-6.94</v>
      </c>
      <c r="K300" s="2">
        <v>-6.41</v>
      </c>
      <c r="L300" s="2">
        <v>-23.27</v>
      </c>
      <c r="M300" s="2">
        <v>-11.84</v>
      </c>
      <c r="N300" s="2">
        <v>20.440000000000001</v>
      </c>
      <c r="O300" s="2">
        <v>54.88</v>
      </c>
      <c r="P300" s="2">
        <v>53.17</v>
      </c>
      <c r="Q300" s="2">
        <v>-0.06</v>
      </c>
      <c r="R300" s="2">
        <v>-3.41</v>
      </c>
      <c r="S300" s="2">
        <v>14.56</v>
      </c>
      <c r="T300" s="2">
        <v>39.06</v>
      </c>
      <c r="U300" s="2">
        <v>1.98</v>
      </c>
      <c r="V300" s="2">
        <v>44.68</v>
      </c>
      <c r="W300" s="2">
        <v>31.47</v>
      </c>
      <c r="X300" s="2">
        <v>21.21</v>
      </c>
      <c r="Y300" s="2">
        <v>21.11</v>
      </c>
      <c r="Z300" s="2">
        <v>0</v>
      </c>
      <c r="AA300" s="2">
        <v>6.96</v>
      </c>
      <c r="AB300" s="2">
        <v>1.98</v>
      </c>
      <c r="AC300" s="2">
        <v>0</v>
      </c>
      <c r="AD300" s="2">
        <v>7.84</v>
      </c>
      <c r="AE300" s="2">
        <v>0</v>
      </c>
      <c r="AF300" s="2">
        <v>115.89</v>
      </c>
      <c r="AG300" s="2">
        <v>23.65</v>
      </c>
      <c r="AH300" s="4">
        <f t="shared" si="4"/>
        <v>154.44</v>
      </c>
    </row>
    <row r="301" spans="1:34" x14ac:dyDescent="0.2">
      <c r="A301" s="3">
        <v>17075</v>
      </c>
      <c r="B301" s="2">
        <v>-2.64</v>
      </c>
      <c r="C301" s="2">
        <v>12.47</v>
      </c>
      <c r="D301" s="2">
        <v>-10.49</v>
      </c>
      <c r="E301" s="2">
        <v>-43.14</v>
      </c>
      <c r="F301" s="2">
        <v>-11.7</v>
      </c>
      <c r="G301" s="2">
        <v>3.65</v>
      </c>
      <c r="H301" s="2">
        <v>14.6</v>
      </c>
      <c r="I301" s="2">
        <v>23.92</v>
      </c>
      <c r="J301" s="2">
        <v>9.73</v>
      </c>
      <c r="K301" s="2">
        <v>-10.119999999999999</v>
      </c>
      <c r="L301" s="2">
        <v>-13.59</v>
      </c>
      <c r="M301" s="2">
        <v>-11.08</v>
      </c>
      <c r="N301" s="2">
        <v>22.7</v>
      </c>
      <c r="O301" s="2">
        <v>1.62</v>
      </c>
      <c r="P301" s="2">
        <v>27.88</v>
      </c>
      <c r="Q301" s="2">
        <v>1.77</v>
      </c>
      <c r="R301" s="2">
        <v>-1.47</v>
      </c>
      <c r="S301" s="2">
        <v>-3.34</v>
      </c>
      <c r="T301" s="2">
        <v>20.63</v>
      </c>
      <c r="U301" s="2">
        <v>6.19</v>
      </c>
      <c r="V301" s="2">
        <v>17.73</v>
      </c>
      <c r="W301" s="2">
        <v>26.1</v>
      </c>
      <c r="X301" s="2">
        <v>20.14</v>
      </c>
      <c r="Y301" s="2">
        <v>19.82</v>
      </c>
      <c r="Z301" s="2">
        <v>0</v>
      </c>
      <c r="AA301" s="2">
        <v>5.0199999999999996</v>
      </c>
      <c r="AB301" s="2">
        <v>1.42</v>
      </c>
      <c r="AC301" s="2">
        <v>0</v>
      </c>
      <c r="AD301" s="2">
        <v>5.0599999999999996</v>
      </c>
      <c r="AE301" s="2">
        <v>0.47</v>
      </c>
      <c r="AF301" s="2">
        <v>107.95</v>
      </c>
      <c r="AG301" s="2">
        <v>20.170000000000002</v>
      </c>
      <c r="AH301" s="4">
        <f t="shared" si="4"/>
        <v>55.320000000000007</v>
      </c>
    </row>
    <row r="302" spans="1:34" x14ac:dyDescent="0.2">
      <c r="A302" s="3">
        <v>17106</v>
      </c>
      <c r="B302" s="2">
        <v>-2.04</v>
      </c>
      <c r="C302" s="2">
        <v>14.7</v>
      </c>
      <c r="D302" s="2">
        <v>-9.6</v>
      </c>
      <c r="E302" s="2">
        <v>-20.02</v>
      </c>
      <c r="F302" s="2">
        <v>-7.12</v>
      </c>
      <c r="G302" s="2">
        <v>10.029999999999999</v>
      </c>
      <c r="H302" s="2">
        <v>13.79</v>
      </c>
      <c r="I302" s="2">
        <v>25.81</v>
      </c>
      <c r="J302" s="2">
        <v>12.29</v>
      </c>
      <c r="K302" s="2">
        <v>-10.79</v>
      </c>
      <c r="L302" s="2">
        <v>-0.42</v>
      </c>
      <c r="M302" s="2">
        <v>-2.4700000000000002</v>
      </c>
      <c r="N302" s="2">
        <v>12.83</v>
      </c>
      <c r="O302" s="2">
        <v>10.92</v>
      </c>
      <c r="P302" s="2">
        <v>30.07</v>
      </c>
      <c r="Q302" s="2">
        <v>0.37</v>
      </c>
      <c r="R302" s="2">
        <v>-5.84</v>
      </c>
      <c r="S302" s="2">
        <v>-1.24</v>
      </c>
      <c r="T302" s="2">
        <v>23.97</v>
      </c>
      <c r="U302" s="2">
        <v>4.0999999999999996</v>
      </c>
      <c r="V302" s="2">
        <v>18</v>
      </c>
      <c r="W302" s="2">
        <v>22.19</v>
      </c>
      <c r="X302" s="2">
        <v>18.66</v>
      </c>
      <c r="Y302" s="2">
        <v>18.329999999999998</v>
      </c>
      <c r="Z302" s="2">
        <v>16.13</v>
      </c>
      <c r="AA302" s="2">
        <v>0.14000000000000001</v>
      </c>
      <c r="AB302" s="2">
        <v>0.9</v>
      </c>
      <c r="AC302" s="2">
        <v>4.33</v>
      </c>
      <c r="AD302" s="2">
        <v>4.4400000000000004</v>
      </c>
      <c r="AE302" s="2">
        <v>0.28000000000000003</v>
      </c>
      <c r="AF302" s="2">
        <v>97.91</v>
      </c>
      <c r="AG302" s="2">
        <v>16.420000000000002</v>
      </c>
      <c r="AH302" s="4">
        <f t="shared" si="4"/>
        <v>117.33999999999999</v>
      </c>
    </row>
    <row r="303" spans="1:34" x14ac:dyDescent="0.2">
      <c r="A303" s="3">
        <v>17136</v>
      </c>
      <c r="B303" s="2">
        <v>0.28000000000000003</v>
      </c>
      <c r="C303" s="2">
        <v>16.53</v>
      </c>
      <c r="D303" s="2">
        <v>1.84</v>
      </c>
      <c r="E303" s="2">
        <v>12.94</v>
      </c>
      <c r="F303" s="2">
        <v>15.36</v>
      </c>
      <c r="G303" s="2">
        <v>28.13</v>
      </c>
      <c r="H303" s="2">
        <v>16.170000000000002</v>
      </c>
      <c r="I303" s="2">
        <v>26.81</v>
      </c>
      <c r="J303" s="2">
        <v>25.08</v>
      </c>
      <c r="K303" s="2">
        <v>3.23</v>
      </c>
      <c r="L303" s="2">
        <v>11.12</v>
      </c>
      <c r="M303" s="2">
        <v>8.42</v>
      </c>
      <c r="N303" s="2">
        <v>10.3</v>
      </c>
      <c r="O303" s="2">
        <v>5.55</v>
      </c>
      <c r="P303" s="2">
        <v>50.47</v>
      </c>
      <c r="Q303" s="2">
        <v>-0.66</v>
      </c>
      <c r="R303" s="2">
        <v>-3.19</v>
      </c>
      <c r="S303" s="2">
        <v>24.3</v>
      </c>
      <c r="T303" s="2">
        <v>23.24</v>
      </c>
      <c r="U303" s="2">
        <v>6.95</v>
      </c>
      <c r="V303" s="2">
        <v>20.65</v>
      </c>
      <c r="W303" s="2">
        <v>15.43</v>
      </c>
      <c r="X303" s="2">
        <v>12.21</v>
      </c>
      <c r="Y303" s="2">
        <v>10.86</v>
      </c>
      <c r="Z303" s="2">
        <v>10.77</v>
      </c>
      <c r="AA303" s="2">
        <v>6.02</v>
      </c>
      <c r="AB303" s="2">
        <v>22.9</v>
      </c>
      <c r="AC303" s="2">
        <v>10.97</v>
      </c>
      <c r="AD303" s="2">
        <v>2.8</v>
      </c>
      <c r="AE303" s="2">
        <v>14.54</v>
      </c>
      <c r="AF303" s="2">
        <v>64.239999999999995</v>
      </c>
      <c r="AG303" s="2">
        <v>12.92</v>
      </c>
      <c r="AH303" s="4">
        <f t="shared" si="4"/>
        <v>303.52</v>
      </c>
    </row>
    <row r="304" spans="1:34" x14ac:dyDescent="0.2">
      <c r="A304" s="3">
        <v>17167</v>
      </c>
      <c r="B304" s="2">
        <v>0.71</v>
      </c>
      <c r="C304" s="2">
        <v>17.5</v>
      </c>
      <c r="D304" s="2">
        <v>9.1199999999999992</v>
      </c>
      <c r="E304" s="2">
        <v>14.59</v>
      </c>
      <c r="F304" s="2">
        <v>10.91</v>
      </c>
      <c r="G304" s="2">
        <v>35.35</v>
      </c>
      <c r="H304" s="2">
        <v>14.53</v>
      </c>
      <c r="I304" s="2">
        <v>26.37</v>
      </c>
      <c r="J304" s="2">
        <v>21.12</v>
      </c>
      <c r="K304" s="2">
        <v>-1.95</v>
      </c>
      <c r="L304" s="2">
        <v>6.89</v>
      </c>
      <c r="M304" s="2">
        <v>-1.86</v>
      </c>
      <c r="N304" s="2">
        <v>23.7</v>
      </c>
      <c r="O304" s="2">
        <v>3.87</v>
      </c>
      <c r="P304" s="2">
        <v>36.86</v>
      </c>
      <c r="Q304" s="2">
        <v>0.79</v>
      </c>
      <c r="R304" s="2">
        <v>7.0000000000000007E-2</v>
      </c>
      <c r="S304" s="2">
        <v>32.380000000000003</v>
      </c>
      <c r="T304" s="2">
        <v>22.64</v>
      </c>
      <c r="U304" s="2">
        <v>4.96</v>
      </c>
      <c r="V304" s="2">
        <v>15.69</v>
      </c>
      <c r="W304" s="2">
        <v>11.73</v>
      </c>
      <c r="X304" s="2">
        <v>9.99</v>
      </c>
      <c r="Y304" s="2">
        <v>9.86</v>
      </c>
      <c r="Z304" s="2">
        <v>1.96</v>
      </c>
      <c r="AA304" s="2">
        <v>13.48</v>
      </c>
      <c r="AB304" s="2">
        <v>7.26</v>
      </c>
      <c r="AC304" s="2">
        <v>7.31</v>
      </c>
      <c r="AD304" s="2">
        <v>2.48</v>
      </c>
      <c r="AE304" s="2">
        <v>24.7</v>
      </c>
      <c r="AF304" s="2">
        <v>59.02</v>
      </c>
      <c r="AG304" s="2">
        <v>11.2</v>
      </c>
      <c r="AH304" s="4">
        <f t="shared" si="4"/>
        <v>294.23999999999995</v>
      </c>
    </row>
    <row r="305" spans="1:34" x14ac:dyDescent="0.2">
      <c r="A305" s="3">
        <v>17198</v>
      </c>
      <c r="B305" s="2">
        <v>0.17</v>
      </c>
      <c r="C305" s="2">
        <v>11.25</v>
      </c>
      <c r="D305" s="2">
        <v>-10.77</v>
      </c>
      <c r="E305" s="2">
        <v>-25.11</v>
      </c>
      <c r="F305" s="2">
        <v>-23.79</v>
      </c>
      <c r="G305" s="2">
        <v>-1.71</v>
      </c>
      <c r="H305" s="2">
        <v>5.54</v>
      </c>
      <c r="I305" s="2">
        <v>21.98</v>
      </c>
      <c r="J305" s="2">
        <v>4.22</v>
      </c>
      <c r="K305" s="2">
        <v>-7.34</v>
      </c>
      <c r="L305" s="2">
        <v>-21.79</v>
      </c>
      <c r="M305" s="2">
        <v>-15.09</v>
      </c>
      <c r="N305" s="2">
        <v>16.25</v>
      </c>
      <c r="O305" s="2">
        <v>2.58</v>
      </c>
      <c r="P305" s="2">
        <v>12.72</v>
      </c>
      <c r="Q305" s="2">
        <v>-0.34</v>
      </c>
      <c r="R305" s="2">
        <v>-1.93</v>
      </c>
      <c r="S305" s="2">
        <v>-2.02</v>
      </c>
      <c r="T305" s="2">
        <v>19.09</v>
      </c>
      <c r="U305" s="2">
        <v>4.1500000000000004</v>
      </c>
      <c r="V305" s="2">
        <v>16.23</v>
      </c>
      <c r="W305" s="2">
        <v>4.26</v>
      </c>
      <c r="X305" s="2">
        <v>6.71</v>
      </c>
      <c r="Y305" s="2">
        <v>5.32</v>
      </c>
      <c r="Z305" s="2">
        <v>2.06</v>
      </c>
      <c r="AA305" s="2">
        <v>0</v>
      </c>
      <c r="AB305" s="2">
        <v>0.51</v>
      </c>
      <c r="AC305" s="2">
        <v>2.2999999999999998</v>
      </c>
      <c r="AD305" s="2">
        <v>2.2400000000000002</v>
      </c>
      <c r="AE305" s="2">
        <v>1.03</v>
      </c>
      <c r="AF305" s="2">
        <v>75.3</v>
      </c>
      <c r="AG305" s="2">
        <v>9.8800000000000008</v>
      </c>
      <c r="AH305" s="4">
        <f t="shared" si="4"/>
        <v>4.2899999999999938</v>
      </c>
    </row>
    <row r="306" spans="1:34" x14ac:dyDescent="0.2">
      <c r="A306" s="3">
        <v>17226</v>
      </c>
      <c r="B306" s="2">
        <v>-1.05</v>
      </c>
      <c r="C306" s="2">
        <v>20.36</v>
      </c>
      <c r="D306" s="2">
        <v>-2.84</v>
      </c>
      <c r="E306" s="2">
        <v>1.83</v>
      </c>
      <c r="F306" s="2">
        <v>24.21</v>
      </c>
      <c r="G306" s="2">
        <v>42.77</v>
      </c>
      <c r="H306" s="2">
        <v>15.87</v>
      </c>
      <c r="I306" s="2">
        <v>24.29</v>
      </c>
      <c r="J306" s="2">
        <v>14.88</v>
      </c>
      <c r="K306" s="2">
        <v>2.12</v>
      </c>
      <c r="L306" s="2">
        <v>-13.87</v>
      </c>
      <c r="M306" s="2">
        <v>-10.82</v>
      </c>
      <c r="N306" s="2">
        <v>18.12</v>
      </c>
      <c r="O306" s="2">
        <v>2.06</v>
      </c>
      <c r="P306" s="2">
        <v>19.09</v>
      </c>
      <c r="Q306" s="2">
        <v>-4.33</v>
      </c>
      <c r="R306" s="2">
        <v>-1.05</v>
      </c>
      <c r="S306" s="2">
        <v>0.96</v>
      </c>
      <c r="T306" s="2">
        <v>21.68</v>
      </c>
      <c r="U306" s="2">
        <v>5.08</v>
      </c>
      <c r="V306" s="2">
        <v>15.58</v>
      </c>
      <c r="W306" s="2">
        <v>0</v>
      </c>
      <c r="X306" s="2">
        <v>0.69</v>
      </c>
      <c r="Y306" s="2">
        <v>0.64</v>
      </c>
      <c r="Z306" s="2">
        <v>0.1</v>
      </c>
      <c r="AA306" s="2">
        <v>0</v>
      </c>
      <c r="AB306" s="2">
        <v>0</v>
      </c>
      <c r="AC306" s="2">
        <v>0</v>
      </c>
      <c r="AD306" s="2">
        <v>2.33</v>
      </c>
      <c r="AE306" s="2">
        <v>16.5</v>
      </c>
      <c r="AF306" s="2">
        <v>62.77</v>
      </c>
      <c r="AG306" s="2">
        <v>10.08</v>
      </c>
      <c r="AH306" s="4">
        <f t="shared" si="4"/>
        <v>194.94000000000003</v>
      </c>
    </row>
    <row r="307" spans="1:34" x14ac:dyDescent="0.2">
      <c r="A307" s="3">
        <v>17257</v>
      </c>
      <c r="B307" s="2">
        <v>0.21</v>
      </c>
      <c r="C307" s="2">
        <v>21.02</v>
      </c>
      <c r="D307" s="2">
        <v>1.29</v>
      </c>
      <c r="E307" s="2">
        <v>15.17</v>
      </c>
      <c r="F307" s="2">
        <v>23.55</v>
      </c>
      <c r="G307" s="2">
        <v>47.33</v>
      </c>
      <c r="H307" s="2">
        <v>22.14</v>
      </c>
      <c r="I307" s="2">
        <v>24.8</v>
      </c>
      <c r="J307" s="2">
        <v>24.94</v>
      </c>
      <c r="K307" s="2">
        <v>13.69</v>
      </c>
      <c r="L307" s="2">
        <v>9.39</v>
      </c>
      <c r="M307" s="2">
        <v>0.35</v>
      </c>
      <c r="N307" s="2">
        <v>27.12</v>
      </c>
      <c r="O307" s="2">
        <v>8.92</v>
      </c>
      <c r="P307" s="2">
        <v>52.19</v>
      </c>
      <c r="Q307" s="2">
        <v>-0.7</v>
      </c>
      <c r="R307" s="2">
        <v>-6.16</v>
      </c>
      <c r="S307" s="2">
        <v>-3.77</v>
      </c>
      <c r="T307" s="2">
        <v>27.35</v>
      </c>
      <c r="U307" s="2">
        <v>2.35</v>
      </c>
      <c r="V307" s="2">
        <v>27.23</v>
      </c>
      <c r="W307" s="2">
        <v>0</v>
      </c>
      <c r="X307" s="2">
        <v>1.1000000000000001</v>
      </c>
      <c r="Y307" s="2">
        <v>7.0000000000000007E-2</v>
      </c>
      <c r="Z307" s="2">
        <v>2.82</v>
      </c>
      <c r="AA307" s="2">
        <v>1.72</v>
      </c>
      <c r="AB307" s="2">
        <v>0.17</v>
      </c>
      <c r="AC307" s="2">
        <v>6.9</v>
      </c>
      <c r="AD307" s="2">
        <v>4.1399999999999997</v>
      </c>
      <c r="AE307" s="2">
        <v>18.920000000000002</v>
      </c>
      <c r="AF307" s="2">
        <v>74.069999999999993</v>
      </c>
      <c r="AG307" s="2">
        <v>10.69</v>
      </c>
      <c r="AH307" s="4">
        <f t="shared" si="4"/>
        <v>338.41</v>
      </c>
    </row>
    <row r="308" spans="1:34" x14ac:dyDescent="0.2">
      <c r="A308" s="3">
        <v>17287</v>
      </c>
      <c r="B308" s="2">
        <v>-0.65</v>
      </c>
      <c r="C308" s="2">
        <v>9.3000000000000007</v>
      </c>
      <c r="D308" s="2">
        <v>-10.57</v>
      </c>
      <c r="E308" s="2">
        <v>-41.33</v>
      </c>
      <c r="F308" s="2">
        <v>-17.190000000000001</v>
      </c>
      <c r="G308" s="2">
        <v>-8.35</v>
      </c>
      <c r="H308" s="2">
        <v>3.28</v>
      </c>
      <c r="I308" s="2">
        <v>18.04</v>
      </c>
      <c r="J308" s="2">
        <v>10.91</v>
      </c>
      <c r="K308" s="2">
        <v>12.78</v>
      </c>
      <c r="L308" s="2">
        <v>16.899999999999999</v>
      </c>
      <c r="M308" s="2">
        <v>3.62</v>
      </c>
      <c r="N308" s="2">
        <v>35.159999999999997</v>
      </c>
      <c r="O308" s="2">
        <v>4.47</v>
      </c>
      <c r="P308" s="2">
        <v>47.48</v>
      </c>
      <c r="Q308" s="2">
        <v>1.1000000000000001</v>
      </c>
      <c r="R308" s="2">
        <v>2.85</v>
      </c>
      <c r="S308" s="2">
        <v>4.6100000000000003</v>
      </c>
      <c r="T308" s="2">
        <v>22.89</v>
      </c>
      <c r="U308" s="2">
        <v>4.9000000000000004</v>
      </c>
      <c r="V308" s="2">
        <v>28.82</v>
      </c>
      <c r="W308" s="2">
        <v>0</v>
      </c>
      <c r="X308" s="2">
        <v>1.3</v>
      </c>
      <c r="Y308" s="2">
        <v>0.53</v>
      </c>
      <c r="Z308" s="2">
        <v>0.96</v>
      </c>
      <c r="AA308" s="2">
        <v>1.29</v>
      </c>
      <c r="AB308" s="2">
        <v>1.07</v>
      </c>
      <c r="AC308" s="2">
        <v>2.2999999999999998</v>
      </c>
      <c r="AD308" s="2">
        <v>5.68</v>
      </c>
      <c r="AE308" s="2">
        <v>3.17</v>
      </c>
      <c r="AF308" s="2">
        <v>91.65</v>
      </c>
      <c r="AG308" s="2">
        <v>14.64</v>
      </c>
      <c r="AH308" s="4">
        <f t="shared" si="4"/>
        <v>149.02000000000001</v>
      </c>
    </row>
    <row r="309" spans="1:34" x14ac:dyDescent="0.2">
      <c r="A309" s="3">
        <v>17318</v>
      </c>
      <c r="B309" s="2">
        <v>-0.88</v>
      </c>
      <c r="C309" s="2">
        <v>12.3</v>
      </c>
      <c r="D309" s="2">
        <v>0.74</v>
      </c>
      <c r="E309" s="2">
        <v>-29.29</v>
      </c>
      <c r="F309" s="2">
        <v>-34.58</v>
      </c>
      <c r="G309" s="2">
        <v>-12.11</v>
      </c>
      <c r="H309" s="2">
        <v>-1.48</v>
      </c>
      <c r="I309" s="2">
        <v>20.37</v>
      </c>
      <c r="J309" s="2">
        <v>5.16</v>
      </c>
      <c r="K309" s="2">
        <v>-0.23</v>
      </c>
      <c r="L309" s="2">
        <v>17.61</v>
      </c>
      <c r="M309" s="2">
        <v>0.34</v>
      </c>
      <c r="N309" s="2">
        <v>26.31</v>
      </c>
      <c r="O309" s="2">
        <v>16.91</v>
      </c>
      <c r="P309" s="2">
        <v>57.53</v>
      </c>
      <c r="Q309" s="2">
        <v>4.79</v>
      </c>
      <c r="R309" s="2">
        <v>8.39</v>
      </c>
      <c r="S309" s="2">
        <v>14.7</v>
      </c>
      <c r="T309" s="2">
        <v>34.76</v>
      </c>
      <c r="U309" s="2">
        <v>4.6900000000000004</v>
      </c>
      <c r="V309" s="2">
        <v>35.5</v>
      </c>
      <c r="W309" s="2">
        <v>4.88</v>
      </c>
      <c r="X309" s="2">
        <v>3.78</v>
      </c>
      <c r="Y309" s="2">
        <v>2.36</v>
      </c>
      <c r="Z309" s="2">
        <v>0.81</v>
      </c>
      <c r="AA309" s="2">
        <v>0</v>
      </c>
      <c r="AB309" s="2">
        <v>0</v>
      </c>
      <c r="AC309" s="2">
        <v>0</v>
      </c>
      <c r="AD309" s="2">
        <v>8.64</v>
      </c>
      <c r="AE309" s="2">
        <v>1.77</v>
      </c>
      <c r="AF309" s="2">
        <v>103.51</v>
      </c>
      <c r="AG309" s="2">
        <v>17.690000000000001</v>
      </c>
      <c r="AH309" s="4">
        <f t="shared" si="4"/>
        <v>181.53</v>
      </c>
    </row>
    <row r="310" spans="1:34" x14ac:dyDescent="0.2">
      <c r="A310" s="3">
        <v>17348</v>
      </c>
      <c r="B310" s="2">
        <v>-0.75</v>
      </c>
      <c r="C310" s="2">
        <v>14.13</v>
      </c>
      <c r="D310" s="2">
        <v>-6.18</v>
      </c>
      <c r="E310" s="2">
        <v>-37.97</v>
      </c>
      <c r="F310" s="2">
        <v>-11.21</v>
      </c>
      <c r="G310" s="2">
        <v>0.19</v>
      </c>
      <c r="H310" s="2">
        <v>6.41</v>
      </c>
      <c r="I310" s="2">
        <v>18.170000000000002</v>
      </c>
      <c r="J310" s="2">
        <v>-4.12</v>
      </c>
      <c r="K310" s="2">
        <v>7.77</v>
      </c>
      <c r="L310" s="2">
        <v>-20.74</v>
      </c>
      <c r="M310" s="2">
        <v>-3.63</v>
      </c>
      <c r="N310" s="2">
        <v>23.58</v>
      </c>
      <c r="O310" s="2">
        <v>61.91</v>
      </c>
      <c r="P310" s="2">
        <v>47.3</v>
      </c>
      <c r="Q310" s="2">
        <v>0.11</v>
      </c>
      <c r="R310" s="2">
        <v>1.4</v>
      </c>
      <c r="S310" s="2">
        <v>14.15</v>
      </c>
      <c r="T310" s="2">
        <v>54.9</v>
      </c>
      <c r="U310" s="2">
        <v>-1.1299999999999999</v>
      </c>
      <c r="V310" s="2">
        <v>41.24</v>
      </c>
      <c r="W310" s="2">
        <v>18.62</v>
      </c>
      <c r="X310" s="2">
        <v>8.73</v>
      </c>
      <c r="Y310" s="2">
        <v>7.96</v>
      </c>
      <c r="Z310" s="2">
        <v>0</v>
      </c>
      <c r="AA310" s="2">
        <v>0</v>
      </c>
      <c r="AB310" s="2">
        <v>0</v>
      </c>
      <c r="AC310" s="2">
        <v>0</v>
      </c>
      <c r="AD310" s="2">
        <v>9.51</v>
      </c>
      <c r="AE310" s="2">
        <v>2.8</v>
      </c>
      <c r="AF310" s="2">
        <v>113.28</v>
      </c>
      <c r="AG310" s="2">
        <v>22.83</v>
      </c>
      <c r="AH310" s="4">
        <f t="shared" si="4"/>
        <v>205.53</v>
      </c>
    </row>
    <row r="311" spans="1:34" x14ac:dyDescent="0.2">
      <c r="A311" s="3">
        <v>17379</v>
      </c>
      <c r="B311" s="2">
        <v>-1.39</v>
      </c>
      <c r="C311" s="2">
        <v>13.63</v>
      </c>
      <c r="D311" s="2">
        <v>-6.22</v>
      </c>
      <c r="E311" s="2">
        <v>-39.28</v>
      </c>
      <c r="F311" s="2">
        <v>-11</v>
      </c>
      <c r="G311" s="2">
        <v>7.2</v>
      </c>
      <c r="H311" s="2">
        <v>9.64</v>
      </c>
      <c r="I311" s="2">
        <v>20.190000000000001</v>
      </c>
      <c r="J311" s="2">
        <v>-0.98</v>
      </c>
      <c r="K311" s="2">
        <v>16.96</v>
      </c>
      <c r="L311" s="2">
        <v>-6.27</v>
      </c>
      <c r="M311" s="2">
        <v>-0.28000000000000003</v>
      </c>
      <c r="N311" s="2">
        <v>29.88</v>
      </c>
      <c r="O311" s="2">
        <v>75.56</v>
      </c>
      <c r="P311" s="2">
        <v>81.09</v>
      </c>
      <c r="Q311" s="2">
        <v>-0.08</v>
      </c>
      <c r="R311" s="2">
        <v>-4.45</v>
      </c>
      <c r="S311" s="2">
        <v>32.950000000000003</v>
      </c>
      <c r="T311" s="2">
        <v>47.07</v>
      </c>
      <c r="U311" s="2">
        <v>3.91</v>
      </c>
      <c r="V311" s="2">
        <v>51.37</v>
      </c>
      <c r="W311" s="2">
        <v>30.39</v>
      </c>
      <c r="X311" s="2">
        <v>13.55</v>
      </c>
      <c r="Y311" s="2">
        <v>13.18</v>
      </c>
      <c r="Z311" s="2">
        <v>0</v>
      </c>
      <c r="AA311" s="2">
        <v>0</v>
      </c>
      <c r="AB311" s="2">
        <v>0</v>
      </c>
      <c r="AC311" s="2">
        <v>0</v>
      </c>
      <c r="AD311" s="2">
        <v>9.08</v>
      </c>
      <c r="AE311" s="2">
        <v>0</v>
      </c>
      <c r="AF311" s="2">
        <v>123.36</v>
      </c>
      <c r="AG311" s="2">
        <v>24.8</v>
      </c>
      <c r="AH311" s="4">
        <f t="shared" si="4"/>
        <v>319.50000000000006</v>
      </c>
    </row>
    <row r="312" spans="1:34" x14ac:dyDescent="0.2">
      <c r="A312" s="3">
        <v>17410</v>
      </c>
      <c r="B312" s="2">
        <v>-2.4900000000000002</v>
      </c>
      <c r="C312" s="2">
        <v>12.85</v>
      </c>
      <c r="D312" s="2">
        <v>-6.27</v>
      </c>
      <c r="E312" s="2">
        <v>-43.79</v>
      </c>
      <c r="F312" s="2">
        <v>-3.96</v>
      </c>
      <c r="G312" s="2">
        <v>13.39</v>
      </c>
      <c r="H312" s="2">
        <v>11.69</v>
      </c>
      <c r="I312" s="2">
        <v>20.13</v>
      </c>
      <c r="J312" s="2">
        <v>4.1100000000000003</v>
      </c>
      <c r="K312" s="2">
        <v>11.47</v>
      </c>
      <c r="L312" s="2">
        <v>-1.98</v>
      </c>
      <c r="M312" s="2">
        <v>-2.2799999999999998</v>
      </c>
      <c r="N312" s="2">
        <v>23.67</v>
      </c>
      <c r="O312" s="2">
        <v>58.42</v>
      </c>
      <c r="P312" s="2">
        <v>82.64</v>
      </c>
      <c r="Q312" s="2">
        <v>-0.52</v>
      </c>
      <c r="R312" s="2">
        <v>-5.46</v>
      </c>
      <c r="S312" s="2">
        <v>27.45</v>
      </c>
      <c r="T312" s="2">
        <v>42.35</v>
      </c>
      <c r="U312" s="2">
        <v>5.72</v>
      </c>
      <c r="V312" s="2">
        <v>46.19</v>
      </c>
      <c r="W312" s="2">
        <v>31.47</v>
      </c>
      <c r="X312" s="2">
        <v>15.8</v>
      </c>
      <c r="Y312" s="2">
        <v>15.53</v>
      </c>
      <c r="Z312" s="2">
        <v>1</v>
      </c>
      <c r="AA312" s="2">
        <v>1.29</v>
      </c>
      <c r="AB312" s="2">
        <v>0.11</v>
      </c>
      <c r="AC312" s="2">
        <v>0</v>
      </c>
      <c r="AD312" s="2">
        <v>6.46</v>
      </c>
      <c r="AE312" s="2">
        <v>0</v>
      </c>
      <c r="AF312" s="2">
        <v>125.46</v>
      </c>
      <c r="AG312" s="2">
        <v>23.65</v>
      </c>
      <c r="AH312" s="4">
        <f t="shared" si="4"/>
        <v>293.33</v>
      </c>
    </row>
    <row r="313" spans="1:34" x14ac:dyDescent="0.2">
      <c r="A313" s="3">
        <v>17440</v>
      </c>
      <c r="B313" s="2">
        <v>-4.49</v>
      </c>
      <c r="C313" s="2">
        <v>12.09</v>
      </c>
      <c r="D313" s="2">
        <v>-10.93</v>
      </c>
      <c r="E313" s="2">
        <v>-33.68</v>
      </c>
      <c r="F313" s="2">
        <v>-6.46</v>
      </c>
      <c r="G313" s="2">
        <v>18.41</v>
      </c>
      <c r="H313" s="2">
        <v>15.56</v>
      </c>
      <c r="I313" s="2">
        <v>22.61</v>
      </c>
      <c r="J313" s="2">
        <v>15.82</v>
      </c>
      <c r="K313" s="2">
        <v>-7.51</v>
      </c>
      <c r="L313" s="2">
        <v>3.4</v>
      </c>
      <c r="M313" s="2">
        <v>-0.7</v>
      </c>
      <c r="N313" s="2">
        <v>21.53</v>
      </c>
      <c r="O313" s="2">
        <v>0.11</v>
      </c>
      <c r="P313" s="2">
        <v>34.74</v>
      </c>
      <c r="Q313" s="2">
        <v>0.74</v>
      </c>
      <c r="R313" s="2">
        <v>-1.1499999999999999</v>
      </c>
      <c r="S313" s="2">
        <v>-2.16</v>
      </c>
      <c r="T313" s="2">
        <v>21.25</v>
      </c>
      <c r="U313" s="2">
        <v>3.82</v>
      </c>
      <c r="V313" s="2">
        <v>18.47</v>
      </c>
      <c r="W313" s="2">
        <v>26.1</v>
      </c>
      <c r="X313" s="2">
        <v>15.11</v>
      </c>
      <c r="Y313" s="2">
        <v>14.65</v>
      </c>
      <c r="Z313" s="2">
        <v>0</v>
      </c>
      <c r="AA313" s="2">
        <v>0.28999999999999998</v>
      </c>
      <c r="AB313" s="2">
        <v>0</v>
      </c>
      <c r="AC313" s="2">
        <v>0</v>
      </c>
      <c r="AD313" s="2">
        <v>4.46</v>
      </c>
      <c r="AE313" s="2">
        <v>0</v>
      </c>
      <c r="AF313" s="2">
        <v>116.86</v>
      </c>
      <c r="AG313" s="2">
        <v>20.170000000000002</v>
      </c>
      <c r="AH313" s="4">
        <f t="shared" si="4"/>
        <v>121.46999999999998</v>
      </c>
    </row>
    <row r="314" spans="1:34" x14ac:dyDescent="0.2">
      <c r="A314" s="3">
        <v>17471</v>
      </c>
      <c r="B314" s="2">
        <v>-1.1200000000000001</v>
      </c>
      <c r="C314" s="2">
        <v>18.399999999999999</v>
      </c>
      <c r="D314" s="2">
        <v>4.38</v>
      </c>
      <c r="E314" s="2">
        <v>20.9</v>
      </c>
      <c r="F314" s="2">
        <v>16.739999999999998</v>
      </c>
      <c r="G314" s="2">
        <v>34.11</v>
      </c>
      <c r="H314" s="2">
        <v>21.24</v>
      </c>
      <c r="I314" s="2">
        <v>25.08</v>
      </c>
      <c r="J314" s="2">
        <v>17.989999999999998</v>
      </c>
      <c r="K314" s="2">
        <v>-10.11</v>
      </c>
      <c r="L314" s="2">
        <v>-0.05</v>
      </c>
      <c r="M314" s="2">
        <v>-7.09</v>
      </c>
      <c r="N314" s="2">
        <v>11.13</v>
      </c>
      <c r="O314" s="2">
        <v>12</v>
      </c>
      <c r="P314" s="2">
        <v>36.950000000000003</v>
      </c>
      <c r="Q314" s="2">
        <v>-0.56000000000000005</v>
      </c>
      <c r="R314" s="2">
        <v>-4.17</v>
      </c>
      <c r="S314" s="2">
        <v>-2.65</v>
      </c>
      <c r="T314" s="2">
        <v>25.42</v>
      </c>
      <c r="U314" s="2">
        <v>1.52</v>
      </c>
      <c r="V314" s="2">
        <v>19.05</v>
      </c>
      <c r="W314" s="2">
        <v>22.19</v>
      </c>
      <c r="X314" s="2">
        <v>14.11</v>
      </c>
      <c r="Y314" s="2">
        <v>13.64</v>
      </c>
      <c r="Z314" s="2">
        <v>0</v>
      </c>
      <c r="AA314" s="2">
        <v>0.28999999999999998</v>
      </c>
      <c r="AB314" s="2">
        <v>1.42</v>
      </c>
      <c r="AC314" s="2">
        <v>2.71</v>
      </c>
      <c r="AD314" s="2">
        <v>3.16</v>
      </c>
      <c r="AE314" s="2">
        <v>10.16</v>
      </c>
      <c r="AF314" s="2">
        <v>105.99</v>
      </c>
      <c r="AG314" s="2">
        <v>16.420000000000002</v>
      </c>
      <c r="AH314" s="4">
        <f t="shared" si="4"/>
        <v>239.16000000000005</v>
      </c>
    </row>
    <row r="315" spans="1:34" x14ac:dyDescent="0.2">
      <c r="A315" s="3">
        <v>17501</v>
      </c>
      <c r="B315" s="2">
        <v>-2.3199999999999998</v>
      </c>
      <c r="C315" s="2">
        <v>11.12</v>
      </c>
      <c r="D315" s="2">
        <v>-11.82</v>
      </c>
      <c r="E315" s="2">
        <v>-20.84</v>
      </c>
      <c r="F315" s="2">
        <v>-7.87</v>
      </c>
      <c r="G315" s="2">
        <v>13.89</v>
      </c>
      <c r="H315" s="2">
        <v>10.51</v>
      </c>
      <c r="I315" s="2">
        <v>20.89</v>
      </c>
      <c r="J315" s="2">
        <v>11.4</v>
      </c>
      <c r="K315" s="2">
        <v>-12.73</v>
      </c>
      <c r="L315" s="2">
        <v>3.37</v>
      </c>
      <c r="M315" s="2">
        <v>-3.94</v>
      </c>
      <c r="N315" s="2">
        <v>1.91</v>
      </c>
      <c r="O315" s="2">
        <v>1.72</v>
      </c>
      <c r="P315" s="2">
        <v>25.68</v>
      </c>
      <c r="Q315" s="2">
        <v>-1.1100000000000001</v>
      </c>
      <c r="R315" s="2">
        <v>-3.87</v>
      </c>
      <c r="S315" s="2">
        <v>-4.4400000000000004</v>
      </c>
      <c r="T315" s="2">
        <v>20.39</v>
      </c>
      <c r="U315" s="2">
        <v>4.34</v>
      </c>
      <c r="V315" s="2">
        <v>16.3</v>
      </c>
      <c r="W315" s="2">
        <v>15.43</v>
      </c>
      <c r="X315" s="2">
        <v>9.14</v>
      </c>
      <c r="Y315" s="2">
        <v>7.68</v>
      </c>
      <c r="Z315" s="2">
        <v>7.9</v>
      </c>
      <c r="AA315" s="2">
        <v>0.28999999999999998</v>
      </c>
      <c r="AB315" s="2">
        <v>0.09</v>
      </c>
      <c r="AC315" s="2">
        <v>4.2</v>
      </c>
      <c r="AD315" s="2">
        <v>2.09</v>
      </c>
      <c r="AE315" s="2">
        <v>7.46</v>
      </c>
      <c r="AF315" s="2">
        <v>69.540000000000006</v>
      </c>
      <c r="AG315" s="2">
        <v>12.92</v>
      </c>
      <c r="AH315" s="4">
        <f t="shared" si="4"/>
        <v>72.58</v>
      </c>
    </row>
    <row r="316" spans="1:34" x14ac:dyDescent="0.2">
      <c r="A316" s="3">
        <v>17532</v>
      </c>
      <c r="B316" s="2">
        <v>-1.78</v>
      </c>
      <c r="C316" s="2">
        <v>11.09</v>
      </c>
      <c r="D316" s="2">
        <v>-9.17</v>
      </c>
      <c r="E316" s="2">
        <v>-14.02</v>
      </c>
      <c r="F316" s="2">
        <v>-6.77</v>
      </c>
      <c r="G316" s="2">
        <v>11.59</v>
      </c>
      <c r="H316" s="2">
        <v>7.83</v>
      </c>
      <c r="I316" s="2">
        <v>20.27</v>
      </c>
      <c r="J316" s="2">
        <v>12.63</v>
      </c>
      <c r="K316" s="2">
        <v>-6.94</v>
      </c>
      <c r="L316" s="2">
        <v>4.4800000000000004</v>
      </c>
      <c r="M316" s="2">
        <v>-4.92</v>
      </c>
      <c r="N316" s="2">
        <v>4.95</v>
      </c>
      <c r="O316" s="2">
        <v>1.52</v>
      </c>
      <c r="P316" s="2">
        <v>26.24</v>
      </c>
      <c r="Q316" s="2">
        <v>-2.37</v>
      </c>
      <c r="R316" s="2">
        <v>-4.05</v>
      </c>
      <c r="S316" s="2">
        <v>-3.59</v>
      </c>
      <c r="T316" s="2">
        <v>18.690000000000001</v>
      </c>
      <c r="U316" s="2">
        <v>3.26</v>
      </c>
      <c r="V316" s="2">
        <v>14.83</v>
      </c>
      <c r="W316" s="2">
        <v>11.73</v>
      </c>
      <c r="X316" s="2">
        <v>7.17</v>
      </c>
      <c r="Y316" s="2">
        <v>6.93</v>
      </c>
      <c r="Z316" s="2">
        <v>0.62</v>
      </c>
      <c r="AA316" s="2">
        <v>9.0299999999999994</v>
      </c>
      <c r="AB316" s="2">
        <v>0.8</v>
      </c>
      <c r="AC316" s="2">
        <v>5.96</v>
      </c>
      <c r="AD316" s="2">
        <v>2.06</v>
      </c>
      <c r="AE316" s="2">
        <v>7.18</v>
      </c>
      <c r="AF316" s="2">
        <v>63.89</v>
      </c>
      <c r="AG316" s="2">
        <v>11.2</v>
      </c>
      <c r="AH316" s="4">
        <f t="shared" si="4"/>
        <v>83.77000000000001</v>
      </c>
    </row>
    <row r="317" spans="1:34" x14ac:dyDescent="0.2">
      <c r="A317" s="3">
        <v>17563</v>
      </c>
      <c r="B317" s="2">
        <v>0.04</v>
      </c>
      <c r="C317" s="2">
        <v>18.37</v>
      </c>
      <c r="D317" s="2">
        <v>0.19</v>
      </c>
      <c r="E317" s="2">
        <v>29.17</v>
      </c>
      <c r="F317" s="2">
        <v>31.91</v>
      </c>
      <c r="G317" s="2">
        <v>34.39</v>
      </c>
      <c r="H317" s="2">
        <v>19.68</v>
      </c>
      <c r="I317" s="2">
        <v>22.54</v>
      </c>
      <c r="J317" s="2">
        <v>17.27</v>
      </c>
      <c r="K317" s="2">
        <v>-5.9</v>
      </c>
      <c r="L317" s="2">
        <v>-8.11</v>
      </c>
      <c r="M317" s="2">
        <v>-10.61</v>
      </c>
      <c r="N317" s="2">
        <v>7.06</v>
      </c>
      <c r="O317" s="2">
        <v>2.66</v>
      </c>
      <c r="P317" s="2">
        <v>38.31</v>
      </c>
      <c r="Q317" s="2">
        <v>-1.34</v>
      </c>
      <c r="R317" s="2">
        <v>-5.0999999999999996</v>
      </c>
      <c r="S317" s="2">
        <v>-5.09</v>
      </c>
      <c r="T317" s="2">
        <v>24.49</v>
      </c>
      <c r="U317" s="2">
        <v>1.61</v>
      </c>
      <c r="V317" s="2">
        <v>17.04</v>
      </c>
      <c r="W317" s="2">
        <v>4.26</v>
      </c>
      <c r="X317" s="2">
        <v>10.15</v>
      </c>
      <c r="Y317" s="2">
        <v>8.7799999999999994</v>
      </c>
      <c r="Z317" s="2">
        <v>0</v>
      </c>
      <c r="AA317" s="2">
        <v>0</v>
      </c>
      <c r="AB317" s="2">
        <v>0</v>
      </c>
      <c r="AC317" s="2">
        <v>0</v>
      </c>
      <c r="AD317" s="2">
        <v>1.83</v>
      </c>
      <c r="AE317" s="2">
        <v>1.31</v>
      </c>
      <c r="AF317" s="2">
        <v>71.459999999999994</v>
      </c>
      <c r="AG317" s="2">
        <v>9.8800000000000008</v>
      </c>
      <c r="AH317" s="4">
        <f t="shared" si="4"/>
        <v>228.58</v>
      </c>
    </row>
    <row r="318" spans="1:34" x14ac:dyDescent="0.2">
      <c r="A318" s="3">
        <v>17592</v>
      </c>
      <c r="B318" s="2">
        <v>-1.23</v>
      </c>
      <c r="C318" s="2">
        <v>10.97</v>
      </c>
      <c r="D318" s="2">
        <v>-12.84</v>
      </c>
      <c r="E318" s="2">
        <v>-28.82</v>
      </c>
      <c r="F318" s="2">
        <v>-31.69</v>
      </c>
      <c r="G318" s="2">
        <v>2.33</v>
      </c>
      <c r="H318" s="2">
        <v>2.91</v>
      </c>
      <c r="I318" s="2">
        <v>17.47</v>
      </c>
      <c r="J318" s="2">
        <v>9.51</v>
      </c>
      <c r="K318" s="2">
        <v>3.52</v>
      </c>
      <c r="L318" s="2">
        <v>-13.46</v>
      </c>
      <c r="M318" s="2">
        <v>-10.07</v>
      </c>
      <c r="N318" s="2">
        <v>11.39</v>
      </c>
      <c r="O318" s="2">
        <v>1.03</v>
      </c>
      <c r="P318" s="2">
        <v>34.42</v>
      </c>
      <c r="Q318" s="2">
        <v>-2.5499999999999998</v>
      </c>
      <c r="R318" s="2">
        <v>-5.25</v>
      </c>
      <c r="S318" s="2">
        <v>-2.0099999999999998</v>
      </c>
      <c r="T318" s="2">
        <v>19.16</v>
      </c>
      <c r="U318" s="2">
        <v>3.73</v>
      </c>
      <c r="V318" s="2">
        <v>15.72</v>
      </c>
      <c r="W318" s="2">
        <v>0</v>
      </c>
      <c r="X318" s="2">
        <v>3.57</v>
      </c>
      <c r="Y318" s="2">
        <v>3.58</v>
      </c>
      <c r="Z318" s="2">
        <v>6.65</v>
      </c>
      <c r="AA318" s="2">
        <v>1</v>
      </c>
      <c r="AB318" s="2">
        <v>0</v>
      </c>
      <c r="AC318" s="2">
        <v>11.64</v>
      </c>
      <c r="AD318" s="2">
        <v>2.04</v>
      </c>
      <c r="AE318" s="2">
        <v>11.37</v>
      </c>
      <c r="AF318" s="2">
        <v>59.57</v>
      </c>
      <c r="AG318" s="2">
        <v>10.08</v>
      </c>
      <c r="AH318" s="4">
        <f t="shared" si="4"/>
        <v>24.239999999999991</v>
      </c>
    </row>
    <row r="319" spans="1:34" x14ac:dyDescent="0.2">
      <c r="A319" s="3">
        <v>17623</v>
      </c>
      <c r="B319" s="2">
        <v>-0.56999999999999995</v>
      </c>
      <c r="C319" s="2">
        <v>20.71</v>
      </c>
      <c r="D319" s="2">
        <v>4.97</v>
      </c>
      <c r="E319" s="2">
        <v>32.31</v>
      </c>
      <c r="F319" s="2">
        <v>23.7</v>
      </c>
      <c r="G319" s="2">
        <v>42.43</v>
      </c>
      <c r="H319" s="2">
        <v>13</v>
      </c>
      <c r="I319" s="2">
        <v>24.74</v>
      </c>
      <c r="J319" s="2">
        <v>31.59</v>
      </c>
      <c r="K319" s="2">
        <v>45.75</v>
      </c>
      <c r="L319" s="2">
        <v>-1.53</v>
      </c>
      <c r="M319" s="2">
        <v>2.2999999999999998</v>
      </c>
      <c r="N319" s="2">
        <v>31.35</v>
      </c>
      <c r="O319" s="2">
        <v>8.7100000000000009</v>
      </c>
      <c r="P319" s="2">
        <v>63.24</v>
      </c>
      <c r="Q319" s="2">
        <v>-2.61</v>
      </c>
      <c r="R319" s="2">
        <v>-7.25</v>
      </c>
      <c r="S319" s="2">
        <v>25.17</v>
      </c>
      <c r="T319" s="2">
        <v>28.43</v>
      </c>
      <c r="U319" s="2">
        <v>-0.81</v>
      </c>
      <c r="V319" s="2">
        <v>19.940000000000001</v>
      </c>
      <c r="W319" s="2">
        <v>0</v>
      </c>
      <c r="X319" s="2">
        <v>4.51</v>
      </c>
      <c r="Y319" s="2">
        <v>3.49</v>
      </c>
      <c r="Z319" s="2">
        <v>7.23</v>
      </c>
      <c r="AA319" s="2">
        <v>0</v>
      </c>
      <c r="AB319" s="2">
        <v>0</v>
      </c>
      <c r="AC319" s="2">
        <v>1.08</v>
      </c>
      <c r="AD319" s="2">
        <v>3.83</v>
      </c>
      <c r="AE319" s="2">
        <v>20.79</v>
      </c>
      <c r="AF319" s="2">
        <v>70.290000000000006</v>
      </c>
      <c r="AG319" s="2">
        <v>10.69</v>
      </c>
      <c r="AH319" s="4">
        <f t="shared" si="4"/>
        <v>405.57000000000005</v>
      </c>
    </row>
    <row r="320" spans="1:34" x14ac:dyDescent="0.2">
      <c r="A320" s="3">
        <v>17653</v>
      </c>
      <c r="B320" s="2">
        <v>4.87</v>
      </c>
      <c r="C320" s="2">
        <v>24</v>
      </c>
      <c r="D320" s="2">
        <v>25.32</v>
      </c>
      <c r="E320" s="2">
        <v>92.61</v>
      </c>
      <c r="F320" s="2">
        <v>98.85</v>
      </c>
      <c r="G320" s="2">
        <v>97.51</v>
      </c>
      <c r="H320" s="2">
        <v>38.369999999999997</v>
      </c>
      <c r="I320" s="2">
        <v>33.24</v>
      </c>
      <c r="J320" s="2">
        <v>45.38</v>
      </c>
      <c r="K320" s="2">
        <v>16.73</v>
      </c>
      <c r="L320" s="2">
        <v>25.78</v>
      </c>
      <c r="M320" s="2">
        <v>4.5199999999999996</v>
      </c>
      <c r="N320" s="2">
        <v>27.51</v>
      </c>
      <c r="O320" s="2">
        <v>1.31</v>
      </c>
      <c r="P320" s="2">
        <v>65.430000000000007</v>
      </c>
      <c r="Q320" s="2">
        <v>3.92</v>
      </c>
      <c r="R320" s="2">
        <v>-3.68</v>
      </c>
      <c r="S320" s="2">
        <v>32.880000000000003</v>
      </c>
      <c r="T320" s="2">
        <v>23.3</v>
      </c>
      <c r="U320" s="2">
        <v>3.69</v>
      </c>
      <c r="V320" s="2">
        <v>33.54</v>
      </c>
      <c r="W320" s="2">
        <v>0</v>
      </c>
      <c r="X320" s="2">
        <v>5.51</v>
      </c>
      <c r="Y320" s="2">
        <v>4.76</v>
      </c>
      <c r="Z320" s="2">
        <v>1.2</v>
      </c>
      <c r="AA320" s="2">
        <v>0</v>
      </c>
      <c r="AB320" s="2">
        <v>0.89</v>
      </c>
      <c r="AC320" s="2">
        <v>0</v>
      </c>
      <c r="AD320" s="2">
        <v>4.74</v>
      </c>
      <c r="AE320" s="2">
        <v>35.14</v>
      </c>
      <c r="AF320" s="2">
        <v>86.98</v>
      </c>
      <c r="AG320" s="2">
        <v>14.64</v>
      </c>
      <c r="AH320" s="4">
        <f t="shared" si="4"/>
        <v>695.08</v>
      </c>
    </row>
    <row r="321" spans="1:34" x14ac:dyDescent="0.2">
      <c r="A321" s="3">
        <v>17684</v>
      </c>
      <c r="B321" s="2">
        <v>3.24</v>
      </c>
      <c r="C321" s="2">
        <v>16.190000000000001</v>
      </c>
      <c r="D321" s="2">
        <v>-3.1</v>
      </c>
      <c r="E321" s="2">
        <v>-12.53</v>
      </c>
      <c r="F321" s="2">
        <v>-9.0399999999999991</v>
      </c>
      <c r="G321" s="2">
        <v>13.25</v>
      </c>
      <c r="H321" s="2">
        <v>10.15</v>
      </c>
      <c r="I321" s="2">
        <v>28.88</v>
      </c>
      <c r="J321" s="2">
        <v>36.21</v>
      </c>
      <c r="K321" s="2">
        <v>8.7799999999999994</v>
      </c>
      <c r="L321" s="2">
        <v>67.36</v>
      </c>
      <c r="M321" s="2">
        <v>19.79</v>
      </c>
      <c r="N321" s="2">
        <v>32.4</v>
      </c>
      <c r="O321" s="2">
        <v>17.02</v>
      </c>
      <c r="P321" s="2">
        <v>75.59</v>
      </c>
      <c r="Q321" s="2">
        <v>6.29</v>
      </c>
      <c r="R321" s="2">
        <v>9.1999999999999993</v>
      </c>
      <c r="S321" s="2">
        <v>21.56</v>
      </c>
      <c r="T321" s="2">
        <v>33.299999999999997</v>
      </c>
      <c r="U321" s="2">
        <v>2.31</v>
      </c>
      <c r="V321" s="2">
        <v>39.57</v>
      </c>
      <c r="W321" s="2">
        <v>4.88</v>
      </c>
      <c r="X321" s="2">
        <v>8.5500000000000007</v>
      </c>
      <c r="Y321" s="2">
        <v>7.14</v>
      </c>
      <c r="Z321" s="2">
        <v>0</v>
      </c>
      <c r="AA321" s="2">
        <v>0</v>
      </c>
      <c r="AB321" s="2">
        <v>0</v>
      </c>
      <c r="AC321" s="2">
        <v>0</v>
      </c>
      <c r="AD321" s="2">
        <v>8</v>
      </c>
      <c r="AE321" s="2">
        <v>7.55</v>
      </c>
      <c r="AF321" s="2">
        <v>98.23</v>
      </c>
      <c r="AG321" s="2">
        <v>17.690000000000001</v>
      </c>
      <c r="AH321" s="4">
        <f t="shared" si="4"/>
        <v>416.42</v>
      </c>
    </row>
    <row r="322" spans="1:34" x14ac:dyDescent="0.2">
      <c r="A322" s="3">
        <v>17714</v>
      </c>
      <c r="B322" s="2">
        <v>-0.61</v>
      </c>
      <c r="C322" s="2">
        <v>12.68</v>
      </c>
      <c r="D322" s="2">
        <v>-11.89</v>
      </c>
      <c r="E322" s="2">
        <v>-50.03</v>
      </c>
      <c r="F322" s="2">
        <v>-52.58</v>
      </c>
      <c r="G322" s="2">
        <v>-13.92</v>
      </c>
      <c r="H322" s="2">
        <v>2.59</v>
      </c>
      <c r="I322" s="2">
        <v>27.88</v>
      </c>
      <c r="J322" s="2">
        <v>19.02</v>
      </c>
      <c r="K322" s="2">
        <v>40.06</v>
      </c>
      <c r="L322" s="2">
        <v>24.66</v>
      </c>
      <c r="M322" s="2">
        <v>22.58</v>
      </c>
      <c r="N322" s="2">
        <v>29.62</v>
      </c>
      <c r="O322" s="2">
        <v>69.8</v>
      </c>
      <c r="P322" s="2">
        <v>46.39</v>
      </c>
      <c r="Q322" s="2">
        <v>5.66</v>
      </c>
      <c r="R322" s="2">
        <v>1.86</v>
      </c>
      <c r="S322" s="2">
        <v>21.24</v>
      </c>
      <c r="T322" s="2">
        <v>56.4</v>
      </c>
      <c r="U322" s="2">
        <v>-0.54</v>
      </c>
      <c r="V322" s="2">
        <v>44.03</v>
      </c>
      <c r="W322" s="2">
        <v>18.62</v>
      </c>
      <c r="X322" s="2">
        <v>13.94</v>
      </c>
      <c r="Y322" s="2">
        <v>13.21</v>
      </c>
      <c r="Z322" s="2">
        <v>1</v>
      </c>
      <c r="AA322" s="2">
        <v>5.05</v>
      </c>
      <c r="AB322" s="2">
        <v>1.07</v>
      </c>
      <c r="AC322" s="2">
        <v>0</v>
      </c>
      <c r="AD322" s="2">
        <v>7.23</v>
      </c>
      <c r="AE322" s="2">
        <v>0.37</v>
      </c>
      <c r="AF322" s="2">
        <v>107.5</v>
      </c>
      <c r="AG322" s="2">
        <v>22.83</v>
      </c>
      <c r="AH322" s="4">
        <f t="shared" si="4"/>
        <v>294.90000000000003</v>
      </c>
    </row>
    <row r="323" spans="1:34" x14ac:dyDescent="0.2">
      <c r="A323" s="3">
        <v>17745</v>
      </c>
      <c r="B323" s="2">
        <v>-3.27</v>
      </c>
      <c r="C323" s="2">
        <v>12.24</v>
      </c>
      <c r="D323" s="2">
        <v>-9.92</v>
      </c>
      <c r="E323" s="2">
        <v>-66.290000000000006</v>
      </c>
      <c r="F323" s="2">
        <v>-46.94</v>
      </c>
      <c r="G323" s="2">
        <v>-24.43</v>
      </c>
      <c r="H323" s="2">
        <v>-4.45</v>
      </c>
      <c r="I323" s="2">
        <v>17.05</v>
      </c>
      <c r="J323" s="2">
        <v>-28.8</v>
      </c>
      <c r="K323" s="2">
        <v>20.97</v>
      </c>
      <c r="L323" s="2">
        <v>-49.11</v>
      </c>
      <c r="M323" s="2">
        <v>-19.239999999999998</v>
      </c>
      <c r="N323" s="2">
        <v>39.5</v>
      </c>
      <c r="O323" s="2">
        <v>80.150000000000006</v>
      </c>
      <c r="P323" s="2">
        <v>89.35</v>
      </c>
      <c r="Q323" s="2">
        <v>0.83</v>
      </c>
      <c r="R323" s="2">
        <v>-0.41</v>
      </c>
      <c r="S323" s="2">
        <v>41.14</v>
      </c>
      <c r="T323" s="2">
        <v>51.5</v>
      </c>
      <c r="U323" s="2">
        <v>8.16</v>
      </c>
      <c r="V323" s="2">
        <v>52.18</v>
      </c>
      <c r="W323" s="2">
        <v>30.39</v>
      </c>
      <c r="X323" s="2">
        <v>19.22</v>
      </c>
      <c r="Y323" s="2">
        <v>18.87</v>
      </c>
      <c r="Z323" s="2">
        <v>0</v>
      </c>
      <c r="AA323" s="2">
        <v>6.88</v>
      </c>
      <c r="AB323" s="2">
        <v>0</v>
      </c>
      <c r="AC323" s="2">
        <v>1.9</v>
      </c>
      <c r="AD323" s="2">
        <v>5.99</v>
      </c>
      <c r="AE323" s="2">
        <v>0</v>
      </c>
      <c r="AF323" s="2">
        <v>117.07</v>
      </c>
      <c r="AG323" s="2">
        <v>24.8</v>
      </c>
      <c r="AH323" s="4">
        <f t="shared" ref="AH323:AH386" si="5">SUM(B323:V323)</f>
        <v>160.21</v>
      </c>
    </row>
    <row r="324" spans="1:34" x14ac:dyDescent="0.2">
      <c r="A324" s="3">
        <v>17776</v>
      </c>
      <c r="B324" s="2">
        <v>-2.31</v>
      </c>
      <c r="C324" s="2">
        <v>13.69</v>
      </c>
      <c r="D324" s="2">
        <v>-3.04</v>
      </c>
      <c r="E324" s="2">
        <v>-44.02</v>
      </c>
      <c r="F324" s="2">
        <v>-20.76</v>
      </c>
      <c r="G324" s="2">
        <v>-1.88</v>
      </c>
      <c r="H324" s="2">
        <v>6.01</v>
      </c>
      <c r="I324" s="2">
        <v>19.559999999999999</v>
      </c>
      <c r="J324" s="2">
        <v>-7.76</v>
      </c>
      <c r="K324" s="2">
        <v>14.53</v>
      </c>
      <c r="L324" s="2">
        <v>-25.52</v>
      </c>
      <c r="M324" s="2">
        <v>-10.17</v>
      </c>
      <c r="N324" s="2">
        <v>28.79</v>
      </c>
      <c r="O324" s="2">
        <v>62.33</v>
      </c>
      <c r="P324" s="2">
        <v>94.55</v>
      </c>
      <c r="Q324" s="2">
        <v>0.4</v>
      </c>
      <c r="R324" s="2">
        <v>-4.01</v>
      </c>
      <c r="S324" s="2">
        <v>34.64</v>
      </c>
      <c r="T324" s="2">
        <v>45.6</v>
      </c>
      <c r="U324" s="2">
        <v>6.6</v>
      </c>
      <c r="V324" s="2">
        <v>48.97</v>
      </c>
      <c r="W324" s="2">
        <v>31.47</v>
      </c>
      <c r="X324" s="2">
        <v>21.56</v>
      </c>
      <c r="Y324" s="2">
        <v>21.32</v>
      </c>
      <c r="Z324" s="2">
        <v>0</v>
      </c>
      <c r="AA324" s="2">
        <v>0</v>
      </c>
      <c r="AB324" s="2">
        <v>0</v>
      </c>
      <c r="AC324" s="2">
        <v>0</v>
      </c>
      <c r="AD324" s="2">
        <v>5.01</v>
      </c>
      <c r="AE324" s="2">
        <v>0</v>
      </c>
      <c r="AF324" s="2">
        <v>119.06</v>
      </c>
      <c r="AG324" s="2">
        <v>23.65</v>
      </c>
      <c r="AH324" s="4">
        <f t="shared" si="5"/>
        <v>256.19999999999993</v>
      </c>
    </row>
    <row r="325" spans="1:34" x14ac:dyDescent="0.2">
      <c r="A325" s="3">
        <v>17806</v>
      </c>
      <c r="B325" s="2">
        <v>-4.38</v>
      </c>
      <c r="C325" s="2">
        <v>11.36</v>
      </c>
      <c r="D325" s="2">
        <v>-9.66</v>
      </c>
      <c r="E325" s="2">
        <v>-49.47</v>
      </c>
      <c r="F325" s="2">
        <v>-3.86</v>
      </c>
      <c r="G325" s="2">
        <v>6.5</v>
      </c>
      <c r="H325" s="2">
        <v>11.38</v>
      </c>
      <c r="I325" s="2">
        <v>22.02</v>
      </c>
      <c r="J325" s="2">
        <v>12.2</v>
      </c>
      <c r="K325" s="2">
        <v>0.9</v>
      </c>
      <c r="L325" s="2">
        <v>-10.119999999999999</v>
      </c>
      <c r="M325" s="2">
        <v>-3.83</v>
      </c>
      <c r="N325" s="2">
        <v>29.2</v>
      </c>
      <c r="O325" s="2">
        <v>-0.4</v>
      </c>
      <c r="P325" s="2">
        <v>39.6</v>
      </c>
      <c r="Q325" s="2">
        <v>2.98</v>
      </c>
      <c r="R325" s="2">
        <v>0.03</v>
      </c>
      <c r="S325" s="2">
        <v>-0.18</v>
      </c>
      <c r="T325" s="2">
        <v>21.43</v>
      </c>
      <c r="U325" s="2">
        <v>2.73</v>
      </c>
      <c r="V325" s="2">
        <v>17.96</v>
      </c>
      <c r="W325" s="2">
        <v>26.1</v>
      </c>
      <c r="X325" s="2">
        <v>20.46</v>
      </c>
      <c r="Y325" s="2">
        <v>20.03</v>
      </c>
      <c r="Z325" s="2">
        <v>0</v>
      </c>
      <c r="AA325" s="2">
        <v>0</v>
      </c>
      <c r="AB325" s="2">
        <v>0</v>
      </c>
      <c r="AC325" s="2">
        <v>0</v>
      </c>
      <c r="AD325" s="2">
        <v>3.87</v>
      </c>
      <c r="AE325" s="2">
        <v>0</v>
      </c>
      <c r="AF325" s="2">
        <v>110.9</v>
      </c>
      <c r="AG325" s="2">
        <v>20.170000000000002</v>
      </c>
      <c r="AH325" s="4">
        <f t="shared" si="5"/>
        <v>96.390000000000015</v>
      </c>
    </row>
    <row r="326" spans="1:34" x14ac:dyDescent="0.2">
      <c r="A326" s="3">
        <v>17837</v>
      </c>
      <c r="B326" s="2">
        <v>-5.41</v>
      </c>
      <c r="C326" s="2">
        <v>11.62</v>
      </c>
      <c r="D326" s="2">
        <v>-10.66</v>
      </c>
      <c r="E326" s="2">
        <v>-25.25</v>
      </c>
      <c r="F326" s="2">
        <v>1.05</v>
      </c>
      <c r="G326" s="2">
        <v>10.88</v>
      </c>
      <c r="H326" s="2">
        <v>12.47</v>
      </c>
      <c r="I326" s="2">
        <v>21.62</v>
      </c>
      <c r="J326" s="2">
        <v>9</v>
      </c>
      <c r="K326" s="2">
        <v>-19.05</v>
      </c>
      <c r="L326" s="2">
        <v>-1.75</v>
      </c>
      <c r="M326" s="2">
        <v>-9.3699999999999992</v>
      </c>
      <c r="N326" s="2">
        <v>9.4700000000000006</v>
      </c>
      <c r="O326" s="2">
        <v>10.59</v>
      </c>
      <c r="P326" s="2">
        <v>43.38</v>
      </c>
      <c r="Q326" s="2">
        <v>0.47</v>
      </c>
      <c r="R326" s="2">
        <v>-2.73</v>
      </c>
      <c r="S326" s="2">
        <v>-2.79</v>
      </c>
      <c r="T326" s="2">
        <v>25.94</v>
      </c>
      <c r="U326" s="2">
        <v>-0.46</v>
      </c>
      <c r="V326" s="2">
        <v>18.27</v>
      </c>
      <c r="W326" s="2">
        <v>22.19</v>
      </c>
      <c r="X326" s="2">
        <v>18.96</v>
      </c>
      <c r="Y326" s="2">
        <v>18.52</v>
      </c>
      <c r="Z326" s="2">
        <v>0</v>
      </c>
      <c r="AA326" s="2">
        <v>18.78</v>
      </c>
      <c r="AB326" s="2">
        <v>0.1</v>
      </c>
      <c r="AC326" s="2">
        <v>4.5999999999999996</v>
      </c>
      <c r="AD326" s="2">
        <v>3.34</v>
      </c>
      <c r="AE326" s="2">
        <v>3.54</v>
      </c>
      <c r="AF326" s="2">
        <v>100.59</v>
      </c>
      <c r="AG326" s="2">
        <v>16.420000000000002</v>
      </c>
      <c r="AH326" s="4">
        <f t="shared" si="5"/>
        <v>97.29</v>
      </c>
    </row>
    <row r="327" spans="1:34" x14ac:dyDescent="0.2">
      <c r="A327" s="3">
        <v>17867</v>
      </c>
      <c r="B327" s="2">
        <v>-3.12</v>
      </c>
      <c r="C327" s="2">
        <v>12.11</v>
      </c>
      <c r="D327" s="2">
        <v>-8.4700000000000006</v>
      </c>
      <c r="E327" s="2">
        <v>-7</v>
      </c>
      <c r="F327" s="2">
        <v>-3.63</v>
      </c>
      <c r="G327" s="2">
        <v>12.19</v>
      </c>
      <c r="H327" s="2">
        <v>10.45</v>
      </c>
      <c r="I327" s="2">
        <v>19.809999999999999</v>
      </c>
      <c r="J327" s="2">
        <v>9.02</v>
      </c>
      <c r="K327" s="2">
        <v>-18.82</v>
      </c>
      <c r="L327" s="2">
        <v>1.58</v>
      </c>
      <c r="M327" s="2">
        <v>-7.66</v>
      </c>
      <c r="N327" s="2">
        <v>0.98</v>
      </c>
      <c r="O327" s="2">
        <v>0.89</v>
      </c>
      <c r="P327" s="2">
        <v>32.9</v>
      </c>
      <c r="Q327" s="2">
        <v>-0.33</v>
      </c>
      <c r="R327" s="2">
        <v>-3.34</v>
      </c>
      <c r="S327" s="2">
        <v>-5.78</v>
      </c>
      <c r="T327" s="2">
        <v>20.190000000000001</v>
      </c>
      <c r="U327" s="2">
        <v>2.86</v>
      </c>
      <c r="V327" s="2">
        <v>16.09</v>
      </c>
      <c r="W327" s="2">
        <v>15.43</v>
      </c>
      <c r="X327" s="2">
        <v>12.38</v>
      </c>
      <c r="Y327" s="2">
        <v>10.94</v>
      </c>
      <c r="Z327" s="2">
        <v>6.99</v>
      </c>
      <c r="AA327" s="2">
        <v>0</v>
      </c>
      <c r="AB327" s="2">
        <v>0</v>
      </c>
      <c r="AC327" s="2">
        <v>0</v>
      </c>
      <c r="AD327" s="2">
        <v>2.1800000000000002</v>
      </c>
      <c r="AE327" s="2">
        <v>0.84</v>
      </c>
      <c r="AF327" s="2">
        <v>66</v>
      </c>
      <c r="AG327" s="2">
        <v>12.92</v>
      </c>
      <c r="AH327" s="4">
        <f t="shared" si="5"/>
        <v>80.92</v>
      </c>
    </row>
    <row r="328" spans="1:34" x14ac:dyDescent="0.2">
      <c r="A328" s="3">
        <v>17898</v>
      </c>
      <c r="B328" s="2">
        <v>-1.44</v>
      </c>
      <c r="C328" s="2">
        <v>18.02</v>
      </c>
      <c r="D328" s="2">
        <v>8.6199999999999992</v>
      </c>
      <c r="E328" s="2">
        <v>24.38</v>
      </c>
      <c r="F328" s="2">
        <v>12.76</v>
      </c>
      <c r="G328" s="2">
        <v>38.21</v>
      </c>
      <c r="H328" s="2">
        <v>14.08</v>
      </c>
      <c r="I328" s="2">
        <v>24.47</v>
      </c>
      <c r="J328" s="2">
        <v>21.52</v>
      </c>
      <c r="K328" s="2">
        <v>4.4000000000000004</v>
      </c>
      <c r="L328" s="2">
        <v>5.48</v>
      </c>
      <c r="M328" s="2">
        <v>2.71</v>
      </c>
      <c r="N328" s="2">
        <v>11.46</v>
      </c>
      <c r="O328" s="2">
        <v>0.65</v>
      </c>
      <c r="P328" s="2">
        <v>34.520000000000003</v>
      </c>
      <c r="Q328" s="2">
        <v>-2.61</v>
      </c>
      <c r="R328" s="2">
        <v>-3.79</v>
      </c>
      <c r="S328" s="2">
        <v>0.04</v>
      </c>
      <c r="T328" s="2">
        <v>20.11</v>
      </c>
      <c r="U328" s="2">
        <v>3.51</v>
      </c>
      <c r="V328" s="2">
        <v>15.77</v>
      </c>
      <c r="W328" s="2">
        <v>11.73</v>
      </c>
      <c r="X328" s="2">
        <v>10.15</v>
      </c>
      <c r="Y328" s="2">
        <v>9.93</v>
      </c>
      <c r="Z328" s="2">
        <v>1.48</v>
      </c>
      <c r="AA328" s="2">
        <v>1.58</v>
      </c>
      <c r="AB328" s="2">
        <v>1.95</v>
      </c>
      <c r="AC328" s="2">
        <v>8.5299999999999994</v>
      </c>
      <c r="AD328" s="2">
        <v>2.14</v>
      </c>
      <c r="AE328" s="2">
        <v>33.19</v>
      </c>
      <c r="AF328" s="2">
        <v>60.63</v>
      </c>
      <c r="AG328" s="2">
        <v>11.2</v>
      </c>
      <c r="AH328" s="4">
        <f t="shared" si="5"/>
        <v>252.87000000000003</v>
      </c>
    </row>
    <row r="329" spans="1:34" x14ac:dyDescent="0.2">
      <c r="A329" s="3">
        <v>17929</v>
      </c>
      <c r="B329" s="2">
        <v>-2.3199999999999998</v>
      </c>
      <c r="C329" s="2">
        <v>9.76</v>
      </c>
      <c r="D329" s="2">
        <v>-13.03</v>
      </c>
      <c r="E329" s="2">
        <v>-22.76</v>
      </c>
      <c r="F329" s="2">
        <v>-13.55</v>
      </c>
      <c r="G329" s="2">
        <v>13.7</v>
      </c>
      <c r="H329" s="2">
        <v>5.69</v>
      </c>
      <c r="I329" s="2">
        <v>19.329999999999998</v>
      </c>
      <c r="J329" s="2">
        <v>8.42</v>
      </c>
      <c r="K329" s="2">
        <v>-8.7899999999999991</v>
      </c>
      <c r="L329" s="2">
        <v>-2.0299999999999998</v>
      </c>
      <c r="M329" s="2">
        <v>-10.42</v>
      </c>
      <c r="N329" s="2">
        <v>3.48</v>
      </c>
      <c r="O329" s="2">
        <v>0.5</v>
      </c>
      <c r="P329" s="2">
        <v>30.79</v>
      </c>
      <c r="Q329" s="2">
        <v>-2.82</v>
      </c>
      <c r="R329" s="2">
        <v>-3.77</v>
      </c>
      <c r="S329" s="2">
        <v>4.62</v>
      </c>
      <c r="T329" s="2">
        <v>20.010000000000002</v>
      </c>
      <c r="U329" s="2">
        <v>2.74</v>
      </c>
      <c r="V329" s="2">
        <v>16.71</v>
      </c>
      <c r="W329" s="2">
        <v>4.26</v>
      </c>
      <c r="X329" s="2">
        <v>10.199999999999999</v>
      </c>
      <c r="Y329" s="2">
        <v>8.84</v>
      </c>
      <c r="Z329" s="2">
        <v>8.2799999999999994</v>
      </c>
      <c r="AA329" s="2">
        <v>27.39</v>
      </c>
      <c r="AB329" s="2">
        <v>2.77</v>
      </c>
      <c r="AC329" s="2">
        <v>27.08</v>
      </c>
      <c r="AD329" s="2">
        <v>2.0099999999999998</v>
      </c>
      <c r="AE329" s="2">
        <v>5.41</v>
      </c>
      <c r="AF329" s="2">
        <v>71.459999999999994</v>
      </c>
      <c r="AG329" s="2">
        <v>9.8800000000000008</v>
      </c>
      <c r="AH329" s="4">
        <f t="shared" si="5"/>
        <v>56.26</v>
      </c>
    </row>
    <row r="330" spans="1:34" x14ac:dyDescent="0.2">
      <c r="A330" s="3">
        <v>17957</v>
      </c>
      <c r="B330" s="2">
        <v>-3.18</v>
      </c>
      <c r="C330" s="2">
        <v>11.48</v>
      </c>
      <c r="D330" s="2">
        <v>-9.15</v>
      </c>
      <c r="E330" s="2">
        <v>-13.48</v>
      </c>
      <c r="F330" s="2">
        <v>-0.66</v>
      </c>
      <c r="G330" s="2">
        <v>30.83</v>
      </c>
      <c r="H330" s="2">
        <v>9.7899999999999991</v>
      </c>
      <c r="I330" s="2">
        <v>21.6</v>
      </c>
      <c r="J330" s="2">
        <v>14.56</v>
      </c>
      <c r="K330" s="2">
        <v>6.62</v>
      </c>
      <c r="L330" s="2">
        <v>-10.44</v>
      </c>
      <c r="M330" s="2">
        <v>-8.52</v>
      </c>
      <c r="N330" s="2">
        <v>18.010000000000002</v>
      </c>
      <c r="O330" s="2">
        <v>0.36</v>
      </c>
      <c r="P330" s="2">
        <v>35.200000000000003</v>
      </c>
      <c r="Q330" s="2">
        <v>-1.75</v>
      </c>
      <c r="R330" s="2">
        <v>-3.84</v>
      </c>
      <c r="S330" s="2">
        <v>3.8</v>
      </c>
      <c r="T330" s="2">
        <v>20.39</v>
      </c>
      <c r="U330" s="2">
        <v>2.27</v>
      </c>
      <c r="V330" s="2">
        <v>14.39</v>
      </c>
      <c r="W330" s="2">
        <v>0</v>
      </c>
      <c r="X330" s="2">
        <v>3.62</v>
      </c>
      <c r="Y330" s="2">
        <v>3.64</v>
      </c>
      <c r="Z330" s="2">
        <v>2.39</v>
      </c>
      <c r="AA330" s="2">
        <v>0</v>
      </c>
      <c r="AB330" s="2">
        <v>0.62</v>
      </c>
      <c r="AC330" s="2">
        <v>1.49</v>
      </c>
      <c r="AD330" s="2">
        <v>2.2000000000000002</v>
      </c>
      <c r="AE330" s="2">
        <v>13.7</v>
      </c>
      <c r="AF330" s="2">
        <v>59.57</v>
      </c>
      <c r="AG330" s="2">
        <v>10.08</v>
      </c>
      <c r="AH330" s="4">
        <f t="shared" si="5"/>
        <v>138.28</v>
      </c>
    </row>
    <row r="331" spans="1:34" x14ac:dyDescent="0.2">
      <c r="A331" s="3">
        <v>17988</v>
      </c>
      <c r="B331" s="2">
        <v>-0.03</v>
      </c>
      <c r="C331" s="2">
        <v>30.18</v>
      </c>
      <c r="D331" s="2">
        <v>37.229999999999997</v>
      </c>
      <c r="E331" s="2">
        <v>104.91</v>
      </c>
      <c r="F331" s="2">
        <v>81.84</v>
      </c>
      <c r="G331" s="2">
        <v>163.49</v>
      </c>
      <c r="H331" s="2">
        <v>36.64</v>
      </c>
      <c r="I331" s="2">
        <v>38.08</v>
      </c>
      <c r="J331" s="2">
        <v>60.14</v>
      </c>
      <c r="K331" s="2">
        <v>32.25</v>
      </c>
      <c r="L331" s="2">
        <v>32.46</v>
      </c>
      <c r="M331" s="2">
        <v>15.93</v>
      </c>
      <c r="N331" s="2">
        <v>42.36</v>
      </c>
      <c r="O331" s="2">
        <v>6.66</v>
      </c>
      <c r="P331" s="2">
        <v>68.3</v>
      </c>
      <c r="Q331" s="2">
        <v>1.76</v>
      </c>
      <c r="R331" s="2">
        <v>-4.78</v>
      </c>
      <c r="S331" s="2">
        <v>18.23</v>
      </c>
      <c r="T331" s="2">
        <v>30.84</v>
      </c>
      <c r="U331" s="2">
        <v>-1.01</v>
      </c>
      <c r="V331" s="2">
        <v>22.25</v>
      </c>
      <c r="W331" s="2">
        <v>0</v>
      </c>
      <c r="X331" s="2">
        <v>4.57</v>
      </c>
      <c r="Y331" s="2">
        <v>3.55</v>
      </c>
      <c r="Z331" s="2">
        <v>1.1000000000000001</v>
      </c>
      <c r="AA331" s="2">
        <v>1.57</v>
      </c>
      <c r="AB331" s="2">
        <v>0.41</v>
      </c>
      <c r="AC331" s="2">
        <v>11.78</v>
      </c>
      <c r="AD331" s="2">
        <v>3.91</v>
      </c>
      <c r="AE331" s="2">
        <v>42.97</v>
      </c>
      <c r="AF331" s="2">
        <v>70.290000000000006</v>
      </c>
      <c r="AG331" s="2">
        <v>10.69</v>
      </c>
      <c r="AH331" s="4">
        <f t="shared" si="5"/>
        <v>817.73</v>
      </c>
    </row>
    <row r="332" spans="1:34" x14ac:dyDescent="0.2">
      <c r="A332" s="3">
        <v>18018</v>
      </c>
      <c r="B332" s="2">
        <v>-3.07</v>
      </c>
      <c r="C332" s="2">
        <v>13.68</v>
      </c>
      <c r="D332" s="2">
        <v>-21.4</v>
      </c>
      <c r="E332" s="2">
        <v>-62.92</v>
      </c>
      <c r="F332" s="2">
        <v>-3.38</v>
      </c>
      <c r="G332" s="2">
        <v>-24.13</v>
      </c>
      <c r="H332" s="2">
        <v>4.58</v>
      </c>
      <c r="I332" s="2">
        <v>28.79</v>
      </c>
      <c r="J332" s="2">
        <v>8.02</v>
      </c>
      <c r="K332" s="2">
        <v>5.31</v>
      </c>
      <c r="L332" s="2">
        <v>15.54</v>
      </c>
      <c r="M332" s="2">
        <v>6.37</v>
      </c>
      <c r="N332" s="2">
        <v>39.29</v>
      </c>
      <c r="O332" s="2">
        <v>3.22</v>
      </c>
      <c r="P332" s="2">
        <v>63.15</v>
      </c>
      <c r="Q332" s="2">
        <v>2.38</v>
      </c>
      <c r="R332" s="2">
        <v>-0.41</v>
      </c>
      <c r="S332" s="2">
        <v>15.47</v>
      </c>
      <c r="T332" s="2">
        <v>26.56</v>
      </c>
      <c r="U332" s="2">
        <v>1.32</v>
      </c>
      <c r="V332" s="2">
        <v>35.549999999999997</v>
      </c>
      <c r="W332" s="2">
        <v>0</v>
      </c>
      <c r="X332" s="2">
        <v>5.57</v>
      </c>
      <c r="Y332" s="2">
        <v>4.84</v>
      </c>
      <c r="Z332" s="2">
        <v>0.1</v>
      </c>
      <c r="AA332" s="2">
        <v>0</v>
      </c>
      <c r="AB332" s="2">
        <v>0</v>
      </c>
      <c r="AC332" s="2">
        <v>0.95</v>
      </c>
      <c r="AD332" s="2">
        <v>4.51</v>
      </c>
      <c r="AE332" s="2">
        <v>0</v>
      </c>
      <c r="AF332" s="2">
        <v>86.98</v>
      </c>
      <c r="AG332" s="2">
        <v>14.64</v>
      </c>
      <c r="AH332" s="4">
        <f t="shared" si="5"/>
        <v>153.91999999999999</v>
      </c>
    </row>
    <row r="333" spans="1:34" x14ac:dyDescent="0.2">
      <c r="A333" s="3">
        <v>18049</v>
      </c>
      <c r="B333" s="2">
        <v>-2.74</v>
      </c>
      <c r="C333" s="2">
        <v>14.59</v>
      </c>
      <c r="D333" s="2">
        <v>-4.0599999999999996</v>
      </c>
      <c r="E333" s="2">
        <v>-42</v>
      </c>
      <c r="F333" s="2">
        <v>-30.28</v>
      </c>
      <c r="G333" s="2">
        <v>-16.03</v>
      </c>
      <c r="H333" s="2">
        <v>0.47</v>
      </c>
      <c r="I333" s="2">
        <v>25.33</v>
      </c>
      <c r="J333" s="2">
        <v>10.06</v>
      </c>
      <c r="K333" s="2">
        <v>-0.96</v>
      </c>
      <c r="L333" s="2">
        <v>24.9</v>
      </c>
      <c r="M333" s="2">
        <v>-2.9</v>
      </c>
      <c r="N333" s="2">
        <v>29.6</v>
      </c>
      <c r="O333" s="2">
        <v>14.49</v>
      </c>
      <c r="P333" s="2">
        <v>68.61</v>
      </c>
      <c r="Q333" s="2">
        <v>6.57</v>
      </c>
      <c r="R333" s="2">
        <v>9.5399999999999991</v>
      </c>
      <c r="S333" s="2">
        <v>23.49</v>
      </c>
      <c r="T333" s="2">
        <v>37.409999999999997</v>
      </c>
      <c r="U333" s="2">
        <v>0.68</v>
      </c>
      <c r="V333" s="2">
        <v>39.83</v>
      </c>
      <c r="W333" s="2">
        <v>4.88</v>
      </c>
      <c r="X333" s="2">
        <v>8.6300000000000008</v>
      </c>
      <c r="Y333" s="2">
        <v>7.22</v>
      </c>
      <c r="Z333" s="2">
        <v>0.62</v>
      </c>
      <c r="AA333" s="2">
        <v>0</v>
      </c>
      <c r="AB333" s="2">
        <v>2.2599999999999998</v>
      </c>
      <c r="AC333" s="2">
        <v>0</v>
      </c>
      <c r="AD333" s="2">
        <v>6.14</v>
      </c>
      <c r="AE333" s="2">
        <v>4.01</v>
      </c>
      <c r="AF333" s="2">
        <v>98.23</v>
      </c>
      <c r="AG333" s="2">
        <v>17.690000000000001</v>
      </c>
      <c r="AH333" s="4">
        <f t="shared" si="5"/>
        <v>206.59999999999997</v>
      </c>
    </row>
    <row r="334" spans="1:34" x14ac:dyDescent="0.2">
      <c r="A334" s="3">
        <v>18079</v>
      </c>
      <c r="B334" s="2">
        <v>-2.5499999999999998</v>
      </c>
      <c r="C334" s="2">
        <v>13.03</v>
      </c>
      <c r="D334" s="2">
        <v>-8.15</v>
      </c>
      <c r="E334" s="2">
        <v>-50.42</v>
      </c>
      <c r="F334" s="2">
        <v>-38.58</v>
      </c>
      <c r="G334" s="2">
        <v>-16.41</v>
      </c>
      <c r="H334" s="2">
        <v>-1.41</v>
      </c>
      <c r="I334" s="2">
        <v>22.97</v>
      </c>
      <c r="J334" s="2">
        <v>-8.25</v>
      </c>
      <c r="K334" s="2">
        <v>23.06</v>
      </c>
      <c r="L334" s="2">
        <v>-14.53</v>
      </c>
      <c r="M334" s="2">
        <v>-0.65</v>
      </c>
      <c r="N334" s="2">
        <v>38.97</v>
      </c>
      <c r="O334" s="2">
        <v>68.3</v>
      </c>
      <c r="P334" s="2">
        <v>64.3</v>
      </c>
      <c r="Q334" s="2">
        <v>4.53</v>
      </c>
      <c r="R334" s="2">
        <v>3.78</v>
      </c>
      <c r="S334" s="2">
        <v>34.06</v>
      </c>
      <c r="T334" s="2">
        <v>58.65</v>
      </c>
      <c r="U334" s="2">
        <v>0.14000000000000001</v>
      </c>
      <c r="V334" s="2">
        <v>45.32</v>
      </c>
      <c r="W334" s="2">
        <v>18.62</v>
      </c>
      <c r="X334" s="2">
        <v>14.03</v>
      </c>
      <c r="Y334" s="2">
        <v>13.3</v>
      </c>
      <c r="Z334" s="2">
        <v>0</v>
      </c>
      <c r="AA334" s="2">
        <v>0</v>
      </c>
      <c r="AB334" s="2">
        <v>0</v>
      </c>
      <c r="AC334" s="2">
        <v>0</v>
      </c>
      <c r="AD334" s="2">
        <v>8.58</v>
      </c>
      <c r="AE334" s="2">
        <v>0</v>
      </c>
      <c r="AF334" s="2">
        <v>107.5</v>
      </c>
      <c r="AG334" s="2">
        <v>22.83</v>
      </c>
      <c r="AH334" s="4">
        <f t="shared" si="5"/>
        <v>236.16</v>
      </c>
    </row>
    <row r="335" spans="1:34" x14ac:dyDescent="0.2">
      <c r="A335" s="3">
        <v>18110</v>
      </c>
      <c r="B335" s="2">
        <v>-1.65</v>
      </c>
      <c r="C335" s="2">
        <v>14.15</v>
      </c>
      <c r="D335" s="2">
        <v>-3.97</v>
      </c>
      <c r="E335" s="2">
        <v>-38.840000000000003</v>
      </c>
      <c r="F335" s="2">
        <v>-12.26</v>
      </c>
      <c r="G335" s="2">
        <v>0.21</v>
      </c>
      <c r="H335" s="2">
        <v>7.13</v>
      </c>
      <c r="I335" s="2">
        <v>19.45</v>
      </c>
      <c r="J335" s="2">
        <v>-7.74</v>
      </c>
      <c r="K335" s="2">
        <v>27.27</v>
      </c>
      <c r="L335" s="2">
        <v>-18.25</v>
      </c>
      <c r="M335" s="2">
        <v>-3.77</v>
      </c>
      <c r="N335" s="2">
        <v>29.41</v>
      </c>
      <c r="O335" s="2">
        <v>83.25</v>
      </c>
      <c r="P335" s="2">
        <v>114.72</v>
      </c>
      <c r="Q335" s="2">
        <v>0.79</v>
      </c>
      <c r="R335" s="2">
        <v>-3</v>
      </c>
      <c r="S335" s="2">
        <v>48.17</v>
      </c>
      <c r="T335" s="2">
        <v>54.93</v>
      </c>
      <c r="U335" s="2">
        <v>9.94</v>
      </c>
      <c r="V335" s="2">
        <v>54.43</v>
      </c>
      <c r="W335" s="2">
        <v>30.39</v>
      </c>
      <c r="X335" s="2">
        <v>19.32</v>
      </c>
      <c r="Y335" s="2">
        <v>18.96</v>
      </c>
      <c r="Z335" s="2">
        <v>0</v>
      </c>
      <c r="AA335" s="2">
        <v>0</v>
      </c>
      <c r="AB335" s="2">
        <v>1.34</v>
      </c>
      <c r="AC335" s="2">
        <v>0</v>
      </c>
      <c r="AD335" s="2">
        <v>7.75</v>
      </c>
      <c r="AE335" s="2">
        <v>0.09</v>
      </c>
      <c r="AF335" s="2">
        <v>117.07</v>
      </c>
      <c r="AG335" s="2">
        <v>24.8</v>
      </c>
      <c r="AH335" s="4">
        <f t="shared" si="5"/>
        <v>374.37</v>
      </c>
    </row>
    <row r="336" spans="1:34" x14ac:dyDescent="0.2">
      <c r="A336" s="3">
        <v>18141</v>
      </c>
      <c r="B336" s="2">
        <v>-2.54</v>
      </c>
      <c r="C336" s="2">
        <v>13.16</v>
      </c>
      <c r="D336" s="2">
        <v>-4.83</v>
      </c>
      <c r="E336" s="2">
        <v>-45.95</v>
      </c>
      <c r="F336" s="2">
        <v>-3.73</v>
      </c>
      <c r="G336" s="2">
        <v>6.32</v>
      </c>
      <c r="H336" s="2">
        <v>11.26</v>
      </c>
      <c r="I336" s="2">
        <v>20.13</v>
      </c>
      <c r="J336" s="2">
        <v>0.23</v>
      </c>
      <c r="K336" s="2">
        <v>26.1</v>
      </c>
      <c r="L336" s="2">
        <v>-8.3800000000000008</v>
      </c>
      <c r="M336" s="2">
        <v>-6.27</v>
      </c>
      <c r="N336" s="2">
        <v>20.47</v>
      </c>
      <c r="O336" s="2">
        <v>64.790000000000006</v>
      </c>
      <c r="P336" s="2">
        <v>108.24</v>
      </c>
      <c r="Q336" s="2">
        <v>-0.28000000000000003</v>
      </c>
      <c r="R336" s="2">
        <v>-4.4400000000000004</v>
      </c>
      <c r="S336" s="2">
        <v>39.58</v>
      </c>
      <c r="T336" s="2">
        <v>47.97</v>
      </c>
      <c r="U336" s="2">
        <v>8.26</v>
      </c>
      <c r="V336" s="2">
        <v>46.97</v>
      </c>
      <c r="W336" s="2">
        <v>31.47</v>
      </c>
      <c r="X336" s="2">
        <v>21.65</v>
      </c>
      <c r="Y336" s="2">
        <v>21.42</v>
      </c>
      <c r="Z336" s="2">
        <v>0.28999999999999998</v>
      </c>
      <c r="AA336" s="2">
        <v>0.28999999999999998</v>
      </c>
      <c r="AB336" s="2">
        <v>0.26</v>
      </c>
      <c r="AC336" s="2">
        <v>3.52</v>
      </c>
      <c r="AD336" s="2">
        <v>5.37</v>
      </c>
      <c r="AE336" s="2">
        <v>0.93</v>
      </c>
      <c r="AF336" s="2">
        <v>119.06</v>
      </c>
      <c r="AG336" s="2">
        <v>23.65</v>
      </c>
      <c r="AH336" s="4">
        <f t="shared" si="5"/>
        <v>337.06000000000006</v>
      </c>
    </row>
    <row r="337" spans="1:34" x14ac:dyDescent="0.2">
      <c r="A337" s="3">
        <v>18171</v>
      </c>
      <c r="B337" s="2">
        <v>-5.0999999999999996</v>
      </c>
      <c r="C337" s="2">
        <v>12.65</v>
      </c>
      <c r="D337" s="2">
        <v>-13.74</v>
      </c>
      <c r="E337" s="2">
        <v>-33.85</v>
      </c>
      <c r="F337" s="2">
        <v>-0.65</v>
      </c>
      <c r="G337" s="2">
        <v>13.88</v>
      </c>
      <c r="H337" s="2">
        <v>14.79</v>
      </c>
      <c r="I337" s="2">
        <v>22.36</v>
      </c>
      <c r="J337" s="2">
        <v>14.93</v>
      </c>
      <c r="K337" s="2">
        <v>-4.2</v>
      </c>
      <c r="L337" s="2">
        <v>-0.61</v>
      </c>
      <c r="M337" s="2">
        <v>-4.18</v>
      </c>
      <c r="N337" s="2">
        <v>23.96</v>
      </c>
      <c r="O337" s="2">
        <v>-1.96</v>
      </c>
      <c r="P337" s="2">
        <v>42.79</v>
      </c>
      <c r="Q337" s="2">
        <v>2.57</v>
      </c>
      <c r="R337" s="2">
        <v>0.7</v>
      </c>
      <c r="S337" s="2">
        <v>0.51</v>
      </c>
      <c r="T337" s="2">
        <v>21.65</v>
      </c>
      <c r="U337" s="2">
        <v>1.68</v>
      </c>
      <c r="V337" s="2">
        <v>18.04</v>
      </c>
      <c r="W337" s="2">
        <v>26.1</v>
      </c>
      <c r="X337" s="2">
        <v>20.55</v>
      </c>
      <c r="Y337" s="2">
        <v>20.12</v>
      </c>
      <c r="Z337" s="2">
        <v>0</v>
      </c>
      <c r="AA337" s="2">
        <v>0</v>
      </c>
      <c r="AB337" s="2">
        <v>0</v>
      </c>
      <c r="AC337" s="2">
        <v>0</v>
      </c>
      <c r="AD337" s="2">
        <v>4.07</v>
      </c>
      <c r="AE337" s="2">
        <v>0</v>
      </c>
      <c r="AF337" s="2">
        <v>110.9</v>
      </c>
      <c r="AG337" s="2">
        <v>20.170000000000002</v>
      </c>
      <c r="AH337" s="4">
        <f t="shared" si="5"/>
        <v>126.22</v>
      </c>
    </row>
    <row r="338" spans="1:34" x14ac:dyDescent="0.2">
      <c r="A338" s="3">
        <v>18202</v>
      </c>
      <c r="B338" s="2">
        <v>-6.18</v>
      </c>
      <c r="C338" s="2">
        <v>15.34</v>
      </c>
      <c r="D338" s="2">
        <v>-12.72</v>
      </c>
      <c r="E338" s="2">
        <v>-23.62</v>
      </c>
      <c r="F338" s="2">
        <v>-2.3199999999999998</v>
      </c>
      <c r="G338" s="2">
        <v>14.34</v>
      </c>
      <c r="H338" s="2">
        <v>12.69</v>
      </c>
      <c r="I338" s="2">
        <v>22.34</v>
      </c>
      <c r="J338" s="2">
        <v>10.53</v>
      </c>
      <c r="K338" s="2">
        <v>-27.32</v>
      </c>
      <c r="L338" s="2">
        <v>8.49</v>
      </c>
      <c r="M338" s="2">
        <v>-5.55</v>
      </c>
      <c r="N338" s="2">
        <v>4.8499999999999996</v>
      </c>
      <c r="O338" s="2">
        <v>12.92</v>
      </c>
      <c r="P338" s="2">
        <v>47.77</v>
      </c>
      <c r="Q338" s="2">
        <v>0.67</v>
      </c>
      <c r="R338" s="2">
        <v>-2.16</v>
      </c>
      <c r="S338" s="2">
        <v>-1.84</v>
      </c>
      <c r="T338" s="2">
        <v>25.53</v>
      </c>
      <c r="U338" s="2">
        <v>-1.36</v>
      </c>
      <c r="V338" s="2">
        <v>17.809999999999999</v>
      </c>
      <c r="W338" s="2">
        <v>22.19</v>
      </c>
      <c r="X338" s="2">
        <v>19.04</v>
      </c>
      <c r="Y338" s="2">
        <v>18.600000000000001</v>
      </c>
      <c r="Z338" s="2">
        <v>2.39</v>
      </c>
      <c r="AA338" s="2">
        <v>1.1499999999999999</v>
      </c>
      <c r="AB338" s="2">
        <v>0</v>
      </c>
      <c r="AC338" s="2">
        <v>0</v>
      </c>
      <c r="AD338" s="2">
        <v>2.85</v>
      </c>
      <c r="AE338" s="2">
        <v>2.33</v>
      </c>
      <c r="AF338" s="2">
        <v>100.59</v>
      </c>
      <c r="AG338" s="2">
        <v>16.420000000000002</v>
      </c>
      <c r="AH338" s="4">
        <f t="shared" si="5"/>
        <v>110.21000000000001</v>
      </c>
    </row>
    <row r="339" spans="1:34" x14ac:dyDescent="0.2">
      <c r="A339" s="3">
        <v>18232</v>
      </c>
      <c r="B339" s="2">
        <v>-3.52</v>
      </c>
      <c r="C339" s="2">
        <v>12.24</v>
      </c>
      <c r="D339" s="2">
        <v>-9.1</v>
      </c>
      <c r="E339" s="2">
        <v>-14.64</v>
      </c>
      <c r="F339" s="2">
        <v>6.55</v>
      </c>
      <c r="G339" s="2">
        <v>15.65</v>
      </c>
      <c r="H339" s="2">
        <v>11.7</v>
      </c>
      <c r="I339" s="2">
        <v>22.44</v>
      </c>
      <c r="J339" s="2">
        <v>15.02</v>
      </c>
      <c r="K339" s="2">
        <v>-9.1199999999999992</v>
      </c>
      <c r="L339" s="2">
        <v>5</v>
      </c>
      <c r="M339" s="2">
        <v>-2.19</v>
      </c>
      <c r="N339" s="2">
        <v>4.32</v>
      </c>
      <c r="O339" s="2">
        <v>0.56000000000000005</v>
      </c>
      <c r="P339" s="2">
        <v>38.049999999999997</v>
      </c>
      <c r="Q339" s="2">
        <v>-0.81</v>
      </c>
      <c r="R339" s="2">
        <v>-2.46</v>
      </c>
      <c r="S339" s="2">
        <v>1.53</v>
      </c>
      <c r="T339" s="2">
        <v>20.32</v>
      </c>
      <c r="U339" s="2">
        <v>1.9</v>
      </c>
      <c r="V339" s="2">
        <v>15.12</v>
      </c>
      <c r="W339" s="2">
        <v>15.43</v>
      </c>
      <c r="X339" s="2">
        <v>12.44</v>
      </c>
      <c r="Y339" s="2">
        <v>11.01</v>
      </c>
      <c r="Z339" s="2">
        <v>5.07</v>
      </c>
      <c r="AA339" s="2">
        <v>1.86</v>
      </c>
      <c r="AB339" s="2">
        <v>3.56</v>
      </c>
      <c r="AC339" s="2">
        <v>2.57</v>
      </c>
      <c r="AD339" s="2">
        <v>1.83</v>
      </c>
      <c r="AE339" s="2">
        <v>8.76</v>
      </c>
      <c r="AF339" s="2">
        <v>66</v>
      </c>
      <c r="AG339" s="2">
        <v>12.92</v>
      </c>
      <c r="AH339" s="4">
        <f t="shared" si="5"/>
        <v>128.56000000000003</v>
      </c>
    </row>
    <row r="340" spans="1:34" x14ac:dyDescent="0.2">
      <c r="A340" s="3">
        <v>18263</v>
      </c>
      <c r="B340" s="2">
        <v>-3.99</v>
      </c>
      <c r="C340" s="2">
        <v>10.95</v>
      </c>
      <c r="D340" s="2">
        <v>-9.16</v>
      </c>
      <c r="E340" s="2">
        <v>-12.47</v>
      </c>
      <c r="F340" s="2">
        <v>-2.4900000000000002</v>
      </c>
      <c r="G340" s="2">
        <v>15.04</v>
      </c>
      <c r="H340" s="2">
        <v>8.4700000000000006</v>
      </c>
      <c r="I340" s="2">
        <v>22.1</v>
      </c>
      <c r="J340" s="2">
        <v>15.67</v>
      </c>
      <c r="K340" s="2">
        <v>0.32</v>
      </c>
      <c r="L340" s="2">
        <v>2.44</v>
      </c>
      <c r="M340" s="2">
        <v>-0.46</v>
      </c>
      <c r="N340" s="2">
        <v>11.84</v>
      </c>
      <c r="O340" s="2">
        <v>0.26</v>
      </c>
      <c r="P340" s="2">
        <v>35.97</v>
      </c>
      <c r="Q340" s="2">
        <v>-1.95</v>
      </c>
      <c r="R340" s="2">
        <v>-2.64</v>
      </c>
      <c r="S340" s="2">
        <v>0.91</v>
      </c>
      <c r="T340" s="2">
        <v>20</v>
      </c>
      <c r="U340" s="2">
        <v>1.1599999999999999</v>
      </c>
      <c r="V340" s="2">
        <v>14.36</v>
      </c>
      <c r="W340" s="2">
        <v>11.73</v>
      </c>
      <c r="X340" s="2">
        <v>10.210000000000001</v>
      </c>
      <c r="Y340" s="2">
        <v>10</v>
      </c>
      <c r="Z340" s="2">
        <v>0.81</v>
      </c>
      <c r="AA340" s="2">
        <v>2.72</v>
      </c>
      <c r="AB340" s="2">
        <v>2.52</v>
      </c>
      <c r="AC340" s="2">
        <v>7.45</v>
      </c>
      <c r="AD340" s="2">
        <v>1.87</v>
      </c>
      <c r="AE340" s="2">
        <v>10.07</v>
      </c>
      <c r="AF340" s="2">
        <v>60.63</v>
      </c>
      <c r="AG340" s="2">
        <v>11.2</v>
      </c>
      <c r="AH340" s="4">
        <f t="shared" si="5"/>
        <v>126.32999999999997</v>
      </c>
    </row>
    <row r="341" spans="1:34" x14ac:dyDescent="0.2">
      <c r="A341" s="3">
        <v>18294</v>
      </c>
      <c r="B341" s="2">
        <v>-0.98</v>
      </c>
      <c r="C341" s="2">
        <v>24.05</v>
      </c>
      <c r="D341" s="2">
        <v>19.809999999999999</v>
      </c>
      <c r="E341" s="2">
        <v>64.400000000000006</v>
      </c>
      <c r="F341" s="2">
        <v>58.96</v>
      </c>
      <c r="G341" s="2">
        <v>92.06</v>
      </c>
      <c r="H341" s="2">
        <v>29.63</v>
      </c>
      <c r="I341" s="2">
        <v>33.4</v>
      </c>
      <c r="J341" s="2">
        <v>65.12</v>
      </c>
      <c r="K341" s="2">
        <v>21.96</v>
      </c>
      <c r="L341" s="2">
        <v>16.77</v>
      </c>
      <c r="M341" s="2">
        <v>7.77</v>
      </c>
      <c r="N341" s="2">
        <v>30.71</v>
      </c>
      <c r="O341" s="2">
        <v>-0.06</v>
      </c>
      <c r="P341" s="2">
        <v>26.47</v>
      </c>
      <c r="Q341" s="2">
        <v>-3.56</v>
      </c>
      <c r="R341" s="2">
        <v>-0.32</v>
      </c>
      <c r="S341" s="2">
        <v>20.39</v>
      </c>
      <c r="T341" s="2">
        <v>21.65</v>
      </c>
      <c r="U341" s="2">
        <v>1.98</v>
      </c>
      <c r="V341" s="2">
        <v>15.91</v>
      </c>
      <c r="W341" s="2">
        <v>4.26</v>
      </c>
      <c r="X341" s="2">
        <v>10.18</v>
      </c>
      <c r="Y341" s="2">
        <v>8.86</v>
      </c>
      <c r="Z341" s="2">
        <v>3.54</v>
      </c>
      <c r="AA341" s="2">
        <v>0.56999999999999995</v>
      </c>
      <c r="AB341" s="2">
        <v>1.7</v>
      </c>
      <c r="AC341" s="2">
        <v>0.27</v>
      </c>
      <c r="AD341" s="2">
        <v>1.8</v>
      </c>
      <c r="AE341" s="2">
        <v>29.83</v>
      </c>
      <c r="AF341" s="2">
        <v>71.459999999999994</v>
      </c>
      <c r="AG341" s="2">
        <v>9.8800000000000008</v>
      </c>
      <c r="AH341" s="4">
        <f t="shared" si="5"/>
        <v>546.11999999999989</v>
      </c>
    </row>
    <row r="342" spans="1:34" x14ac:dyDescent="0.2">
      <c r="A342" s="3">
        <v>18322</v>
      </c>
      <c r="B342" s="2">
        <v>-0.05</v>
      </c>
      <c r="C342" s="2">
        <v>21.81</v>
      </c>
      <c r="D342" s="2">
        <v>6.22</v>
      </c>
      <c r="E342" s="2">
        <v>21.46</v>
      </c>
      <c r="F342" s="2">
        <v>42.65</v>
      </c>
      <c r="G342" s="2">
        <v>95.08</v>
      </c>
      <c r="H342" s="2">
        <v>20.350000000000001</v>
      </c>
      <c r="I342" s="2">
        <v>31.28</v>
      </c>
      <c r="J342" s="2">
        <v>29.93</v>
      </c>
      <c r="K342" s="2">
        <v>-3.59</v>
      </c>
      <c r="L342" s="2">
        <v>15.13</v>
      </c>
      <c r="M342" s="2">
        <v>-1.65</v>
      </c>
      <c r="N342" s="2">
        <v>27.02</v>
      </c>
      <c r="O342" s="2">
        <v>0.27</v>
      </c>
      <c r="P342" s="2">
        <v>12.33</v>
      </c>
      <c r="Q342" s="2">
        <v>-4.43</v>
      </c>
      <c r="R342" s="2">
        <v>2.0499999999999998</v>
      </c>
      <c r="S342" s="2">
        <v>10.58</v>
      </c>
      <c r="T342" s="2">
        <v>21.17</v>
      </c>
      <c r="U342" s="2">
        <v>1.76</v>
      </c>
      <c r="V342" s="2">
        <v>15.53</v>
      </c>
      <c r="W342" s="2">
        <v>0</v>
      </c>
      <c r="X342" s="2">
        <v>3.6</v>
      </c>
      <c r="Y342" s="2">
        <v>3.67</v>
      </c>
      <c r="Z342" s="2">
        <v>2.78</v>
      </c>
      <c r="AA342" s="2">
        <v>1.58</v>
      </c>
      <c r="AB342" s="2">
        <v>4.05</v>
      </c>
      <c r="AC342" s="2">
        <v>2.71</v>
      </c>
      <c r="AD342" s="2">
        <v>2.04</v>
      </c>
      <c r="AE342" s="2">
        <v>3.45</v>
      </c>
      <c r="AF342" s="2">
        <v>59.57</v>
      </c>
      <c r="AG342" s="2">
        <v>10.08</v>
      </c>
      <c r="AH342" s="4">
        <f t="shared" si="5"/>
        <v>364.9</v>
      </c>
    </row>
    <row r="343" spans="1:34" x14ac:dyDescent="0.2">
      <c r="A343" s="3">
        <v>18353</v>
      </c>
      <c r="B343" s="2">
        <v>-0.38</v>
      </c>
      <c r="C343" s="2">
        <v>19.54</v>
      </c>
      <c r="D343" s="2">
        <v>-13.47</v>
      </c>
      <c r="E343" s="2">
        <v>-15.65</v>
      </c>
      <c r="F343" s="2">
        <v>-7</v>
      </c>
      <c r="G343" s="2">
        <v>-15.25</v>
      </c>
      <c r="H343" s="2">
        <v>14.59</v>
      </c>
      <c r="I343" s="2">
        <v>26.85</v>
      </c>
      <c r="J343" s="2">
        <v>17.95</v>
      </c>
      <c r="K343" s="2">
        <v>12.68</v>
      </c>
      <c r="L343" s="2">
        <v>-1.1399999999999999</v>
      </c>
      <c r="M343" s="2">
        <v>0.56000000000000005</v>
      </c>
      <c r="N343" s="2">
        <v>37.28</v>
      </c>
      <c r="O343" s="2">
        <v>6.93</v>
      </c>
      <c r="P343" s="2">
        <v>55.95</v>
      </c>
      <c r="Q343" s="2">
        <v>1.19</v>
      </c>
      <c r="R343" s="2">
        <v>-4.13</v>
      </c>
      <c r="S343" s="2">
        <v>2.56</v>
      </c>
      <c r="T343" s="2">
        <v>30.97</v>
      </c>
      <c r="U343" s="2">
        <v>7.0000000000000007E-2</v>
      </c>
      <c r="V343" s="2">
        <v>32.29</v>
      </c>
      <c r="W343" s="2">
        <v>0</v>
      </c>
      <c r="X343" s="2">
        <v>4.54</v>
      </c>
      <c r="Y343" s="2">
        <v>3.58</v>
      </c>
      <c r="Z343" s="2">
        <v>5.41</v>
      </c>
      <c r="AA343" s="2">
        <v>2.72</v>
      </c>
      <c r="AB343" s="2">
        <v>0.82</v>
      </c>
      <c r="AC343" s="2">
        <v>20.440000000000001</v>
      </c>
      <c r="AD343" s="2">
        <v>3.85</v>
      </c>
      <c r="AE343" s="2">
        <v>9.14</v>
      </c>
      <c r="AF343" s="2">
        <v>70.290000000000006</v>
      </c>
      <c r="AG343" s="2">
        <v>10.69</v>
      </c>
      <c r="AH343" s="4">
        <f t="shared" si="5"/>
        <v>202.39</v>
      </c>
    </row>
    <row r="344" spans="1:34" x14ac:dyDescent="0.2">
      <c r="A344" s="3">
        <v>18383</v>
      </c>
      <c r="B344" s="2">
        <v>-2.72</v>
      </c>
      <c r="C344" s="2">
        <v>14.38</v>
      </c>
      <c r="D344" s="2">
        <v>-16.63</v>
      </c>
      <c r="E344" s="2">
        <v>-34.369999999999997</v>
      </c>
      <c r="F344" s="2">
        <v>30.73</v>
      </c>
      <c r="G344" s="2">
        <v>-1.19</v>
      </c>
      <c r="H344" s="2">
        <v>10.45</v>
      </c>
      <c r="I344" s="2">
        <v>34.42</v>
      </c>
      <c r="J344" s="2">
        <v>33.54</v>
      </c>
      <c r="K344" s="2">
        <v>9.0399999999999991</v>
      </c>
      <c r="L344" s="2">
        <v>51.95</v>
      </c>
      <c r="M344" s="2">
        <v>14.89</v>
      </c>
      <c r="N344" s="2">
        <v>34.369999999999997</v>
      </c>
      <c r="O344" s="2">
        <v>3.62</v>
      </c>
      <c r="P344" s="2">
        <v>39.33</v>
      </c>
      <c r="Q344" s="2">
        <v>5.91</v>
      </c>
      <c r="R344" s="2">
        <v>5.52</v>
      </c>
      <c r="S344" s="2">
        <v>15.15</v>
      </c>
      <c r="T344" s="2">
        <v>26.02</v>
      </c>
      <c r="U344" s="2">
        <v>0.22</v>
      </c>
      <c r="V344" s="2">
        <v>31.35</v>
      </c>
      <c r="W344" s="2">
        <v>0</v>
      </c>
      <c r="X344" s="2">
        <v>5.54</v>
      </c>
      <c r="Y344" s="2">
        <v>4.87</v>
      </c>
      <c r="Z344" s="2">
        <v>2.44</v>
      </c>
      <c r="AA344" s="2">
        <v>0</v>
      </c>
      <c r="AB344" s="2">
        <v>0</v>
      </c>
      <c r="AC344" s="2">
        <v>1.22</v>
      </c>
      <c r="AD344" s="2">
        <v>5.13</v>
      </c>
      <c r="AE344" s="2">
        <v>6.99</v>
      </c>
      <c r="AF344" s="2">
        <v>86.98</v>
      </c>
      <c r="AG344" s="2">
        <v>14.64</v>
      </c>
      <c r="AH344" s="4">
        <f t="shared" si="5"/>
        <v>305.98000000000008</v>
      </c>
    </row>
    <row r="345" spans="1:34" x14ac:dyDescent="0.2">
      <c r="A345" s="3">
        <v>18414</v>
      </c>
      <c r="B345" s="2">
        <v>-2.5099999999999998</v>
      </c>
      <c r="C345" s="2">
        <v>14.55</v>
      </c>
      <c r="D345" s="2">
        <v>-1.71</v>
      </c>
      <c r="E345" s="2">
        <v>-23.77</v>
      </c>
      <c r="F345" s="2">
        <v>-19.079999999999998</v>
      </c>
      <c r="G345" s="2">
        <v>-3.14</v>
      </c>
      <c r="H345" s="2">
        <v>5.99</v>
      </c>
      <c r="I345" s="2">
        <v>32.049999999999997</v>
      </c>
      <c r="J345" s="2">
        <v>18.05</v>
      </c>
      <c r="K345" s="2">
        <v>6.52</v>
      </c>
      <c r="L345" s="2">
        <v>24.97</v>
      </c>
      <c r="M345" s="2">
        <v>-0.43</v>
      </c>
      <c r="N345" s="2">
        <v>31.72</v>
      </c>
      <c r="O345" s="2">
        <v>18.43</v>
      </c>
      <c r="P345" s="2">
        <v>31.84</v>
      </c>
      <c r="Q345" s="2">
        <v>7.03</v>
      </c>
      <c r="R345" s="2">
        <v>9.2200000000000006</v>
      </c>
      <c r="S345" s="2">
        <v>25.05</v>
      </c>
      <c r="T345" s="2">
        <v>44.93</v>
      </c>
      <c r="U345" s="2">
        <v>-0.14000000000000001</v>
      </c>
      <c r="V345" s="2">
        <v>36.18</v>
      </c>
      <c r="W345" s="2">
        <v>4.88</v>
      </c>
      <c r="X345" s="2">
        <v>8.59</v>
      </c>
      <c r="Y345" s="2">
        <v>7.25</v>
      </c>
      <c r="Z345" s="2">
        <v>1.29</v>
      </c>
      <c r="AA345" s="2">
        <v>0</v>
      </c>
      <c r="AB345" s="2">
        <v>0</v>
      </c>
      <c r="AC345" s="2">
        <v>0</v>
      </c>
      <c r="AD345" s="2">
        <v>7.99</v>
      </c>
      <c r="AE345" s="2">
        <v>1.49</v>
      </c>
      <c r="AF345" s="2">
        <v>98.23</v>
      </c>
      <c r="AG345" s="2">
        <v>17.690000000000001</v>
      </c>
      <c r="AH345" s="4">
        <f t="shared" si="5"/>
        <v>255.75000000000006</v>
      </c>
    </row>
    <row r="346" spans="1:34" x14ac:dyDescent="0.2">
      <c r="A346" s="3">
        <v>18444</v>
      </c>
      <c r="B346" s="2">
        <v>-2.1800000000000002</v>
      </c>
      <c r="C346" s="2">
        <v>14.52</v>
      </c>
      <c r="D346" s="2">
        <v>-8.7100000000000009</v>
      </c>
      <c r="E346" s="2">
        <v>-39.799999999999997</v>
      </c>
      <c r="F346" s="2">
        <v>-44.35</v>
      </c>
      <c r="G346" s="2">
        <v>-3.86</v>
      </c>
      <c r="H346" s="2">
        <v>1.71</v>
      </c>
      <c r="I346" s="2">
        <v>26.98</v>
      </c>
      <c r="J346" s="2">
        <v>-7.61</v>
      </c>
      <c r="K346" s="2">
        <v>15.61</v>
      </c>
      <c r="L346" s="2">
        <v>-12.04</v>
      </c>
      <c r="M346" s="2">
        <v>4.5599999999999996</v>
      </c>
      <c r="N346" s="2">
        <v>33.25</v>
      </c>
      <c r="O346" s="2">
        <v>71.89</v>
      </c>
      <c r="P346" s="2">
        <v>49.38</v>
      </c>
      <c r="Q346" s="2">
        <v>7.55</v>
      </c>
      <c r="R346" s="2">
        <v>8.44</v>
      </c>
      <c r="S346" s="2">
        <v>18.21</v>
      </c>
      <c r="T346" s="2">
        <v>61.58</v>
      </c>
      <c r="U346" s="2">
        <v>-0.66</v>
      </c>
      <c r="V346" s="2">
        <v>45.76</v>
      </c>
      <c r="W346" s="2">
        <v>18.62</v>
      </c>
      <c r="X346" s="2">
        <v>13.99</v>
      </c>
      <c r="Y346" s="2">
        <v>13.34</v>
      </c>
      <c r="Z346" s="2">
        <v>0</v>
      </c>
      <c r="AA346" s="2">
        <v>0</v>
      </c>
      <c r="AB346" s="2">
        <v>0</v>
      </c>
      <c r="AC346" s="2">
        <v>0</v>
      </c>
      <c r="AD346" s="2">
        <v>11.23</v>
      </c>
      <c r="AE346" s="2">
        <v>0</v>
      </c>
      <c r="AF346" s="2">
        <v>107.5</v>
      </c>
      <c r="AG346" s="2">
        <v>22.83</v>
      </c>
      <c r="AH346" s="4">
        <f t="shared" si="5"/>
        <v>240.23</v>
      </c>
    </row>
    <row r="347" spans="1:34" x14ac:dyDescent="0.2">
      <c r="A347" s="3">
        <v>18475</v>
      </c>
      <c r="B347" s="2">
        <v>-1.55</v>
      </c>
      <c r="C347" s="2">
        <v>14.97</v>
      </c>
      <c r="D347" s="2">
        <v>-5.41</v>
      </c>
      <c r="E347" s="2">
        <v>-32.22</v>
      </c>
      <c r="F347" s="2">
        <v>-22.58</v>
      </c>
      <c r="G347" s="2">
        <v>1.67</v>
      </c>
      <c r="H347" s="2">
        <v>4.3099999999999996</v>
      </c>
      <c r="I347" s="2">
        <v>20.69</v>
      </c>
      <c r="J347" s="2">
        <v>-17.850000000000001</v>
      </c>
      <c r="K347" s="2">
        <v>16.03</v>
      </c>
      <c r="L347" s="2">
        <v>-38.08</v>
      </c>
      <c r="M347" s="2">
        <v>-12.76</v>
      </c>
      <c r="N347" s="2">
        <v>31.62</v>
      </c>
      <c r="O347" s="2">
        <v>82.8</v>
      </c>
      <c r="P347" s="2">
        <v>90.08</v>
      </c>
      <c r="Q347" s="2">
        <v>1.79</v>
      </c>
      <c r="R347" s="2">
        <v>0.69</v>
      </c>
      <c r="S347" s="2">
        <v>32.450000000000003</v>
      </c>
      <c r="T347" s="2">
        <v>57.74</v>
      </c>
      <c r="U347" s="2">
        <v>11.72</v>
      </c>
      <c r="V347" s="2">
        <v>48.55</v>
      </c>
      <c r="W347" s="2">
        <v>30.39</v>
      </c>
      <c r="X347" s="2">
        <v>19.28</v>
      </c>
      <c r="Y347" s="2">
        <v>19</v>
      </c>
      <c r="Z347" s="2">
        <v>1.05</v>
      </c>
      <c r="AA347" s="2">
        <v>3.15</v>
      </c>
      <c r="AB347" s="2">
        <v>3.78</v>
      </c>
      <c r="AC347" s="2">
        <v>6.63</v>
      </c>
      <c r="AD347" s="2">
        <v>7.86</v>
      </c>
      <c r="AE347" s="2">
        <v>0</v>
      </c>
      <c r="AF347" s="2">
        <v>117.07</v>
      </c>
      <c r="AG347" s="2">
        <v>24.8</v>
      </c>
      <c r="AH347" s="4">
        <f t="shared" si="5"/>
        <v>284.65999999999997</v>
      </c>
    </row>
    <row r="348" spans="1:34" x14ac:dyDescent="0.2">
      <c r="A348" s="3">
        <v>18506</v>
      </c>
      <c r="B348" s="2">
        <v>-2.77</v>
      </c>
      <c r="C348" s="2">
        <v>14.32</v>
      </c>
      <c r="D348" s="2">
        <v>-6.76</v>
      </c>
      <c r="E348" s="2">
        <v>-38.840000000000003</v>
      </c>
      <c r="F348" s="2">
        <v>-5.97</v>
      </c>
      <c r="G348" s="2">
        <v>8.9600000000000009</v>
      </c>
      <c r="H348" s="2">
        <v>9.7100000000000009</v>
      </c>
      <c r="I348" s="2">
        <v>21.04</v>
      </c>
      <c r="J348" s="2">
        <v>-4.3499999999999996</v>
      </c>
      <c r="K348" s="2">
        <v>10.93</v>
      </c>
      <c r="L348" s="2">
        <v>-16.25</v>
      </c>
      <c r="M348" s="2">
        <v>-8.2100000000000009</v>
      </c>
      <c r="N348" s="2">
        <v>21.72</v>
      </c>
      <c r="O348" s="2">
        <v>65.709999999999994</v>
      </c>
      <c r="P348" s="2">
        <v>104.07</v>
      </c>
      <c r="Q348" s="2">
        <v>1.1599999999999999</v>
      </c>
      <c r="R348" s="2">
        <v>-3.19</v>
      </c>
      <c r="S348" s="2">
        <v>30.98</v>
      </c>
      <c r="T348" s="2">
        <v>49.04</v>
      </c>
      <c r="U348" s="2">
        <v>8.2200000000000006</v>
      </c>
      <c r="V348" s="2">
        <v>46.13</v>
      </c>
      <c r="W348" s="2">
        <v>31.47</v>
      </c>
      <c r="X348" s="2">
        <v>21.61</v>
      </c>
      <c r="Y348" s="2">
        <v>21.46</v>
      </c>
      <c r="Z348" s="2">
        <v>0</v>
      </c>
      <c r="AA348" s="2">
        <v>0</v>
      </c>
      <c r="AB348" s="2">
        <v>1.04</v>
      </c>
      <c r="AC348" s="2">
        <v>0</v>
      </c>
      <c r="AD348" s="2">
        <v>5.83</v>
      </c>
      <c r="AE348" s="2">
        <v>0</v>
      </c>
      <c r="AF348" s="2">
        <v>119.06</v>
      </c>
      <c r="AG348" s="2">
        <v>23.65</v>
      </c>
      <c r="AH348" s="4">
        <f t="shared" si="5"/>
        <v>305.64999999999998</v>
      </c>
    </row>
    <row r="349" spans="1:34" x14ac:dyDescent="0.2">
      <c r="A349" s="3">
        <v>18536</v>
      </c>
      <c r="B349" s="2">
        <v>-4.5599999999999996</v>
      </c>
      <c r="C349" s="2">
        <v>13.25</v>
      </c>
      <c r="D349" s="2">
        <v>-11.77</v>
      </c>
      <c r="E349" s="2">
        <v>-32.700000000000003</v>
      </c>
      <c r="F349" s="2">
        <v>10.41</v>
      </c>
      <c r="G349" s="2">
        <v>17.07</v>
      </c>
      <c r="H349" s="2">
        <v>14.95</v>
      </c>
      <c r="I349" s="2">
        <v>25.11</v>
      </c>
      <c r="J349" s="2">
        <v>16.03</v>
      </c>
      <c r="K349" s="2">
        <v>-3.51</v>
      </c>
      <c r="L349" s="2">
        <v>-7.8</v>
      </c>
      <c r="M349" s="2">
        <v>-6.15</v>
      </c>
      <c r="N349" s="2">
        <v>26.39</v>
      </c>
      <c r="O349" s="2">
        <v>-1.81</v>
      </c>
      <c r="P349" s="2">
        <v>40.04</v>
      </c>
      <c r="Q349" s="2">
        <v>3.35</v>
      </c>
      <c r="R349" s="2">
        <v>1.74</v>
      </c>
      <c r="S349" s="2">
        <v>-0.88</v>
      </c>
      <c r="T349" s="2">
        <v>21.8</v>
      </c>
      <c r="U349" s="2">
        <v>2.34</v>
      </c>
      <c r="V349" s="2">
        <v>15.65</v>
      </c>
      <c r="W349" s="2">
        <v>26.1</v>
      </c>
      <c r="X349" s="2">
        <v>20.51</v>
      </c>
      <c r="Y349" s="2">
        <v>20.16</v>
      </c>
      <c r="Z349" s="2">
        <v>0.33</v>
      </c>
      <c r="AA349" s="2">
        <v>1</v>
      </c>
      <c r="AB349" s="2">
        <v>2.14</v>
      </c>
      <c r="AC349" s="2">
        <v>0</v>
      </c>
      <c r="AD349" s="2">
        <v>4.22</v>
      </c>
      <c r="AE349" s="2">
        <v>1.03</v>
      </c>
      <c r="AF349" s="2">
        <v>110.9</v>
      </c>
      <c r="AG349" s="2">
        <v>20.170000000000002</v>
      </c>
      <c r="AH349" s="4">
        <f t="shared" si="5"/>
        <v>138.94999999999999</v>
      </c>
    </row>
    <row r="350" spans="1:34" x14ac:dyDescent="0.2">
      <c r="A350" s="3">
        <v>18567</v>
      </c>
      <c r="B350" s="2">
        <v>-2.35</v>
      </c>
      <c r="C350" s="2">
        <v>5.67</v>
      </c>
      <c r="D350" s="2">
        <v>2.68</v>
      </c>
      <c r="E350" s="2">
        <v>11.22</v>
      </c>
      <c r="F350" s="2">
        <v>12.82</v>
      </c>
      <c r="G350" s="2">
        <v>22.82</v>
      </c>
      <c r="H350" s="2">
        <v>18.27</v>
      </c>
      <c r="I350" s="2">
        <v>26.24</v>
      </c>
      <c r="J350" s="2">
        <v>8.68</v>
      </c>
      <c r="K350" s="2">
        <v>-5.21</v>
      </c>
      <c r="L350" s="2">
        <v>-4.49</v>
      </c>
      <c r="M350" s="2">
        <v>-2.76</v>
      </c>
      <c r="N350" s="2">
        <v>11.73</v>
      </c>
      <c r="O350" s="2">
        <v>6.83</v>
      </c>
      <c r="P350" s="2">
        <v>25.33</v>
      </c>
      <c r="Q350" s="2">
        <v>-0.02</v>
      </c>
      <c r="R350" s="2">
        <v>-1.81</v>
      </c>
      <c r="S350" s="2">
        <v>5.03</v>
      </c>
      <c r="T350" s="2">
        <v>17.78</v>
      </c>
      <c r="U350" s="2">
        <v>-1.0900000000000001</v>
      </c>
      <c r="V350" s="2">
        <v>7.93</v>
      </c>
      <c r="W350" s="2">
        <v>22.19</v>
      </c>
      <c r="X350" s="2">
        <v>19</v>
      </c>
      <c r="Y350" s="2">
        <v>18.63</v>
      </c>
      <c r="Z350" s="2">
        <v>0.48</v>
      </c>
      <c r="AA350" s="2">
        <v>0</v>
      </c>
      <c r="AB350" s="2">
        <v>1.64</v>
      </c>
      <c r="AC350" s="2">
        <v>0</v>
      </c>
      <c r="AD350" s="2">
        <v>3.29</v>
      </c>
      <c r="AE350" s="2">
        <v>15.01</v>
      </c>
      <c r="AF350" s="2">
        <v>100.59</v>
      </c>
      <c r="AG350" s="2">
        <v>16.420000000000002</v>
      </c>
      <c r="AH350" s="4">
        <f t="shared" si="5"/>
        <v>165.29999999999998</v>
      </c>
    </row>
    <row r="351" spans="1:34" x14ac:dyDescent="0.2">
      <c r="A351" s="3">
        <v>18597</v>
      </c>
      <c r="B351" s="2">
        <v>-1.08</v>
      </c>
      <c r="C351" s="2">
        <v>7.66</v>
      </c>
      <c r="D351" s="2">
        <v>9.75</v>
      </c>
      <c r="E351" s="2">
        <v>41.22</v>
      </c>
      <c r="F351" s="2">
        <v>103.28</v>
      </c>
      <c r="G351" s="2">
        <v>134.72</v>
      </c>
      <c r="H351" s="2">
        <v>32.880000000000003</v>
      </c>
      <c r="I351" s="2">
        <v>51.42</v>
      </c>
      <c r="J351" s="2">
        <v>96.71</v>
      </c>
      <c r="K351" s="2">
        <v>40.03</v>
      </c>
      <c r="L351" s="2">
        <v>101.72</v>
      </c>
      <c r="M351" s="2">
        <v>48.49</v>
      </c>
      <c r="N351" s="2">
        <v>51.42</v>
      </c>
      <c r="O351" s="2">
        <v>3.73</v>
      </c>
      <c r="P351" s="2">
        <v>86.73</v>
      </c>
      <c r="Q351" s="2">
        <v>0.59</v>
      </c>
      <c r="R351" s="2">
        <v>4.21</v>
      </c>
      <c r="S351" s="2">
        <v>78.510000000000005</v>
      </c>
      <c r="T351" s="2">
        <v>33.58</v>
      </c>
      <c r="U351" s="2">
        <v>9.81</v>
      </c>
      <c r="V351" s="2">
        <v>32.130000000000003</v>
      </c>
      <c r="W351" s="2">
        <v>15.43</v>
      </c>
      <c r="X351" s="2">
        <v>12.42</v>
      </c>
      <c r="Y351" s="2">
        <v>11.04</v>
      </c>
      <c r="Z351" s="2">
        <v>0</v>
      </c>
      <c r="AA351" s="2">
        <v>1.58</v>
      </c>
      <c r="AB351" s="2">
        <v>23.21</v>
      </c>
      <c r="AC351" s="2">
        <v>0.81</v>
      </c>
      <c r="AD351" s="2">
        <v>2.31</v>
      </c>
      <c r="AE351" s="2">
        <v>29.83</v>
      </c>
      <c r="AF351" s="2">
        <v>66</v>
      </c>
      <c r="AG351" s="2">
        <v>12.92</v>
      </c>
      <c r="AH351" s="4">
        <f t="shared" si="5"/>
        <v>967.51</v>
      </c>
    </row>
    <row r="352" spans="1:34" x14ac:dyDescent="0.2">
      <c r="A352" s="3">
        <v>18628</v>
      </c>
      <c r="B352" s="2">
        <v>8.34</v>
      </c>
      <c r="C352" s="2">
        <v>18.91</v>
      </c>
      <c r="D352" s="2">
        <v>39.79</v>
      </c>
      <c r="E352" s="2">
        <v>106.86</v>
      </c>
      <c r="F352" s="2">
        <v>109</v>
      </c>
      <c r="G352" s="2">
        <v>133.08000000000001</v>
      </c>
      <c r="H352" s="2">
        <v>37.78</v>
      </c>
      <c r="I352" s="2">
        <v>53.71</v>
      </c>
      <c r="J352" s="2">
        <v>126.32</v>
      </c>
      <c r="K352" s="2">
        <v>53.02</v>
      </c>
      <c r="L352" s="2">
        <v>108.15</v>
      </c>
      <c r="M352" s="2">
        <v>70.03</v>
      </c>
      <c r="N352" s="2">
        <v>73.17</v>
      </c>
      <c r="O352" s="2">
        <v>0.72</v>
      </c>
      <c r="P352" s="2">
        <v>-36.06</v>
      </c>
      <c r="Q352" s="2">
        <v>1.63</v>
      </c>
      <c r="R352" s="2">
        <v>7.18</v>
      </c>
      <c r="S352" s="2">
        <v>52.11</v>
      </c>
      <c r="T352" s="2">
        <v>4.45</v>
      </c>
      <c r="U352" s="2">
        <v>9.49</v>
      </c>
      <c r="V352" s="2">
        <v>13.77</v>
      </c>
      <c r="W352" s="2">
        <v>11.73</v>
      </c>
      <c r="X352" s="2">
        <v>10.18</v>
      </c>
      <c r="Y352" s="2">
        <v>10.02</v>
      </c>
      <c r="Z352" s="2">
        <v>0</v>
      </c>
      <c r="AA352" s="2">
        <v>0</v>
      </c>
      <c r="AB352" s="2">
        <v>4.3600000000000003</v>
      </c>
      <c r="AC352" s="2">
        <v>0</v>
      </c>
      <c r="AD352" s="2">
        <v>2.23</v>
      </c>
      <c r="AE352" s="2">
        <v>32.72</v>
      </c>
      <c r="AF352" s="2">
        <v>60.63</v>
      </c>
      <c r="AG352" s="2">
        <v>11.2</v>
      </c>
      <c r="AH352" s="4">
        <f t="shared" si="5"/>
        <v>991.44999999999993</v>
      </c>
    </row>
    <row r="353" spans="1:34" x14ac:dyDescent="0.2">
      <c r="A353" s="3">
        <v>18659</v>
      </c>
      <c r="B353" s="2">
        <v>4.8600000000000003</v>
      </c>
      <c r="C353" s="2">
        <v>16.350000000000001</v>
      </c>
      <c r="D353" s="2">
        <v>11.21</v>
      </c>
      <c r="E353" s="2">
        <v>3.96</v>
      </c>
      <c r="F353" s="2">
        <v>-18.510000000000002</v>
      </c>
      <c r="G353" s="2">
        <v>33.729999999999997</v>
      </c>
      <c r="H353" s="2">
        <v>20.29</v>
      </c>
      <c r="I353" s="2">
        <v>43.57</v>
      </c>
      <c r="J353" s="2">
        <v>17.420000000000002</v>
      </c>
      <c r="K353" s="2">
        <v>-13.27</v>
      </c>
      <c r="L353" s="2">
        <v>-77.540000000000006</v>
      </c>
      <c r="M353" s="2">
        <v>-44.49</v>
      </c>
      <c r="N353" s="2">
        <v>46.16</v>
      </c>
      <c r="O353" s="2">
        <v>0.59</v>
      </c>
      <c r="P353" s="2">
        <v>-20.149999999999999</v>
      </c>
      <c r="Q353" s="2">
        <v>-0.23</v>
      </c>
      <c r="R353" s="2">
        <v>5.36</v>
      </c>
      <c r="S353" s="2">
        <v>21.71</v>
      </c>
      <c r="T353" s="2">
        <v>15.43</v>
      </c>
      <c r="U353" s="2">
        <v>1.67</v>
      </c>
      <c r="V353" s="2">
        <v>6.64</v>
      </c>
      <c r="W353" s="2">
        <v>4.26</v>
      </c>
      <c r="X353" s="2">
        <v>9.91</v>
      </c>
      <c r="Y353" s="2">
        <v>8.61</v>
      </c>
      <c r="Z353" s="2">
        <v>6.46</v>
      </c>
      <c r="AA353" s="2">
        <v>3.58</v>
      </c>
      <c r="AB353" s="2">
        <v>4.6399999999999997</v>
      </c>
      <c r="AC353" s="2">
        <v>12.45</v>
      </c>
      <c r="AD353" s="2">
        <v>2.33</v>
      </c>
      <c r="AE353" s="2">
        <v>17.43</v>
      </c>
      <c r="AF353" s="2">
        <v>69.56</v>
      </c>
      <c r="AG353" s="2">
        <v>9.8800000000000008</v>
      </c>
      <c r="AH353" s="4">
        <f t="shared" si="5"/>
        <v>74.759999999999991</v>
      </c>
    </row>
    <row r="354" spans="1:34" x14ac:dyDescent="0.2">
      <c r="A354" s="3">
        <v>18687</v>
      </c>
      <c r="B354" s="2">
        <v>11.07</v>
      </c>
      <c r="C354" s="2">
        <v>20.51</v>
      </c>
      <c r="D354" s="2">
        <v>0.03</v>
      </c>
      <c r="E354" s="2">
        <v>27.05</v>
      </c>
      <c r="F354" s="2">
        <v>34.229999999999997</v>
      </c>
      <c r="G354" s="2">
        <v>20.73</v>
      </c>
      <c r="H354" s="2">
        <v>19.62</v>
      </c>
      <c r="I354" s="2">
        <v>39.32</v>
      </c>
      <c r="J354" s="2">
        <v>1.23</v>
      </c>
      <c r="K354" s="2">
        <v>-2.65</v>
      </c>
      <c r="L354" s="2">
        <v>-36.47</v>
      </c>
      <c r="M354" s="2">
        <v>-14.78</v>
      </c>
      <c r="N354" s="2">
        <v>33.840000000000003</v>
      </c>
      <c r="O354" s="2">
        <v>-0.03</v>
      </c>
      <c r="P354" s="2">
        <v>-9.9700000000000006</v>
      </c>
      <c r="Q354" s="2">
        <v>-2.1800000000000002</v>
      </c>
      <c r="R354" s="2">
        <v>2.95</v>
      </c>
      <c r="S354" s="2">
        <v>5.5</v>
      </c>
      <c r="T354" s="2">
        <v>10.63</v>
      </c>
      <c r="U354" s="2">
        <v>2.0299999999999998</v>
      </c>
      <c r="V354" s="2">
        <v>6.72</v>
      </c>
      <c r="W354" s="2">
        <v>0</v>
      </c>
      <c r="X354" s="2">
        <v>3.38</v>
      </c>
      <c r="Y354" s="2">
        <v>3.46</v>
      </c>
      <c r="Z354" s="2">
        <v>0.86</v>
      </c>
      <c r="AA354" s="2">
        <v>1.43</v>
      </c>
      <c r="AB354" s="2">
        <v>0</v>
      </c>
      <c r="AC354" s="2">
        <v>0</v>
      </c>
      <c r="AD354" s="2">
        <v>2.5099999999999998</v>
      </c>
      <c r="AE354" s="2">
        <v>16.78</v>
      </c>
      <c r="AF354" s="2">
        <v>57.98</v>
      </c>
      <c r="AG354" s="2">
        <v>10.08</v>
      </c>
      <c r="AH354" s="4">
        <f t="shared" si="5"/>
        <v>169.37999999999997</v>
      </c>
    </row>
    <row r="355" spans="1:34" x14ac:dyDescent="0.2">
      <c r="A355" s="3">
        <v>18718</v>
      </c>
      <c r="B355" s="2">
        <v>3.28</v>
      </c>
      <c r="C355" s="2">
        <v>10.52</v>
      </c>
      <c r="D355" s="2">
        <v>-22.28</v>
      </c>
      <c r="E355" s="2">
        <v>-72.06</v>
      </c>
      <c r="F355" s="2">
        <v>-56.5</v>
      </c>
      <c r="G355" s="2">
        <v>-37.89</v>
      </c>
      <c r="H355" s="2">
        <v>5.97</v>
      </c>
      <c r="I355" s="2">
        <v>34.44</v>
      </c>
      <c r="J355" s="2">
        <v>-5.62</v>
      </c>
      <c r="K355" s="2">
        <v>-16.57</v>
      </c>
      <c r="L355" s="2">
        <v>-7.97</v>
      </c>
      <c r="M355" s="2">
        <v>-7.88</v>
      </c>
      <c r="N355" s="2">
        <v>12.27</v>
      </c>
      <c r="O355" s="2">
        <v>9.81</v>
      </c>
      <c r="P355" s="2">
        <v>38.159999999999997</v>
      </c>
      <c r="Q355" s="2">
        <v>0.01</v>
      </c>
      <c r="R355" s="2">
        <v>-3.85</v>
      </c>
      <c r="S355" s="2">
        <v>-1.06</v>
      </c>
      <c r="T355" s="2">
        <v>21.24</v>
      </c>
      <c r="U355" s="2">
        <v>-2.4700000000000002</v>
      </c>
      <c r="V355" s="2">
        <v>18.059999999999999</v>
      </c>
      <c r="W355" s="2">
        <v>0</v>
      </c>
      <c r="X355" s="2">
        <v>4.29</v>
      </c>
      <c r="Y355" s="2">
        <v>3.33</v>
      </c>
      <c r="Z355" s="2">
        <v>1.44</v>
      </c>
      <c r="AA355" s="2">
        <v>0</v>
      </c>
      <c r="AB355" s="2">
        <v>0.06</v>
      </c>
      <c r="AC355" s="2">
        <v>2.44</v>
      </c>
      <c r="AD355" s="2">
        <v>4.26</v>
      </c>
      <c r="AE355" s="2">
        <v>4.66</v>
      </c>
      <c r="AF355" s="2">
        <v>68.42</v>
      </c>
      <c r="AG355" s="2">
        <v>10.69</v>
      </c>
      <c r="AH355" s="4">
        <f t="shared" si="5"/>
        <v>-80.389999999999986</v>
      </c>
    </row>
    <row r="356" spans="1:34" x14ac:dyDescent="0.2">
      <c r="A356" s="3">
        <v>18748</v>
      </c>
      <c r="B356" s="2">
        <v>-1.87</v>
      </c>
      <c r="C356" s="2">
        <v>3.72</v>
      </c>
      <c r="D356" s="2">
        <v>-24.99</v>
      </c>
      <c r="E356" s="2">
        <v>-77.41</v>
      </c>
      <c r="F356" s="2">
        <v>-23.24</v>
      </c>
      <c r="G356" s="2">
        <v>-50.44</v>
      </c>
      <c r="H356" s="2">
        <v>-1.85</v>
      </c>
      <c r="I356" s="2">
        <v>31.74</v>
      </c>
      <c r="J356" s="2">
        <v>-22.1</v>
      </c>
      <c r="K356" s="2">
        <v>-6.52</v>
      </c>
      <c r="L356" s="2">
        <v>-26.63</v>
      </c>
      <c r="M356" s="2">
        <v>-15.31</v>
      </c>
      <c r="N356" s="2">
        <v>33.869999999999997</v>
      </c>
      <c r="O356" s="2">
        <v>2.5499999999999998</v>
      </c>
      <c r="P356" s="2">
        <v>21.81</v>
      </c>
      <c r="Q356" s="2">
        <v>3.05</v>
      </c>
      <c r="R356" s="2">
        <v>0.67</v>
      </c>
      <c r="S356" s="2">
        <v>13.32</v>
      </c>
      <c r="T356" s="2">
        <v>14.19</v>
      </c>
      <c r="U356" s="2">
        <v>2.87</v>
      </c>
      <c r="V356" s="2">
        <v>17.48</v>
      </c>
      <c r="W356" s="2">
        <v>0</v>
      </c>
      <c r="X356" s="2">
        <v>5.22</v>
      </c>
      <c r="Y356" s="2">
        <v>4.5599999999999996</v>
      </c>
      <c r="Z356" s="2">
        <v>3.92</v>
      </c>
      <c r="AA356" s="2">
        <v>2.29</v>
      </c>
      <c r="AB356" s="2">
        <v>2.5499999999999998</v>
      </c>
      <c r="AC356" s="2">
        <v>3.66</v>
      </c>
      <c r="AD356" s="2">
        <v>6.07</v>
      </c>
      <c r="AE356" s="2">
        <v>4.9400000000000004</v>
      </c>
      <c r="AF356" s="2">
        <v>84.67</v>
      </c>
      <c r="AG356" s="2">
        <v>14.64</v>
      </c>
      <c r="AH356" s="4">
        <f t="shared" si="5"/>
        <v>-105.08999999999996</v>
      </c>
    </row>
    <row r="357" spans="1:34" x14ac:dyDescent="0.2">
      <c r="A357" s="3">
        <v>18779</v>
      </c>
      <c r="B357" s="2">
        <v>-0.28000000000000003</v>
      </c>
      <c r="C357" s="2">
        <v>6.02</v>
      </c>
      <c r="D357" s="2">
        <v>-5.18</v>
      </c>
      <c r="E357" s="2">
        <v>-46.29</v>
      </c>
      <c r="F357" s="2">
        <v>-22.69</v>
      </c>
      <c r="G357" s="2">
        <v>-25.34</v>
      </c>
      <c r="H357" s="2">
        <v>6.77</v>
      </c>
      <c r="I357" s="2">
        <v>28.22</v>
      </c>
      <c r="J357" s="2">
        <v>5.31</v>
      </c>
      <c r="K357" s="2">
        <v>9.86</v>
      </c>
      <c r="L357" s="2">
        <v>19.739999999999998</v>
      </c>
      <c r="M357" s="2">
        <v>18.579999999999998</v>
      </c>
      <c r="N357" s="2">
        <v>19.73</v>
      </c>
      <c r="O357" s="2">
        <v>17.079999999999998</v>
      </c>
      <c r="P357" s="2">
        <v>15.23</v>
      </c>
      <c r="Q357" s="2">
        <v>3.81</v>
      </c>
      <c r="R357" s="2">
        <v>5.46</v>
      </c>
      <c r="S357" s="2">
        <v>18.010000000000002</v>
      </c>
      <c r="T357" s="2">
        <v>32.4</v>
      </c>
      <c r="U357" s="2">
        <v>0.12</v>
      </c>
      <c r="V357" s="2">
        <v>26.96</v>
      </c>
      <c r="W357" s="2">
        <v>4.88</v>
      </c>
      <c r="X357" s="2">
        <v>8.23</v>
      </c>
      <c r="Y357" s="2">
        <v>6.91</v>
      </c>
      <c r="Z357" s="2">
        <v>1.67</v>
      </c>
      <c r="AA357" s="2">
        <v>0</v>
      </c>
      <c r="AB357" s="2">
        <v>0.85</v>
      </c>
      <c r="AC357" s="2">
        <v>0</v>
      </c>
      <c r="AD357" s="2">
        <v>9.1999999999999993</v>
      </c>
      <c r="AE357" s="2">
        <v>4.9400000000000004</v>
      </c>
      <c r="AF357" s="2">
        <v>95.62</v>
      </c>
      <c r="AG357" s="2">
        <v>17.690000000000001</v>
      </c>
      <c r="AH357" s="4">
        <f t="shared" si="5"/>
        <v>133.52000000000001</v>
      </c>
    </row>
    <row r="358" spans="1:34" x14ac:dyDescent="0.2">
      <c r="A358" s="3">
        <v>18809</v>
      </c>
      <c r="B358" s="2">
        <v>-0.91</v>
      </c>
      <c r="C358" s="2">
        <v>5.58</v>
      </c>
      <c r="D358" s="2">
        <v>-6.91</v>
      </c>
      <c r="E358" s="2">
        <v>-64.55</v>
      </c>
      <c r="F358" s="2">
        <v>-45.08</v>
      </c>
      <c r="G358" s="2">
        <v>-28.32</v>
      </c>
      <c r="H358" s="2">
        <v>1.69</v>
      </c>
      <c r="I358" s="2">
        <v>21.71</v>
      </c>
      <c r="J358" s="2">
        <v>-26.25</v>
      </c>
      <c r="K358" s="2">
        <v>36.090000000000003</v>
      </c>
      <c r="L358" s="2">
        <v>-30.14</v>
      </c>
      <c r="M358" s="2">
        <v>-10.85</v>
      </c>
      <c r="N358" s="2">
        <v>26.42</v>
      </c>
      <c r="O358" s="2">
        <v>73.12</v>
      </c>
      <c r="P358" s="2">
        <v>43.79</v>
      </c>
      <c r="Q358" s="2">
        <v>4.68</v>
      </c>
      <c r="R358" s="2">
        <v>0.54</v>
      </c>
      <c r="S358" s="2">
        <v>19.96</v>
      </c>
      <c r="T358" s="2">
        <v>53.36</v>
      </c>
      <c r="U358" s="2">
        <v>0.23</v>
      </c>
      <c r="V358" s="2">
        <v>36.880000000000003</v>
      </c>
      <c r="W358" s="2">
        <v>18.62</v>
      </c>
      <c r="X358" s="2">
        <v>13.6</v>
      </c>
      <c r="Y358" s="2">
        <v>12.97</v>
      </c>
      <c r="Z358" s="2">
        <v>0</v>
      </c>
      <c r="AA358" s="2">
        <v>0</v>
      </c>
      <c r="AB358" s="2">
        <v>0.23</v>
      </c>
      <c r="AC358" s="2">
        <v>0</v>
      </c>
      <c r="AD358" s="2">
        <v>11.82</v>
      </c>
      <c r="AE358" s="2">
        <v>0.09</v>
      </c>
      <c r="AF358" s="2">
        <v>104.64</v>
      </c>
      <c r="AG358" s="2">
        <v>22.83</v>
      </c>
      <c r="AH358" s="4">
        <f t="shared" si="5"/>
        <v>111.04000000000005</v>
      </c>
    </row>
    <row r="359" spans="1:34" x14ac:dyDescent="0.2">
      <c r="A359" s="3">
        <v>18840</v>
      </c>
      <c r="B359" s="2">
        <v>1.24</v>
      </c>
      <c r="C359" s="2">
        <v>7.54</v>
      </c>
      <c r="D359" s="2">
        <v>-0.49</v>
      </c>
      <c r="E359" s="2">
        <v>-36.770000000000003</v>
      </c>
      <c r="F359" s="2">
        <v>-17.97</v>
      </c>
      <c r="G359" s="2">
        <v>-7.71</v>
      </c>
      <c r="H359" s="2">
        <v>12.34</v>
      </c>
      <c r="I359" s="2">
        <v>22.41</v>
      </c>
      <c r="J359" s="2">
        <v>-28</v>
      </c>
      <c r="K359" s="2">
        <v>42.58</v>
      </c>
      <c r="L359" s="2">
        <v>-38.67</v>
      </c>
      <c r="M359" s="2">
        <v>-23.17</v>
      </c>
      <c r="N359" s="2">
        <v>28.73</v>
      </c>
      <c r="O359" s="2">
        <v>85.86</v>
      </c>
      <c r="P359" s="2">
        <v>94.06</v>
      </c>
      <c r="Q359" s="2">
        <v>0.63</v>
      </c>
      <c r="R359" s="2">
        <v>-2.12</v>
      </c>
      <c r="S359" s="2">
        <v>27.85</v>
      </c>
      <c r="T359" s="2">
        <v>46.99</v>
      </c>
      <c r="U359" s="2">
        <v>10.26</v>
      </c>
      <c r="V359" s="2">
        <v>39.369999999999997</v>
      </c>
      <c r="W359" s="2">
        <v>30.39</v>
      </c>
      <c r="X359" s="2">
        <v>18.850000000000001</v>
      </c>
      <c r="Y359" s="2">
        <v>18.59</v>
      </c>
      <c r="Z359" s="2">
        <v>0</v>
      </c>
      <c r="AA359" s="2">
        <v>7.03</v>
      </c>
      <c r="AB359" s="2">
        <v>1.25</v>
      </c>
      <c r="AC359" s="2">
        <v>0.41</v>
      </c>
      <c r="AD359" s="2">
        <v>9.6300000000000008</v>
      </c>
      <c r="AE359" s="2">
        <v>0</v>
      </c>
      <c r="AF359" s="2">
        <v>113.96</v>
      </c>
      <c r="AG359" s="2">
        <v>24.8</v>
      </c>
      <c r="AH359" s="4">
        <f t="shared" si="5"/>
        <v>264.95999999999998</v>
      </c>
    </row>
    <row r="360" spans="1:34" x14ac:dyDescent="0.2">
      <c r="A360" s="3">
        <v>18871</v>
      </c>
      <c r="B360" s="2">
        <v>0.14000000000000001</v>
      </c>
      <c r="C360" s="2">
        <v>5.9</v>
      </c>
      <c r="D360" s="2">
        <v>-4.46</v>
      </c>
      <c r="E360" s="2">
        <v>-51.24</v>
      </c>
      <c r="F360" s="2">
        <v>-7.28</v>
      </c>
      <c r="G360" s="2">
        <v>-0.01</v>
      </c>
      <c r="H360" s="2">
        <v>14.62</v>
      </c>
      <c r="I360" s="2">
        <v>21.98</v>
      </c>
      <c r="J360" s="2">
        <v>-14.41</v>
      </c>
      <c r="K360" s="2">
        <v>39.549999999999997</v>
      </c>
      <c r="L360" s="2">
        <v>-20.54</v>
      </c>
      <c r="M360" s="2">
        <v>-13.18</v>
      </c>
      <c r="N360" s="2">
        <v>21.08</v>
      </c>
      <c r="O360" s="2">
        <v>67.47</v>
      </c>
      <c r="P360" s="2">
        <v>91.79</v>
      </c>
      <c r="Q360" s="2">
        <v>0.34</v>
      </c>
      <c r="R360" s="2">
        <v>-5.28</v>
      </c>
      <c r="S360" s="2">
        <v>27.22</v>
      </c>
      <c r="T360" s="2">
        <v>40.35</v>
      </c>
      <c r="U360" s="2">
        <v>8.19</v>
      </c>
      <c r="V360" s="2">
        <v>38.49</v>
      </c>
      <c r="W360" s="2">
        <v>31.47</v>
      </c>
      <c r="X360" s="2">
        <v>21.17</v>
      </c>
      <c r="Y360" s="2">
        <v>21.04</v>
      </c>
      <c r="Z360" s="2">
        <v>0</v>
      </c>
      <c r="AA360" s="2">
        <v>17.64</v>
      </c>
      <c r="AB360" s="2">
        <v>0</v>
      </c>
      <c r="AC360" s="2">
        <v>0</v>
      </c>
      <c r="AD360" s="2">
        <v>6.22</v>
      </c>
      <c r="AE360" s="2">
        <v>0</v>
      </c>
      <c r="AF360" s="2">
        <v>115.89</v>
      </c>
      <c r="AG360" s="2">
        <v>23.65</v>
      </c>
      <c r="AH360" s="4">
        <f t="shared" si="5"/>
        <v>260.71999999999997</v>
      </c>
    </row>
    <row r="361" spans="1:34" x14ac:dyDescent="0.2">
      <c r="A361" s="3">
        <v>18901</v>
      </c>
      <c r="B361" s="2">
        <v>-4.0999999999999996</v>
      </c>
      <c r="C361" s="2">
        <v>2.85</v>
      </c>
      <c r="D361" s="2">
        <v>-18.149999999999999</v>
      </c>
      <c r="E361" s="2">
        <v>-56.46</v>
      </c>
      <c r="F361" s="2">
        <v>6.2</v>
      </c>
      <c r="G361" s="2">
        <v>3.85</v>
      </c>
      <c r="H361" s="2">
        <v>15.56</v>
      </c>
      <c r="I361" s="2">
        <v>26.91</v>
      </c>
      <c r="J361" s="2">
        <v>1.1200000000000001</v>
      </c>
      <c r="K361" s="2">
        <v>-14.4</v>
      </c>
      <c r="L361" s="2">
        <v>-9.0399999999999991</v>
      </c>
      <c r="M361" s="2">
        <v>-10.16</v>
      </c>
      <c r="N361" s="2">
        <v>13.97</v>
      </c>
      <c r="O361" s="2">
        <v>-2.08</v>
      </c>
      <c r="P361" s="2">
        <v>22.03</v>
      </c>
      <c r="Q361" s="2">
        <v>2.33</v>
      </c>
      <c r="R361" s="2">
        <v>0.31</v>
      </c>
      <c r="S361" s="2">
        <v>3.1</v>
      </c>
      <c r="T361" s="2">
        <v>11.52</v>
      </c>
      <c r="U361" s="2">
        <v>1.41</v>
      </c>
      <c r="V361" s="2">
        <v>9.73</v>
      </c>
      <c r="W361" s="2">
        <v>26.1</v>
      </c>
      <c r="X361" s="2">
        <v>20.100000000000001</v>
      </c>
      <c r="Y361" s="2">
        <v>19.77</v>
      </c>
      <c r="Z361" s="2">
        <v>0</v>
      </c>
      <c r="AA361" s="2">
        <v>2.29</v>
      </c>
      <c r="AB361" s="2">
        <v>0</v>
      </c>
      <c r="AC361" s="2">
        <v>2.98</v>
      </c>
      <c r="AD361" s="2">
        <v>4.91</v>
      </c>
      <c r="AE361" s="2">
        <v>2.0499999999999998</v>
      </c>
      <c r="AF361" s="2">
        <v>107.95</v>
      </c>
      <c r="AG361" s="2">
        <v>20.170000000000002</v>
      </c>
      <c r="AH361" s="4">
        <f t="shared" si="5"/>
        <v>6.5000000000000071</v>
      </c>
    </row>
    <row r="362" spans="1:34" x14ac:dyDescent="0.2">
      <c r="A362" s="3">
        <v>18932</v>
      </c>
      <c r="B362" s="2">
        <v>-2.78</v>
      </c>
      <c r="C362" s="2">
        <v>4.0599999999999996</v>
      </c>
      <c r="D362" s="2">
        <v>-4.8600000000000003</v>
      </c>
      <c r="E362" s="2">
        <v>-21.63</v>
      </c>
      <c r="F362" s="2">
        <v>4.58</v>
      </c>
      <c r="G362" s="2">
        <v>10.34</v>
      </c>
      <c r="H362" s="2">
        <v>15.6</v>
      </c>
      <c r="I362" s="2">
        <v>29.66</v>
      </c>
      <c r="J362" s="2">
        <v>6.46</v>
      </c>
      <c r="K362" s="2">
        <v>-1.02</v>
      </c>
      <c r="L362" s="2">
        <v>6.76</v>
      </c>
      <c r="M362" s="2">
        <v>0.89</v>
      </c>
      <c r="N362" s="2">
        <v>16.010000000000002</v>
      </c>
      <c r="O362" s="2">
        <v>11.83</v>
      </c>
      <c r="P362" s="2">
        <v>29.42</v>
      </c>
      <c r="Q362" s="2">
        <v>0.6</v>
      </c>
      <c r="R362" s="2">
        <v>-2.84</v>
      </c>
      <c r="S362" s="2">
        <v>2.4500000000000002</v>
      </c>
      <c r="T362" s="2">
        <v>15.51</v>
      </c>
      <c r="U362" s="2">
        <v>-1.33</v>
      </c>
      <c r="V362" s="2">
        <v>8.8800000000000008</v>
      </c>
      <c r="W362" s="2">
        <v>22.19</v>
      </c>
      <c r="X362" s="2">
        <v>18.63</v>
      </c>
      <c r="Y362" s="2">
        <v>18.28</v>
      </c>
      <c r="Z362" s="2">
        <v>3.45</v>
      </c>
      <c r="AA362" s="2">
        <v>1.29</v>
      </c>
      <c r="AB362" s="2">
        <v>0.28999999999999998</v>
      </c>
      <c r="AC362" s="2">
        <v>5.69</v>
      </c>
      <c r="AD362" s="2">
        <v>3.29</v>
      </c>
      <c r="AE362" s="2">
        <v>5.13</v>
      </c>
      <c r="AF362" s="2">
        <v>97.91</v>
      </c>
      <c r="AG362" s="2">
        <v>16.420000000000002</v>
      </c>
      <c r="AH362" s="4">
        <f t="shared" si="5"/>
        <v>128.59</v>
      </c>
    </row>
    <row r="363" spans="1:34" x14ac:dyDescent="0.2">
      <c r="A363" s="3">
        <v>18962</v>
      </c>
      <c r="B363" s="2">
        <v>-1.19</v>
      </c>
      <c r="C363" s="2">
        <v>12.17</v>
      </c>
      <c r="D363" s="2">
        <v>3.43</v>
      </c>
      <c r="E363" s="2">
        <v>15.31</v>
      </c>
      <c r="F363" s="2">
        <v>16.54</v>
      </c>
      <c r="G363" s="2">
        <v>25.47</v>
      </c>
      <c r="H363" s="2">
        <v>17.670000000000002</v>
      </c>
      <c r="I363" s="2">
        <v>30.44</v>
      </c>
      <c r="J363" s="2">
        <v>12.69</v>
      </c>
      <c r="K363" s="2">
        <v>3.12</v>
      </c>
      <c r="L363" s="2">
        <v>-1.32</v>
      </c>
      <c r="M363" s="2">
        <v>-0.08</v>
      </c>
      <c r="N363" s="2">
        <v>9.68</v>
      </c>
      <c r="O363" s="2">
        <v>0.12</v>
      </c>
      <c r="P363" s="2">
        <v>15.25</v>
      </c>
      <c r="Q363" s="2">
        <v>-0.19</v>
      </c>
      <c r="R363" s="2">
        <v>-2.41</v>
      </c>
      <c r="S363" s="2">
        <v>7.99</v>
      </c>
      <c r="T363" s="2">
        <v>10.19</v>
      </c>
      <c r="U363" s="2">
        <v>2.31</v>
      </c>
      <c r="V363" s="2">
        <v>7.38</v>
      </c>
      <c r="W363" s="2">
        <v>15.43</v>
      </c>
      <c r="X363" s="2">
        <v>12.18</v>
      </c>
      <c r="Y363" s="2">
        <v>10.81</v>
      </c>
      <c r="Z363" s="2">
        <v>20.29</v>
      </c>
      <c r="AA363" s="2">
        <v>1.86</v>
      </c>
      <c r="AB363" s="2">
        <v>1.03</v>
      </c>
      <c r="AC363" s="2">
        <v>3.79</v>
      </c>
      <c r="AD363" s="2">
        <v>3.44</v>
      </c>
      <c r="AE363" s="2">
        <v>19.95</v>
      </c>
      <c r="AF363" s="2">
        <v>64.239999999999995</v>
      </c>
      <c r="AG363" s="2">
        <v>12.92</v>
      </c>
      <c r="AH363" s="4">
        <f t="shared" si="5"/>
        <v>184.57000000000002</v>
      </c>
    </row>
    <row r="364" spans="1:34" x14ac:dyDescent="0.2">
      <c r="A364" s="3">
        <v>18993</v>
      </c>
      <c r="B364" s="2">
        <v>4.62</v>
      </c>
      <c r="C364" s="2">
        <v>19.07</v>
      </c>
      <c r="D364" s="2">
        <v>34.24</v>
      </c>
      <c r="E364" s="2">
        <v>85.99</v>
      </c>
      <c r="F364" s="2">
        <v>107.22</v>
      </c>
      <c r="G364" s="2">
        <v>152.25</v>
      </c>
      <c r="H364" s="2">
        <v>39.57</v>
      </c>
      <c r="I364" s="2">
        <v>45.09</v>
      </c>
      <c r="J364" s="2">
        <v>91.89</v>
      </c>
      <c r="K364" s="2">
        <v>49.89</v>
      </c>
      <c r="L364" s="2">
        <v>34.5</v>
      </c>
      <c r="M364" s="2">
        <v>38.729999999999997</v>
      </c>
      <c r="N364" s="2">
        <v>50.26</v>
      </c>
      <c r="O364" s="2">
        <v>1.1000000000000001</v>
      </c>
      <c r="P364" s="2">
        <v>60.64</v>
      </c>
      <c r="Q364" s="2">
        <v>0.68</v>
      </c>
      <c r="R364" s="2">
        <v>4.29</v>
      </c>
      <c r="S364" s="2">
        <v>68.47</v>
      </c>
      <c r="T364" s="2">
        <v>16.32</v>
      </c>
      <c r="U364" s="2">
        <v>4.29</v>
      </c>
      <c r="V364" s="2">
        <v>24.39</v>
      </c>
      <c r="W364" s="2">
        <v>11.73</v>
      </c>
      <c r="X364" s="2">
        <v>9.9600000000000009</v>
      </c>
      <c r="Y364" s="2">
        <v>9.82</v>
      </c>
      <c r="Z364" s="2">
        <v>2.87</v>
      </c>
      <c r="AA364" s="2">
        <v>8.0299999999999994</v>
      </c>
      <c r="AB364" s="2">
        <v>25.99</v>
      </c>
      <c r="AC364" s="2">
        <v>36.28</v>
      </c>
      <c r="AD364" s="2">
        <v>3.65</v>
      </c>
      <c r="AE364" s="2">
        <v>37.85</v>
      </c>
      <c r="AF364" s="2">
        <v>59.02</v>
      </c>
      <c r="AG364" s="2">
        <v>11.2</v>
      </c>
      <c r="AH364" s="4">
        <f t="shared" si="5"/>
        <v>933.49999999999989</v>
      </c>
    </row>
    <row r="365" spans="1:34" x14ac:dyDescent="0.2">
      <c r="A365" s="3">
        <v>19024</v>
      </c>
      <c r="B365" s="2">
        <v>12.43</v>
      </c>
      <c r="C365" s="2">
        <v>38.299999999999997</v>
      </c>
      <c r="D365" s="2">
        <v>68.92</v>
      </c>
      <c r="E365" s="2">
        <v>104.31</v>
      </c>
      <c r="F365" s="2">
        <v>88.54</v>
      </c>
      <c r="G365" s="2">
        <v>190.1</v>
      </c>
      <c r="H365" s="2">
        <v>34.22</v>
      </c>
      <c r="I365" s="2">
        <v>56.04</v>
      </c>
      <c r="J365" s="2">
        <v>131.71</v>
      </c>
      <c r="K365" s="2">
        <v>47.43</v>
      </c>
      <c r="L365" s="2">
        <v>30.82</v>
      </c>
      <c r="M365" s="2">
        <v>35.78</v>
      </c>
      <c r="N365" s="2">
        <v>103.09</v>
      </c>
      <c r="O365" s="2">
        <v>1.8</v>
      </c>
      <c r="P365" s="2">
        <v>75.39</v>
      </c>
      <c r="Q365" s="2">
        <v>2.98</v>
      </c>
      <c r="R365" s="2">
        <v>17.059999999999999</v>
      </c>
      <c r="S365" s="2">
        <v>92.11</v>
      </c>
      <c r="T365" s="2">
        <v>58.02</v>
      </c>
      <c r="U365" s="2">
        <v>8.4700000000000006</v>
      </c>
      <c r="V365" s="2">
        <v>19.829999999999998</v>
      </c>
      <c r="W365" s="2">
        <v>4.26</v>
      </c>
      <c r="X365" s="2">
        <v>9.5</v>
      </c>
      <c r="Y365" s="2">
        <v>8.34</v>
      </c>
      <c r="Z365" s="2">
        <v>29.91</v>
      </c>
      <c r="AA365" s="2">
        <v>29.54</v>
      </c>
      <c r="AB365" s="2">
        <v>11.14</v>
      </c>
      <c r="AC365" s="2">
        <v>20.58</v>
      </c>
      <c r="AD365" s="2">
        <v>2.74</v>
      </c>
      <c r="AE365" s="2">
        <v>59.1</v>
      </c>
      <c r="AF365" s="2">
        <v>71.25</v>
      </c>
      <c r="AG365" s="2">
        <v>9.8800000000000008</v>
      </c>
      <c r="AH365" s="4">
        <f t="shared" si="5"/>
        <v>1217.3499999999999</v>
      </c>
    </row>
    <row r="366" spans="1:34" x14ac:dyDescent="0.2">
      <c r="A366" s="3">
        <v>19053</v>
      </c>
      <c r="B366" s="2">
        <v>17.11</v>
      </c>
      <c r="C366" s="2">
        <v>33.97</v>
      </c>
      <c r="D366" s="2">
        <v>-3.66</v>
      </c>
      <c r="E366" s="2">
        <v>25.38</v>
      </c>
      <c r="F366" s="2">
        <v>69.260000000000005</v>
      </c>
      <c r="G366" s="2">
        <v>29.46</v>
      </c>
      <c r="H366" s="2">
        <v>28.75</v>
      </c>
      <c r="I366" s="2">
        <v>45.31</v>
      </c>
      <c r="J366" s="2">
        <v>20.21</v>
      </c>
      <c r="K366" s="2">
        <v>5.59</v>
      </c>
      <c r="L366" s="2">
        <v>6.22</v>
      </c>
      <c r="M366" s="2">
        <v>-4.55</v>
      </c>
      <c r="N366" s="2">
        <v>53.13</v>
      </c>
      <c r="O366" s="2">
        <v>0.79</v>
      </c>
      <c r="P366" s="2">
        <v>-12.25</v>
      </c>
      <c r="Q366" s="2">
        <v>5.03</v>
      </c>
      <c r="R366" s="2">
        <v>9.57</v>
      </c>
      <c r="S366" s="2">
        <v>10.65</v>
      </c>
      <c r="T366" s="2">
        <v>6.39</v>
      </c>
      <c r="U366" s="2">
        <v>4.55</v>
      </c>
      <c r="V366" s="2">
        <v>8.66</v>
      </c>
      <c r="W366" s="2">
        <v>0</v>
      </c>
      <c r="X366" s="2">
        <v>3.08</v>
      </c>
      <c r="Y366" s="2">
        <v>3.38</v>
      </c>
      <c r="Z366" s="2">
        <v>2.11</v>
      </c>
      <c r="AA366" s="2">
        <v>0</v>
      </c>
      <c r="AB366" s="2">
        <v>0</v>
      </c>
      <c r="AC366" s="2">
        <v>0.27</v>
      </c>
      <c r="AD366" s="2">
        <v>2.76</v>
      </c>
      <c r="AE366" s="2">
        <v>8.58</v>
      </c>
      <c r="AF366" s="2">
        <v>59.39</v>
      </c>
      <c r="AG366" s="2">
        <v>10.08</v>
      </c>
      <c r="AH366" s="4">
        <f t="shared" si="5"/>
        <v>359.57</v>
      </c>
    </row>
    <row r="367" spans="1:34" x14ac:dyDescent="0.2">
      <c r="A367" s="3">
        <v>19084</v>
      </c>
      <c r="B367" s="2">
        <v>12.5</v>
      </c>
      <c r="C367" s="2">
        <v>26.18</v>
      </c>
      <c r="D367" s="2">
        <v>-10.15</v>
      </c>
      <c r="E367" s="2">
        <v>-30.76</v>
      </c>
      <c r="F367" s="2">
        <v>-23.52</v>
      </c>
      <c r="G367" s="2">
        <v>-22.66</v>
      </c>
      <c r="H367" s="2">
        <v>20.65</v>
      </c>
      <c r="I367" s="2">
        <v>49.18</v>
      </c>
      <c r="J367" s="2">
        <v>34.450000000000003</v>
      </c>
      <c r="K367" s="2">
        <v>47.13</v>
      </c>
      <c r="L367" s="2">
        <v>25.8</v>
      </c>
      <c r="M367" s="2">
        <v>27.59</v>
      </c>
      <c r="N367" s="2">
        <v>101.14</v>
      </c>
      <c r="O367" s="2">
        <v>5</v>
      </c>
      <c r="P367" s="2">
        <v>92.23</v>
      </c>
      <c r="Q367" s="2">
        <v>13.18</v>
      </c>
      <c r="R367" s="2">
        <v>9.99</v>
      </c>
      <c r="S367" s="2">
        <v>84.49</v>
      </c>
      <c r="T367" s="2">
        <v>43.31</v>
      </c>
      <c r="U367" s="2">
        <v>11.11</v>
      </c>
      <c r="V367" s="2">
        <v>26.7</v>
      </c>
      <c r="W367" s="2">
        <v>0</v>
      </c>
      <c r="X367" s="2">
        <v>3.93</v>
      </c>
      <c r="Y367" s="2">
        <v>3.11</v>
      </c>
      <c r="Z367" s="2">
        <v>22.44</v>
      </c>
      <c r="AA367" s="2">
        <v>3.01</v>
      </c>
      <c r="AB367" s="2">
        <v>3.88</v>
      </c>
      <c r="AC367" s="2">
        <v>13.4</v>
      </c>
      <c r="AD367" s="2">
        <v>4.43</v>
      </c>
      <c r="AE367" s="2">
        <v>38.78</v>
      </c>
      <c r="AF367" s="2">
        <v>70.09</v>
      </c>
      <c r="AG367" s="2">
        <v>10.69</v>
      </c>
      <c r="AH367" s="4">
        <f t="shared" si="5"/>
        <v>543.54000000000008</v>
      </c>
    </row>
    <row r="368" spans="1:34" x14ac:dyDescent="0.2">
      <c r="A368" s="3">
        <v>19114</v>
      </c>
      <c r="B368" s="2">
        <v>9.85</v>
      </c>
      <c r="C368" s="2">
        <v>19.649999999999999</v>
      </c>
      <c r="D368" s="2">
        <v>-19.989999999999998</v>
      </c>
      <c r="E368" s="2">
        <v>-19.190000000000001</v>
      </c>
      <c r="F368" s="2">
        <v>83.1</v>
      </c>
      <c r="G368" s="2">
        <v>-36.020000000000003</v>
      </c>
      <c r="H368" s="2">
        <v>27.97</v>
      </c>
      <c r="I368" s="2">
        <v>47.31</v>
      </c>
      <c r="J368" s="2">
        <v>35.14</v>
      </c>
      <c r="K368" s="2">
        <v>37.53</v>
      </c>
      <c r="L368" s="2">
        <v>38.07</v>
      </c>
      <c r="M368" s="2">
        <v>30.67</v>
      </c>
      <c r="N368" s="2">
        <v>50.72</v>
      </c>
      <c r="O368" s="2">
        <v>3.18</v>
      </c>
      <c r="P368" s="2">
        <v>6.36</v>
      </c>
      <c r="Q368" s="2">
        <v>17.21</v>
      </c>
      <c r="R368" s="2">
        <v>6.68</v>
      </c>
      <c r="S368" s="2">
        <v>29.86</v>
      </c>
      <c r="T368" s="2">
        <v>-12.02</v>
      </c>
      <c r="U368" s="2">
        <v>32.35</v>
      </c>
      <c r="V368" s="2">
        <v>31.3</v>
      </c>
      <c r="W368" s="2">
        <v>0</v>
      </c>
      <c r="X368" s="2">
        <v>4.75</v>
      </c>
      <c r="Y368" s="2">
        <v>4.3</v>
      </c>
      <c r="Z368" s="2">
        <v>3.25</v>
      </c>
      <c r="AA368" s="2">
        <v>4.16</v>
      </c>
      <c r="AB368" s="2">
        <v>5.65</v>
      </c>
      <c r="AC368" s="2">
        <v>1.08</v>
      </c>
      <c r="AD368" s="2">
        <v>5.56</v>
      </c>
      <c r="AE368" s="2">
        <v>11.75</v>
      </c>
      <c r="AF368" s="2">
        <v>86.72</v>
      </c>
      <c r="AG368" s="2">
        <v>14.64</v>
      </c>
      <c r="AH368" s="4">
        <f t="shared" si="5"/>
        <v>419.73</v>
      </c>
    </row>
    <row r="369" spans="1:34" x14ac:dyDescent="0.2">
      <c r="A369" s="3">
        <v>19145</v>
      </c>
      <c r="B369" s="2">
        <v>8.8800000000000008</v>
      </c>
      <c r="C369" s="2">
        <v>12.4</v>
      </c>
      <c r="D369" s="2">
        <v>-9.69</v>
      </c>
      <c r="E369" s="2">
        <v>-41.75</v>
      </c>
      <c r="F369" s="2">
        <v>-26.92</v>
      </c>
      <c r="G369" s="2">
        <v>-29.77</v>
      </c>
      <c r="H369" s="2">
        <v>18.489999999999998</v>
      </c>
      <c r="I369" s="2">
        <v>39.39</v>
      </c>
      <c r="J369" s="2">
        <v>28.46</v>
      </c>
      <c r="K369" s="2">
        <v>25.44</v>
      </c>
      <c r="L369" s="2">
        <v>70.209999999999994</v>
      </c>
      <c r="M369" s="2">
        <v>35.409999999999997</v>
      </c>
      <c r="N369" s="2">
        <v>40.51</v>
      </c>
      <c r="O369" s="2">
        <v>25.56</v>
      </c>
      <c r="P369" s="2">
        <v>57.31</v>
      </c>
      <c r="Q369" s="2">
        <v>17.7</v>
      </c>
      <c r="R369" s="2">
        <v>20.239999999999998</v>
      </c>
      <c r="S369" s="2">
        <v>87.38</v>
      </c>
      <c r="T369" s="2">
        <v>15.99</v>
      </c>
      <c r="U369" s="2">
        <v>59.2</v>
      </c>
      <c r="V369" s="2">
        <v>51.77</v>
      </c>
      <c r="W369" s="2">
        <v>4.88</v>
      </c>
      <c r="X369" s="2">
        <v>7.74</v>
      </c>
      <c r="Y369" s="2">
        <v>6.6</v>
      </c>
      <c r="Z369" s="2">
        <v>0</v>
      </c>
      <c r="AA369" s="2">
        <v>0</v>
      </c>
      <c r="AB369" s="2">
        <v>0</v>
      </c>
      <c r="AC369" s="2">
        <v>0</v>
      </c>
      <c r="AD369" s="2">
        <v>8.7100000000000009</v>
      </c>
      <c r="AE369" s="2">
        <v>0.75</v>
      </c>
      <c r="AF369" s="2">
        <v>97.94</v>
      </c>
      <c r="AG369" s="2">
        <v>17.690000000000001</v>
      </c>
      <c r="AH369" s="4">
        <f t="shared" si="5"/>
        <v>506.21</v>
      </c>
    </row>
    <row r="370" spans="1:34" x14ac:dyDescent="0.2">
      <c r="A370" s="3">
        <v>19175</v>
      </c>
      <c r="B370" s="2">
        <v>4.72</v>
      </c>
      <c r="C370" s="2">
        <v>10.19</v>
      </c>
      <c r="D370" s="2">
        <v>-16.18</v>
      </c>
      <c r="E370" s="2">
        <v>-85.9</v>
      </c>
      <c r="F370" s="2">
        <v>-99.47</v>
      </c>
      <c r="G370" s="2">
        <v>-38.229999999999997</v>
      </c>
      <c r="H370" s="2">
        <v>2.0099999999999998</v>
      </c>
      <c r="I370" s="2">
        <v>35.479999999999997</v>
      </c>
      <c r="J370" s="2">
        <v>-21.36</v>
      </c>
      <c r="K370" s="2">
        <v>-4.75</v>
      </c>
      <c r="L370" s="2">
        <v>-39.049999999999997</v>
      </c>
      <c r="M370" s="2">
        <v>-23.7</v>
      </c>
      <c r="N370" s="2">
        <v>21.4</v>
      </c>
      <c r="O370" s="2">
        <v>62.61</v>
      </c>
      <c r="P370" s="2">
        <v>-6.99</v>
      </c>
      <c r="Q370" s="2">
        <v>17.8</v>
      </c>
      <c r="R370" s="2">
        <v>18.45</v>
      </c>
      <c r="S370" s="2">
        <v>55.39</v>
      </c>
      <c r="T370" s="2">
        <v>33.22</v>
      </c>
      <c r="U370" s="2">
        <v>32.380000000000003</v>
      </c>
      <c r="V370" s="2">
        <v>38.909999999999997</v>
      </c>
      <c r="W370" s="2">
        <v>18.62</v>
      </c>
      <c r="X370" s="2">
        <v>13.05</v>
      </c>
      <c r="Y370" s="2">
        <v>12.67</v>
      </c>
      <c r="Z370" s="2">
        <v>0</v>
      </c>
      <c r="AA370" s="2">
        <v>0</v>
      </c>
      <c r="AB370" s="2">
        <v>0</v>
      </c>
      <c r="AC370" s="2">
        <v>0</v>
      </c>
      <c r="AD370" s="2">
        <v>13.05</v>
      </c>
      <c r="AE370" s="2">
        <v>0.19</v>
      </c>
      <c r="AF370" s="2">
        <v>107.19</v>
      </c>
      <c r="AG370" s="2">
        <v>22.83</v>
      </c>
      <c r="AH370" s="4">
        <f t="shared" si="5"/>
        <v>-3.0700000000000287</v>
      </c>
    </row>
    <row r="371" spans="1:34" x14ac:dyDescent="0.2">
      <c r="A371" s="3">
        <v>19206</v>
      </c>
      <c r="B371" s="2">
        <v>3.18</v>
      </c>
      <c r="C371" s="2">
        <v>8.51</v>
      </c>
      <c r="D371" s="2">
        <v>-13.42</v>
      </c>
      <c r="E371" s="2">
        <v>-73.63</v>
      </c>
      <c r="F371" s="2">
        <v>-66.61</v>
      </c>
      <c r="G371" s="2">
        <v>-32.97</v>
      </c>
      <c r="H371" s="2">
        <v>-2.88</v>
      </c>
      <c r="I371" s="2">
        <v>27.36</v>
      </c>
      <c r="J371" s="2">
        <v>-69.180000000000007</v>
      </c>
      <c r="K371" s="2">
        <v>-38.700000000000003</v>
      </c>
      <c r="L371" s="2">
        <v>-98.74</v>
      </c>
      <c r="M371" s="2">
        <v>-60.45</v>
      </c>
      <c r="N371" s="2">
        <v>-9.9700000000000006</v>
      </c>
      <c r="O371" s="2">
        <v>85.2</v>
      </c>
      <c r="P371" s="2">
        <v>21.66</v>
      </c>
      <c r="Q371" s="2">
        <v>11.43</v>
      </c>
      <c r="R371" s="2">
        <v>13.03</v>
      </c>
      <c r="S371" s="2">
        <v>26.14</v>
      </c>
      <c r="T371" s="2">
        <v>41.27</v>
      </c>
      <c r="U371" s="2">
        <v>3.85</v>
      </c>
      <c r="V371" s="2">
        <v>36.159999999999997</v>
      </c>
      <c r="W371" s="2">
        <v>30.39</v>
      </c>
      <c r="X371" s="2">
        <v>18.239999999999998</v>
      </c>
      <c r="Y371" s="2">
        <v>18.2</v>
      </c>
      <c r="Z371" s="2">
        <v>1.39</v>
      </c>
      <c r="AA371" s="2">
        <v>0</v>
      </c>
      <c r="AB371" s="2">
        <v>1.37</v>
      </c>
      <c r="AC371" s="2">
        <v>4.74</v>
      </c>
      <c r="AD371" s="2">
        <v>11.07</v>
      </c>
      <c r="AE371" s="2">
        <v>0.37</v>
      </c>
      <c r="AF371" s="2">
        <v>116.73</v>
      </c>
      <c r="AG371" s="2">
        <v>24.8</v>
      </c>
      <c r="AH371" s="4">
        <f t="shared" si="5"/>
        <v>-188.76000000000002</v>
      </c>
    </row>
    <row r="372" spans="1:34" x14ac:dyDescent="0.2">
      <c r="A372" s="3">
        <v>19237</v>
      </c>
      <c r="B372" s="2">
        <v>2.4</v>
      </c>
      <c r="C372" s="2">
        <v>7.68</v>
      </c>
      <c r="D372" s="2">
        <v>-8.44</v>
      </c>
      <c r="E372" s="2">
        <v>-59.28</v>
      </c>
      <c r="F372" s="2">
        <v>-28.55</v>
      </c>
      <c r="G372" s="2">
        <v>-14.13</v>
      </c>
      <c r="H372" s="2">
        <v>4.95</v>
      </c>
      <c r="I372" s="2">
        <v>24.49</v>
      </c>
      <c r="J372" s="2">
        <v>-43.73</v>
      </c>
      <c r="K372" s="2">
        <v>20.89</v>
      </c>
      <c r="L372" s="2">
        <v>-56.48</v>
      </c>
      <c r="M372" s="2">
        <v>-24.97</v>
      </c>
      <c r="N372" s="2">
        <v>14.99</v>
      </c>
      <c r="O372" s="2">
        <v>67.16</v>
      </c>
      <c r="P372" s="2">
        <v>37.01</v>
      </c>
      <c r="Q372" s="2">
        <v>3.09</v>
      </c>
      <c r="R372" s="2">
        <v>15.44</v>
      </c>
      <c r="S372" s="2">
        <v>14.44</v>
      </c>
      <c r="T372" s="2">
        <v>38.869999999999997</v>
      </c>
      <c r="U372" s="2">
        <v>0.72</v>
      </c>
      <c r="V372" s="2">
        <v>32.25</v>
      </c>
      <c r="W372" s="2">
        <v>31.47</v>
      </c>
      <c r="X372" s="2">
        <v>20.54</v>
      </c>
      <c r="Y372" s="2">
        <v>20.67</v>
      </c>
      <c r="Z372" s="2">
        <v>0</v>
      </c>
      <c r="AA372" s="2">
        <v>1.74</v>
      </c>
      <c r="AB372" s="2">
        <v>0</v>
      </c>
      <c r="AC372" s="2">
        <v>0.95</v>
      </c>
      <c r="AD372" s="2">
        <v>7.19</v>
      </c>
      <c r="AE372" s="2">
        <v>0</v>
      </c>
      <c r="AF372" s="2">
        <v>118.71</v>
      </c>
      <c r="AG372" s="2">
        <v>23.65</v>
      </c>
      <c r="AH372" s="4">
        <f t="shared" si="5"/>
        <v>48.800000000000004</v>
      </c>
    </row>
    <row r="373" spans="1:34" x14ac:dyDescent="0.2">
      <c r="A373" s="3">
        <v>19267</v>
      </c>
      <c r="B373" s="2">
        <v>-0.46</v>
      </c>
      <c r="C373" s="2">
        <v>5.91</v>
      </c>
      <c r="D373" s="2">
        <v>-14.2</v>
      </c>
      <c r="E373" s="2">
        <v>-58.92</v>
      </c>
      <c r="F373" s="2">
        <v>-15.38</v>
      </c>
      <c r="G373" s="2">
        <v>1.45</v>
      </c>
      <c r="H373" s="2">
        <v>14.7</v>
      </c>
      <c r="I373" s="2">
        <v>32.33</v>
      </c>
      <c r="J373" s="2">
        <v>-8.89</v>
      </c>
      <c r="K373" s="2">
        <v>-8.5299999999999994</v>
      </c>
      <c r="L373" s="2">
        <v>-29.29</v>
      </c>
      <c r="M373" s="2">
        <v>-10.49</v>
      </c>
      <c r="N373" s="2">
        <v>20.49</v>
      </c>
      <c r="O373" s="2">
        <v>2.35</v>
      </c>
      <c r="P373" s="2">
        <v>13.51</v>
      </c>
      <c r="Q373" s="2">
        <v>5.7</v>
      </c>
      <c r="R373" s="2">
        <v>9.39</v>
      </c>
      <c r="S373" s="2">
        <v>7.35</v>
      </c>
      <c r="T373" s="2">
        <v>13.2</v>
      </c>
      <c r="U373" s="2">
        <v>4.9400000000000004</v>
      </c>
      <c r="V373" s="2">
        <v>9.58</v>
      </c>
      <c r="W373" s="2">
        <v>26.1</v>
      </c>
      <c r="X373" s="2">
        <v>19.489999999999998</v>
      </c>
      <c r="Y373" s="2">
        <v>19.39</v>
      </c>
      <c r="Z373" s="2">
        <v>1.67</v>
      </c>
      <c r="AA373" s="2">
        <v>1.29</v>
      </c>
      <c r="AB373" s="2">
        <v>3.31</v>
      </c>
      <c r="AC373" s="2">
        <v>16.25</v>
      </c>
      <c r="AD373" s="2">
        <v>4.91</v>
      </c>
      <c r="AE373" s="2">
        <v>0</v>
      </c>
      <c r="AF373" s="2">
        <v>110.57</v>
      </c>
      <c r="AG373" s="2">
        <v>20.170000000000002</v>
      </c>
      <c r="AH373" s="4">
        <f t="shared" si="5"/>
        <v>-5.2600000000000033</v>
      </c>
    </row>
    <row r="374" spans="1:34" x14ac:dyDescent="0.2">
      <c r="A374" s="3">
        <v>19298</v>
      </c>
      <c r="B374" s="2">
        <v>-0.54</v>
      </c>
      <c r="C374" s="2">
        <v>6.09</v>
      </c>
      <c r="D374" s="2">
        <v>-15.18</v>
      </c>
      <c r="E374" s="2">
        <v>-41.38</v>
      </c>
      <c r="F374" s="2">
        <v>-8.67</v>
      </c>
      <c r="G374" s="2">
        <v>5.84</v>
      </c>
      <c r="H374" s="2">
        <v>14.39</v>
      </c>
      <c r="I374" s="2">
        <v>32.04</v>
      </c>
      <c r="J374" s="2">
        <v>-4.26</v>
      </c>
      <c r="K374" s="2">
        <v>-5.01</v>
      </c>
      <c r="L374" s="2">
        <v>-12.43</v>
      </c>
      <c r="M374" s="2">
        <v>-2.31</v>
      </c>
      <c r="N374" s="2">
        <v>14.42</v>
      </c>
      <c r="O374" s="2">
        <v>11.84</v>
      </c>
      <c r="P374" s="2">
        <v>7.47</v>
      </c>
      <c r="Q374" s="2">
        <v>1.66</v>
      </c>
      <c r="R374" s="2">
        <v>2.23</v>
      </c>
      <c r="S374" s="2">
        <v>-2.27</v>
      </c>
      <c r="T374" s="2">
        <v>16.100000000000001</v>
      </c>
      <c r="U374" s="2">
        <v>1.46</v>
      </c>
      <c r="V374" s="2">
        <v>10.039999999999999</v>
      </c>
      <c r="W374" s="2">
        <v>22.19</v>
      </c>
      <c r="X374" s="2">
        <v>18.07</v>
      </c>
      <c r="Y374" s="2">
        <v>17.93</v>
      </c>
      <c r="Z374" s="2">
        <v>9.09</v>
      </c>
      <c r="AA374" s="2">
        <v>0</v>
      </c>
      <c r="AB374" s="2">
        <v>0</v>
      </c>
      <c r="AC374" s="2">
        <v>0</v>
      </c>
      <c r="AD374" s="2">
        <v>2.1</v>
      </c>
      <c r="AE374" s="2">
        <v>0.09</v>
      </c>
      <c r="AF374" s="2">
        <v>100.29</v>
      </c>
      <c r="AG374" s="2">
        <v>16.420000000000002</v>
      </c>
      <c r="AH374" s="4">
        <f t="shared" si="5"/>
        <v>31.53</v>
      </c>
    </row>
    <row r="375" spans="1:34" x14ac:dyDescent="0.2">
      <c r="A375" s="3">
        <v>19328</v>
      </c>
      <c r="B375" s="2">
        <v>0.13</v>
      </c>
      <c r="C375" s="2">
        <v>6.28</v>
      </c>
      <c r="D375" s="2">
        <v>-4.2699999999999996</v>
      </c>
      <c r="E375" s="2">
        <v>-19.09</v>
      </c>
      <c r="F375" s="2">
        <v>-3.24</v>
      </c>
      <c r="G375" s="2">
        <v>9.0500000000000007</v>
      </c>
      <c r="H375" s="2">
        <v>13.61</v>
      </c>
      <c r="I375" s="2">
        <v>31.14</v>
      </c>
      <c r="J375" s="2">
        <v>4.8899999999999997</v>
      </c>
      <c r="K375" s="2">
        <v>-4.0999999999999996</v>
      </c>
      <c r="L375" s="2">
        <v>0.51</v>
      </c>
      <c r="M375" s="2">
        <v>4.03</v>
      </c>
      <c r="N375" s="2">
        <v>6.47</v>
      </c>
      <c r="O375" s="2">
        <v>3.16</v>
      </c>
      <c r="P375" s="2">
        <v>1.91</v>
      </c>
      <c r="Q375" s="2">
        <v>-0.69</v>
      </c>
      <c r="R375" s="2">
        <v>-0.14000000000000001</v>
      </c>
      <c r="S375" s="2">
        <v>17.940000000000001</v>
      </c>
      <c r="T375" s="2">
        <v>11.39</v>
      </c>
      <c r="U375" s="2">
        <v>5.54</v>
      </c>
      <c r="V375" s="2">
        <v>7.73</v>
      </c>
      <c r="W375" s="2">
        <v>15.43</v>
      </c>
      <c r="X375" s="2">
        <v>11.92</v>
      </c>
      <c r="Y375" s="2">
        <v>10.72</v>
      </c>
      <c r="Z375" s="2">
        <v>9.6199999999999992</v>
      </c>
      <c r="AA375" s="2">
        <v>29.25</v>
      </c>
      <c r="AB375" s="2">
        <v>2.15</v>
      </c>
      <c r="AC375" s="2">
        <v>17.46</v>
      </c>
      <c r="AD375" s="2">
        <v>1.18</v>
      </c>
      <c r="AE375" s="2">
        <v>13.24</v>
      </c>
      <c r="AF375" s="2">
        <v>65.81</v>
      </c>
      <c r="AG375" s="2">
        <v>12.92</v>
      </c>
      <c r="AH375" s="4">
        <f t="shared" si="5"/>
        <v>92.25</v>
      </c>
    </row>
    <row r="376" spans="1:34" x14ac:dyDescent="0.2">
      <c r="A376" s="3">
        <v>19359</v>
      </c>
      <c r="B376" s="2">
        <v>8.5500000000000007</v>
      </c>
      <c r="C376" s="2">
        <v>30.77</v>
      </c>
      <c r="D376" s="2">
        <v>73.62</v>
      </c>
      <c r="E376" s="2">
        <v>141.77000000000001</v>
      </c>
      <c r="F376" s="2">
        <v>79.47</v>
      </c>
      <c r="G376" s="2">
        <v>182.6</v>
      </c>
      <c r="H376" s="2">
        <v>43.94</v>
      </c>
      <c r="I376" s="2">
        <v>43.68</v>
      </c>
      <c r="J376" s="2">
        <v>93.45</v>
      </c>
      <c r="K376" s="2">
        <v>48.61</v>
      </c>
      <c r="L376" s="2">
        <v>23.18</v>
      </c>
      <c r="M376" s="2">
        <v>33.33</v>
      </c>
      <c r="N376" s="2">
        <v>43.6</v>
      </c>
      <c r="O376" s="2">
        <v>2.91</v>
      </c>
      <c r="P376" s="2">
        <v>35.130000000000003</v>
      </c>
      <c r="Q376" s="2">
        <v>0.52</v>
      </c>
      <c r="R376" s="2">
        <v>6.5</v>
      </c>
      <c r="S376" s="2">
        <v>55.21</v>
      </c>
      <c r="T376" s="2">
        <v>23.53</v>
      </c>
      <c r="U376" s="2">
        <v>5.65</v>
      </c>
      <c r="V376" s="2">
        <v>8.2899999999999991</v>
      </c>
      <c r="W376" s="2">
        <v>11.73</v>
      </c>
      <c r="X376" s="2">
        <v>9.7200000000000006</v>
      </c>
      <c r="Y376" s="2">
        <v>9.74</v>
      </c>
      <c r="Z376" s="2">
        <v>0</v>
      </c>
      <c r="AA376" s="2">
        <v>25.38</v>
      </c>
      <c r="AB376" s="2">
        <v>3.47</v>
      </c>
      <c r="AC376" s="2">
        <v>15.57</v>
      </c>
      <c r="AD376" s="2">
        <v>1.24</v>
      </c>
      <c r="AE376" s="2">
        <v>42.51</v>
      </c>
      <c r="AF376" s="2">
        <v>60.46</v>
      </c>
      <c r="AG376" s="2">
        <v>11.2</v>
      </c>
      <c r="AH376" s="4">
        <f t="shared" si="5"/>
        <v>984.31</v>
      </c>
    </row>
    <row r="377" spans="1:34" x14ac:dyDescent="0.2">
      <c r="A377" s="3">
        <v>19390</v>
      </c>
      <c r="B377" s="2">
        <v>23.57</v>
      </c>
      <c r="C377" s="2">
        <v>49.95</v>
      </c>
      <c r="D377" s="2">
        <v>43.03</v>
      </c>
      <c r="E377" s="2">
        <v>179.4</v>
      </c>
      <c r="F377" s="2">
        <v>242.77</v>
      </c>
      <c r="G377" s="2">
        <v>186.56</v>
      </c>
      <c r="H377" s="2">
        <v>39.08</v>
      </c>
      <c r="I377" s="2">
        <v>43.25</v>
      </c>
      <c r="J377" s="2">
        <v>51.88</v>
      </c>
      <c r="K377" s="2">
        <v>-18.5</v>
      </c>
      <c r="L377" s="2">
        <v>8.84</v>
      </c>
      <c r="M377" s="2">
        <v>-10.130000000000001</v>
      </c>
      <c r="N377" s="2">
        <v>15.28</v>
      </c>
      <c r="O377" s="2">
        <v>3.84</v>
      </c>
      <c r="P377" s="2">
        <v>18.64</v>
      </c>
      <c r="Q377" s="2">
        <v>1.43</v>
      </c>
      <c r="R377" s="2">
        <v>3.64</v>
      </c>
      <c r="S377" s="2">
        <v>25.46</v>
      </c>
      <c r="T377" s="2">
        <v>2.59</v>
      </c>
      <c r="U377" s="2">
        <v>6</v>
      </c>
      <c r="V377" s="2">
        <v>20.49</v>
      </c>
      <c r="W377" s="2">
        <v>4.26</v>
      </c>
      <c r="X377" s="2">
        <v>9.99</v>
      </c>
      <c r="Y377" s="2">
        <v>8.6300000000000008</v>
      </c>
      <c r="Z377" s="2">
        <v>0.28999999999999998</v>
      </c>
      <c r="AA377" s="2">
        <v>0.28999999999999998</v>
      </c>
      <c r="AB377" s="2">
        <v>1.1599999999999999</v>
      </c>
      <c r="AC377" s="2">
        <v>1.49</v>
      </c>
      <c r="AD377" s="2">
        <v>1.33</v>
      </c>
      <c r="AE377" s="2">
        <v>13.05</v>
      </c>
      <c r="AF377" s="2">
        <v>71.459999999999994</v>
      </c>
      <c r="AG377" s="2">
        <v>9.8800000000000008</v>
      </c>
      <c r="AH377" s="4">
        <f t="shared" si="5"/>
        <v>937.07</v>
      </c>
    </row>
    <row r="378" spans="1:34" x14ac:dyDescent="0.2">
      <c r="A378" s="3">
        <v>19418</v>
      </c>
      <c r="B378" s="2">
        <v>5.97</v>
      </c>
      <c r="C378" s="2">
        <v>15.16</v>
      </c>
      <c r="D378" s="2">
        <v>-40.5</v>
      </c>
      <c r="E378" s="2">
        <v>-148.68</v>
      </c>
      <c r="F378" s="2">
        <v>-156.53</v>
      </c>
      <c r="G378" s="2">
        <v>-101.29</v>
      </c>
      <c r="H378" s="2">
        <v>-3.14</v>
      </c>
      <c r="I378" s="2">
        <v>25.93</v>
      </c>
      <c r="J378" s="2">
        <v>-18.13</v>
      </c>
      <c r="K378" s="2">
        <v>-7.08</v>
      </c>
      <c r="L378" s="2">
        <v>-19.64</v>
      </c>
      <c r="M378" s="2">
        <v>-15.32</v>
      </c>
      <c r="N378" s="2">
        <v>15.32</v>
      </c>
      <c r="O378" s="2">
        <v>4.58</v>
      </c>
      <c r="P378" s="2">
        <v>6.73</v>
      </c>
      <c r="Q378" s="2">
        <v>0.71</v>
      </c>
      <c r="R378" s="2">
        <v>4.16</v>
      </c>
      <c r="S378" s="2">
        <v>5.09</v>
      </c>
      <c r="T378" s="2">
        <v>10.98</v>
      </c>
      <c r="U378" s="2">
        <v>3.64</v>
      </c>
      <c r="V378" s="2">
        <v>8.4499999999999993</v>
      </c>
      <c r="W378" s="2">
        <v>0</v>
      </c>
      <c r="X378" s="2">
        <v>3.43</v>
      </c>
      <c r="Y378" s="2">
        <v>3.41</v>
      </c>
      <c r="Z378" s="2">
        <v>1.53</v>
      </c>
      <c r="AA378" s="2">
        <v>0.72</v>
      </c>
      <c r="AB378" s="2">
        <v>0.11</v>
      </c>
      <c r="AC378" s="2">
        <v>4.0599999999999996</v>
      </c>
      <c r="AD378" s="2">
        <v>1.57</v>
      </c>
      <c r="AE378" s="2">
        <v>0.19</v>
      </c>
      <c r="AF378" s="2">
        <v>59.57</v>
      </c>
      <c r="AG378" s="2">
        <v>10.08</v>
      </c>
      <c r="AH378" s="4">
        <f t="shared" si="5"/>
        <v>-403.59000000000003</v>
      </c>
    </row>
    <row r="379" spans="1:34" x14ac:dyDescent="0.2">
      <c r="A379" s="3">
        <v>19449</v>
      </c>
      <c r="B379" s="2">
        <v>4.2</v>
      </c>
      <c r="C379" s="2">
        <v>14.8</v>
      </c>
      <c r="D379" s="2">
        <v>-22.62</v>
      </c>
      <c r="E379" s="2">
        <v>-61.74</v>
      </c>
      <c r="F379" s="2">
        <v>-22.61</v>
      </c>
      <c r="G379" s="2">
        <v>-50.34</v>
      </c>
      <c r="H379" s="2">
        <v>7.67</v>
      </c>
      <c r="I379" s="2">
        <v>29.88</v>
      </c>
      <c r="J379" s="2">
        <v>-5.61</v>
      </c>
      <c r="K379" s="2">
        <v>18.32</v>
      </c>
      <c r="L379" s="2">
        <v>-34.82</v>
      </c>
      <c r="M379" s="2">
        <v>-11.44</v>
      </c>
      <c r="N379" s="2">
        <v>25.29</v>
      </c>
      <c r="O379" s="2">
        <v>11.79</v>
      </c>
      <c r="P379" s="2">
        <v>54.51</v>
      </c>
      <c r="Q379" s="2">
        <v>2.9</v>
      </c>
      <c r="R379" s="2">
        <v>-4.26</v>
      </c>
      <c r="S379" s="2">
        <v>0.08</v>
      </c>
      <c r="T379" s="2">
        <v>24.73</v>
      </c>
      <c r="U379" s="2">
        <v>0.56000000000000005</v>
      </c>
      <c r="V379" s="2">
        <v>12.96</v>
      </c>
      <c r="W379" s="2">
        <v>0</v>
      </c>
      <c r="X379" s="2">
        <v>4.34</v>
      </c>
      <c r="Y379" s="2">
        <v>3.33</v>
      </c>
      <c r="Z379" s="2">
        <v>0.86</v>
      </c>
      <c r="AA379" s="2">
        <v>1.29</v>
      </c>
      <c r="AB379" s="2">
        <v>1.79</v>
      </c>
      <c r="AC379" s="2">
        <v>0.95</v>
      </c>
      <c r="AD379" s="2">
        <v>3.23</v>
      </c>
      <c r="AE379" s="2">
        <v>8.9499999999999993</v>
      </c>
      <c r="AF379" s="2">
        <v>70.290000000000006</v>
      </c>
      <c r="AG379" s="2">
        <v>10.69</v>
      </c>
      <c r="AH379" s="4">
        <f t="shared" si="5"/>
        <v>-5.7500000000000213</v>
      </c>
    </row>
    <row r="380" spans="1:34" x14ac:dyDescent="0.2">
      <c r="A380" s="3">
        <v>19479</v>
      </c>
      <c r="B380" s="2">
        <v>3.56</v>
      </c>
      <c r="C380" s="2">
        <v>13.88</v>
      </c>
      <c r="D380" s="2">
        <v>-13.65</v>
      </c>
      <c r="E380" s="2">
        <v>-36.03</v>
      </c>
      <c r="F380" s="2">
        <v>16.43</v>
      </c>
      <c r="G380" s="2">
        <v>-14.59</v>
      </c>
      <c r="H380" s="2">
        <v>13.15</v>
      </c>
      <c r="I380" s="2">
        <v>36.880000000000003</v>
      </c>
      <c r="J380" s="2">
        <v>8.4600000000000009</v>
      </c>
      <c r="K380" s="2">
        <v>5.0599999999999996</v>
      </c>
      <c r="L380" s="2">
        <v>12.66</v>
      </c>
      <c r="M380" s="2">
        <v>-1.79</v>
      </c>
      <c r="N380" s="2">
        <v>28.51</v>
      </c>
      <c r="O380" s="2">
        <v>4.1500000000000004</v>
      </c>
      <c r="P380" s="2">
        <v>42.64</v>
      </c>
      <c r="Q380" s="2">
        <v>1.18</v>
      </c>
      <c r="R380" s="2">
        <v>5.4</v>
      </c>
      <c r="S380" s="2">
        <v>12.93</v>
      </c>
      <c r="T380" s="2">
        <v>14.06</v>
      </c>
      <c r="U380" s="2">
        <v>6.68</v>
      </c>
      <c r="V380" s="2">
        <v>22.76</v>
      </c>
      <c r="W380" s="2">
        <v>0</v>
      </c>
      <c r="X380" s="2">
        <v>5.3</v>
      </c>
      <c r="Y380" s="2">
        <v>4.5599999999999996</v>
      </c>
      <c r="Z380" s="2">
        <v>2.82</v>
      </c>
      <c r="AA380" s="2">
        <v>0</v>
      </c>
      <c r="AB380" s="2">
        <v>2.31</v>
      </c>
      <c r="AC380" s="2">
        <v>5.55</v>
      </c>
      <c r="AD380" s="2">
        <v>4.17</v>
      </c>
      <c r="AE380" s="2">
        <v>6.99</v>
      </c>
      <c r="AF380" s="2">
        <v>86.98</v>
      </c>
      <c r="AG380" s="2">
        <v>14.64</v>
      </c>
      <c r="AH380" s="4">
        <f t="shared" si="5"/>
        <v>182.33</v>
      </c>
    </row>
    <row r="381" spans="1:34" x14ac:dyDescent="0.2">
      <c r="A381" s="3">
        <v>19510</v>
      </c>
      <c r="B381" s="2">
        <v>5.53</v>
      </c>
      <c r="C381" s="2">
        <v>15.37</v>
      </c>
      <c r="D381" s="2">
        <v>-4.97</v>
      </c>
      <c r="E381" s="2">
        <v>-29.22</v>
      </c>
      <c r="F381" s="2">
        <v>-17.149999999999999</v>
      </c>
      <c r="G381" s="2">
        <v>-1.03</v>
      </c>
      <c r="H381" s="2">
        <v>11.92</v>
      </c>
      <c r="I381" s="2">
        <v>29.26</v>
      </c>
      <c r="J381" s="2">
        <v>1.26</v>
      </c>
      <c r="K381" s="2">
        <v>-1.22</v>
      </c>
      <c r="L381" s="2">
        <v>6.15</v>
      </c>
      <c r="M381" s="2">
        <v>-5.12</v>
      </c>
      <c r="N381" s="2">
        <v>17.95</v>
      </c>
      <c r="O381" s="2">
        <v>12.32</v>
      </c>
      <c r="P381" s="2">
        <v>35.93</v>
      </c>
      <c r="Q381" s="2">
        <v>-0.68</v>
      </c>
      <c r="R381" s="2">
        <v>0.6</v>
      </c>
      <c r="S381" s="2">
        <v>6.29</v>
      </c>
      <c r="T381" s="2">
        <v>39.659999999999997</v>
      </c>
      <c r="U381" s="2">
        <v>0.36</v>
      </c>
      <c r="V381" s="2">
        <v>26.68</v>
      </c>
      <c r="W381" s="2">
        <v>4.88</v>
      </c>
      <c r="X381" s="2">
        <v>8.3000000000000007</v>
      </c>
      <c r="Y381" s="2">
        <v>6.91</v>
      </c>
      <c r="Z381" s="2">
        <v>1.1000000000000001</v>
      </c>
      <c r="AA381" s="2">
        <v>0</v>
      </c>
      <c r="AB381" s="2">
        <v>0.79</v>
      </c>
      <c r="AC381" s="2">
        <v>2.17</v>
      </c>
      <c r="AD381" s="2">
        <v>7.66</v>
      </c>
      <c r="AE381" s="2">
        <v>3.54</v>
      </c>
      <c r="AF381" s="2">
        <v>98.23</v>
      </c>
      <c r="AG381" s="2">
        <v>17.690000000000001</v>
      </c>
      <c r="AH381" s="4">
        <f t="shared" si="5"/>
        <v>149.88999999999999</v>
      </c>
    </row>
    <row r="382" spans="1:34" x14ac:dyDescent="0.2">
      <c r="A382" s="3">
        <v>19540</v>
      </c>
      <c r="B382" s="2">
        <v>4.93</v>
      </c>
      <c r="C382" s="2">
        <v>11.78</v>
      </c>
      <c r="D382" s="2">
        <v>-8.6199999999999992</v>
      </c>
      <c r="E382" s="2">
        <v>-43.99</v>
      </c>
      <c r="F382" s="2">
        <v>-26.72</v>
      </c>
      <c r="G382" s="2">
        <v>-7.7</v>
      </c>
      <c r="H382" s="2">
        <v>13.07</v>
      </c>
      <c r="I382" s="2">
        <v>34.68</v>
      </c>
      <c r="J382" s="2">
        <v>4.09</v>
      </c>
      <c r="K382" s="2">
        <v>32.65</v>
      </c>
      <c r="L382" s="2">
        <v>30.7</v>
      </c>
      <c r="M382" s="2">
        <v>15.43</v>
      </c>
      <c r="N382" s="2">
        <v>21.94</v>
      </c>
      <c r="O382" s="2">
        <v>75.67</v>
      </c>
      <c r="P382" s="2">
        <v>63.57</v>
      </c>
      <c r="Q382" s="2">
        <v>5.32</v>
      </c>
      <c r="R382" s="2">
        <v>3.7</v>
      </c>
      <c r="S382" s="2">
        <v>10.96</v>
      </c>
      <c r="T382" s="2">
        <v>57.44</v>
      </c>
      <c r="U382" s="2">
        <v>-2.2799999999999998</v>
      </c>
      <c r="V382" s="2">
        <v>38.049999999999997</v>
      </c>
      <c r="W382" s="2">
        <v>18.62</v>
      </c>
      <c r="X382" s="2">
        <v>13.68</v>
      </c>
      <c r="Y382" s="2">
        <v>12.94</v>
      </c>
      <c r="Z382" s="2">
        <v>0</v>
      </c>
      <c r="AA382" s="2">
        <v>0</v>
      </c>
      <c r="AB382" s="2">
        <v>0</v>
      </c>
      <c r="AC382" s="2">
        <v>0</v>
      </c>
      <c r="AD382" s="2">
        <v>9.64</v>
      </c>
      <c r="AE382" s="2">
        <v>0.75</v>
      </c>
      <c r="AF382" s="2">
        <v>107.5</v>
      </c>
      <c r="AG382" s="2">
        <v>22.83</v>
      </c>
      <c r="AH382" s="4">
        <f t="shared" si="5"/>
        <v>334.67</v>
      </c>
    </row>
    <row r="383" spans="1:34" x14ac:dyDescent="0.2">
      <c r="A383" s="3">
        <v>19571</v>
      </c>
      <c r="B383" s="2">
        <v>2.33</v>
      </c>
      <c r="C383" s="2">
        <v>9.0299999999999994</v>
      </c>
      <c r="D383" s="2">
        <v>-10.41</v>
      </c>
      <c r="E383" s="2">
        <v>-65.8</v>
      </c>
      <c r="F383" s="2">
        <v>-49.02</v>
      </c>
      <c r="G383" s="2">
        <v>-12.63</v>
      </c>
      <c r="H383" s="2">
        <v>2.74</v>
      </c>
      <c r="I383" s="2">
        <v>23.94</v>
      </c>
      <c r="J383" s="2">
        <v>-27.77</v>
      </c>
      <c r="K383" s="2">
        <v>32.53</v>
      </c>
      <c r="L383" s="2">
        <v>-33.08</v>
      </c>
      <c r="M383" s="2">
        <v>-5.97</v>
      </c>
      <c r="N383" s="2">
        <v>24.72</v>
      </c>
      <c r="O383" s="2">
        <v>89.09</v>
      </c>
      <c r="P383" s="2">
        <v>90.54</v>
      </c>
      <c r="Q383" s="2">
        <v>1.01</v>
      </c>
      <c r="R383" s="2">
        <v>-0.36</v>
      </c>
      <c r="S383" s="2">
        <v>6.79</v>
      </c>
      <c r="T383" s="2">
        <v>45.75</v>
      </c>
      <c r="U383" s="2">
        <v>-1.47</v>
      </c>
      <c r="V383" s="2">
        <v>46.55</v>
      </c>
      <c r="W383" s="2">
        <v>30.39</v>
      </c>
      <c r="X383" s="2">
        <v>18.940000000000001</v>
      </c>
      <c r="Y383" s="2">
        <v>18.600000000000001</v>
      </c>
      <c r="Z383" s="2">
        <v>0</v>
      </c>
      <c r="AA383" s="2">
        <v>0.28999999999999998</v>
      </c>
      <c r="AB383" s="2">
        <v>0</v>
      </c>
      <c r="AC383" s="2">
        <v>0</v>
      </c>
      <c r="AD383" s="2">
        <v>10.02</v>
      </c>
      <c r="AE383" s="2">
        <v>0</v>
      </c>
      <c r="AF383" s="2">
        <v>117.07</v>
      </c>
      <c r="AG383" s="2">
        <v>24.8</v>
      </c>
      <c r="AH383" s="4">
        <f t="shared" si="5"/>
        <v>168.51000000000005</v>
      </c>
    </row>
    <row r="384" spans="1:34" x14ac:dyDescent="0.2">
      <c r="A384" s="3">
        <v>19602</v>
      </c>
      <c r="B384" s="2">
        <v>2.3199999999999998</v>
      </c>
      <c r="C384" s="2">
        <v>9.1199999999999992</v>
      </c>
      <c r="D384" s="2">
        <v>-5.81</v>
      </c>
      <c r="E384" s="2">
        <v>-57.07</v>
      </c>
      <c r="F384" s="2">
        <v>-17.940000000000001</v>
      </c>
      <c r="G384" s="2">
        <v>-2.06</v>
      </c>
      <c r="H384" s="2">
        <v>8.74</v>
      </c>
      <c r="I384" s="2">
        <v>23.61</v>
      </c>
      <c r="J384" s="2">
        <v>-16.059999999999999</v>
      </c>
      <c r="K384" s="2">
        <v>33.590000000000003</v>
      </c>
      <c r="L384" s="2">
        <v>-30.04</v>
      </c>
      <c r="M384" s="2">
        <v>-11.98</v>
      </c>
      <c r="N384" s="2">
        <v>25.24</v>
      </c>
      <c r="O384" s="2">
        <v>70.900000000000006</v>
      </c>
      <c r="P384" s="2">
        <v>99.39</v>
      </c>
      <c r="Q384" s="2">
        <v>0.15</v>
      </c>
      <c r="R384" s="2">
        <v>-5.22</v>
      </c>
      <c r="S384" s="2">
        <v>5.54</v>
      </c>
      <c r="T384" s="2">
        <v>40.369999999999997</v>
      </c>
      <c r="U384" s="2">
        <v>5.52</v>
      </c>
      <c r="V384" s="2">
        <v>39.42</v>
      </c>
      <c r="W384" s="2">
        <v>31.47</v>
      </c>
      <c r="X384" s="2">
        <v>21.28</v>
      </c>
      <c r="Y384" s="2">
        <v>21.04</v>
      </c>
      <c r="Z384" s="2">
        <v>0.62</v>
      </c>
      <c r="AA384" s="2">
        <v>6.6</v>
      </c>
      <c r="AB384" s="2">
        <v>0.05</v>
      </c>
      <c r="AC384" s="2">
        <v>0</v>
      </c>
      <c r="AD384" s="2">
        <v>6.81</v>
      </c>
      <c r="AE384" s="2">
        <v>0.84</v>
      </c>
      <c r="AF384" s="2">
        <v>119.06</v>
      </c>
      <c r="AG384" s="2">
        <v>23.65</v>
      </c>
      <c r="AH384" s="4">
        <f t="shared" si="5"/>
        <v>217.73000000000002</v>
      </c>
    </row>
    <row r="385" spans="1:34" x14ac:dyDescent="0.2">
      <c r="A385" s="3">
        <v>19632</v>
      </c>
      <c r="B385" s="2">
        <v>-0.43</v>
      </c>
      <c r="C385" s="2">
        <v>6.24</v>
      </c>
      <c r="D385" s="2">
        <v>-11.12</v>
      </c>
      <c r="E385" s="2">
        <v>-50.12</v>
      </c>
      <c r="F385" s="2">
        <v>-8.94</v>
      </c>
      <c r="G385" s="2">
        <v>11.04</v>
      </c>
      <c r="H385" s="2">
        <v>17.940000000000001</v>
      </c>
      <c r="I385" s="2">
        <v>29.94</v>
      </c>
      <c r="J385" s="2">
        <v>7.99</v>
      </c>
      <c r="K385" s="2">
        <v>19.010000000000002</v>
      </c>
      <c r="L385" s="2">
        <v>-15.03</v>
      </c>
      <c r="M385" s="2">
        <v>-2.31</v>
      </c>
      <c r="N385" s="2">
        <v>37.630000000000003</v>
      </c>
      <c r="O385" s="2">
        <v>0.4</v>
      </c>
      <c r="P385" s="2">
        <v>32.28</v>
      </c>
      <c r="Q385" s="2">
        <v>4.91</v>
      </c>
      <c r="R385" s="2">
        <v>0.13</v>
      </c>
      <c r="S385" s="2">
        <v>-0.74</v>
      </c>
      <c r="T385" s="2">
        <v>12.68</v>
      </c>
      <c r="U385" s="2">
        <v>4.91</v>
      </c>
      <c r="V385" s="2">
        <v>10.26</v>
      </c>
      <c r="W385" s="2">
        <v>26.1</v>
      </c>
      <c r="X385" s="2">
        <v>20.21</v>
      </c>
      <c r="Y385" s="2">
        <v>19.78</v>
      </c>
      <c r="Z385" s="2">
        <v>0</v>
      </c>
      <c r="AA385" s="2">
        <v>0</v>
      </c>
      <c r="AB385" s="2">
        <v>0</v>
      </c>
      <c r="AC385" s="2">
        <v>0</v>
      </c>
      <c r="AD385" s="2">
        <v>4.17</v>
      </c>
      <c r="AE385" s="2">
        <v>0</v>
      </c>
      <c r="AF385" s="2">
        <v>110.9</v>
      </c>
      <c r="AG385" s="2">
        <v>20.170000000000002</v>
      </c>
      <c r="AH385" s="4">
        <f t="shared" si="5"/>
        <v>106.67</v>
      </c>
    </row>
    <row r="386" spans="1:34" x14ac:dyDescent="0.2">
      <c r="A386" s="3">
        <v>19663</v>
      </c>
      <c r="B386" s="2">
        <v>-1.79</v>
      </c>
      <c r="C386" s="2">
        <v>6.44</v>
      </c>
      <c r="D386" s="2">
        <v>-12.68</v>
      </c>
      <c r="E386" s="2">
        <v>-33.56</v>
      </c>
      <c r="F386" s="2">
        <v>-5.26</v>
      </c>
      <c r="G386" s="2">
        <v>14.11</v>
      </c>
      <c r="H386" s="2">
        <v>14.53</v>
      </c>
      <c r="I386" s="2">
        <v>31.31</v>
      </c>
      <c r="J386" s="2">
        <v>4.17</v>
      </c>
      <c r="K386" s="2">
        <v>-2.94</v>
      </c>
      <c r="L386" s="2">
        <v>-0.62</v>
      </c>
      <c r="M386" s="2">
        <v>0.01</v>
      </c>
      <c r="N386" s="2">
        <v>22.3</v>
      </c>
      <c r="O386" s="2">
        <v>13.76</v>
      </c>
      <c r="P386" s="2">
        <v>30.36</v>
      </c>
      <c r="Q386" s="2">
        <v>1.36</v>
      </c>
      <c r="R386" s="2">
        <v>-3.04</v>
      </c>
      <c r="S386" s="2">
        <v>2.15</v>
      </c>
      <c r="T386" s="2">
        <v>16.57</v>
      </c>
      <c r="U386" s="2">
        <v>1.21</v>
      </c>
      <c r="V386" s="2">
        <v>9.36</v>
      </c>
      <c r="W386" s="2">
        <v>22.19</v>
      </c>
      <c r="X386" s="2">
        <v>18.73</v>
      </c>
      <c r="Y386" s="2">
        <v>18.29</v>
      </c>
      <c r="Z386" s="2">
        <v>1.87</v>
      </c>
      <c r="AA386" s="2">
        <v>0</v>
      </c>
      <c r="AB386" s="2">
        <v>0.06</v>
      </c>
      <c r="AC386" s="2">
        <v>0</v>
      </c>
      <c r="AD386" s="2">
        <v>3.88</v>
      </c>
      <c r="AE386" s="2">
        <v>1.86</v>
      </c>
      <c r="AF386" s="2">
        <v>100.59</v>
      </c>
      <c r="AG386" s="2">
        <v>16.420000000000002</v>
      </c>
      <c r="AH386" s="4">
        <f t="shared" si="5"/>
        <v>107.74999999999997</v>
      </c>
    </row>
    <row r="387" spans="1:34" x14ac:dyDescent="0.2">
      <c r="A387" s="3">
        <v>19693</v>
      </c>
      <c r="B387" s="2">
        <v>1.31</v>
      </c>
      <c r="C387" s="2">
        <v>13.91</v>
      </c>
      <c r="D387" s="2">
        <v>4.45</v>
      </c>
      <c r="E387" s="2">
        <v>5.96</v>
      </c>
      <c r="F387" s="2">
        <v>6.23</v>
      </c>
      <c r="G387" s="2">
        <v>23</v>
      </c>
      <c r="H387" s="2">
        <v>16.690000000000001</v>
      </c>
      <c r="I387" s="2">
        <v>29.95</v>
      </c>
      <c r="J387" s="2">
        <v>9.56</v>
      </c>
      <c r="K387" s="2">
        <v>-1.1399999999999999</v>
      </c>
      <c r="L387" s="2">
        <v>-2.63</v>
      </c>
      <c r="M387" s="2">
        <v>-3.3</v>
      </c>
      <c r="N387" s="2">
        <v>7.34</v>
      </c>
      <c r="O387" s="2">
        <v>2.39</v>
      </c>
      <c r="P387" s="2">
        <v>22.13</v>
      </c>
      <c r="Q387" s="2">
        <v>-0.48</v>
      </c>
      <c r="R387" s="2">
        <v>-3.39</v>
      </c>
      <c r="S387" s="2">
        <v>5.46</v>
      </c>
      <c r="T387" s="2">
        <v>10.130000000000001</v>
      </c>
      <c r="U387" s="2">
        <v>4.84</v>
      </c>
      <c r="V387" s="2">
        <v>7.85</v>
      </c>
      <c r="W387" s="2">
        <v>15.43</v>
      </c>
      <c r="X387" s="2">
        <v>12.19</v>
      </c>
      <c r="Y387" s="2">
        <v>10.76</v>
      </c>
      <c r="Z387" s="2">
        <v>0</v>
      </c>
      <c r="AA387" s="2">
        <v>2.15</v>
      </c>
      <c r="AB387" s="2">
        <v>0.33</v>
      </c>
      <c r="AC387" s="2">
        <v>0.41</v>
      </c>
      <c r="AD387" s="2">
        <v>2.4500000000000002</v>
      </c>
      <c r="AE387" s="2">
        <v>16.22</v>
      </c>
      <c r="AF387" s="2">
        <v>66</v>
      </c>
      <c r="AG387" s="2">
        <v>12.92</v>
      </c>
      <c r="AH387" s="4">
        <f t="shared" ref="AH387:AH450" si="6">SUM(B387:V387)</f>
        <v>160.26000000000005</v>
      </c>
    </row>
    <row r="388" spans="1:34" x14ac:dyDescent="0.2">
      <c r="A388" s="3">
        <v>19724</v>
      </c>
      <c r="B388" s="2">
        <v>0.22</v>
      </c>
      <c r="C388" s="2">
        <v>6.92</v>
      </c>
      <c r="D388" s="2">
        <v>-12.11</v>
      </c>
      <c r="E388" s="2">
        <v>-26.35</v>
      </c>
      <c r="F388" s="2">
        <v>-14.51</v>
      </c>
      <c r="G388" s="2">
        <v>7.07</v>
      </c>
      <c r="H388" s="2">
        <v>9.09</v>
      </c>
      <c r="I388" s="2">
        <v>28.1</v>
      </c>
      <c r="J388" s="2">
        <v>5.34</v>
      </c>
      <c r="K388" s="2">
        <v>-3.89</v>
      </c>
      <c r="L388" s="2">
        <v>-6.07</v>
      </c>
      <c r="M388" s="2">
        <v>-3.3</v>
      </c>
      <c r="N388" s="2">
        <v>7.59</v>
      </c>
      <c r="O388" s="2">
        <v>2.4300000000000002</v>
      </c>
      <c r="P388" s="2">
        <v>16.12</v>
      </c>
      <c r="Q388" s="2">
        <v>-1</v>
      </c>
      <c r="R388" s="2">
        <v>-2.99</v>
      </c>
      <c r="S388" s="2">
        <v>3.04</v>
      </c>
      <c r="T388" s="2">
        <v>8.7799999999999994</v>
      </c>
      <c r="U388" s="2">
        <v>3.8</v>
      </c>
      <c r="V388" s="2">
        <v>7.42</v>
      </c>
      <c r="W388" s="2">
        <v>11.73</v>
      </c>
      <c r="X388" s="2">
        <v>9.98</v>
      </c>
      <c r="Y388" s="2">
        <v>9.76</v>
      </c>
      <c r="Z388" s="2">
        <v>0</v>
      </c>
      <c r="AA388" s="2">
        <v>0.14000000000000001</v>
      </c>
      <c r="AB388" s="2">
        <v>3.16</v>
      </c>
      <c r="AC388" s="2">
        <v>0</v>
      </c>
      <c r="AD388" s="2">
        <v>2.5099999999999998</v>
      </c>
      <c r="AE388" s="2">
        <v>4.66</v>
      </c>
      <c r="AF388" s="2">
        <v>60.63</v>
      </c>
      <c r="AG388" s="2">
        <v>11.2</v>
      </c>
      <c r="AH388" s="4">
        <f t="shared" si="6"/>
        <v>35.700000000000003</v>
      </c>
    </row>
    <row r="389" spans="1:34" x14ac:dyDescent="0.2">
      <c r="A389" s="3">
        <v>19755</v>
      </c>
      <c r="B389" s="2">
        <v>9.32</v>
      </c>
      <c r="C389" s="2">
        <v>20.72</v>
      </c>
      <c r="D389" s="2">
        <v>24.94</v>
      </c>
      <c r="E389" s="2">
        <v>93.49</v>
      </c>
      <c r="F389" s="2">
        <v>53.41</v>
      </c>
      <c r="G389" s="2">
        <v>114</v>
      </c>
      <c r="H389" s="2">
        <v>33.479999999999997</v>
      </c>
      <c r="I389" s="2">
        <v>35.72</v>
      </c>
      <c r="J389" s="2">
        <v>24.68</v>
      </c>
      <c r="K389" s="2">
        <v>15.56</v>
      </c>
      <c r="L389" s="2">
        <v>-7.73</v>
      </c>
      <c r="M389" s="2">
        <v>1.06</v>
      </c>
      <c r="N389" s="2">
        <v>20.36</v>
      </c>
      <c r="O389" s="2">
        <v>2.5</v>
      </c>
      <c r="P389" s="2">
        <v>35.53</v>
      </c>
      <c r="Q389" s="2">
        <v>-1.86</v>
      </c>
      <c r="R389" s="2">
        <v>-2.0499999999999998</v>
      </c>
      <c r="S389" s="2">
        <v>30.42</v>
      </c>
      <c r="T389" s="2">
        <v>27.74</v>
      </c>
      <c r="U389" s="2">
        <v>3.72</v>
      </c>
      <c r="V389" s="2">
        <v>10.050000000000001</v>
      </c>
      <c r="W389" s="2">
        <v>4.26</v>
      </c>
      <c r="X389" s="2">
        <v>10.18</v>
      </c>
      <c r="Y389" s="2">
        <v>8.8699999999999992</v>
      </c>
      <c r="Z389" s="2">
        <v>21.68</v>
      </c>
      <c r="AA389" s="2">
        <v>6.88</v>
      </c>
      <c r="AB389" s="2">
        <v>10.130000000000001</v>
      </c>
      <c r="AC389" s="2">
        <v>29.11</v>
      </c>
      <c r="AD389" s="2">
        <v>2.35</v>
      </c>
      <c r="AE389" s="2">
        <v>20.6</v>
      </c>
      <c r="AF389" s="2">
        <v>71.459999999999994</v>
      </c>
      <c r="AG389" s="2">
        <v>9.8800000000000008</v>
      </c>
      <c r="AH389" s="4">
        <f t="shared" si="6"/>
        <v>545.06000000000006</v>
      </c>
    </row>
    <row r="390" spans="1:34" x14ac:dyDescent="0.2">
      <c r="A390" s="3">
        <v>19783</v>
      </c>
      <c r="B390" s="2">
        <v>11.56</v>
      </c>
      <c r="C390" s="2">
        <v>18.170000000000002</v>
      </c>
      <c r="D390" s="2">
        <v>3.47</v>
      </c>
      <c r="E390" s="2">
        <v>52.69</v>
      </c>
      <c r="F390" s="2">
        <v>67.89</v>
      </c>
      <c r="G390" s="2">
        <v>80.25</v>
      </c>
      <c r="H390" s="2">
        <v>20.47</v>
      </c>
      <c r="I390" s="2">
        <v>30.39</v>
      </c>
      <c r="J390" s="2">
        <v>17.52</v>
      </c>
      <c r="K390" s="2">
        <v>20.7</v>
      </c>
      <c r="L390" s="2">
        <v>-6.35</v>
      </c>
      <c r="M390" s="2">
        <v>-5.79</v>
      </c>
      <c r="N390" s="2">
        <v>14.11</v>
      </c>
      <c r="O390" s="2">
        <v>3.47</v>
      </c>
      <c r="P390" s="2">
        <v>15.53</v>
      </c>
      <c r="Q390" s="2">
        <v>-1.94</v>
      </c>
      <c r="R390" s="2">
        <v>-1.63</v>
      </c>
      <c r="S390" s="2">
        <v>11.01</v>
      </c>
      <c r="T390" s="2">
        <v>9.59</v>
      </c>
      <c r="U390" s="2">
        <v>3.87</v>
      </c>
      <c r="V390" s="2">
        <v>9.26</v>
      </c>
      <c r="W390" s="2">
        <v>0</v>
      </c>
      <c r="X390" s="2">
        <v>3.6</v>
      </c>
      <c r="Y390" s="2">
        <v>3.68</v>
      </c>
      <c r="Z390" s="2">
        <v>7.94</v>
      </c>
      <c r="AA390" s="2">
        <v>0.28999999999999998</v>
      </c>
      <c r="AB390" s="2">
        <v>5.48</v>
      </c>
      <c r="AC390" s="2">
        <v>3.38</v>
      </c>
      <c r="AD390" s="2">
        <v>2.37</v>
      </c>
      <c r="AE390" s="2">
        <v>16.03</v>
      </c>
      <c r="AF390" s="2">
        <v>59.57</v>
      </c>
      <c r="AG390" s="2">
        <v>10.08</v>
      </c>
      <c r="AH390" s="4">
        <f t="shared" si="6"/>
        <v>374.2399999999999</v>
      </c>
    </row>
    <row r="391" spans="1:34" x14ac:dyDescent="0.2">
      <c r="A391" s="3">
        <v>19814</v>
      </c>
      <c r="B391" s="2">
        <v>6</v>
      </c>
      <c r="C391" s="2">
        <v>12.87</v>
      </c>
      <c r="D391" s="2">
        <v>-2.73</v>
      </c>
      <c r="E391" s="2">
        <v>-25.58</v>
      </c>
      <c r="F391" s="2">
        <v>12.78</v>
      </c>
      <c r="G391" s="2">
        <v>45.64</v>
      </c>
      <c r="H391" s="2">
        <v>21.86</v>
      </c>
      <c r="I391" s="2">
        <v>33.909999999999997</v>
      </c>
      <c r="J391" s="2">
        <v>31.66</v>
      </c>
      <c r="K391" s="2">
        <v>24.11</v>
      </c>
      <c r="L391" s="2">
        <v>37.33</v>
      </c>
      <c r="M391" s="2">
        <v>24.93</v>
      </c>
      <c r="N391" s="2">
        <v>28.71</v>
      </c>
      <c r="O391" s="2">
        <v>9.8000000000000007</v>
      </c>
      <c r="P391" s="2">
        <v>63.09</v>
      </c>
      <c r="Q391" s="2">
        <v>1.85</v>
      </c>
      <c r="R391" s="2">
        <v>-2.5299999999999998</v>
      </c>
      <c r="S391" s="2">
        <v>28.06</v>
      </c>
      <c r="T391" s="2">
        <v>21.51</v>
      </c>
      <c r="U391" s="2">
        <v>1.37</v>
      </c>
      <c r="V391" s="2">
        <v>29.76</v>
      </c>
      <c r="W391" s="2">
        <v>0</v>
      </c>
      <c r="X391" s="2">
        <v>4.54</v>
      </c>
      <c r="Y391" s="2">
        <v>3.59</v>
      </c>
      <c r="Z391" s="2">
        <v>9.76</v>
      </c>
      <c r="AA391" s="2">
        <v>5.88</v>
      </c>
      <c r="AB391" s="2">
        <v>1.1100000000000001</v>
      </c>
      <c r="AC391" s="2">
        <v>10.56</v>
      </c>
      <c r="AD391" s="2">
        <v>4.1399999999999997</v>
      </c>
      <c r="AE391" s="2">
        <v>27.87</v>
      </c>
      <c r="AF391" s="2">
        <v>70.290000000000006</v>
      </c>
      <c r="AG391" s="2">
        <v>10.69</v>
      </c>
      <c r="AH391" s="4">
        <f t="shared" si="6"/>
        <v>404.40000000000003</v>
      </c>
    </row>
    <row r="392" spans="1:34" x14ac:dyDescent="0.2">
      <c r="A392" s="3">
        <v>19844</v>
      </c>
      <c r="B392" s="2">
        <v>4.8099999999999996</v>
      </c>
      <c r="C392" s="2">
        <v>11.73</v>
      </c>
      <c r="D392" s="2">
        <v>-11.37</v>
      </c>
      <c r="E392" s="2">
        <v>-18.48</v>
      </c>
      <c r="F392" s="2">
        <v>17.34</v>
      </c>
      <c r="G392" s="2">
        <v>-13.49</v>
      </c>
      <c r="H392" s="2">
        <v>15</v>
      </c>
      <c r="I392" s="2">
        <v>34.729999999999997</v>
      </c>
      <c r="J392" s="2">
        <v>12.77</v>
      </c>
      <c r="K392" s="2">
        <v>-3.08</v>
      </c>
      <c r="L392" s="2">
        <v>22.25</v>
      </c>
      <c r="M392" s="2">
        <v>-7.3</v>
      </c>
      <c r="N392" s="2">
        <v>21.55</v>
      </c>
      <c r="O392" s="2">
        <v>3.85</v>
      </c>
      <c r="P392" s="2">
        <v>51.41</v>
      </c>
      <c r="Q392" s="2">
        <v>0.99</v>
      </c>
      <c r="R392" s="2">
        <v>-1.21</v>
      </c>
      <c r="S392" s="2">
        <v>5.77</v>
      </c>
      <c r="T392" s="2">
        <v>15.53</v>
      </c>
      <c r="U392" s="2">
        <v>5.09</v>
      </c>
      <c r="V392" s="2">
        <v>24.81</v>
      </c>
      <c r="W392" s="2">
        <v>0</v>
      </c>
      <c r="X392" s="2">
        <v>5.54</v>
      </c>
      <c r="Y392" s="2">
        <v>4.88</v>
      </c>
      <c r="Z392" s="2">
        <v>0</v>
      </c>
      <c r="AA392" s="2">
        <v>0</v>
      </c>
      <c r="AB392" s="2">
        <v>0</v>
      </c>
      <c r="AC392" s="2">
        <v>0</v>
      </c>
      <c r="AD392" s="2">
        <v>4.91</v>
      </c>
      <c r="AE392" s="2">
        <v>3.64</v>
      </c>
      <c r="AF392" s="2">
        <v>86.98</v>
      </c>
      <c r="AG392" s="2">
        <v>14.64</v>
      </c>
      <c r="AH392" s="4">
        <f t="shared" si="6"/>
        <v>192.7</v>
      </c>
    </row>
    <row r="393" spans="1:34" x14ac:dyDescent="0.2">
      <c r="A393" s="3">
        <v>19875</v>
      </c>
      <c r="B393" s="2">
        <v>1.56</v>
      </c>
      <c r="C393" s="2">
        <v>2.08</v>
      </c>
      <c r="D393" s="2">
        <v>-10.199999999999999</v>
      </c>
      <c r="E393" s="2">
        <v>-73.73</v>
      </c>
      <c r="F393" s="2">
        <v>-77.22</v>
      </c>
      <c r="G393" s="2">
        <v>-43.46</v>
      </c>
      <c r="H393" s="2">
        <v>-8.33</v>
      </c>
      <c r="I393" s="2">
        <v>26.18</v>
      </c>
      <c r="J393" s="2">
        <v>-6.54</v>
      </c>
      <c r="K393" s="2">
        <v>25.05</v>
      </c>
      <c r="L393" s="2">
        <v>11.42</v>
      </c>
      <c r="M393" s="2">
        <v>13.08</v>
      </c>
      <c r="N393" s="2">
        <v>39.03</v>
      </c>
      <c r="O393" s="2">
        <v>8.4</v>
      </c>
      <c r="P393" s="2">
        <v>34.47</v>
      </c>
      <c r="Q393" s="2">
        <v>5.09</v>
      </c>
      <c r="R393" s="2">
        <v>2.2999999999999998</v>
      </c>
      <c r="S393" s="2">
        <v>9.75</v>
      </c>
      <c r="T393" s="2">
        <v>37.869999999999997</v>
      </c>
      <c r="U393" s="2">
        <v>-0.08</v>
      </c>
      <c r="V393" s="2">
        <v>29.57</v>
      </c>
      <c r="W393" s="2">
        <v>4.88</v>
      </c>
      <c r="X393" s="2">
        <v>8.59</v>
      </c>
      <c r="Y393" s="2">
        <v>7.27</v>
      </c>
      <c r="Z393" s="2">
        <v>0</v>
      </c>
      <c r="AA393" s="2">
        <v>0</v>
      </c>
      <c r="AB393" s="2">
        <v>0</v>
      </c>
      <c r="AC393" s="2">
        <v>0</v>
      </c>
      <c r="AD393" s="2">
        <v>5.66</v>
      </c>
      <c r="AE393" s="2">
        <v>1.1200000000000001</v>
      </c>
      <c r="AF393" s="2">
        <v>98.23</v>
      </c>
      <c r="AG393" s="2">
        <v>17.690000000000001</v>
      </c>
      <c r="AH393" s="4">
        <f t="shared" si="6"/>
        <v>26.29000000000002</v>
      </c>
    </row>
    <row r="394" spans="1:34" x14ac:dyDescent="0.2">
      <c r="A394" s="3">
        <v>19905</v>
      </c>
      <c r="B394" s="2">
        <v>1.99</v>
      </c>
      <c r="C394" s="2">
        <v>4.66</v>
      </c>
      <c r="D394" s="2">
        <v>-11.44</v>
      </c>
      <c r="E394" s="2">
        <v>-76.709999999999994</v>
      </c>
      <c r="F394" s="2">
        <v>-40.29</v>
      </c>
      <c r="G394" s="2">
        <v>-24.64</v>
      </c>
      <c r="H394" s="2">
        <v>-2.65</v>
      </c>
      <c r="I394" s="2">
        <v>21.34</v>
      </c>
      <c r="J394" s="2">
        <v>-38.29</v>
      </c>
      <c r="K394" s="2">
        <v>-1.88</v>
      </c>
      <c r="L394" s="2">
        <v>-49.14</v>
      </c>
      <c r="M394" s="2">
        <v>-22.5</v>
      </c>
      <c r="N394" s="2">
        <v>14.92</v>
      </c>
      <c r="O394" s="2">
        <v>67.680000000000007</v>
      </c>
      <c r="P394" s="2">
        <v>73.67</v>
      </c>
      <c r="Q394" s="2">
        <v>4.9800000000000004</v>
      </c>
      <c r="R394" s="2">
        <v>0.8</v>
      </c>
      <c r="S394" s="2">
        <v>11.01</v>
      </c>
      <c r="T394" s="2">
        <v>55.63</v>
      </c>
      <c r="U394" s="2">
        <v>-1.59</v>
      </c>
      <c r="V394" s="2">
        <v>38.869999999999997</v>
      </c>
      <c r="W394" s="2">
        <v>18.62</v>
      </c>
      <c r="X394" s="2">
        <v>13.98</v>
      </c>
      <c r="Y394" s="2">
        <v>13.36</v>
      </c>
      <c r="Z394" s="2">
        <v>0</v>
      </c>
      <c r="AA394" s="2">
        <v>0</v>
      </c>
      <c r="AB394" s="2">
        <v>0.06</v>
      </c>
      <c r="AC394" s="2">
        <v>12.73</v>
      </c>
      <c r="AD394" s="2">
        <v>8.1300000000000008</v>
      </c>
      <c r="AE394" s="2">
        <v>1.1200000000000001</v>
      </c>
      <c r="AF394" s="2">
        <v>107.5</v>
      </c>
      <c r="AG394" s="2">
        <v>22.83</v>
      </c>
      <c r="AH394" s="4">
        <f t="shared" si="6"/>
        <v>26.419999999999991</v>
      </c>
    </row>
    <row r="395" spans="1:34" x14ac:dyDescent="0.2">
      <c r="A395" s="3">
        <v>19936</v>
      </c>
      <c r="B395" s="2">
        <v>2.37</v>
      </c>
      <c r="C395" s="2">
        <v>7.1</v>
      </c>
      <c r="D395" s="2">
        <v>-4.88</v>
      </c>
      <c r="E395" s="2">
        <v>-53.33</v>
      </c>
      <c r="F395" s="2">
        <v>-16.59</v>
      </c>
      <c r="G395" s="2">
        <v>-3.98</v>
      </c>
      <c r="H395" s="2">
        <v>6.48</v>
      </c>
      <c r="I395" s="2">
        <v>24.43</v>
      </c>
      <c r="J395" s="2">
        <v>-25.34</v>
      </c>
      <c r="K395" s="2">
        <v>12.9</v>
      </c>
      <c r="L395" s="2">
        <v>-21.59</v>
      </c>
      <c r="M395" s="2">
        <v>-9.7799999999999994</v>
      </c>
      <c r="N395" s="2">
        <v>22.19</v>
      </c>
      <c r="O395" s="2">
        <v>93.17</v>
      </c>
      <c r="P395" s="2">
        <v>106.18</v>
      </c>
      <c r="Q395" s="2">
        <v>2.72</v>
      </c>
      <c r="R395" s="2">
        <v>7.5</v>
      </c>
      <c r="S395" s="2">
        <v>15.78</v>
      </c>
      <c r="T395" s="2">
        <v>51.23</v>
      </c>
      <c r="U395" s="2">
        <v>4.21</v>
      </c>
      <c r="V395" s="2">
        <v>46.34</v>
      </c>
      <c r="W395" s="2">
        <v>30.39</v>
      </c>
      <c r="X395" s="2">
        <v>19.27</v>
      </c>
      <c r="Y395" s="2">
        <v>19.02</v>
      </c>
      <c r="Z395" s="2">
        <v>0</v>
      </c>
      <c r="AA395" s="2">
        <v>1.1499999999999999</v>
      </c>
      <c r="AB395" s="2">
        <v>2.0499999999999998</v>
      </c>
      <c r="AC395" s="2">
        <v>4.2</v>
      </c>
      <c r="AD395" s="2">
        <v>10.96</v>
      </c>
      <c r="AE395" s="2">
        <v>0</v>
      </c>
      <c r="AF395" s="2">
        <v>117.07</v>
      </c>
      <c r="AG395" s="2">
        <v>24.8</v>
      </c>
      <c r="AH395" s="4">
        <f t="shared" si="6"/>
        <v>267.11</v>
      </c>
    </row>
    <row r="396" spans="1:34" x14ac:dyDescent="0.2">
      <c r="A396" s="3">
        <v>19967</v>
      </c>
      <c r="B396" s="2">
        <v>2.33</v>
      </c>
      <c r="C396" s="2">
        <v>6.88</v>
      </c>
      <c r="D396" s="2">
        <v>-5.36</v>
      </c>
      <c r="E396" s="2">
        <v>-57.21</v>
      </c>
      <c r="F396" s="2">
        <v>-6.02</v>
      </c>
      <c r="G396" s="2">
        <v>4.62</v>
      </c>
      <c r="H396" s="2">
        <v>12.9</v>
      </c>
      <c r="I396" s="2">
        <v>25.01</v>
      </c>
      <c r="J396" s="2">
        <v>-11.49</v>
      </c>
      <c r="K396" s="2">
        <v>14.55</v>
      </c>
      <c r="L396" s="2">
        <v>-10.02</v>
      </c>
      <c r="M396" s="2">
        <v>-3.6</v>
      </c>
      <c r="N396" s="2">
        <v>21.83</v>
      </c>
      <c r="O396" s="2">
        <v>74.91</v>
      </c>
      <c r="P396" s="2">
        <v>92.21</v>
      </c>
      <c r="Q396" s="2">
        <v>1.38</v>
      </c>
      <c r="R396" s="2">
        <v>1.31</v>
      </c>
      <c r="S396" s="2">
        <v>14.42</v>
      </c>
      <c r="T396" s="2">
        <v>43.06</v>
      </c>
      <c r="U396" s="2">
        <v>7.66</v>
      </c>
      <c r="V396" s="2">
        <v>39.94</v>
      </c>
      <c r="W396" s="2">
        <v>31.47</v>
      </c>
      <c r="X396" s="2">
        <v>21.6</v>
      </c>
      <c r="Y396" s="2">
        <v>21.48</v>
      </c>
      <c r="Z396" s="2">
        <v>0</v>
      </c>
      <c r="AA396" s="2">
        <v>0</v>
      </c>
      <c r="AB396" s="2">
        <v>0</v>
      </c>
      <c r="AC396" s="2">
        <v>0</v>
      </c>
      <c r="AD396" s="2">
        <v>6.32</v>
      </c>
      <c r="AE396" s="2">
        <v>0</v>
      </c>
      <c r="AF396" s="2">
        <v>119.06</v>
      </c>
      <c r="AG396" s="2">
        <v>23.65</v>
      </c>
      <c r="AH396" s="4">
        <f t="shared" si="6"/>
        <v>269.30999999999995</v>
      </c>
    </row>
    <row r="397" spans="1:34" x14ac:dyDescent="0.2">
      <c r="A397" s="3">
        <v>19997</v>
      </c>
      <c r="B397" s="2">
        <v>-1.69</v>
      </c>
      <c r="C397" s="2">
        <v>4.5</v>
      </c>
      <c r="D397" s="2">
        <v>-15.18</v>
      </c>
      <c r="E397" s="2">
        <v>-68.41</v>
      </c>
      <c r="F397" s="2">
        <v>-8.6199999999999992</v>
      </c>
      <c r="G397" s="2">
        <v>9.77</v>
      </c>
      <c r="H397" s="2">
        <v>14.97</v>
      </c>
      <c r="I397" s="2">
        <v>27.13</v>
      </c>
      <c r="J397" s="2">
        <v>5.14</v>
      </c>
      <c r="K397" s="2">
        <v>0.17</v>
      </c>
      <c r="L397" s="2">
        <v>-1.77</v>
      </c>
      <c r="M397" s="2">
        <v>-4</v>
      </c>
      <c r="N397" s="2">
        <v>28.45</v>
      </c>
      <c r="O397" s="2">
        <v>0.79</v>
      </c>
      <c r="P397" s="2">
        <v>25.62</v>
      </c>
      <c r="Q397" s="2">
        <v>2.8</v>
      </c>
      <c r="R397" s="2">
        <v>2.8</v>
      </c>
      <c r="S397" s="2">
        <v>1.67</v>
      </c>
      <c r="T397" s="2">
        <v>12.98</v>
      </c>
      <c r="U397" s="2">
        <v>5.13</v>
      </c>
      <c r="V397" s="2">
        <v>11.06</v>
      </c>
      <c r="W397" s="2">
        <v>26.1</v>
      </c>
      <c r="X397" s="2">
        <v>20.51</v>
      </c>
      <c r="Y397" s="2">
        <v>20.18</v>
      </c>
      <c r="Z397" s="2">
        <v>0</v>
      </c>
      <c r="AA397" s="2">
        <v>21.08</v>
      </c>
      <c r="AB397" s="2">
        <v>1.05</v>
      </c>
      <c r="AC397" s="2">
        <v>0</v>
      </c>
      <c r="AD397" s="2">
        <v>4.46</v>
      </c>
      <c r="AE397" s="2">
        <v>0</v>
      </c>
      <c r="AF397" s="2">
        <v>110.9</v>
      </c>
      <c r="AG397" s="2">
        <v>20.170000000000002</v>
      </c>
      <c r="AH397" s="4">
        <f t="shared" si="6"/>
        <v>53.309999999999995</v>
      </c>
    </row>
    <row r="398" spans="1:34" x14ac:dyDescent="0.2">
      <c r="A398" s="3">
        <v>20028</v>
      </c>
      <c r="B398" s="2">
        <v>-3.01</v>
      </c>
      <c r="C398" s="2">
        <v>5.13</v>
      </c>
      <c r="D398" s="2">
        <v>-17.350000000000001</v>
      </c>
      <c r="E398" s="2">
        <v>-42.22</v>
      </c>
      <c r="F398" s="2">
        <v>-8.3699999999999992</v>
      </c>
      <c r="G398" s="2">
        <v>11.42</v>
      </c>
      <c r="H398" s="2">
        <v>13.63</v>
      </c>
      <c r="I398" s="2">
        <v>28.94</v>
      </c>
      <c r="J398" s="2">
        <v>2.39</v>
      </c>
      <c r="K398" s="2">
        <v>-11.05</v>
      </c>
      <c r="L398" s="2">
        <v>-0.21</v>
      </c>
      <c r="M398" s="2">
        <v>-7.7</v>
      </c>
      <c r="N398" s="2">
        <v>18.690000000000001</v>
      </c>
      <c r="O398" s="2">
        <v>16.739999999999998</v>
      </c>
      <c r="P398" s="2">
        <v>28.06</v>
      </c>
      <c r="Q398" s="2">
        <v>0.51</v>
      </c>
      <c r="R398" s="2">
        <v>-1.68</v>
      </c>
      <c r="S398" s="2">
        <v>3.6</v>
      </c>
      <c r="T398" s="2">
        <v>17.05</v>
      </c>
      <c r="U398" s="2">
        <v>1.69</v>
      </c>
      <c r="V398" s="2">
        <v>9.6300000000000008</v>
      </c>
      <c r="W398" s="2">
        <v>22.19</v>
      </c>
      <c r="X398" s="2">
        <v>19</v>
      </c>
      <c r="Y398" s="2">
        <v>18.649999999999999</v>
      </c>
      <c r="Z398" s="2">
        <v>6.27</v>
      </c>
      <c r="AA398" s="2">
        <v>0</v>
      </c>
      <c r="AB398" s="2">
        <v>0</v>
      </c>
      <c r="AC398" s="2">
        <v>0</v>
      </c>
      <c r="AD398" s="2">
        <v>2.92</v>
      </c>
      <c r="AE398" s="2">
        <v>0</v>
      </c>
      <c r="AF398" s="2">
        <v>100.59</v>
      </c>
      <c r="AG398" s="2">
        <v>16.420000000000002</v>
      </c>
      <c r="AH398" s="4">
        <f t="shared" si="6"/>
        <v>65.889999999999986</v>
      </c>
    </row>
    <row r="399" spans="1:34" x14ac:dyDescent="0.2">
      <c r="A399" s="3">
        <v>20058</v>
      </c>
      <c r="B399" s="2">
        <v>0.52</v>
      </c>
      <c r="C399" s="2">
        <v>15.78</v>
      </c>
      <c r="D399" s="2">
        <v>10.51</v>
      </c>
      <c r="E399" s="2">
        <v>18.21</v>
      </c>
      <c r="F399" s="2">
        <v>17.010000000000002</v>
      </c>
      <c r="G399" s="2">
        <v>34.78</v>
      </c>
      <c r="H399" s="2">
        <v>18.690000000000001</v>
      </c>
      <c r="I399" s="2">
        <v>30.56</v>
      </c>
      <c r="J399" s="2">
        <v>13.52</v>
      </c>
      <c r="K399" s="2">
        <v>6.33</v>
      </c>
      <c r="L399" s="2">
        <v>2.14</v>
      </c>
      <c r="M399" s="2">
        <v>-1.1499999999999999</v>
      </c>
      <c r="N399" s="2">
        <v>17.86</v>
      </c>
      <c r="O399" s="2">
        <v>2.69</v>
      </c>
      <c r="P399" s="2">
        <v>22.1</v>
      </c>
      <c r="Q399" s="2">
        <v>0.19</v>
      </c>
      <c r="R399" s="2">
        <v>-3.01</v>
      </c>
      <c r="S399" s="2">
        <v>6.45</v>
      </c>
      <c r="T399" s="2">
        <v>10.71</v>
      </c>
      <c r="U399" s="2">
        <v>5</v>
      </c>
      <c r="V399" s="2">
        <v>7.99</v>
      </c>
      <c r="W399" s="2">
        <v>15.43</v>
      </c>
      <c r="X399" s="2">
        <v>12.41</v>
      </c>
      <c r="Y399" s="2">
        <v>11.05</v>
      </c>
      <c r="Z399" s="2">
        <v>3.88</v>
      </c>
      <c r="AA399" s="2">
        <v>2.44</v>
      </c>
      <c r="AB399" s="2">
        <v>3.7</v>
      </c>
      <c r="AC399" s="2">
        <v>17.190000000000001</v>
      </c>
      <c r="AD399" s="2">
        <v>1.81</v>
      </c>
      <c r="AE399" s="2">
        <v>12.31</v>
      </c>
      <c r="AF399" s="2">
        <v>66</v>
      </c>
      <c r="AG399" s="2">
        <v>12.92</v>
      </c>
      <c r="AH399" s="4">
        <f t="shared" si="6"/>
        <v>236.88</v>
      </c>
    </row>
    <row r="400" spans="1:34" x14ac:dyDescent="0.2">
      <c r="A400" s="3">
        <v>20089</v>
      </c>
      <c r="B400" s="2">
        <v>2.59</v>
      </c>
      <c r="C400" s="2">
        <v>15.9</v>
      </c>
      <c r="D400" s="2">
        <v>7.21</v>
      </c>
      <c r="E400" s="2">
        <v>18.79</v>
      </c>
      <c r="F400" s="2">
        <v>22.9</v>
      </c>
      <c r="G400" s="2">
        <v>66.819999999999993</v>
      </c>
      <c r="H400" s="2">
        <v>19.25</v>
      </c>
      <c r="I400" s="2">
        <v>34.96</v>
      </c>
      <c r="J400" s="2">
        <v>46.96</v>
      </c>
      <c r="K400" s="2">
        <v>14.07</v>
      </c>
      <c r="L400" s="2">
        <v>15.37</v>
      </c>
      <c r="M400" s="2">
        <v>10.75</v>
      </c>
      <c r="N400" s="2">
        <v>19.46</v>
      </c>
      <c r="O400" s="2">
        <v>2.57</v>
      </c>
      <c r="P400" s="2">
        <v>26.53</v>
      </c>
      <c r="Q400" s="2">
        <v>-0.95</v>
      </c>
      <c r="R400" s="2">
        <v>-2.72</v>
      </c>
      <c r="S400" s="2">
        <v>13.25</v>
      </c>
      <c r="T400" s="2">
        <v>9.5</v>
      </c>
      <c r="U400" s="2">
        <v>3.41</v>
      </c>
      <c r="V400" s="2">
        <v>7.33</v>
      </c>
      <c r="W400" s="2">
        <v>11.73</v>
      </c>
      <c r="X400" s="2">
        <v>10.18</v>
      </c>
      <c r="Y400" s="2">
        <v>10.029999999999999</v>
      </c>
      <c r="Z400" s="2">
        <v>0</v>
      </c>
      <c r="AA400" s="2">
        <v>0.72</v>
      </c>
      <c r="AB400" s="2">
        <v>1.27</v>
      </c>
      <c r="AC400" s="2">
        <v>2.84</v>
      </c>
      <c r="AD400" s="2">
        <v>1.79</v>
      </c>
      <c r="AE400" s="2">
        <v>27.59</v>
      </c>
      <c r="AF400" s="2">
        <v>60.63</v>
      </c>
      <c r="AG400" s="2">
        <v>11.2</v>
      </c>
      <c r="AH400" s="4">
        <f t="shared" si="6"/>
        <v>353.95</v>
      </c>
    </row>
    <row r="401" spans="1:34" x14ac:dyDescent="0.2">
      <c r="A401" s="3">
        <v>20120</v>
      </c>
      <c r="B401" s="2">
        <v>2.68</v>
      </c>
      <c r="C401" s="2">
        <v>14.38</v>
      </c>
      <c r="D401" s="2">
        <v>-6.45</v>
      </c>
      <c r="E401" s="2">
        <v>-13.61</v>
      </c>
      <c r="F401" s="2">
        <v>-8.9700000000000006</v>
      </c>
      <c r="G401" s="2">
        <v>22.15</v>
      </c>
      <c r="H401" s="2">
        <v>10.56</v>
      </c>
      <c r="I401" s="2">
        <v>35.380000000000003</v>
      </c>
      <c r="J401" s="2">
        <v>56.99</v>
      </c>
      <c r="K401" s="2">
        <v>38.909999999999997</v>
      </c>
      <c r="L401" s="2">
        <v>13.96</v>
      </c>
      <c r="M401" s="2">
        <v>23.47</v>
      </c>
      <c r="N401" s="2">
        <v>44.37</v>
      </c>
      <c r="O401" s="2">
        <v>3.07</v>
      </c>
      <c r="P401" s="2">
        <v>64.97</v>
      </c>
      <c r="Q401" s="2">
        <v>-0.05</v>
      </c>
      <c r="R401" s="2">
        <v>2.88</v>
      </c>
      <c r="S401" s="2">
        <v>51.28</v>
      </c>
      <c r="T401" s="2">
        <v>23.77</v>
      </c>
      <c r="U401" s="2">
        <v>2.57</v>
      </c>
      <c r="V401" s="2">
        <v>10.119999999999999</v>
      </c>
      <c r="W401" s="2">
        <v>4.26</v>
      </c>
      <c r="X401" s="2">
        <v>7.09</v>
      </c>
      <c r="Y401" s="2">
        <v>5.76</v>
      </c>
      <c r="Z401" s="2">
        <v>13.59</v>
      </c>
      <c r="AA401" s="2">
        <v>20.93</v>
      </c>
      <c r="AB401" s="2">
        <v>1.8</v>
      </c>
      <c r="AC401" s="2">
        <v>13.54</v>
      </c>
      <c r="AD401" s="2">
        <v>1.77</v>
      </c>
      <c r="AE401" s="2">
        <v>38.5</v>
      </c>
      <c r="AF401" s="2">
        <v>75.3</v>
      </c>
      <c r="AG401" s="2">
        <v>9.8800000000000008</v>
      </c>
      <c r="AH401" s="4">
        <f t="shared" si="6"/>
        <v>392.43</v>
      </c>
    </row>
    <row r="402" spans="1:34" x14ac:dyDescent="0.2">
      <c r="A402" s="3">
        <v>20148</v>
      </c>
      <c r="B402" s="2">
        <v>1.1100000000000001</v>
      </c>
      <c r="C402" s="2">
        <v>8.94</v>
      </c>
      <c r="D402" s="2">
        <v>-18.46</v>
      </c>
      <c r="E402" s="2">
        <v>-46.07</v>
      </c>
      <c r="F402" s="2">
        <v>-19.02</v>
      </c>
      <c r="G402" s="2">
        <v>-3.58</v>
      </c>
      <c r="H402" s="2">
        <v>7.27</v>
      </c>
      <c r="I402" s="2">
        <v>28.97</v>
      </c>
      <c r="J402" s="2">
        <v>-1.1000000000000001</v>
      </c>
      <c r="K402" s="2">
        <v>-12.8</v>
      </c>
      <c r="L402" s="2">
        <v>-4.93</v>
      </c>
      <c r="M402" s="2">
        <v>-5.67</v>
      </c>
      <c r="N402" s="2">
        <v>4.22</v>
      </c>
      <c r="O402" s="2">
        <v>2.65</v>
      </c>
      <c r="P402" s="2">
        <v>18.91</v>
      </c>
      <c r="Q402" s="2">
        <v>0.66</v>
      </c>
      <c r="R402" s="2">
        <v>4.32</v>
      </c>
      <c r="S402" s="2">
        <v>17.04</v>
      </c>
      <c r="T402" s="2">
        <v>9.81</v>
      </c>
      <c r="U402" s="2">
        <v>3.92</v>
      </c>
      <c r="V402" s="2">
        <v>7.9</v>
      </c>
      <c r="W402" s="2">
        <v>0</v>
      </c>
      <c r="X402" s="2">
        <v>1.04</v>
      </c>
      <c r="Y402" s="2">
        <v>1.1100000000000001</v>
      </c>
      <c r="Z402" s="2">
        <v>1.05</v>
      </c>
      <c r="AA402" s="2">
        <v>0</v>
      </c>
      <c r="AB402" s="2">
        <v>2.54</v>
      </c>
      <c r="AC402" s="2">
        <v>0.68</v>
      </c>
      <c r="AD402" s="2">
        <v>2.11</v>
      </c>
      <c r="AE402" s="2">
        <v>14.26</v>
      </c>
      <c r="AF402" s="2">
        <v>62.77</v>
      </c>
      <c r="AG402" s="2">
        <v>10.08</v>
      </c>
      <c r="AH402" s="4">
        <f t="shared" si="6"/>
        <v>4.0899999999999945</v>
      </c>
    </row>
    <row r="403" spans="1:34" x14ac:dyDescent="0.2">
      <c r="A403" s="3">
        <v>20179</v>
      </c>
      <c r="B403" s="2">
        <v>0.65</v>
      </c>
      <c r="C403" s="2">
        <v>5.15</v>
      </c>
      <c r="D403" s="2">
        <v>-16.829999999999998</v>
      </c>
      <c r="E403" s="2">
        <v>-37.83</v>
      </c>
      <c r="F403" s="2">
        <v>-0.22</v>
      </c>
      <c r="G403" s="2">
        <v>-7.38</v>
      </c>
      <c r="H403" s="2">
        <v>10.7</v>
      </c>
      <c r="I403" s="2">
        <v>25.25</v>
      </c>
      <c r="J403" s="2">
        <v>-1.36</v>
      </c>
      <c r="K403" s="2">
        <v>-2.52</v>
      </c>
      <c r="L403" s="2">
        <v>-7.8</v>
      </c>
      <c r="M403" s="2">
        <v>-9.67</v>
      </c>
      <c r="N403" s="2">
        <v>15.23</v>
      </c>
      <c r="O403" s="2">
        <v>10.94</v>
      </c>
      <c r="P403" s="2">
        <v>53.23</v>
      </c>
      <c r="Q403" s="2">
        <v>2.61</v>
      </c>
      <c r="R403" s="2">
        <v>1.1200000000000001</v>
      </c>
      <c r="S403" s="2">
        <v>-6.33</v>
      </c>
      <c r="T403" s="2">
        <v>24.99</v>
      </c>
      <c r="U403" s="2">
        <v>-0.24</v>
      </c>
      <c r="V403" s="2">
        <v>19.86</v>
      </c>
      <c r="W403" s="2">
        <v>0</v>
      </c>
      <c r="X403" s="2">
        <v>1.52</v>
      </c>
      <c r="Y403" s="2">
        <v>0.53</v>
      </c>
      <c r="Z403" s="2">
        <v>0</v>
      </c>
      <c r="AA403" s="2">
        <v>0</v>
      </c>
      <c r="AB403" s="2">
        <v>0</v>
      </c>
      <c r="AC403" s="2">
        <v>0</v>
      </c>
      <c r="AD403" s="2">
        <v>3.97</v>
      </c>
      <c r="AE403" s="2">
        <v>0.47</v>
      </c>
      <c r="AF403" s="2">
        <v>74.069999999999993</v>
      </c>
      <c r="AG403" s="2">
        <v>10.69</v>
      </c>
      <c r="AH403" s="4">
        <f t="shared" si="6"/>
        <v>79.549999999999983</v>
      </c>
    </row>
    <row r="404" spans="1:34" x14ac:dyDescent="0.2">
      <c r="A404" s="3">
        <v>20209</v>
      </c>
      <c r="B404" s="2">
        <v>0.79</v>
      </c>
      <c r="C404" s="2">
        <v>11.72</v>
      </c>
      <c r="D404" s="2">
        <v>-8.76</v>
      </c>
      <c r="E404" s="2">
        <v>-0.63</v>
      </c>
      <c r="F404" s="2">
        <v>12.1</v>
      </c>
      <c r="G404" s="2">
        <v>14.81</v>
      </c>
      <c r="H404" s="2">
        <v>12.84</v>
      </c>
      <c r="I404" s="2">
        <v>32.380000000000003</v>
      </c>
      <c r="J404" s="2">
        <v>2.29</v>
      </c>
      <c r="K404" s="2">
        <v>8.59</v>
      </c>
      <c r="L404" s="2">
        <v>-15.18</v>
      </c>
      <c r="M404" s="2">
        <v>-4.1399999999999997</v>
      </c>
      <c r="N404" s="2">
        <v>41.53</v>
      </c>
      <c r="O404" s="2">
        <v>1.83</v>
      </c>
      <c r="P404" s="2">
        <v>47.34</v>
      </c>
      <c r="Q404" s="2">
        <v>-1.0900000000000001</v>
      </c>
      <c r="R404" s="2">
        <v>3.19</v>
      </c>
      <c r="S404" s="2">
        <v>-2.4500000000000002</v>
      </c>
      <c r="T404" s="2">
        <v>16.079999999999998</v>
      </c>
      <c r="U404" s="2">
        <v>-1.71</v>
      </c>
      <c r="V404" s="2">
        <v>25.05</v>
      </c>
      <c r="W404" s="2">
        <v>0</v>
      </c>
      <c r="X404" s="2">
        <v>1.79</v>
      </c>
      <c r="Y404" s="2">
        <v>1.1000000000000001</v>
      </c>
      <c r="Z404" s="2">
        <v>4.79</v>
      </c>
      <c r="AA404" s="2">
        <v>0</v>
      </c>
      <c r="AB404" s="2">
        <v>1.1599999999999999</v>
      </c>
      <c r="AC404" s="2">
        <v>1.76</v>
      </c>
      <c r="AD404" s="2">
        <v>5.26</v>
      </c>
      <c r="AE404" s="2">
        <v>10.44</v>
      </c>
      <c r="AF404" s="2">
        <v>91.65</v>
      </c>
      <c r="AG404" s="2">
        <v>14.64</v>
      </c>
      <c r="AH404" s="4">
        <f t="shared" si="6"/>
        <v>196.58</v>
      </c>
    </row>
    <row r="405" spans="1:34" x14ac:dyDescent="0.2">
      <c r="A405" s="3">
        <v>20240</v>
      </c>
      <c r="B405" s="2">
        <v>-0.71</v>
      </c>
      <c r="C405" s="2">
        <v>5.91</v>
      </c>
      <c r="D405" s="2">
        <v>-5.76</v>
      </c>
      <c r="E405" s="2">
        <v>-21.2</v>
      </c>
      <c r="F405" s="2">
        <v>13.92</v>
      </c>
      <c r="G405" s="2">
        <v>9.77</v>
      </c>
      <c r="H405" s="2">
        <v>14.23</v>
      </c>
      <c r="I405" s="2">
        <v>28.54</v>
      </c>
      <c r="J405" s="2">
        <v>-3.09</v>
      </c>
      <c r="K405" s="2">
        <v>-1.2</v>
      </c>
      <c r="L405" s="2">
        <v>4.17</v>
      </c>
      <c r="M405" s="2">
        <v>-3.63</v>
      </c>
      <c r="N405" s="2">
        <v>21.04</v>
      </c>
      <c r="O405" s="2">
        <v>7.42</v>
      </c>
      <c r="P405" s="2">
        <v>52</v>
      </c>
      <c r="Q405" s="2">
        <v>0.64</v>
      </c>
      <c r="R405" s="2">
        <v>0.2</v>
      </c>
      <c r="S405" s="2">
        <v>14.11</v>
      </c>
      <c r="T405" s="2">
        <v>35.93</v>
      </c>
      <c r="U405" s="2">
        <v>2.11</v>
      </c>
      <c r="V405" s="2">
        <v>30.74</v>
      </c>
      <c r="W405" s="2">
        <v>4.88</v>
      </c>
      <c r="X405" s="2">
        <v>4.3600000000000003</v>
      </c>
      <c r="Y405" s="2">
        <v>3</v>
      </c>
      <c r="Z405" s="2">
        <v>0.19</v>
      </c>
      <c r="AA405" s="2">
        <v>0</v>
      </c>
      <c r="AB405" s="2">
        <v>0.37</v>
      </c>
      <c r="AC405" s="2">
        <v>1.35</v>
      </c>
      <c r="AD405" s="2">
        <v>8.68</v>
      </c>
      <c r="AE405" s="2">
        <v>6.9</v>
      </c>
      <c r="AF405" s="2">
        <v>103.51</v>
      </c>
      <c r="AG405" s="2">
        <v>17.690000000000001</v>
      </c>
      <c r="AH405" s="4">
        <f t="shared" si="6"/>
        <v>205.14000000000004</v>
      </c>
    </row>
    <row r="406" spans="1:34" x14ac:dyDescent="0.2">
      <c r="A406" s="3">
        <v>20270</v>
      </c>
      <c r="B406" s="2">
        <v>0.13</v>
      </c>
      <c r="C406" s="2">
        <v>7.6</v>
      </c>
      <c r="D406" s="2">
        <v>-9.2100000000000009</v>
      </c>
      <c r="E406" s="2">
        <v>-41.06</v>
      </c>
      <c r="F406" s="2">
        <v>-28.7</v>
      </c>
      <c r="G406" s="2">
        <v>3.77</v>
      </c>
      <c r="H406" s="2">
        <v>7.12</v>
      </c>
      <c r="I406" s="2">
        <v>26.23</v>
      </c>
      <c r="J406" s="2">
        <v>-9.19</v>
      </c>
      <c r="K406" s="2">
        <v>4.91</v>
      </c>
      <c r="L406" s="2">
        <v>11.01</v>
      </c>
      <c r="M406" s="2">
        <v>2.2000000000000002</v>
      </c>
      <c r="N406" s="2">
        <v>26.57</v>
      </c>
      <c r="O406" s="2">
        <v>72.86</v>
      </c>
      <c r="P406" s="2">
        <v>105.35</v>
      </c>
      <c r="Q406" s="2">
        <v>6.63</v>
      </c>
      <c r="R406" s="2">
        <v>3.64</v>
      </c>
      <c r="S406" s="2">
        <v>15.88</v>
      </c>
      <c r="T406" s="2">
        <v>65.59</v>
      </c>
      <c r="U406" s="2">
        <v>8.68</v>
      </c>
      <c r="V406" s="2">
        <v>43.63</v>
      </c>
      <c r="W406" s="2">
        <v>18.62</v>
      </c>
      <c r="X406" s="2">
        <v>9.36</v>
      </c>
      <c r="Y406" s="2">
        <v>8.69</v>
      </c>
      <c r="Z406" s="2">
        <v>0</v>
      </c>
      <c r="AA406" s="2">
        <v>0</v>
      </c>
      <c r="AB406" s="2">
        <v>0</v>
      </c>
      <c r="AC406" s="2">
        <v>0</v>
      </c>
      <c r="AD406" s="2">
        <v>8.4700000000000006</v>
      </c>
      <c r="AE406" s="2">
        <v>0</v>
      </c>
      <c r="AF406" s="2">
        <v>113.28</v>
      </c>
      <c r="AG406" s="2">
        <v>22.83</v>
      </c>
      <c r="AH406" s="4">
        <f t="shared" si="6"/>
        <v>323.63999999999993</v>
      </c>
    </row>
    <row r="407" spans="1:34" x14ac:dyDescent="0.2">
      <c r="A407" s="3">
        <v>20301</v>
      </c>
      <c r="B407" s="2">
        <v>1.06</v>
      </c>
      <c r="C407" s="2">
        <v>14.28</v>
      </c>
      <c r="D407" s="2">
        <v>-4.7699999999999996</v>
      </c>
      <c r="E407" s="2">
        <v>-28.17</v>
      </c>
      <c r="F407" s="2">
        <v>-13.24</v>
      </c>
      <c r="G407" s="2">
        <v>13.75</v>
      </c>
      <c r="H407" s="2">
        <v>10.87</v>
      </c>
      <c r="I407" s="2">
        <v>26.82</v>
      </c>
      <c r="J407" s="2">
        <v>-13.21</v>
      </c>
      <c r="K407" s="2">
        <v>5.04</v>
      </c>
      <c r="L407" s="2">
        <v>-12.56</v>
      </c>
      <c r="M407" s="2">
        <v>2.67</v>
      </c>
      <c r="N407" s="2">
        <v>25.88</v>
      </c>
      <c r="O407" s="2">
        <v>101.36</v>
      </c>
      <c r="P407" s="2">
        <v>142.54</v>
      </c>
      <c r="Q407" s="2">
        <v>1.91</v>
      </c>
      <c r="R407" s="2">
        <v>2.95</v>
      </c>
      <c r="S407" s="2">
        <v>21.72</v>
      </c>
      <c r="T407" s="2">
        <v>57.8</v>
      </c>
      <c r="U407" s="2">
        <v>12.2</v>
      </c>
      <c r="V407" s="2">
        <v>45.76</v>
      </c>
      <c r="W407" s="2">
        <v>30.39</v>
      </c>
      <c r="X407" s="2">
        <v>14.24</v>
      </c>
      <c r="Y407" s="2">
        <v>13.93</v>
      </c>
      <c r="Z407" s="2">
        <v>0</v>
      </c>
      <c r="AA407" s="2">
        <v>1.1499999999999999</v>
      </c>
      <c r="AB407" s="2">
        <v>0.26</v>
      </c>
      <c r="AC407" s="2">
        <v>11.51</v>
      </c>
      <c r="AD407" s="2">
        <v>7.5</v>
      </c>
      <c r="AE407" s="2">
        <v>0</v>
      </c>
      <c r="AF407" s="2">
        <v>123.36</v>
      </c>
      <c r="AG407" s="2">
        <v>24.8</v>
      </c>
      <c r="AH407" s="4">
        <f t="shared" si="6"/>
        <v>414.65999999999997</v>
      </c>
    </row>
    <row r="408" spans="1:34" x14ac:dyDescent="0.2">
      <c r="A408" s="3">
        <v>20332</v>
      </c>
      <c r="B408" s="2">
        <v>-0.62</v>
      </c>
      <c r="C408" s="2">
        <v>12.29</v>
      </c>
      <c r="D408" s="2">
        <v>-7.4</v>
      </c>
      <c r="E408" s="2">
        <v>-47.79</v>
      </c>
      <c r="F408" s="2">
        <v>0.67</v>
      </c>
      <c r="G408" s="2">
        <v>11.59</v>
      </c>
      <c r="H408" s="2">
        <v>12.61</v>
      </c>
      <c r="I408" s="2">
        <v>25.7</v>
      </c>
      <c r="J408" s="2">
        <v>-6.03</v>
      </c>
      <c r="K408" s="2">
        <v>4.2300000000000004</v>
      </c>
      <c r="L408" s="2">
        <v>-6.47</v>
      </c>
      <c r="M408" s="2">
        <v>2.06</v>
      </c>
      <c r="N408" s="2">
        <v>23.23</v>
      </c>
      <c r="O408" s="2">
        <v>81.3</v>
      </c>
      <c r="P408" s="2">
        <v>118.67</v>
      </c>
      <c r="Q408" s="2">
        <v>1.57</v>
      </c>
      <c r="R408" s="2">
        <v>1.46</v>
      </c>
      <c r="S408" s="2">
        <v>18.34</v>
      </c>
      <c r="T408" s="2">
        <v>47.04</v>
      </c>
      <c r="U408" s="2">
        <v>10.3</v>
      </c>
      <c r="V408" s="2">
        <v>40.32</v>
      </c>
      <c r="W408" s="2">
        <v>31.47</v>
      </c>
      <c r="X408" s="2">
        <v>16.48</v>
      </c>
      <c r="Y408" s="2">
        <v>16.309999999999999</v>
      </c>
      <c r="Z408" s="2">
        <v>0</v>
      </c>
      <c r="AA408" s="2">
        <v>1.29</v>
      </c>
      <c r="AB408" s="2">
        <v>1.37</v>
      </c>
      <c r="AC408" s="2">
        <v>17.329999999999998</v>
      </c>
      <c r="AD408" s="2">
        <v>5.21</v>
      </c>
      <c r="AE408" s="2">
        <v>0</v>
      </c>
      <c r="AF408" s="2">
        <v>125.46</v>
      </c>
      <c r="AG408" s="2">
        <v>23.65</v>
      </c>
      <c r="AH408" s="4">
        <f t="shared" si="6"/>
        <v>343.07000000000005</v>
      </c>
    </row>
    <row r="409" spans="1:34" x14ac:dyDescent="0.2">
      <c r="A409" s="3">
        <v>20362</v>
      </c>
      <c r="B409" s="2">
        <v>-3.51</v>
      </c>
      <c r="C409" s="2">
        <v>11.17</v>
      </c>
      <c r="D409" s="2">
        <v>-14.04</v>
      </c>
      <c r="E409" s="2">
        <v>-41.72</v>
      </c>
      <c r="F409" s="2">
        <v>6.58</v>
      </c>
      <c r="G409" s="2">
        <v>14.48</v>
      </c>
      <c r="H409" s="2">
        <v>16.5</v>
      </c>
      <c r="I409" s="2">
        <v>29.71</v>
      </c>
      <c r="J409" s="2">
        <v>10.1</v>
      </c>
      <c r="K409" s="2">
        <v>-0.66</v>
      </c>
      <c r="L409" s="2">
        <v>-2.33</v>
      </c>
      <c r="M409" s="2">
        <v>0.15</v>
      </c>
      <c r="N409" s="2">
        <v>24.94</v>
      </c>
      <c r="O409" s="2">
        <v>3.6</v>
      </c>
      <c r="P409" s="2">
        <v>45.77</v>
      </c>
      <c r="Q409" s="2">
        <v>4.22</v>
      </c>
      <c r="R409" s="2">
        <v>4.9000000000000004</v>
      </c>
      <c r="S409" s="2">
        <v>1.86</v>
      </c>
      <c r="T409" s="2">
        <v>13.11</v>
      </c>
      <c r="U409" s="2">
        <v>5.13</v>
      </c>
      <c r="V409" s="2">
        <v>10.59</v>
      </c>
      <c r="W409" s="2">
        <v>26.1</v>
      </c>
      <c r="X409" s="2">
        <v>15.73</v>
      </c>
      <c r="Y409" s="2">
        <v>15.35</v>
      </c>
      <c r="Z409" s="2">
        <v>0</v>
      </c>
      <c r="AA409" s="2">
        <v>0</v>
      </c>
      <c r="AB409" s="2">
        <v>0</v>
      </c>
      <c r="AC409" s="2">
        <v>0</v>
      </c>
      <c r="AD409" s="2">
        <v>3.92</v>
      </c>
      <c r="AE409" s="2">
        <v>0</v>
      </c>
      <c r="AF409" s="2">
        <v>116.86</v>
      </c>
      <c r="AG409" s="2">
        <v>20.170000000000002</v>
      </c>
      <c r="AH409" s="4">
        <f t="shared" si="6"/>
        <v>140.55000000000001</v>
      </c>
    </row>
    <row r="410" spans="1:34" x14ac:dyDescent="0.2">
      <c r="A410" s="3">
        <v>20393</v>
      </c>
      <c r="B410" s="2">
        <v>-4.87</v>
      </c>
      <c r="C410" s="2">
        <v>6.58</v>
      </c>
      <c r="D410" s="2">
        <v>-16.48</v>
      </c>
      <c r="E410" s="2">
        <v>-31.02</v>
      </c>
      <c r="F410" s="2">
        <v>0.65</v>
      </c>
      <c r="G410" s="2">
        <v>13.24</v>
      </c>
      <c r="H410" s="2">
        <v>13.38</v>
      </c>
      <c r="I410" s="2">
        <v>29.39</v>
      </c>
      <c r="J410" s="2">
        <v>3.39</v>
      </c>
      <c r="K410" s="2">
        <v>-4.76</v>
      </c>
      <c r="L410" s="2">
        <v>-3.54</v>
      </c>
      <c r="M410" s="2">
        <v>-5.54</v>
      </c>
      <c r="N410" s="2">
        <v>17.57</v>
      </c>
      <c r="O410" s="2">
        <v>17.95</v>
      </c>
      <c r="P410" s="2">
        <v>31.62</v>
      </c>
      <c r="Q410" s="2">
        <v>0.94</v>
      </c>
      <c r="R410" s="2">
        <v>-1.29</v>
      </c>
      <c r="S410" s="2">
        <v>2.89</v>
      </c>
      <c r="T410" s="2">
        <v>17.25</v>
      </c>
      <c r="U410" s="2">
        <v>1.48</v>
      </c>
      <c r="V410" s="2">
        <v>9.6</v>
      </c>
      <c r="W410" s="2">
        <v>22.19</v>
      </c>
      <c r="X410" s="2">
        <v>14.66</v>
      </c>
      <c r="Y410" s="2">
        <v>14.27</v>
      </c>
      <c r="Z410" s="2">
        <v>1.48</v>
      </c>
      <c r="AA410" s="2">
        <v>0</v>
      </c>
      <c r="AB410" s="2">
        <v>0</v>
      </c>
      <c r="AC410" s="2">
        <v>0</v>
      </c>
      <c r="AD410" s="2">
        <v>3.5</v>
      </c>
      <c r="AE410" s="2">
        <v>0.09</v>
      </c>
      <c r="AF410" s="2">
        <v>105.99</v>
      </c>
      <c r="AG410" s="2">
        <v>16.420000000000002</v>
      </c>
      <c r="AH410" s="4">
        <f t="shared" si="6"/>
        <v>98.429999999999993</v>
      </c>
    </row>
    <row r="411" spans="1:34" x14ac:dyDescent="0.2">
      <c r="A411" s="3">
        <v>20423</v>
      </c>
      <c r="B411" s="2">
        <v>-0.34</v>
      </c>
      <c r="C411" s="2">
        <v>11.54</v>
      </c>
      <c r="D411" s="2">
        <v>1.44</v>
      </c>
      <c r="E411" s="2">
        <v>11.12</v>
      </c>
      <c r="F411" s="2">
        <v>9.44</v>
      </c>
      <c r="G411" s="2">
        <v>19.04</v>
      </c>
      <c r="H411" s="2">
        <v>16.52</v>
      </c>
      <c r="I411" s="2">
        <v>28.27</v>
      </c>
      <c r="J411" s="2">
        <v>9.8800000000000008</v>
      </c>
      <c r="K411" s="2">
        <v>-0.8</v>
      </c>
      <c r="L411" s="2">
        <v>1.75</v>
      </c>
      <c r="M411" s="2">
        <v>-0.2</v>
      </c>
      <c r="N411" s="2">
        <v>11.66</v>
      </c>
      <c r="O411" s="2">
        <v>3.14</v>
      </c>
      <c r="P411" s="2">
        <v>24.8</v>
      </c>
      <c r="Q411" s="2">
        <v>-0.54</v>
      </c>
      <c r="R411" s="2">
        <v>-2.96</v>
      </c>
      <c r="S411" s="2">
        <v>6.29</v>
      </c>
      <c r="T411" s="2">
        <v>10.88</v>
      </c>
      <c r="U411" s="2">
        <v>3.65</v>
      </c>
      <c r="V411" s="2">
        <v>7.39</v>
      </c>
      <c r="W411" s="2">
        <v>15.43</v>
      </c>
      <c r="X411" s="2">
        <v>9.6</v>
      </c>
      <c r="Y411" s="2">
        <v>8.1999999999999993</v>
      </c>
      <c r="Z411" s="2">
        <v>3.35</v>
      </c>
      <c r="AA411" s="2">
        <v>0</v>
      </c>
      <c r="AB411" s="2">
        <v>0.06</v>
      </c>
      <c r="AC411" s="2">
        <v>5.14</v>
      </c>
      <c r="AD411" s="2">
        <v>2.5</v>
      </c>
      <c r="AE411" s="2">
        <v>9.8800000000000008</v>
      </c>
      <c r="AF411" s="2">
        <v>69.540000000000006</v>
      </c>
      <c r="AG411" s="2">
        <v>12.92</v>
      </c>
      <c r="AH411" s="4">
        <f t="shared" si="6"/>
        <v>171.96999999999997</v>
      </c>
    </row>
    <row r="412" spans="1:34" x14ac:dyDescent="0.2">
      <c r="A412" s="3">
        <v>20454</v>
      </c>
      <c r="B412" s="2">
        <v>11.66</v>
      </c>
      <c r="C412" s="2">
        <v>36.21</v>
      </c>
      <c r="D412" s="2">
        <v>80.900000000000006</v>
      </c>
      <c r="E412" s="2">
        <v>258.18</v>
      </c>
      <c r="F412" s="2">
        <v>337.8</v>
      </c>
      <c r="G412" s="2">
        <v>375.03</v>
      </c>
      <c r="H412" s="2">
        <v>64.319999999999993</v>
      </c>
      <c r="I412" s="2">
        <v>66.41</v>
      </c>
      <c r="J412" s="2">
        <v>205.53</v>
      </c>
      <c r="K412" s="2">
        <v>194.59</v>
      </c>
      <c r="L412" s="2">
        <v>147.25</v>
      </c>
      <c r="M412" s="2">
        <v>127.43</v>
      </c>
      <c r="N412" s="2">
        <v>227.49</v>
      </c>
      <c r="O412" s="2">
        <v>8.01</v>
      </c>
      <c r="P412" s="2">
        <v>204.07</v>
      </c>
      <c r="Q412" s="2">
        <v>5.19</v>
      </c>
      <c r="R412" s="2">
        <v>13.76</v>
      </c>
      <c r="S412" s="2">
        <v>230.69</v>
      </c>
      <c r="T412" s="2">
        <v>34.369999999999997</v>
      </c>
      <c r="U412" s="2">
        <v>3.82</v>
      </c>
      <c r="V412" s="2">
        <v>15</v>
      </c>
      <c r="W412" s="2">
        <v>11.73</v>
      </c>
      <c r="X412" s="2">
        <v>7.59</v>
      </c>
      <c r="Y412" s="2">
        <v>7.42</v>
      </c>
      <c r="Z412" s="2">
        <v>0</v>
      </c>
      <c r="AA412" s="2">
        <v>2.29</v>
      </c>
      <c r="AB412" s="2">
        <v>24.64</v>
      </c>
      <c r="AC412" s="2">
        <v>0.27</v>
      </c>
      <c r="AD412" s="2">
        <v>2.57</v>
      </c>
      <c r="AE412" s="2">
        <v>86.32</v>
      </c>
      <c r="AF412" s="2">
        <v>63.89</v>
      </c>
      <c r="AG412" s="2">
        <v>11.2</v>
      </c>
      <c r="AH412" s="4">
        <f t="shared" si="6"/>
        <v>2647.7100000000009</v>
      </c>
    </row>
    <row r="413" spans="1:34" x14ac:dyDescent="0.2">
      <c r="A413" s="3">
        <v>20485</v>
      </c>
      <c r="B413" s="2">
        <v>23.75</v>
      </c>
      <c r="C413" s="2">
        <v>58.75</v>
      </c>
      <c r="D413" s="2">
        <v>72.650000000000006</v>
      </c>
      <c r="E413" s="2">
        <v>196.3</v>
      </c>
      <c r="F413" s="2">
        <v>144.07</v>
      </c>
      <c r="G413" s="2">
        <v>170.97</v>
      </c>
      <c r="H413" s="2">
        <v>32.46</v>
      </c>
      <c r="I413" s="2">
        <v>61.44</v>
      </c>
      <c r="J413" s="2">
        <v>124.96</v>
      </c>
      <c r="K413" s="2">
        <v>20.93</v>
      </c>
      <c r="L413" s="2">
        <v>61.72</v>
      </c>
      <c r="M413" s="2">
        <v>43.08</v>
      </c>
      <c r="N413" s="2">
        <v>84.64</v>
      </c>
      <c r="O413" s="2">
        <v>3.68</v>
      </c>
      <c r="P413" s="2">
        <v>40.119999999999997</v>
      </c>
      <c r="Q413" s="2">
        <v>16.399999999999999</v>
      </c>
      <c r="R413" s="2">
        <v>16.55</v>
      </c>
      <c r="S413" s="2">
        <v>79.61</v>
      </c>
      <c r="T413" s="2">
        <v>13.18</v>
      </c>
      <c r="U413" s="2">
        <v>4.08</v>
      </c>
      <c r="V413" s="2">
        <v>24.21</v>
      </c>
      <c r="W413" s="2">
        <v>4.26</v>
      </c>
      <c r="X413" s="2">
        <v>9.0399999999999991</v>
      </c>
      <c r="Y413" s="2">
        <v>7.69</v>
      </c>
      <c r="Z413" s="2">
        <v>13.11</v>
      </c>
      <c r="AA413" s="2">
        <v>0.28999999999999998</v>
      </c>
      <c r="AB413" s="2">
        <v>15.3</v>
      </c>
      <c r="AC413" s="2">
        <v>16.79</v>
      </c>
      <c r="AD413" s="2">
        <v>2.6</v>
      </c>
      <c r="AE413" s="2">
        <v>43.44</v>
      </c>
      <c r="AF413" s="2">
        <v>71.25</v>
      </c>
      <c r="AG413" s="2">
        <v>9.8800000000000008</v>
      </c>
      <c r="AH413" s="4">
        <f t="shared" si="6"/>
        <v>1293.5500000000002</v>
      </c>
    </row>
    <row r="414" spans="1:34" x14ac:dyDescent="0.2">
      <c r="A414" s="3">
        <v>20514</v>
      </c>
      <c r="B414" s="2">
        <v>17.45</v>
      </c>
      <c r="C414" s="2">
        <v>39.69</v>
      </c>
      <c r="D414" s="2">
        <v>-12.34</v>
      </c>
      <c r="E414" s="2">
        <v>-66.709999999999994</v>
      </c>
      <c r="F414" s="2">
        <v>-69.23</v>
      </c>
      <c r="G414" s="2">
        <v>20.63</v>
      </c>
      <c r="H414" s="2">
        <v>17.55</v>
      </c>
      <c r="I414" s="2">
        <v>41.86</v>
      </c>
      <c r="J414" s="2">
        <v>-25.73</v>
      </c>
      <c r="K414" s="2">
        <v>-46.8</v>
      </c>
      <c r="L414" s="2">
        <v>-61.62</v>
      </c>
      <c r="M414" s="2">
        <v>-51.52</v>
      </c>
      <c r="N414" s="2">
        <v>31.65</v>
      </c>
      <c r="O414" s="2">
        <v>5.78</v>
      </c>
      <c r="P414" s="2">
        <v>-2</v>
      </c>
      <c r="Q414" s="2">
        <v>13.17</v>
      </c>
      <c r="R414" s="2">
        <v>17.989999999999998</v>
      </c>
      <c r="S414" s="2">
        <v>1.86</v>
      </c>
      <c r="T414" s="2">
        <v>-9.5299999999999994</v>
      </c>
      <c r="U414" s="2">
        <v>30.34</v>
      </c>
      <c r="V414" s="2">
        <v>10.88</v>
      </c>
      <c r="W414" s="2">
        <v>0</v>
      </c>
      <c r="X414" s="2">
        <v>2.65</v>
      </c>
      <c r="Y414" s="2">
        <v>2.68</v>
      </c>
      <c r="Z414" s="2">
        <v>0</v>
      </c>
      <c r="AA414" s="2">
        <v>0.52</v>
      </c>
      <c r="AB414" s="2">
        <v>0</v>
      </c>
      <c r="AC414" s="2">
        <v>0</v>
      </c>
      <c r="AD414" s="2">
        <v>2.67</v>
      </c>
      <c r="AE414" s="2">
        <v>8.11</v>
      </c>
      <c r="AF414" s="2">
        <v>59.39</v>
      </c>
      <c r="AG414" s="2">
        <v>10.08</v>
      </c>
      <c r="AH414" s="4">
        <f t="shared" si="6"/>
        <v>-96.63</v>
      </c>
    </row>
    <row r="415" spans="1:34" x14ac:dyDescent="0.2">
      <c r="A415" s="3">
        <v>20545</v>
      </c>
      <c r="B415" s="2">
        <v>11.3</v>
      </c>
      <c r="C415" s="2">
        <v>24.64</v>
      </c>
      <c r="D415" s="2">
        <v>-40.26</v>
      </c>
      <c r="E415" s="2">
        <v>-108.99</v>
      </c>
      <c r="F415" s="2">
        <v>-55.74</v>
      </c>
      <c r="G415" s="2">
        <v>-130.46</v>
      </c>
      <c r="H415" s="2">
        <v>10.94</v>
      </c>
      <c r="I415" s="2">
        <v>37.06</v>
      </c>
      <c r="J415" s="2">
        <v>-27.48</v>
      </c>
      <c r="K415" s="2">
        <v>-27.9</v>
      </c>
      <c r="L415" s="2">
        <v>-33.56</v>
      </c>
      <c r="M415" s="2">
        <v>-24.78</v>
      </c>
      <c r="N415" s="2">
        <v>31.08</v>
      </c>
      <c r="O415" s="2">
        <v>15.16</v>
      </c>
      <c r="P415" s="2">
        <v>9.17</v>
      </c>
      <c r="Q415" s="2">
        <v>10.52</v>
      </c>
      <c r="R415" s="2">
        <v>4.12</v>
      </c>
      <c r="S415" s="2">
        <v>-0.3</v>
      </c>
      <c r="T415" s="2">
        <v>26.31</v>
      </c>
      <c r="U415" s="2">
        <v>2.8</v>
      </c>
      <c r="V415" s="2">
        <v>23.26</v>
      </c>
      <c r="W415" s="2">
        <v>0</v>
      </c>
      <c r="X415" s="2">
        <v>3.42</v>
      </c>
      <c r="Y415" s="2">
        <v>2.42</v>
      </c>
      <c r="Z415" s="2">
        <v>0</v>
      </c>
      <c r="AA415" s="2">
        <v>0</v>
      </c>
      <c r="AB415" s="2">
        <v>0</v>
      </c>
      <c r="AC415" s="2">
        <v>0</v>
      </c>
      <c r="AD415" s="2">
        <v>4.57</v>
      </c>
      <c r="AE415" s="2">
        <v>0.65</v>
      </c>
      <c r="AF415" s="2">
        <v>70.09</v>
      </c>
      <c r="AG415" s="2">
        <v>10.69</v>
      </c>
      <c r="AH415" s="4">
        <f t="shared" si="6"/>
        <v>-243.11</v>
      </c>
    </row>
    <row r="416" spans="1:34" x14ac:dyDescent="0.2">
      <c r="A416" s="3">
        <v>20575</v>
      </c>
      <c r="B416" s="2">
        <v>4.34</v>
      </c>
      <c r="C416" s="2">
        <v>18.86</v>
      </c>
      <c r="D416" s="2">
        <v>-26.14</v>
      </c>
      <c r="E416" s="2">
        <v>-82.22</v>
      </c>
      <c r="F416" s="2">
        <v>-29.77</v>
      </c>
      <c r="G416" s="2">
        <v>-46.64</v>
      </c>
      <c r="H416" s="2">
        <v>9.5299999999999994</v>
      </c>
      <c r="I416" s="2">
        <v>41.87</v>
      </c>
      <c r="J416" s="2">
        <v>-9.24</v>
      </c>
      <c r="K416" s="2">
        <v>-8.58</v>
      </c>
      <c r="L416" s="2">
        <v>-0.65</v>
      </c>
      <c r="M416" s="2">
        <v>-1.26</v>
      </c>
      <c r="N416" s="2">
        <v>33.1</v>
      </c>
      <c r="O416" s="2">
        <v>4.6399999999999997</v>
      </c>
      <c r="P416" s="2">
        <v>21.23</v>
      </c>
      <c r="Q416" s="2">
        <v>10.24</v>
      </c>
      <c r="R416" s="2">
        <v>-2</v>
      </c>
      <c r="S416" s="2">
        <v>14.57</v>
      </c>
      <c r="T416" s="2">
        <v>19.11</v>
      </c>
      <c r="U416" s="2">
        <v>5.17</v>
      </c>
      <c r="V416" s="2">
        <v>15.77</v>
      </c>
      <c r="W416" s="2">
        <v>0</v>
      </c>
      <c r="X416" s="2">
        <v>4.1500000000000004</v>
      </c>
      <c r="Y416" s="2">
        <v>3.44</v>
      </c>
      <c r="Z416" s="2">
        <v>8.3699999999999992</v>
      </c>
      <c r="AA416" s="2">
        <v>3.15</v>
      </c>
      <c r="AB416" s="2">
        <v>5.23</v>
      </c>
      <c r="AC416" s="2">
        <v>9.07</v>
      </c>
      <c r="AD416" s="2">
        <v>5.13</v>
      </c>
      <c r="AE416" s="2">
        <v>9.42</v>
      </c>
      <c r="AF416" s="2">
        <v>86.72</v>
      </c>
      <c r="AG416" s="2">
        <v>14.64</v>
      </c>
      <c r="AH416" s="4">
        <f t="shared" si="6"/>
        <v>-8.0699999999999754</v>
      </c>
    </row>
    <row r="417" spans="1:34" x14ac:dyDescent="0.2">
      <c r="A417" s="3">
        <v>20606</v>
      </c>
      <c r="B417" s="2">
        <v>10.14</v>
      </c>
      <c r="C417" s="2">
        <v>23.18</v>
      </c>
      <c r="D417" s="2">
        <v>-3.86</v>
      </c>
      <c r="E417" s="2">
        <v>-22.06</v>
      </c>
      <c r="F417" s="2">
        <v>-6.5</v>
      </c>
      <c r="G417" s="2">
        <v>-4.41</v>
      </c>
      <c r="H417" s="2">
        <v>22.24</v>
      </c>
      <c r="I417" s="2">
        <v>39.83</v>
      </c>
      <c r="J417" s="2">
        <v>40.56</v>
      </c>
      <c r="K417" s="2">
        <v>40.06</v>
      </c>
      <c r="L417" s="2">
        <v>58.64</v>
      </c>
      <c r="M417" s="2">
        <v>43.85</v>
      </c>
      <c r="N417" s="2">
        <v>38.58</v>
      </c>
      <c r="O417" s="2">
        <v>9.94</v>
      </c>
      <c r="P417" s="2">
        <v>33.57</v>
      </c>
      <c r="Q417" s="2">
        <v>11.58</v>
      </c>
      <c r="R417" s="2">
        <v>1.24</v>
      </c>
      <c r="S417" s="2">
        <v>20.11</v>
      </c>
      <c r="T417" s="2">
        <v>30.76</v>
      </c>
      <c r="U417" s="2">
        <v>1.07</v>
      </c>
      <c r="V417" s="2">
        <v>28.1</v>
      </c>
      <c r="W417" s="2">
        <v>4.88</v>
      </c>
      <c r="X417" s="2">
        <v>7.02</v>
      </c>
      <c r="Y417" s="2">
        <v>5.64</v>
      </c>
      <c r="Z417" s="2">
        <v>0.56999999999999995</v>
      </c>
      <c r="AA417" s="2">
        <v>0</v>
      </c>
      <c r="AB417" s="2">
        <v>0.11</v>
      </c>
      <c r="AC417" s="2">
        <v>0</v>
      </c>
      <c r="AD417" s="2">
        <v>7.58</v>
      </c>
      <c r="AE417" s="2">
        <v>10.72</v>
      </c>
      <c r="AF417" s="2">
        <v>97.94</v>
      </c>
      <c r="AG417" s="2">
        <v>17.690000000000001</v>
      </c>
      <c r="AH417" s="4">
        <f t="shared" si="6"/>
        <v>416.62</v>
      </c>
    </row>
    <row r="418" spans="1:34" x14ac:dyDescent="0.2">
      <c r="A418" s="3">
        <v>20636</v>
      </c>
      <c r="B418" s="2">
        <v>4.47</v>
      </c>
      <c r="C418" s="2">
        <v>16.93</v>
      </c>
      <c r="D418" s="2">
        <v>-17.37</v>
      </c>
      <c r="E418" s="2">
        <v>-81.25</v>
      </c>
      <c r="F418" s="2">
        <v>-69.209999999999994</v>
      </c>
      <c r="G418" s="2">
        <v>-29.27</v>
      </c>
      <c r="H418" s="2">
        <v>1.58</v>
      </c>
      <c r="I418" s="2">
        <v>33.700000000000003</v>
      </c>
      <c r="J418" s="2">
        <v>-14.74</v>
      </c>
      <c r="K418" s="2">
        <v>5.77</v>
      </c>
      <c r="L418" s="2">
        <v>-9.7799999999999994</v>
      </c>
      <c r="M418" s="2">
        <v>7.3</v>
      </c>
      <c r="N418" s="2">
        <v>37.450000000000003</v>
      </c>
      <c r="O418" s="2">
        <v>80.05</v>
      </c>
      <c r="P418" s="2">
        <v>87.86</v>
      </c>
      <c r="Q418" s="2">
        <v>15.12</v>
      </c>
      <c r="R418" s="2">
        <v>8.7200000000000006</v>
      </c>
      <c r="S418" s="2">
        <v>20.37</v>
      </c>
      <c r="T418" s="2">
        <v>65.180000000000007</v>
      </c>
      <c r="U418" s="2">
        <v>-3.24</v>
      </c>
      <c r="V418" s="2">
        <v>43.77</v>
      </c>
      <c r="W418" s="2">
        <v>18.62</v>
      </c>
      <c r="X418" s="2">
        <v>12.27</v>
      </c>
      <c r="Y418" s="2">
        <v>11.57</v>
      </c>
      <c r="Z418" s="2">
        <v>0</v>
      </c>
      <c r="AA418" s="2">
        <v>0</v>
      </c>
      <c r="AB418" s="2">
        <v>0</v>
      </c>
      <c r="AC418" s="2">
        <v>0</v>
      </c>
      <c r="AD418" s="2">
        <v>13.38</v>
      </c>
      <c r="AE418" s="2">
        <v>0</v>
      </c>
      <c r="AF418" s="2">
        <v>107.19</v>
      </c>
      <c r="AG418" s="2">
        <v>22.83</v>
      </c>
      <c r="AH418" s="4">
        <f t="shared" si="6"/>
        <v>203.41</v>
      </c>
    </row>
    <row r="419" spans="1:34" x14ac:dyDescent="0.2">
      <c r="A419" s="3">
        <v>20667</v>
      </c>
      <c r="B419" s="2">
        <v>4.24</v>
      </c>
      <c r="C419" s="2">
        <v>18.21</v>
      </c>
      <c r="D419" s="2">
        <v>-12.24</v>
      </c>
      <c r="E419" s="2">
        <v>-65.790000000000006</v>
      </c>
      <c r="F419" s="2">
        <v>-42.04</v>
      </c>
      <c r="G419" s="2">
        <v>-12.47</v>
      </c>
      <c r="H419" s="2">
        <v>2.93</v>
      </c>
      <c r="I419" s="2">
        <v>26.23</v>
      </c>
      <c r="J419" s="2">
        <v>-51.89</v>
      </c>
      <c r="K419" s="2">
        <v>-38.950000000000003</v>
      </c>
      <c r="L419" s="2">
        <v>-46.2</v>
      </c>
      <c r="M419" s="2">
        <v>-36.67</v>
      </c>
      <c r="N419" s="2">
        <v>9.18</v>
      </c>
      <c r="O419" s="2">
        <v>110.47</v>
      </c>
      <c r="P419" s="2">
        <v>104.17</v>
      </c>
      <c r="Q419" s="2">
        <v>10.74</v>
      </c>
      <c r="R419" s="2">
        <v>10.31</v>
      </c>
      <c r="S419" s="2">
        <v>22.24</v>
      </c>
      <c r="T419" s="2">
        <v>48.71</v>
      </c>
      <c r="U419" s="2">
        <v>6.19</v>
      </c>
      <c r="V419" s="2">
        <v>48.26</v>
      </c>
      <c r="W419" s="2">
        <v>30.39</v>
      </c>
      <c r="X419" s="2">
        <v>17.41</v>
      </c>
      <c r="Y419" s="2">
        <v>17.079999999999998</v>
      </c>
      <c r="Z419" s="2">
        <v>0.24</v>
      </c>
      <c r="AA419" s="2">
        <v>2.29</v>
      </c>
      <c r="AB419" s="2">
        <v>0.28000000000000003</v>
      </c>
      <c r="AC419" s="2">
        <v>23.56</v>
      </c>
      <c r="AD419" s="2">
        <v>10.220000000000001</v>
      </c>
      <c r="AE419" s="2">
        <v>0</v>
      </c>
      <c r="AF419" s="2">
        <v>116.73</v>
      </c>
      <c r="AG419" s="2">
        <v>24.8</v>
      </c>
      <c r="AH419" s="4">
        <f t="shared" si="6"/>
        <v>115.63000000000002</v>
      </c>
    </row>
    <row r="420" spans="1:34" x14ac:dyDescent="0.2">
      <c r="A420" s="3">
        <v>20698</v>
      </c>
      <c r="B420" s="2">
        <v>2.48</v>
      </c>
      <c r="C420" s="2">
        <v>16.84</v>
      </c>
      <c r="D420" s="2">
        <v>-11.41</v>
      </c>
      <c r="E420" s="2">
        <v>-59.11</v>
      </c>
      <c r="F420" s="2">
        <v>-11.45</v>
      </c>
      <c r="G420" s="2">
        <v>2.5</v>
      </c>
      <c r="H420" s="2">
        <v>10.28</v>
      </c>
      <c r="I420" s="2">
        <v>28.6</v>
      </c>
      <c r="J420" s="2">
        <v>-27.62</v>
      </c>
      <c r="K420" s="2">
        <v>-10.89</v>
      </c>
      <c r="L420" s="2">
        <v>-36.049999999999997</v>
      </c>
      <c r="M420" s="2">
        <v>-10.82</v>
      </c>
      <c r="N420" s="2">
        <v>15.42</v>
      </c>
      <c r="O420" s="2">
        <v>86.15</v>
      </c>
      <c r="P420" s="2">
        <v>74.22</v>
      </c>
      <c r="Q420" s="2">
        <v>5.95</v>
      </c>
      <c r="R420" s="2">
        <v>19.399999999999999</v>
      </c>
      <c r="S420" s="2">
        <v>20.96</v>
      </c>
      <c r="T420" s="2">
        <v>47.57</v>
      </c>
      <c r="U420" s="2">
        <v>4.82</v>
      </c>
      <c r="V420" s="2">
        <v>44.7</v>
      </c>
      <c r="W420" s="2">
        <v>31.47</v>
      </c>
      <c r="X420" s="2">
        <v>19.71</v>
      </c>
      <c r="Y420" s="2">
        <v>19.510000000000002</v>
      </c>
      <c r="Z420" s="2">
        <v>0</v>
      </c>
      <c r="AA420" s="2">
        <v>0</v>
      </c>
      <c r="AB420" s="2">
        <v>0</v>
      </c>
      <c r="AC420" s="2">
        <v>0</v>
      </c>
      <c r="AD420" s="2">
        <v>8.07</v>
      </c>
      <c r="AE420" s="2">
        <v>0</v>
      </c>
      <c r="AF420" s="2">
        <v>118.71</v>
      </c>
      <c r="AG420" s="2">
        <v>23.65</v>
      </c>
      <c r="AH420" s="4">
        <f t="shared" si="6"/>
        <v>212.54000000000002</v>
      </c>
    </row>
    <row r="421" spans="1:34" x14ac:dyDescent="0.2">
      <c r="A421" s="3">
        <v>20728</v>
      </c>
      <c r="B421" s="2">
        <v>0.95</v>
      </c>
      <c r="C421" s="2">
        <v>17.440000000000001</v>
      </c>
      <c r="D421" s="2">
        <v>-9.25</v>
      </c>
      <c r="E421" s="2">
        <v>-34.85</v>
      </c>
      <c r="F421" s="2">
        <v>-8.34</v>
      </c>
      <c r="G421" s="2">
        <v>16.850000000000001</v>
      </c>
      <c r="H421" s="2">
        <v>19.78</v>
      </c>
      <c r="I421" s="2">
        <v>37.340000000000003</v>
      </c>
      <c r="J421" s="2">
        <v>-0.8</v>
      </c>
      <c r="K421" s="2">
        <v>-4.6900000000000004</v>
      </c>
      <c r="L421" s="2">
        <v>-19.2</v>
      </c>
      <c r="M421" s="2">
        <v>-7.61</v>
      </c>
      <c r="N421" s="2">
        <v>31.99</v>
      </c>
      <c r="O421" s="2">
        <v>3.51</v>
      </c>
      <c r="P421" s="2">
        <v>12.54</v>
      </c>
      <c r="Q421" s="2">
        <v>4.34</v>
      </c>
      <c r="R421" s="2">
        <v>11.39</v>
      </c>
      <c r="S421" s="2">
        <v>5.8</v>
      </c>
      <c r="T421" s="2">
        <v>14.79</v>
      </c>
      <c r="U421" s="2">
        <v>8.4600000000000009</v>
      </c>
      <c r="V421" s="2">
        <v>10.45</v>
      </c>
      <c r="W421" s="2">
        <v>26.1</v>
      </c>
      <c r="X421" s="2">
        <v>18.739999999999998</v>
      </c>
      <c r="Y421" s="2">
        <v>18.34</v>
      </c>
      <c r="Z421" s="2">
        <v>0</v>
      </c>
      <c r="AA421" s="2">
        <v>0</v>
      </c>
      <c r="AB421" s="2">
        <v>0</v>
      </c>
      <c r="AC421" s="2">
        <v>0</v>
      </c>
      <c r="AD421" s="2">
        <v>4.95</v>
      </c>
      <c r="AE421" s="2">
        <v>4.1900000000000004</v>
      </c>
      <c r="AF421" s="2">
        <v>110.57</v>
      </c>
      <c r="AG421" s="2">
        <v>20.170000000000002</v>
      </c>
      <c r="AH421" s="4">
        <f t="shared" si="6"/>
        <v>110.89000000000003</v>
      </c>
    </row>
    <row r="422" spans="1:34" x14ac:dyDescent="0.2">
      <c r="A422" s="3">
        <v>20759</v>
      </c>
      <c r="B422" s="2">
        <v>1.81</v>
      </c>
      <c r="C422" s="2">
        <v>15.18</v>
      </c>
      <c r="D422" s="2">
        <v>-6.06</v>
      </c>
      <c r="E422" s="2">
        <v>-14.49</v>
      </c>
      <c r="F422" s="2">
        <v>-6.87</v>
      </c>
      <c r="G422" s="2">
        <v>17.07</v>
      </c>
      <c r="H422" s="2">
        <v>18.059999999999999</v>
      </c>
      <c r="I422" s="2">
        <v>35.11</v>
      </c>
      <c r="J422" s="2">
        <v>-0.04</v>
      </c>
      <c r="K422" s="2">
        <v>-1.66</v>
      </c>
      <c r="L422" s="2">
        <v>-7.01</v>
      </c>
      <c r="M422" s="2">
        <v>-10.210000000000001</v>
      </c>
      <c r="N422" s="2">
        <v>30.7</v>
      </c>
      <c r="O422" s="2">
        <v>12.09</v>
      </c>
      <c r="P422" s="2">
        <v>17.36</v>
      </c>
      <c r="Q422" s="2">
        <v>2.81</v>
      </c>
      <c r="R422" s="2">
        <v>0.78</v>
      </c>
      <c r="S422" s="2">
        <v>2.29</v>
      </c>
      <c r="T422" s="2">
        <v>16.899999999999999</v>
      </c>
      <c r="U422" s="2">
        <v>4.97</v>
      </c>
      <c r="V422" s="2">
        <v>10.17</v>
      </c>
      <c r="W422" s="2">
        <v>22.19</v>
      </c>
      <c r="X422" s="2">
        <v>17.399999999999999</v>
      </c>
      <c r="Y422" s="2">
        <v>16.98</v>
      </c>
      <c r="Z422" s="2">
        <v>0</v>
      </c>
      <c r="AA422" s="2">
        <v>0</v>
      </c>
      <c r="AB422" s="2">
        <v>3.08</v>
      </c>
      <c r="AC422" s="2">
        <v>0.41</v>
      </c>
      <c r="AD422" s="2">
        <v>2.44</v>
      </c>
      <c r="AE422" s="2">
        <v>4.8499999999999996</v>
      </c>
      <c r="AF422" s="2">
        <v>100.29</v>
      </c>
      <c r="AG422" s="2">
        <v>16.420000000000002</v>
      </c>
      <c r="AH422" s="4">
        <f t="shared" si="6"/>
        <v>138.96</v>
      </c>
    </row>
    <row r="423" spans="1:34" x14ac:dyDescent="0.2">
      <c r="A423" s="3">
        <v>20789</v>
      </c>
      <c r="B423" s="2">
        <v>-1.25</v>
      </c>
      <c r="C423" s="2">
        <v>8.5299999999999994</v>
      </c>
      <c r="D423" s="2">
        <v>-10.91</v>
      </c>
      <c r="E423" s="2">
        <v>-22.38</v>
      </c>
      <c r="F423" s="2">
        <v>-9.89</v>
      </c>
      <c r="G423" s="2">
        <v>10.88</v>
      </c>
      <c r="H423" s="2">
        <v>14.2</v>
      </c>
      <c r="I423" s="2">
        <v>31.67</v>
      </c>
      <c r="J423" s="2">
        <v>4.5199999999999996</v>
      </c>
      <c r="K423" s="2">
        <v>-7.44</v>
      </c>
      <c r="L423" s="2">
        <v>6.03</v>
      </c>
      <c r="M423" s="2">
        <v>-0.14000000000000001</v>
      </c>
      <c r="N423" s="2">
        <v>12.64</v>
      </c>
      <c r="O423" s="2">
        <v>4.55</v>
      </c>
      <c r="P423" s="2">
        <v>15.63</v>
      </c>
      <c r="Q423" s="2">
        <v>2.36</v>
      </c>
      <c r="R423" s="2">
        <v>-0.79</v>
      </c>
      <c r="S423" s="2">
        <v>0.96</v>
      </c>
      <c r="T423" s="2">
        <v>10.85</v>
      </c>
      <c r="U423" s="2">
        <v>5.39</v>
      </c>
      <c r="V423" s="2">
        <v>7.81</v>
      </c>
      <c r="W423" s="2">
        <v>15.43</v>
      </c>
      <c r="X423" s="2">
        <v>11.36</v>
      </c>
      <c r="Y423" s="2">
        <v>9.94</v>
      </c>
      <c r="Z423" s="2">
        <v>0.14000000000000001</v>
      </c>
      <c r="AA423" s="2">
        <v>0</v>
      </c>
      <c r="AB423" s="2">
        <v>0</v>
      </c>
      <c r="AC423" s="2">
        <v>0</v>
      </c>
      <c r="AD423" s="2">
        <v>1.45</v>
      </c>
      <c r="AE423" s="2">
        <v>0</v>
      </c>
      <c r="AF423" s="2">
        <v>65.81</v>
      </c>
      <c r="AG423" s="2">
        <v>12.92</v>
      </c>
      <c r="AH423" s="4">
        <f t="shared" si="6"/>
        <v>83.220000000000013</v>
      </c>
    </row>
    <row r="424" spans="1:34" x14ac:dyDescent="0.2">
      <c r="A424" s="3">
        <v>20820</v>
      </c>
      <c r="B424" s="2">
        <v>-2.23</v>
      </c>
      <c r="C424" s="2">
        <v>6.32</v>
      </c>
      <c r="D424" s="2">
        <v>-9.9700000000000006</v>
      </c>
      <c r="E424" s="2">
        <v>-25.54</v>
      </c>
      <c r="F424" s="2">
        <v>-15.27</v>
      </c>
      <c r="G424" s="2">
        <v>5.9</v>
      </c>
      <c r="H424" s="2">
        <v>10.71</v>
      </c>
      <c r="I424" s="2">
        <v>30.81</v>
      </c>
      <c r="J424" s="2">
        <v>5.85</v>
      </c>
      <c r="K424" s="2">
        <v>-3.16</v>
      </c>
      <c r="L424" s="2">
        <v>-2.74</v>
      </c>
      <c r="M424" s="2">
        <v>-1.43</v>
      </c>
      <c r="N424" s="2">
        <v>12.42</v>
      </c>
      <c r="O424" s="2">
        <v>4.0999999999999996</v>
      </c>
      <c r="P424" s="2">
        <v>15.47</v>
      </c>
      <c r="Q424" s="2">
        <v>0.2</v>
      </c>
      <c r="R424" s="2">
        <v>-2.23</v>
      </c>
      <c r="S424" s="2">
        <v>-2.2400000000000002</v>
      </c>
      <c r="T424" s="2">
        <v>9.76</v>
      </c>
      <c r="U424" s="2">
        <v>4.84</v>
      </c>
      <c r="V424" s="2">
        <v>8.39</v>
      </c>
      <c r="W424" s="2">
        <v>11.73</v>
      </c>
      <c r="X424" s="2">
        <v>9.2100000000000009</v>
      </c>
      <c r="Y424" s="2">
        <v>9.02</v>
      </c>
      <c r="Z424" s="2">
        <v>1.44</v>
      </c>
      <c r="AA424" s="2">
        <v>0.14000000000000001</v>
      </c>
      <c r="AB424" s="2">
        <v>0</v>
      </c>
      <c r="AC424" s="2">
        <v>0</v>
      </c>
      <c r="AD424" s="2">
        <v>2.2799999999999998</v>
      </c>
      <c r="AE424" s="2">
        <v>4.38</v>
      </c>
      <c r="AF424" s="2">
        <v>60.46</v>
      </c>
      <c r="AG424" s="2">
        <v>11.2</v>
      </c>
      <c r="AH424" s="4">
        <f t="shared" si="6"/>
        <v>49.959999999999994</v>
      </c>
    </row>
    <row r="425" spans="1:34" x14ac:dyDescent="0.2">
      <c r="A425" s="3">
        <v>20851</v>
      </c>
      <c r="B425" s="2">
        <v>0.28999999999999998</v>
      </c>
      <c r="C425" s="2">
        <v>13.44</v>
      </c>
      <c r="D425" s="2">
        <v>-1.63</v>
      </c>
      <c r="E425" s="2">
        <v>-6.26</v>
      </c>
      <c r="F425" s="2">
        <v>4.26</v>
      </c>
      <c r="G425" s="2">
        <v>27.24</v>
      </c>
      <c r="H425" s="2">
        <v>12.26</v>
      </c>
      <c r="I425" s="2">
        <v>29.97</v>
      </c>
      <c r="J425" s="2">
        <v>7.8</v>
      </c>
      <c r="K425" s="2">
        <v>7.11</v>
      </c>
      <c r="L425" s="2">
        <v>-12.94</v>
      </c>
      <c r="M425" s="2">
        <v>-5.44</v>
      </c>
      <c r="N425" s="2">
        <v>15.11</v>
      </c>
      <c r="O425" s="2">
        <v>4.49</v>
      </c>
      <c r="P425" s="2">
        <v>39.19</v>
      </c>
      <c r="Q425" s="2">
        <v>-2.82</v>
      </c>
      <c r="R425" s="2">
        <v>-3.17</v>
      </c>
      <c r="S425" s="2">
        <v>13.92</v>
      </c>
      <c r="T425" s="2">
        <v>14.42</v>
      </c>
      <c r="U425" s="2">
        <v>2.5499999999999998</v>
      </c>
      <c r="V425" s="2">
        <v>10.9</v>
      </c>
      <c r="W425" s="2">
        <v>4.26</v>
      </c>
      <c r="X425" s="2">
        <v>10.18</v>
      </c>
      <c r="Y425" s="2">
        <v>8.83</v>
      </c>
      <c r="Z425" s="2">
        <v>17.28</v>
      </c>
      <c r="AA425" s="2">
        <v>19.07</v>
      </c>
      <c r="AB425" s="2">
        <v>9.1300000000000008</v>
      </c>
      <c r="AC425" s="2">
        <v>12.32</v>
      </c>
      <c r="AD425" s="2">
        <v>2.0099999999999998</v>
      </c>
      <c r="AE425" s="2">
        <v>26.01</v>
      </c>
      <c r="AF425" s="2">
        <v>71.459999999999994</v>
      </c>
      <c r="AG425" s="2">
        <v>9.8800000000000008</v>
      </c>
      <c r="AH425" s="4">
        <f t="shared" si="6"/>
        <v>170.69</v>
      </c>
    </row>
    <row r="426" spans="1:34" x14ac:dyDescent="0.2">
      <c r="A426" s="3">
        <v>20879</v>
      </c>
      <c r="B426" s="2">
        <v>1.37</v>
      </c>
      <c r="C426" s="2">
        <v>16.96</v>
      </c>
      <c r="D426" s="2">
        <v>10.87</v>
      </c>
      <c r="E426" s="2">
        <v>39.14</v>
      </c>
      <c r="F426" s="2">
        <v>69.62</v>
      </c>
      <c r="G426" s="2">
        <v>95.98</v>
      </c>
      <c r="H426" s="2">
        <v>26.78</v>
      </c>
      <c r="I426" s="2">
        <v>32.979999999999997</v>
      </c>
      <c r="J426" s="2">
        <v>17.89</v>
      </c>
      <c r="K426" s="2">
        <v>5.18</v>
      </c>
      <c r="L426" s="2">
        <v>-20.66</v>
      </c>
      <c r="M426" s="2">
        <v>-12.13</v>
      </c>
      <c r="N426" s="2">
        <v>9.74</v>
      </c>
      <c r="O426" s="2">
        <v>4.87</v>
      </c>
      <c r="P426" s="2">
        <v>21.16</v>
      </c>
      <c r="Q426" s="2">
        <v>-2.4700000000000002</v>
      </c>
      <c r="R426" s="2">
        <v>-3.11</v>
      </c>
      <c r="S426" s="2">
        <v>6.45</v>
      </c>
      <c r="T426" s="2">
        <v>11.84</v>
      </c>
      <c r="U426" s="2">
        <v>4.07</v>
      </c>
      <c r="V426" s="2">
        <v>7.62</v>
      </c>
      <c r="W426" s="2">
        <v>0</v>
      </c>
      <c r="X426" s="2">
        <v>3.6</v>
      </c>
      <c r="Y426" s="2">
        <v>3.63</v>
      </c>
      <c r="Z426" s="2">
        <v>3.49</v>
      </c>
      <c r="AA426" s="2">
        <v>0.43</v>
      </c>
      <c r="AB426" s="2">
        <v>3.64</v>
      </c>
      <c r="AC426" s="2">
        <v>3.52</v>
      </c>
      <c r="AD426" s="2">
        <v>2.04</v>
      </c>
      <c r="AE426" s="2">
        <v>25.36</v>
      </c>
      <c r="AF426" s="2">
        <v>59.57</v>
      </c>
      <c r="AG426" s="2">
        <v>10.08</v>
      </c>
      <c r="AH426" s="4">
        <f t="shared" si="6"/>
        <v>344.15</v>
      </c>
    </row>
    <row r="427" spans="1:34" x14ac:dyDescent="0.2">
      <c r="A427" s="3">
        <v>20910</v>
      </c>
      <c r="B427" s="2">
        <v>9.9</v>
      </c>
      <c r="C427" s="2">
        <v>17.86</v>
      </c>
      <c r="D427" s="2">
        <v>1.66</v>
      </c>
      <c r="E427" s="2">
        <v>51.28</v>
      </c>
      <c r="F427" s="2">
        <v>26.49</v>
      </c>
      <c r="G427" s="2">
        <v>28.84</v>
      </c>
      <c r="H427" s="2">
        <v>26.41</v>
      </c>
      <c r="I427" s="2">
        <v>40.94</v>
      </c>
      <c r="J427" s="2">
        <v>23.59</v>
      </c>
      <c r="K427" s="2">
        <v>4.3899999999999997</v>
      </c>
      <c r="L427" s="2">
        <v>9.52</v>
      </c>
      <c r="M427" s="2">
        <v>4.18</v>
      </c>
      <c r="N427" s="2">
        <v>20.010000000000002</v>
      </c>
      <c r="O427" s="2">
        <v>16.489999999999998</v>
      </c>
      <c r="P427" s="2">
        <v>68.98</v>
      </c>
      <c r="Q427" s="2">
        <v>-2.8</v>
      </c>
      <c r="R427" s="2">
        <v>-5.95</v>
      </c>
      <c r="S427" s="2">
        <v>-0.98</v>
      </c>
      <c r="T427" s="2">
        <v>25.46</v>
      </c>
      <c r="U427" s="2">
        <v>-2.52</v>
      </c>
      <c r="V427" s="2">
        <v>21.05</v>
      </c>
      <c r="W427" s="2">
        <v>0</v>
      </c>
      <c r="X427" s="2">
        <v>4.54</v>
      </c>
      <c r="Y427" s="2">
        <v>3.54</v>
      </c>
      <c r="Z427" s="2">
        <v>3.11</v>
      </c>
      <c r="AA427" s="2">
        <v>0.72</v>
      </c>
      <c r="AB427" s="2">
        <v>2.63</v>
      </c>
      <c r="AC427" s="2">
        <v>5.69</v>
      </c>
      <c r="AD427" s="2">
        <v>3.94</v>
      </c>
      <c r="AE427" s="2">
        <v>7.64</v>
      </c>
      <c r="AF427" s="2">
        <v>70.290000000000006</v>
      </c>
      <c r="AG427" s="2">
        <v>10.69</v>
      </c>
      <c r="AH427" s="4">
        <f t="shared" si="6"/>
        <v>384.8</v>
      </c>
    </row>
    <row r="428" spans="1:34" x14ac:dyDescent="0.2">
      <c r="A428" s="3">
        <v>20940</v>
      </c>
      <c r="B428" s="2">
        <v>-1.45</v>
      </c>
      <c r="C428" s="2">
        <v>5.47</v>
      </c>
      <c r="D428" s="2">
        <v>-20.12</v>
      </c>
      <c r="E428" s="2">
        <v>-67.52</v>
      </c>
      <c r="F428" s="2">
        <v>-51.16</v>
      </c>
      <c r="G428" s="2">
        <v>-33.659999999999997</v>
      </c>
      <c r="H428" s="2">
        <v>-1.37</v>
      </c>
      <c r="I428" s="2">
        <v>28.73</v>
      </c>
      <c r="J428" s="2">
        <v>-14.39</v>
      </c>
      <c r="K428" s="2">
        <v>2.29</v>
      </c>
      <c r="L428" s="2">
        <v>-14.82</v>
      </c>
      <c r="M428" s="2">
        <v>-6.49</v>
      </c>
      <c r="N428" s="2">
        <v>25.43</v>
      </c>
      <c r="O428" s="2">
        <v>2.95</v>
      </c>
      <c r="P428" s="2">
        <v>45.45</v>
      </c>
      <c r="Q428" s="2">
        <v>-2.76</v>
      </c>
      <c r="R428" s="2">
        <v>-0.56000000000000005</v>
      </c>
      <c r="S428" s="2">
        <v>9.1</v>
      </c>
      <c r="T428" s="2">
        <v>14.32</v>
      </c>
      <c r="U428" s="2">
        <v>4.18</v>
      </c>
      <c r="V428" s="2">
        <v>26.15</v>
      </c>
      <c r="W428" s="2">
        <v>0</v>
      </c>
      <c r="X428" s="2">
        <v>5.54</v>
      </c>
      <c r="Y428" s="2">
        <v>4.83</v>
      </c>
      <c r="Z428" s="2">
        <v>1.67</v>
      </c>
      <c r="AA428" s="2">
        <v>0</v>
      </c>
      <c r="AB428" s="2">
        <v>3.3</v>
      </c>
      <c r="AC428" s="2">
        <v>3.11</v>
      </c>
      <c r="AD428" s="2">
        <v>4.82</v>
      </c>
      <c r="AE428" s="2">
        <v>8.76</v>
      </c>
      <c r="AF428" s="2">
        <v>86.98</v>
      </c>
      <c r="AG428" s="2">
        <v>14.64</v>
      </c>
      <c r="AH428" s="4">
        <f t="shared" si="6"/>
        <v>-50.230000000000054</v>
      </c>
    </row>
    <row r="429" spans="1:34" x14ac:dyDescent="0.2">
      <c r="A429" s="3">
        <v>20971</v>
      </c>
      <c r="B429" s="2">
        <v>3.89</v>
      </c>
      <c r="C429" s="2">
        <v>11.27</v>
      </c>
      <c r="D429" s="2">
        <v>4.08</v>
      </c>
      <c r="E429" s="2">
        <v>10.24</v>
      </c>
      <c r="F429" s="2">
        <v>20.65</v>
      </c>
      <c r="G429" s="2">
        <v>24.53</v>
      </c>
      <c r="H429" s="2">
        <v>20.02</v>
      </c>
      <c r="I429" s="2">
        <v>30.5</v>
      </c>
      <c r="J429" s="2">
        <v>6.9</v>
      </c>
      <c r="K429" s="2">
        <v>1.92</v>
      </c>
      <c r="L429" s="2">
        <v>22.63</v>
      </c>
      <c r="M429" s="2">
        <v>3.23</v>
      </c>
      <c r="N429" s="2">
        <v>23.96</v>
      </c>
      <c r="O429" s="2">
        <v>15.34</v>
      </c>
      <c r="P429" s="2">
        <v>58.31</v>
      </c>
      <c r="Q429" s="2">
        <v>-2.77</v>
      </c>
      <c r="R429" s="2">
        <v>-4.5999999999999996</v>
      </c>
      <c r="S429" s="2">
        <v>22.07</v>
      </c>
      <c r="T429" s="2">
        <v>27.15</v>
      </c>
      <c r="U429" s="2">
        <v>1.23</v>
      </c>
      <c r="V429" s="2">
        <v>29.93</v>
      </c>
      <c r="W429" s="2">
        <v>4.88</v>
      </c>
      <c r="X429" s="2">
        <v>8.59</v>
      </c>
      <c r="Y429" s="2">
        <v>7.2</v>
      </c>
      <c r="Z429" s="2">
        <v>0.81</v>
      </c>
      <c r="AA429" s="2">
        <v>0</v>
      </c>
      <c r="AB429" s="2">
        <v>6.94</v>
      </c>
      <c r="AC429" s="2">
        <v>0</v>
      </c>
      <c r="AD429" s="2">
        <v>7.19</v>
      </c>
      <c r="AE429" s="2">
        <v>11.28</v>
      </c>
      <c r="AF429" s="2">
        <v>98.23</v>
      </c>
      <c r="AG429" s="2">
        <v>17.690000000000001</v>
      </c>
      <c r="AH429" s="4">
        <f t="shared" si="6"/>
        <v>330.47999999999996</v>
      </c>
    </row>
    <row r="430" spans="1:34" x14ac:dyDescent="0.2">
      <c r="A430" s="3">
        <v>21001</v>
      </c>
      <c r="B430" s="2">
        <v>-0.89</v>
      </c>
      <c r="C430" s="2">
        <v>5.08</v>
      </c>
      <c r="D430" s="2">
        <v>-14.86</v>
      </c>
      <c r="E430" s="2">
        <v>-56.47</v>
      </c>
      <c r="F430" s="2">
        <v>-43.09</v>
      </c>
      <c r="G430" s="2">
        <v>-9.16</v>
      </c>
      <c r="H430" s="2">
        <v>1.78</v>
      </c>
      <c r="I430" s="2">
        <v>31.27</v>
      </c>
      <c r="J430" s="2">
        <v>-7.86</v>
      </c>
      <c r="K430" s="2">
        <v>6.58</v>
      </c>
      <c r="L430" s="2">
        <v>15.76</v>
      </c>
      <c r="M430" s="2">
        <v>11.07</v>
      </c>
      <c r="N430" s="2">
        <v>26.19</v>
      </c>
      <c r="O430" s="2">
        <v>96.09</v>
      </c>
      <c r="P430" s="2">
        <v>88.14</v>
      </c>
      <c r="Q430" s="2">
        <v>7.04</v>
      </c>
      <c r="R430" s="2">
        <v>4.3099999999999996</v>
      </c>
      <c r="S430" s="2">
        <v>27.18</v>
      </c>
      <c r="T430" s="2">
        <v>69.930000000000007</v>
      </c>
      <c r="U430" s="2">
        <v>9.19</v>
      </c>
      <c r="V430" s="2">
        <v>46.7</v>
      </c>
      <c r="W430" s="2">
        <v>18.62</v>
      </c>
      <c r="X430" s="2">
        <v>13.99</v>
      </c>
      <c r="Y430" s="2">
        <v>13.29</v>
      </c>
      <c r="Z430" s="2">
        <v>0</v>
      </c>
      <c r="AA430" s="2">
        <v>0</v>
      </c>
      <c r="AB430" s="2">
        <v>0</v>
      </c>
      <c r="AC430" s="2">
        <v>0</v>
      </c>
      <c r="AD430" s="2">
        <v>11.64</v>
      </c>
      <c r="AE430" s="2">
        <v>1.1200000000000001</v>
      </c>
      <c r="AF430" s="2">
        <v>107.5</v>
      </c>
      <c r="AG430" s="2">
        <v>22.83</v>
      </c>
      <c r="AH430" s="4">
        <f t="shared" si="6"/>
        <v>313.98</v>
      </c>
    </row>
    <row r="431" spans="1:34" x14ac:dyDescent="0.2">
      <c r="A431" s="3">
        <v>21032</v>
      </c>
      <c r="B431" s="2">
        <v>-1</v>
      </c>
      <c r="C431" s="2">
        <v>6.45</v>
      </c>
      <c r="D431" s="2">
        <v>-12.62</v>
      </c>
      <c r="E431" s="2">
        <v>-48.93</v>
      </c>
      <c r="F431" s="2">
        <v>-18.22</v>
      </c>
      <c r="G431" s="2">
        <v>3.69</v>
      </c>
      <c r="H431" s="2">
        <v>4.87</v>
      </c>
      <c r="I431" s="2">
        <v>27.99</v>
      </c>
      <c r="J431" s="2">
        <v>-23.5</v>
      </c>
      <c r="K431" s="2">
        <v>-7.78</v>
      </c>
      <c r="L431" s="2">
        <v>-27.41</v>
      </c>
      <c r="M431" s="2">
        <v>-6.6</v>
      </c>
      <c r="N431" s="2">
        <v>26.63</v>
      </c>
      <c r="O431" s="2">
        <v>123.11</v>
      </c>
      <c r="P431" s="2">
        <v>139.38999999999999</v>
      </c>
      <c r="Q431" s="2">
        <v>9.06</v>
      </c>
      <c r="R431" s="2">
        <v>5.21</v>
      </c>
      <c r="S431" s="2">
        <v>27.88</v>
      </c>
      <c r="T431" s="2">
        <v>62.71</v>
      </c>
      <c r="U431" s="2">
        <v>9.61</v>
      </c>
      <c r="V431" s="2">
        <v>45.97</v>
      </c>
      <c r="W431" s="2">
        <v>30.39</v>
      </c>
      <c r="X431" s="2">
        <v>19.27</v>
      </c>
      <c r="Y431" s="2">
        <v>18.95</v>
      </c>
      <c r="Z431" s="2">
        <v>0.1</v>
      </c>
      <c r="AA431" s="2">
        <v>0</v>
      </c>
      <c r="AB431" s="2">
        <v>0</v>
      </c>
      <c r="AC431" s="2">
        <v>0</v>
      </c>
      <c r="AD431" s="2">
        <v>11.48</v>
      </c>
      <c r="AE431" s="2">
        <v>0</v>
      </c>
      <c r="AF431" s="2">
        <v>117.07</v>
      </c>
      <c r="AG431" s="2">
        <v>24.8</v>
      </c>
      <c r="AH431" s="4">
        <f t="shared" si="6"/>
        <v>346.51</v>
      </c>
    </row>
    <row r="432" spans="1:34" x14ac:dyDescent="0.2">
      <c r="A432" s="3">
        <v>21063</v>
      </c>
      <c r="B432" s="2">
        <v>-2.35</v>
      </c>
      <c r="C432" s="2">
        <v>6.34</v>
      </c>
      <c r="D432" s="2">
        <v>-10.82</v>
      </c>
      <c r="E432" s="2">
        <v>-47.46</v>
      </c>
      <c r="F432" s="2">
        <v>-4.2699999999999996</v>
      </c>
      <c r="G432" s="2">
        <v>11.13</v>
      </c>
      <c r="H432" s="2">
        <v>10.59</v>
      </c>
      <c r="I432" s="2">
        <v>28.54</v>
      </c>
      <c r="J432" s="2">
        <v>-12.14</v>
      </c>
      <c r="K432" s="2">
        <v>-4.2699999999999996</v>
      </c>
      <c r="L432" s="2">
        <v>-15.37</v>
      </c>
      <c r="M432" s="2">
        <v>-1.92</v>
      </c>
      <c r="N432" s="2">
        <v>22.5</v>
      </c>
      <c r="O432" s="2">
        <v>92.52</v>
      </c>
      <c r="P432" s="2">
        <v>130.38999999999999</v>
      </c>
      <c r="Q432" s="2">
        <v>0.78</v>
      </c>
      <c r="R432" s="2">
        <v>4.12</v>
      </c>
      <c r="S432" s="2">
        <v>29.28</v>
      </c>
      <c r="T432" s="2">
        <v>51.83</v>
      </c>
      <c r="U432" s="2">
        <v>6.82</v>
      </c>
      <c r="V432" s="2">
        <v>41.6</v>
      </c>
      <c r="W432" s="2">
        <v>31.47</v>
      </c>
      <c r="X432" s="2">
        <v>21.6</v>
      </c>
      <c r="Y432" s="2">
        <v>21.41</v>
      </c>
      <c r="Z432" s="2">
        <v>0</v>
      </c>
      <c r="AA432" s="2">
        <v>3.3</v>
      </c>
      <c r="AB432" s="2">
        <v>0</v>
      </c>
      <c r="AC432" s="2">
        <v>0</v>
      </c>
      <c r="AD432" s="2">
        <v>6.86</v>
      </c>
      <c r="AE432" s="2">
        <v>0</v>
      </c>
      <c r="AF432" s="2">
        <v>119.06</v>
      </c>
      <c r="AG432" s="2">
        <v>23.65</v>
      </c>
      <c r="AH432" s="4">
        <f t="shared" si="6"/>
        <v>337.84</v>
      </c>
    </row>
    <row r="433" spans="1:34" x14ac:dyDescent="0.2">
      <c r="A433" s="3">
        <v>21093</v>
      </c>
      <c r="B433" s="2">
        <v>-2.34</v>
      </c>
      <c r="C433" s="2">
        <v>9.7899999999999991</v>
      </c>
      <c r="D433" s="2">
        <v>-2.41</v>
      </c>
      <c r="E433" s="2">
        <v>-20.73</v>
      </c>
      <c r="F433" s="2">
        <v>10.33</v>
      </c>
      <c r="G433" s="2">
        <v>19.78</v>
      </c>
      <c r="H433" s="2">
        <v>20.29</v>
      </c>
      <c r="I433" s="2">
        <v>32.700000000000003</v>
      </c>
      <c r="J433" s="2">
        <v>9.0500000000000007</v>
      </c>
      <c r="K433" s="2">
        <v>-1.75</v>
      </c>
      <c r="L433" s="2">
        <v>-8.81</v>
      </c>
      <c r="M433" s="2">
        <v>-2.31</v>
      </c>
      <c r="N433" s="2">
        <v>25.61</v>
      </c>
      <c r="O433" s="2">
        <v>7.42</v>
      </c>
      <c r="P433" s="2">
        <v>50.8</v>
      </c>
      <c r="Q433" s="2">
        <v>4.99</v>
      </c>
      <c r="R433" s="2">
        <v>4.6500000000000004</v>
      </c>
      <c r="S433" s="2">
        <v>3.75</v>
      </c>
      <c r="T433" s="2">
        <v>13.88</v>
      </c>
      <c r="U433" s="2">
        <v>3.81</v>
      </c>
      <c r="V433" s="2">
        <v>11.4</v>
      </c>
      <c r="W433" s="2">
        <v>26.1</v>
      </c>
      <c r="X433" s="2">
        <v>20.51</v>
      </c>
      <c r="Y433" s="2">
        <v>20.11</v>
      </c>
      <c r="Z433" s="2">
        <v>0</v>
      </c>
      <c r="AA433" s="2">
        <v>0</v>
      </c>
      <c r="AB433" s="2">
        <v>0.78</v>
      </c>
      <c r="AC433" s="2">
        <v>0</v>
      </c>
      <c r="AD433" s="2">
        <v>4.6500000000000004</v>
      </c>
      <c r="AE433" s="2">
        <v>2.52</v>
      </c>
      <c r="AF433" s="2">
        <v>110.9</v>
      </c>
      <c r="AG433" s="2">
        <v>20.170000000000002</v>
      </c>
      <c r="AH433" s="4">
        <f t="shared" si="6"/>
        <v>189.9</v>
      </c>
    </row>
    <row r="434" spans="1:34" x14ac:dyDescent="0.2">
      <c r="A434" s="3">
        <v>21124</v>
      </c>
      <c r="B434" s="2">
        <v>0.9</v>
      </c>
      <c r="C434" s="2">
        <v>17.399999999999999</v>
      </c>
      <c r="D434" s="2">
        <v>7.41</v>
      </c>
      <c r="E434" s="2">
        <v>20.2</v>
      </c>
      <c r="F434" s="2">
        <v>8.0399999999999991</v>
      </c>
      <c r="G434" s="2">
        <v>34.01</v>
      </c>
      <c r="H434" s="2">
        <v>23.22</v>
      </c>
      <c r="I434" s="2">
        <v>32.130000000000003</v>
      </c>
      <c r="J434" s="2">
        <v>12.73</v>
      </c>
      <c r="K434" s="2">
        <v>-3.57</v>
      </c>
      <c r="L434" s="2">
        <v>3.68</v>
      </c>
      <c r="M434" s="2">
        <v>4.25</v>
      </c>
      <c r="N434" s="2">
        <v>15.13</v>
      </c>
      <c r="O434" s="2">
        <v>14.54</v>
      </c>
      <c r="P434" s="2">
        <v>30.39</v>
      </c>
      <c r="Q434" s="2">
        <v>0.17</v>
      </c>
      <c r="R434" s="2">
        <v>-1.89</v>
      </c>
      <c r="S434" s="2">
        <v>0.21</v>
      </c>
      <c r="T434" s="2">
        <v>15.71</v>
      </c>
      <c r="U434" s="2">
        <v>1.22</v>
      </c>
      <c r="V434" s="2">
        <v>8.6</v>
      </c>
      <c r="W434" s="2">
        <v>22.19</v>
      </c>
      <c r="X434" s="2">
        <v>19</v>
      </c>
      <c r="Y434" s="2">
        <v>18.59</v>
      </c>
      <c r="Z434" s="2">
        <v>4.45</v>
      </c>
      <c r="AA434" s="2">
        <v>17.64</v>
      </c>
      <c r="AB434" s="2">
        <v>1.41</v>
      </c>
      <c r="AC434" s="2">
        <v>17.46</v>
      </c>
      <c r="AD434" s="2">
        <v>3.9</v>
      </c>
      <c r="AE434" s="2">
        <v>8.58</v>
      </c>
      <c r="AF434" s="2">
        <v>100.59</v>
      </c>
      <c r="AG434" s="2">
        <v>16.420000000000002</v>
      </c>
      <c r="AH434" s="4">
        <f t="shared" si="6"/>
        <v>244.48</v>
      </c>
    </row>
    <row r="435" spans="1:34" x14ac:dyDescent="0.2">
      <c r="A435" s="3">
        <v>21154</v>
      </c>
      <c r="B435" s="2">
        <v>0.79</v>
      </c>
      <c r="C435" s="2">
        <v>11.68</v>
      </c>
      <c r="D435" s="2">
        <v>-9.19</v>
      </c>
      <c r="E435" s="2">
        <v>-10.78</v>
      </c>
      <c r="F435" s="2">
        <v>-3.44</v>
      </c>
      <c r="G435" s="2">
        <v>11.06</v>
      </c>
      <c r="H435" s="2">
        <v>14.4</v>
      </c>
      <c r="I435" s="2">
        <v>27.54</v>
      </c>
      <c r="J435" s="2">
        <v>10.9</v>
      </c>
      <c r="K435" s="2">
        <v>-3.66</v>
      </c>
      <c r="L435" s="2">
        <v>2.4500000000000002</v>
      </c>
      <c r="M435" s="2">
        <v>2.14</v>
      </c>
      <c r="N435" s="2">
        <v>9.82</v>
      </c>
      <c r="O435" s="2">
        <v>5.23</v>
      </c>
      <c r="P435" s="2">
        <v>26.46</v>
      </c>
      <c r="Q435" s="2">
        <v>-0.85</v>
      </c>
      <c r="R435" s="2">
        <v>-3.65</v>
      </c>
      <c r="S435" s="2">
        <v>2.98</v>
      </c>
      <c r="T435" s="2">
        <v>11.16</v>
      </c>
      <c r="U435" s="2">
        <v>2.54</v>
      </c>
      <c r="V435" s="2">
        <v>7.68</v>
      </c>
      <c r="W435" s="2">
        <v>15.43</v>
      </c>
      <c r="X435" s="2">
        <v>12.41</v>
      </c>
      <c r="Y435" s="2">
        <v>11</v>
      </c>
      <c r="Z435" s="2">
        <v>8.85</v>
      </c>
      <c r="AA435" s="2">
        <v>0.72</v>
      </c>
      <c r="AB435" s="2">
        <v>2.65</v>
      </c>
      <c r="AC435" s="2">
        <v>2.98</v>
      </c>
      <c r="AD435" s="2">
        <v>2.42</v>
      </c>
      <c r="AE435" s="2">
        <v>2.0499999999999998</v>
      </c>
      <c r="AF435" s="2">
        <v>66</v>
      </c>
      <c r="AG435" s="2">
        <v>12.92</v>
      </c>
      <c r="AH435" s="4">
        <f t="shared" si="6"/>
        <v>115.26000000000002</v>
      </c>
    </row>
    <row r="436" spans="1:34" x14ac:dyDescent="0.2">
      <c r="A436" s="3">
        <v>21185</v>
      </c>
      <c r="B436" s="2">
        <v>1.0900000000000001</v>
      </c>
      <c r="C436" s="2">
        <v>15.53</v>
      </c>
      <c r="D436" s="2">
        <v>2.2999999999999998</v>
      </c>
      <c r="E436" s="2">
        <v>17.36</v>
      </c>
      <c r="F436" s="2">
        <v>35.68</v>
      </c>
      <c r="G436" s="2">
        <v>45.48</v>
      </c>
      <c r="H436" s="2">
        <v>20.36</v>
      </c>
      <c r="I436" s="2">
        <v>31.1</v>
      </c>
      <c r="J436" s="2">
        <v>19.010000000000002</v>
      </c>
      <c r="K436" s="2">
        <v>22.12</v>
      </c>
      <c r="L436" s="2">
        <v>-1.02</v>
      </c>
      <c r="M436" s="2">
        <v>6.73</v>
      </c>
      <c r="N436" s="2">
        <v>23.18</v>
      </c>
      <c r="O436" s="2">
        <v>4.74</v>
      </c>
      <c r="P436" s="2">
        <v>30.38</v>
      </c>
      <c r="Q436" s="2">
        <v>-2.15</v>
      </c>
      <c r="R436" s="2">
        <v>-2.63</v>
      </c>
      <c r="S436" s="2">
        <v>15.77</v>
      </c>
      <c r="T436" s="2">
        <v>11.77</v>
      </c>
      <c r="U436" s="2">
        <v>2.02</v>
      </c>
      <c r="V436" s="2">
        <v>7.71</v>
      </c>
      <c r="W436" s="2">
        <v>11.73</v>
      </c>
      <c r="X436" s="2">
        <v>10.18</v>
      </c>
      <c r="Y436" s="2">
        <v>9.99</v>
      </c>
      <c r="Z436" s="2">
        <v>7.47</v>
      </c>
      <c r="AA436" s="2">
        <v>1.58</v>
      </c>
      <c r="AB436" s="2">
        <v>5.86</v>
      </c>
      <c r="AC436" s="2">
        <v>8.39</v>
      </c>
      <c r="AD436" s="2">
        <v>2.2999999999999998</v>
      </c>
      <c r="AE436" s="2">
        <v>25.64</v>
      </c>
      <c r="AF436" s="2">
        <v>60.63</v>
      </c>
      <c r="AG436" s="2">
        <v>11.2</v>
      </c>
      <c r="AH436" s="4">
        <f t="shared" si="6"/>
        <v>306.52999999999997</v>
      </c>
    </row>
    <row r="437" spans="1:34" x14ac:dyDescent="0.2">
      <c r="A437" s="3">
        <v>21216</v>
      </c>
      <c r="B437" s="2">
        <v>5.14</v>
      </c>
      <c r="C437" s="2">
        <v>22.36</v>
      </c>
      <c r="D437" s="2">
        <v>28.99</v>
      </c>
      <c r="E437" s="2">
        <v>79.959999999999994</v>
      </c>
      <c r="F437" s="2">
        <v>50.09</v>
      </c>
      <c r="G437" s="2">
        <v>140.96</v>
      </c>
      <c r="H437" s="2">
        <v>26.29</v>
      </c>
      <c r="I437" s="2">
        <v>36.72</v>
      </c>
      <c r="J437" s="2">
        <v>43.21</v>
      </c>
      <c r="K437" s="2">
        <v>24.71</v>
      </c>
      <c r="L437" s="2">
        <v>6.3</v>
      </c>
      <c r="M437" s="2">
        <v>1.97</v>
      </c>
      <c r="N437" s="2">
        <v>35.89</v>
      </c>
      <c r="O437" s="2">
        <v>4.7699999999999996</v>
      </c>
      <c r="P437" s="2">
        <v>40.15</v>
      </c>
      <c r="Q437" s="2">
        <v>-1.37</v>
      </c>
      <c r="R437" s="2">
        <v>-0.01</v>
      </c>
      <c r="S437" s="2">
        <v>23.09</v>
      </c>
      <c r="T437" s="2">
        <v>11.16</v>
      </c>
      <c r="U437" s="2">
        <v>1.9</v>
      </c>
      <c r="V437" s="2">
        <v>9.7200000000000006</v>
      </c>
      <c r="W437" s="2">
        <v>4.26</v>
      </c>
      <c r="X437" s="2">
        <v>9.14</v>
      </c>
      <c r="Y437" s="2">
        <v>7.83</v>
      </c>
      <c r="Z437" s="2">
        <v>4.6900000000000004</v>
      </c>
      <c r="AA437" s="2">
        <v>0.86</v>
      </c>
      <c r="AB437" s="2">
        <v>6.65</v>
      </c>
      <c r="AC437" s="2">
        <v>4.74</v>
      </c>
      <c r="AD437" s="2">
        <v>2.15</v>
      </c>
      <c r="AE437" s="2">
        <v>27.13</v>
      </c>
      <c r="AF437" s="2">
        <v>71.25</v>
      </c>
      <c r="AG437" s="2">
        <v>9.8800000000000008</v>
      </c>
      <c r="AH437" s="4">
        <f t="shared" si="6"/>
        <v>592</v>
      </c>
    </row>
    <row r="438" spans="1:34" x14ac:dyDescent="0.2">
      <c r="A438" s="3">
        <v>21244</v>
      </c>
      <c r="B438" s="2">
        <v>24.89</v>
      </c>
      <c r="C438" s="2">
        <v>72.06</v>
      </c>
      <c r="D438" s="2">
        <v>109.1</v>
      </c>
      <c r="E438" s="2">
        <v>384.97</v>
      </c>
      <c r="F438" s="2">
        <v>387.66</v>
      </c>
      <c r="G438" s="2">
        <v>285.45999999999998</v>
      </c>
      <c r="H438" s="2">
        <v>30.91</v>
      </c>
      <c r="I438" s="2">
        <v>46.08</v>
      </c>
      <c r="J438" s="2">
        <v>80.94</v>
      </c>
      <c r="K438" s="2">
        <v>48.27</v>
      </c>
      <c r="L438" s="2">
        <v>29.6</v>
      </c>
      <c r="M438" s="2">
        <v>26.86</v>
      </c>
      <c r="N438" s="2">
        <v>77.25</v>
      </c>
      <c r="O438" s="2">
        <v>4.26</v>
      </c>
      <c r="P438" s="2">
        <v>53.58</v>
      </c>
      <c r="Q438" s="2">
        <v>0.83</v>
      </c>
      <c r="R438" s="2">
        <v>7.83</v>
      </c>
      <c r="S438" s="2">
        <v>44.73</v>
      </c>
      <c r="T438" s="2">
        <v>25.83</v>
      </c>
      <c r="U438" s="2">
        <v>4.54</v>
      </c>
      <c r="V438" s="2">
        <v>18.41</v>
      </c>
      <c r="W438" s="2">
        <v>0</v>
      </c>
      <c r="X438" s="2">
        <v>2.74</v>
      </c>
      <c r="Y438" s="2">
        <v>2.83</v>
      </c>
      <c r="Z438" s="2">
        <v>15.31</v>
      </c>
      <c r="AA438" s="2">
        <v>23.23</v>
      </c>
      <c r="AB438" s="2">
        <v>8.51</v>
      </c>
      <c r="AC438" s="2">
        <v>10.29</v>
      </c>
      <c r="AD438" s="2">
        <v>2.41</v>
      </c>
      <c r="AE438" s="2">
        <v>50.25</v>
      </c>
      <c r="AF438" s="2">
        <v>59.39</v>
      </c>
      <c r="AG438" s="2">
        <v>10.08</v>
      </c>
      <c r="AH438" s="4">
        <f t="shared" si="6"/>
        <v>1764.0599999999997</v>
      </c>
    </row>
    <row r="439" spans="1:34" x14ac:dyDescent="0.2">
      <c r="A439" s="3">
        <v>21275</v>
      </c>
      <c r="B439" s="2">
        <v>11.08</v>
      </c>
      <c r="C439" s="2">
        <v>33.24</v>
      </c>
      <c r="D439" s="2">
        <v>-25.71</v>
      </c>
      <c r="E439" s="2">
        <v>-115.36</v>
      </c>
      <c r="F439" s="2">
        <v>-80.2</v>
      </c>
      <c r="G439" s="2">
        <v>21.31</v>
      </c>
      <c r="H439" s="2">
        <v>20.23</v>
      </c>
      <c r="I439" s="2">
        <v>52.62</v>
      </c>
      <c r="J439" s="2">
        <v>71.48</v>
      </c>
      <c r="K439" s="2">
        <v>95.78</v>
      </c>
      <c r="L439" s="2">
        <v>58.67</v>
      </c>
      <c r="M439" s="2">
        <v>65.010000000000005</v>
      </c>
      <c r="N439" s="2">
        <v>148.55000000000001</v>
      </c>
      <c r="O439" s="2">
        <v>6.71</v>
      </c>
      <c r="P439" s="2">
        <v>153.1</v>
      </c>
      <c r="Q439" s="2">
        <v>13.06</v>
      </c>
      <c r="R439" s="2">
        <v>16.93</v>
      </c>
      <c r="S439" s="2">
        <v>112.25</v>
      </c>
      <c r="T439" s="2">
        <v>60.9</v>
      </c>
      <c r="U439" s="2">
        <v>6.12</v>
      </c>
      <c r="V439" s="2">
        <v>38.49</v>
      </c>
      <c r="W439" s="2">
        <v>0</v>
      </c>
      <c r="X439" s="2">
        <v>3.53</v>
      </c>
      <c r="Y439" s="2">
        <v>2.57</v>
      </c>
      <c r="Z439" s="2">
        <v>14.07</v>
      </c>
      <c r="AA439" s="2">
        <v>10.039999999999999</v>
      </c>
      <c r="AB439" s="2">
        <v>2.88</v>
      </c>
      <c r="AC439" s="2">
        <v>19.489999999999998</v>
      </c>
      <c r="AD439" s="2">
        <v>4.2300000000000004</v>
      </c>
      <c r="AE439" s="2">
        <v>45.03</v>
      </c>
      <c r="AF439" s="2">
        <v>70.09</v>
      </c>
      <c r="AG439" s="2">
        <v>10.69</v>
      </c>
      <c r="AH439" s="4">
        <f t="shared" si="6"/>
        <v>764.25999999999988</v>
      </c>
    </row>
    <row r="440" spans="1:34" x14ac:dyDescent="0.2">
      <c r="A440" s="3">
        <v>21305</v>
      </c>
      <c r="B440" s="2">
        <v>14.33</v>
      </c>
      <c r="C440" s="2">
        <v>30.5</v>
      </c>
      <c r="D440" s="2">
        <v>-19.149999999999999</v>
      </c>
      <c r="E440" s="2">
        <v>-7.09</v>
      </c>
      <c r="F440" s="2">
        <v>52.43</v>
      </c>
      <c r="G440" s="2">
        <v>-69.040000000000006</v>
      </c>
      <c r="H440" s="2">
        <v>19.43</v>
      </c>
      <c r="I440" s="2">
        <v>57.82</v>
      </c>
      <c r="J440" s="2">
        <v>51.37</v>
      </c>
      <c r="K440" s="2">
        <v>56.6</v>
      </c>
      <c r="L440" s="2">
        <v>54.22</v>
      </c>
      <c r="M440" s="2">
        <v>48.61</v>
      </c>
      <c r="N440" s="2">
        <v>129.97999999999999</v>
      </c>
      <c r="O440" s="2">
        <v>8.49</v>
      </c>
      <c r="P440" s="2">
        <v>105.55</v>
      </c>
      <c r="Q440" s="2">
        <v>24</v>
      </c>
      <c r="R440" s="2">
        <v>17.14</v>
      </c>
      <c r="S440" s="2">
        <v>74.98</v>
      </c>
      <c r="T440" s="2">
        <v>31.79</v>
      </c>
      <c r="U440" s="2">
        <v>10.119999999999999</v>
      </c>
      <c r="V440" s="2">
        <v>20.89</v>
      </c>
      <c r="W440" s="2">
        <v>0</v>
      </c>
      <c r="X440" s="2">
        <v>4.28</v>
      </c>
      <c r="Y440" s="2">
        <v>3.63</v>
      </c>
      <c r="Z440" s="2">
        <v>10.82</v>
      </c>
      <c r="AA440" s="2">
        <v>7.03</v>
      </c>
      <c r="AB440" s="2">
        <v>5.36</v>
      </c>
      <c r="AC440" s="2">
        <v>11.64</v>
      </c>
      <c r="AD440" s="2">
        <v>4.74</v>
      </c>
      <c r="AE440" s="2">
        <v>34.31</v>
      </c>
      <c r="AF440" s="2">
        <v>86.72</v>
      </c>
      <c r="AG440" s="2">
        <v>14.64</v>
      </c>
      <c r="AH440" s="4">
        <f t="shared" si="6"/>
        <v>712.96999999999991</v>
      </c>
    </row>
    <row r="441" spans="1:34" x14ac:dyDescent="0.2">
      <c r="A441" s="3">
        <v>21336</v>
      </c>
      <c r="B441" s="2">
        <v>5.5</v>
      </c>
      <c r="C441" s="2">
        <v>19.440000000000001</v>
      </c>
      <c r="D441" s="2">
        <v>-25.62</v>
      </c>
      <c r="E441" s="2">
        <v>-116.91</v>
      </c>
      <c r="F441" s="2">
        <v>-73.48</v>
      </c>
      <c r="G441" s="2">
        <v>-73.599999999999994</v>
      </c>
      <c r="H441" s="2">
        <v>22.32</v>
      </c>
      <c r="I441" s="2">
        <v>44.38</v>
      </c>
      <c r="J441" s="2">
        <v>1.32</v>
      </c>
      <c r="K441" s="2">
        <v>-12.76</v>
      </c>
      <c r="L441" s="2">
        <v>29.22</v>
      </c>
      <c r="M441" s="2">
        <v>2.21</v>
      </c>
      <c r="N441" s="2">
        <v>35.11</v>
      </c>
      <c r="O441" s="2">
        <v>14.45</v>
      </c>
      <c r="P441" s="2">
        <v>82.3</v>
      </c>
      <c r="Q441" s="2">
        <v>20.39</v>
      </c>
      <c r="R441" s="2">
        <v>13.07</v>
      </c>
      <c r="S441" s="2">
        <v>63.42</v>
      </c>
      <c r="T441" s="2">
        <v>22.36</v>
      </c>
      <c r="U441" s="2">
        <v>1.95</v>
      </c>
      <c r="V441" s="2">
        <v>25.82</v>
      </c>
      <c r="W441" s="2">
        <v>4.88</v>
      </c>
      <c r="X441" s="2">
        <v>7.18</v>
      </c>
      <c r="Y441" s="2">
        <v>5.85</v>
      </c>
      <c r="Z441" s="2">
        <v>1.34</v>
      </c>
      <c r="AA441" s="2">
        <v>0.56999999999999995</v>
      </c>
      <c r="AB441" s="2">
        <v>0</v>
      </c>
      <c r="AC441" s="2">
        <v>0.95</v>
      </c>
      <c r="AD441" s="2">
        <v>6.67</v>
      </c>
      <c r="AE441" s="2">
        <v>4.9400000000000004</v>
      </c>
      <c r="AF441" s="2">
        <v>97.94</v>
      </c>
      <c r="AG441" s="2">
        <v>17.690000000000001</v>
      </c>
      <c r="AH441" s="4">
        <f t="shared" si="6"/>
        <v>100.89000000000004</v>
      </c>
    </row>
    <row r="442" spans="1:34" x14ac:dyDescent="0.2">
      <c r="A442" s="3">
        <v>21366</v>
      </c>
      <c r="B442" s="2">
        <v>3.49</v>
      </c>
      <c r="C442" s="2">
        <v>14.74</v>
      </c>
      <c r="D442" s="2">
        <v>-22.75</v>
      </c>
      <c r="E442" s="2">
        <v>-102.83</v>
      </c>
      <c r="F442" s="2">
        <v>-99.16</v>
      </c>
      <c r="G442" s="2">
        <v>-27.25</v>
      </c>
      <c r="H442" s="2">
        <v>1.79</v>
      </c>
      <c r="I442" s="2">
        <v>36.5</v>
      </c>
      <c r="J442" s="2">
        <v>-34.1</v>
      </c>
      <c r="K442" s="2">
        <v>-34.520000000000003</v>
      </c>
      <c r="L442" s="2">
        <v>-35.39</v>
      </c>
      <c r="M442" s="2">
        <v>-23.63</v>
      </c>
      <c r="N442" s="2">
        <v>20.46</v>
      </c>
      <c r="O442" s="2">
        <v>55.39</v>
      </c>
      <c r="P442" s="2">
        <v>88.13</v>
      </c>
      <c r="Q442" s="2">
        <v>18.579999999999998</v>
      </c>
      <c r="R442" s="2">
        <v>15.26</v>
      </c>
      <c r="S442" s="2">
        <v>26.61</v>
      </c>
      <c r="T442" s="2">
        <v>70.84</v>
      </c>
      <c r="U442" s="2">
        <v>-0.54</v>
      </c>
      <c r="V442" s="2">
        <v>43.39</v>
      </c>
      <c r="W442" s="2">
        <v>18.62</v>
      </c>
      <c r="X442" s="2">
        <v>12.44</v>
      </c>
      <c r="Y442" s="2">
        <v>11.81</v>
      </c>
      <c r="Z442" s="2">
        <v>0</v>
      </c>
      <c r="AA442" s="2">
        <v>0</v>
      </c>
      <c r="AB442" s="2">
        <v>0</v>
      </c>
      <c r="AC442" s="2">
        <v>0</v>
      </c>
      <c r="AD442" s="2">
        <v>13.74</v>
      </c>
      <c r="AE442" s="2">
        <v>3.82</v>
      </c>
      <c r="AF442" s="2">
        <v>107.19</v>
      </c>
      <c r="AG442" s="2">
        <v>22.83</v>
      </c>
      <c r="AH442" s="4">
        <f t="shared" si="6"/>
        <v>15.009999999999998</v>
      </c>
    </row>
    <row r="443" spans="1:34" x14ac:dyDescent="0.2">
      <c r="A443" s="3">
        <v>21397</v>
      </c>
      <c r="B443" s="2">
        <v>2.2400000000000002</v>
      </c>
      <c r="C443" s="2">
        <v>14.52</v>
      </c>
      <c r="D443" s="2">
        <v>-16.27</v>
      </c>
      <c r="E443" s="2">
        <v>-91.84</v>
      </c>
      <c r="F443" s="2">
        <v>-72.930000000000007</v>
      </c>
      <c r="G443" s="2">
        <v>-22.31</v>
      </c>
      <c r="H443" s="2">
        <v>-2.38</v>
      </c>
      <c r="I443" s="2">
        <v>27.82</v>
      </c>
      <c r="J443" s="2">
        <v>-67.180000000000007</v>
      </c>
      <c r="K443" s="2">
        <v>-64.87</v>
      </c>
      <c r="L443" s="2">
        <v>-69.19</v>
      </c>
      <c r="M443" s="2">
        <v>-37.49</v>
      </c>
      <c r="N443" s="2">
        <v>-7.07</v>
      </c>
      <c r="O443" s="2">
        <v>110.17</v>
      </c>
      <c r="P443" s="2">
        <v>59.1</v>
      </c>
      <c r="Q443" s="2">
        <v>13.51</v>
      </c>
      <c r="R443" s="2">
        <v>8.16</v>
      </c>
      <c r="S443" s="2">
        <v>22.79</v>
      </c>
      <c r="T443" s="2">
        <v>39.49</v>
      </c>
      <c r="U443" s="2">
        <v>4.49</v>
      </c>
      <c r="V443" s="2">
        <v>52.46</v>
      </c>
      <c r="W443" s="2">
        <v>30.39</v>
      </c>
      <c r="X443" s="2">
        <v>17.59</v>
      </c>
      <c r="Y443" s="2">
        <v>17.32</v>
      </c>
      <c r="Z443" s="2">
        <v>0</v>
      </c>
      <c r="AA443" s="2">
        <v>0.86</v>
      </c>
      <c r="AB443" s="2">
        <v>0</v>
      </c>
      <c r="AC443" s="2">
        <v>25.72</v>
      </c>
      <c r="AD443" s="2">
        <v>9.6199999999999992</v>
      </c>
      <c r="AE443" s="2">
        <v>0</v>
      </c>
      <c r="AF443" s="2">
        <v>116.73</v>
      </c>
      <c r="AG443" s="2">
        <v>24.8</v>
      </c>
      <c r="AH443" s="4">
        <f t="shared" si="6"/>
        <v>-96.78000000000003</v>
      </c>
    </row>
    <row r="444" spans="1:34" x14ac:dyDescent="0.2">
      <c r="A444" s="3">
        <v>21428</v>
      </c>
      <c r="B444" s="2">
        <v>1.6</v>
      </c>
      <c r="C444" s="2">
        <v>13.96</v>
      </c>
      <c r="D444" s="2">
        <v>-11.39</v>
      </c>
      <c r="E444" s="2">
        <v>-64.7</v>
      </c>
      <c r="F444" s="2">
        <v>-28.87</v>
      </c>
      <c r="G444" s="2">
        <v>1.64</v>
      </c>
      <c r="H444" s="2">
        <v>10.08</v>
      </c>
      <c r="I444" s="2">
        <v>30.15</v>
      </c>
      <c r="J444" s="2">
        <v>-39.15</v>
      </c>
      <c r="K444" s="2">
        <v>-24.23</v>
      </c>
      <c r="L444" s="2">
        <v>-46.91</v>
      </c>
      <c r="M444" s="2">
        <v>-23.43</v>
      </c>
      <c r="N444" s="2">
        <v>8.6199999999999992</v>
      </c>
      <c r="O444" s="2">
        <v>93.16</v>
      </c>
      <c r="P444" s="2">
        <v>47.47</v>
      </c>
      <c r="Q444" s="2">
        <v>8.9700000000000006</v>
      </c>
      <c r="R444" s="2">
        <v>18.66</v>
      </c>
      <c r="S444" s="2">
        <v>25.14</v>
      </c>
      <c r="T444" s="2">
        <v>38.21</v>
      </c>
      <c r="U444" s="2">
        <v>9.06</v>
      </c>
      <c r="V444" s="2">
        <v>43.04</v>
      </c>
      <c r="W444" s="2">
        <v>31.47</v>
      </c>
      <c r="X444" s="2">
        <v>19.89</v>
      </c>
      <c r="Y444" s="2">
        <v>19.760000000000002</v>
      </c>
      <c r="Z444" s="2">
        <v>0</v>
      </c>
      <c r="AA444" s="2">
        <v>0.14000000000000001</v>
      </c>
      <c r="AB444" s="2">
        <v>0.9</v>
      </c>
      <c r="AC444" s="2">
        <v>3.11</v>
      </c>
      <c r="AD444" s="2">
        <v>6.4</v>
      </c>
      <c r="AE444" s="2">
        <v>0.28000000000000003</v>
      </c>
      <c r="AF444" s="2">
        <v>118.71</v>
      </c>
      <c r="AG444" s="2">
        <v>23.65</v>
      </c>
      <c r="AH444" s="4">
        <f t="shared" si="6"/>
        <v>111.08000000000001</v>
      </c>
    </row>
    <row r="445" spans="1:34" x14ac:dyDescent="0.2">
      <c r="A445" s="3">
        <v>21458</v>
      </c>
      <c r="B445" s="2">
        <v>-0.02</v>
      </c>
      <c r="C445" s="2">
        <v>13.65</v>
      </c>
      <c r="D445" s="2">
        <v>-12.01</v>
      </c>
      <c r="E445" s="2">
        <v>-36.880000000000003</v>
      </c>
      <c r="F445" s="2">
        <v>-16.8</v>
      </c>
      <c r="G445" s="2">
        <v>15.88</v>
      </c>
      <c r="H445" s="2">
        <v>18.96</v>
      </c>
      <c r="I445" s="2">
        <v>38.76</v>
      </c>
      <c r="J445" s="2">
        <v>-4.68</v>
      </c>
      <c r="K445" s="2">
        <v>-7.75</v>
      </c>
      <c r="L445" s="2">
        <v>-20.350000000000001</v>
      </c>
      <c r="M445" s="2">
        <v>-4.42</v>
      </c>
      <c r="N445" s="2">
        <v>28</v>
      </c>
      <c r="O445" s="2">
        <v>6.93</v>
      </c>
      <c r="P445" s="2">
        <v>5.17</v>
      </c>
      <c r="Q445" s="2">
        <v>5.25</v>
      </c>
      <c r="R445" s="2">
        <v>9.86</v>
      </c>
      <c r="S445" s="2">
        <v>13.12</v>
      </c>
      <c r="T445" s="2">
        <v>16.809999999999999</v>
      </c>
      <c r="U445" s="2">
        <v>11.33</v>
      </c>
      <c r="V445" s="2">
        <v>19.170000000000002</v>
      </c>
      <c r="W445" s="2">
        <v>26.1</v>
      </c>
      <c r="X445" s="2">
        <v>18.899999999999999</v>
      </c>
      <c r="Y445" s="2">
        <v>18.57</v>
      </c>
      <c r="Z445" s="2">
        <v>2.0099999999999998</v>
      </c>
      <c r="AA445" s="2">
        <v>0</v>
      </c>
      <c r="AB445" s="2">
        <v>0.56000000000000005</v>
      </c>
      <c r="AC445" s="2">
        <v>11.1</v>
      </c>
      <c r="AD445" s="2">
        <v>4.4800000000000004</v>
      </c>
      <c r="AE445" s="2">
        <v>0.37</v>
      </c>
      <c r="AF445" s="2">
        <v>110.57</v>
      </c>
      <c r="AG445" s="2">
        <v>20.170000000000002</v>
      </c>
      <c r="AH445" s="4">
        <f t="shared" si="6"/>
        <v>99.97999999999999</v>
      </c>
    </row>
    <row r="446" spans="1:34" x14ac:dyDescent="0.2">
      <c r="A446" s="3">
        <v>21489</v>
      </c>
      <c r="B446" s="2">
        <v>-1.26</v>
      </c>
      <c r="C446" s="2">
        <v>13.23</v>
      </c>
      <c r="D446" s="2">
        <v>-11.57</v>
      </c>
      <c r="E446" s="2">
        <v>-36.270000000000003</v>
      </c>
      <c r="F446" s="2">
        <v>-23.23</v>
      </c>
      <c r="G446" s="2">
        <v>12.51</v>
      </c>
      <c r="H446" s="2">
        <v>14.84</v>
      </c>
      <c r="I446" s="2">
        <v>37.47</v>
      </c>
      <c r="J446" s="2">
        <v>7.0000000000000007E-2</v>
      </c>
      <c r="K446" s="2">
        <v>-7.5</v>
      </c>
      <c r="L446" s="2">
        <v>-2.57</v>
      </c>
      <c r="M446" s="2">
        <v>5.39</v>
      </c>
      <c r="N446" s="2">
        <v>16.05</v>
      </c>
      <c r="O446" s="2">
        <v>9.3699999999999992</v>
      </c>
      <c r="P446" s="2">
        <v>25.93</v>
      </c>
      <c r="Q446" s="2">
        <v>2.29</v>
      </c>
      <c r="R446" s="2">
        <v>0.1</v>
      </c>
      <c r="S446" s="2">
        <v>0.4</v>
      </c>
      <c r="T446" s="2">
        <v>19.149999999999999</v>
      </c>
      <c r="U446" s="2">
        <v>0.87</v>
      </c>
      <c r="V446" s="2">
        <v>17.170000000000002</v>
      </c>
      <c r="W446" s="2">
        <v>22.19</v>
      </c>
      <c r="X446" s="2">
        <v>17.54</v>
      </c>
      <c r="Y446" s="2">
        <v>17.190000000000001</v>
      </c>
      <c r="Z446" s="2">
        <v>1.05</v>
      </c>
      <c r="AA446" s="2">
        <v>0</v>
      </c>
      <c r="AB446" s="2">
        <v>0.26</v>
      </c>
      <c r="AC446" s="2">
        <v>12.59</v>
      </c>
      <c r="AD446" s="2">
        <v>2.39</v>
      </c>
      <c r="AE446" s="2">
        <v>0.09</v>
      </c>
      <c r="AF446" s="2">
        <v>100.29</v>
      </c>
      <c r="AG446" s="2">
        <v>16.420000000000002</v>
      </c>
      <c r="AH446" s="4">
        <f t="shared" si="6"/>
        <v>92.439999999999984</v>
      </c>
    </row>
    <row r="447" spans="1:34" x14ac:dyDescent="0.2">
      <c r="A447" s="3">
        <v>21519</v>
      </c>
      <c r="B447" s="2">
        <v>-1.66</v>
      </c>
      <c r="C447" s="2">
        <v>9.85</v>
      </c>
      <c r="D447" s="2">
        <v>-10.81</v>
      </c>
      <c r="E447" s="2">
        <v>-31.91</v>
      </c>
      <c r="F447" s="2">
        <v>-11.09</v>
      </c>
      <c r="G447" s="2">
        <v>9.25</v>
      </c>
      <c r="H447" s="2">
        <v>13.76</v>
      </c>
      <c r="I447" s="2">
        <v>31.1</v>
      </c>
      <c r="J447" s="2">
        <v>9.9</v>
      </c>
      <c r="K447" s="2">
        <v>-5.72</v>
      </c>
      <c r="L447" s="2">
        <v>11.87</v>
      </c>
      <c r="M447" s="2">
        <v>3.14</v>
      </c>
      <c r="N447" s="2">
        <v>11.37</v>
      </c>
      <c r="O447" s="2">
        <v>6.71</v>
      </c>
      <c r="P447" s="2">
        <v>21.26</v>
      </c>
      <c r="Q447" s="2">
        <v>1.23</v>
      </c>
      <c r="R447" s="2">
        <v>-1.05</v>
      </c>
      <c r="S447" s="2">
        <v>0.83</v>
      </c>
      <c r="T447" s="2">
        <v>10.78</v>
      </c>
      <c r="U447" s="2">
        <v>6.03</v>
      </c>
      <c r="V447" s="2">
        <v>9.6</v>
      </c>
      <c r="W447" s="2">
        <v>15.43</v>
      </c>
      <c r="X447" s="2">
        <v>11.48</v>
      </c>
      <c r="Y447" s="2">
        <v>10.11</v>
      </c>
      <c r="Z447" s="2">
        <v>0</v>
      </c>
      <c r="AA447" s="2">
        <v>2.09</v>
      </c>
      <c r="AB447" s="2">
        <v>1.4</v>
      </c>
      <c r="AC447" s="2">
        <v>7.18</v>
      </c>
      <c r="AD447" s="2">
        <v>1.33</v>
      </c>
      <c r="AE447" s="2">
        <v>2.14</v>
      </c>
      <c r="AF447" s="2">
        <v>65.81</v>
      </c>
      <c r="AG447" s="2">
        <v>12.92</v>
      </c>
      <c r="AH447" s="4">
        <f t="shared" si="6"/>
        <v>94.44</v>
      </c>
    </row>
    <row r="448" spans="1:34" x14ac:dyDescent="0.2">
      <c r="A448" s="3">
        <v>21550</v>
      </c>
      <c r="B448" s="2">
        <v>-0.4</v>
      </c>
      <c r="C448" s="2">
        <v>8.99</v>
      </c>
      <c r="D448" s="2">
        <v>-4.6100000000000003</v>
      </c>
      <c r="E448" s="2">
        <v>-25.71</v>
      </c>
      <c r="F448" s="2">
        <v>-9.15</v>
      </c>
      <c r="G448" s="2">
        <v>8.15</v>
      </c>
      <c r="H448" s="2">
        <v>11.55</v>
      </c>
      <c r="I448" s="2">
        <v>30.18</v>
      </c>
      <c r="J448" s="2">
        <v>4.21</v>
      </c>
      <c r="K448" s="2">
        <v>-4.8</v>
      </c>
      <c r="L448" s="2">
        <v>-3.58</v>
      </c>
      <c r="M448" s="2">
        <v>-11.85</v>
      </c>
      <c r="N448" s="2">
        <v>9.8699999999999992</v>
      </c>
      <c r="O448" s="2">
        <v>6.99</v>
      </c>
      <c r="P448" s="2">
        <v>23.17</v>
      </c>
      <c r="Q448" s="2">
        <v>-0.46</v>
      </c>
      <c r="R448" s="2">
        <v>-1.33</v>
      </c>
      <c r="S448" s="2">
        <v>-0.34</v>
      </c>
      <c r="T448" s="2">
        <v>9.56</v>
      </c>
      <c r="U448" s="2">
        <v>4.83</v>
      </c>
      <c r="V448" s="2">
        <v>9.15</v>
      </c>
      <c r="W448" s="2">
        <v>11.73</v>
      </c>
      <c r="X448" s="2">
        <v>9.32</v>
      </c>
      <c r="Y448" s="2">
        <v>9.17</v>
      </c>
      <c r="Z448" s="2">
        <v>3.54</v>
      </c>
      <c r="AA448" s="2">
        <v>0</v>
      </c>
      <c r="AB448" s="2">
        <v>0.05</v>
      </c>
      <c r="AC448" s="2">
        <v>0</v>
      </c>
      <c r="AD448" s="2">
        <v>1.33</v>
      </c>
      <c r="AE448" s="2">
        <v>5.59</v>
      </c>
      <c r="AF448" s="2">
        <v>60.46</v>
      </c>
      <c r="AG448" s="2">
        <v>11.2</v>
      </c>
      <c r="AH448" s="4">
        <f t="shared" si="6"/>
        <v>64.42</v>
      </c>
    </row>
    <row r="449" spans="1:34" x14ac:dyDescent="0.2">
      <c r="A449" s="3">
        <v>21581</v>
      </c>
      <c r="B449" s="2">
        <v>5.0199999999999996</v>
      </c>
      <c r="C449" s="2">
        <v>23.42</v>
      </c>
      <c r="D449" s="2">
        <v>29.96</v>
      </c>
      <c r="E449" s="2">
        <v>76.849999999999994</v>
      </c>
      <c r="F449" s="2">
        <v>51.55</v>
      </c>
      <c r="G449" s="2">
        <v>93.13</v>
      </c>
      <c r="H449" s="2">
        <v>33.130000000000003</v>
      </c>
      <c r="I449" s="2">
        <v>39.47</v>
      </c>
      <c r="J449" s="2">
        <v>27.54</v>
      </c>
      <c r="K449" s="2">
        <v>17.2</v>
      </c>
      <c r="L449" s="2">
        <v>-10.58</v>
      </c>
      <c r="M449" s="2">
        <v>-1.61</v>
      </c>
      <c r="N449" s="2">
        <v>20.440000000000001</v>
      </c>
      <c r="O449" s="2">
        <v>9.4</v>
      </c>
      <c r="P449" s="2">
        <v>31.79</v>
      </c>
      <c r="Q449" s="2">
        <v>-4.2</v>
      </c>
      <c r="R449" s="2">
        <v>-3.81</v>
      </c>
      <c r="S449" s="2">
        <v>8.43</v>
      </c>
      <c r="T449" s="2">
        <v>15.67</v>
      </c>
      <c r="U449" s="2">
        <v>2.12</v>
      </c>
      <c r="V449" s="2">
        <v>11.71</v>
      </c>
      <c r="W449" s="2">
        <v>4.26</v>
      </c>
      <c r="X449" s="2">
        <v>6.52</v>
      </c>
      <c r="Y449" s="2">
        <v>5.08</v>
      </c>
      <c r="Z449" s="2">
        <v>4.59</v>
      </c>
      <c r="AA449" s="2">
        <v>0.72</v>
      </c>
      <c r="AB449" s="2">
        <v>0.78</v>
      </c>
      <c r="AC449" s="2">
        <v>4.2</v>
      </c>
      <c r="AD449" s="2">
        <v>1.26</v>
      </c>
      <c r="AE449" s="2">
        <v>28.43</v>
      </c>
      <c r="AF449" s="2">
        <v>75.3</v>
      </c>
      <c r="AG449" s="2">
        <v>9.8800000000000008</v>
      </c>
      <c r="AH449" s="4">
        <f t="shared" si="6"/>
        <v>476.63</v>
      </c>
    </row>
    <row r="450" spans="1:34" x14ac:dyDescent="0.2">
      <c r="A450" s="3">
        <v>21609</v>
      </c>
      <c r="B450" s="2">
        <v>7.29</v>
      </c>
      <c r="C450" s="2">
        <v>23.25</v>
      </c>
      <c r="D450" s="2">
        <v>23.04</v>
      </c>
      <c r="E450" s="2">
        <v>46.36</v>
      </c>
      <c r="F450" s="2">
        <v>48.58</v>
      </c>
      <c r="G450" s="2">
        <v>125.08</v>
      </c>
      <c r="H450" s="2">
        <v>19.100000000000001</v>
      </c>
      <c r="I450" s="2">
        <v>38.22</v>
      </c>
      <c r="J450" s="2">
        <v>35.19</v>
      </c>
      <c r="K450" s="2">
        <v>32.020000000000003</v>
      </c>
      <c r="L450" s="2">
        <v>-0.67</v>
      </c>
      <c r="M450" s="2">
        <v>10.01</v>
      </c>
      <c r="N450" s="2">
        <v>38.32</v>
      </c>
      <c r="O450" s="2">
        <v>6.45</v>
      </c>
      <c r="P450" s="2">
        <v>47.71</v>
      </c>
      <c r="Q450" s="2">
        <v>-0.56999999999999995</v>
      </c>
      <c r="R450" s="2">
        <v>-0.75</v>
      </c>
      <c r="S450" s="2">
        <v>30.86</v>
      </c>
      <c r="T450" s="2">
        <v>17.37</v>
      </c>
      <c r="U450" s="2">
        <v>4.83</v>
      </c>
      <c r="V450" s="2">
        <v>9.39</v>
      </c>
      <c r="W450" s="2">
        <v>0</v>
      </c>
      <c r="X450" s="2">
        <v>0.52</v>
      </c>
      <c r="Y450" s="2">
        <v>0.38</v>
      </c>
      <c r="Z450" s="2">
        <v>9.0399999999999991</v>
      </c>
      <c r="AA450" s="2">
        <v>3.58</v>
      </c>
      <c r="AB450" s="2">
        <v>6.28</v>
      </c>
      <c r="AC450" s="2">
        <v>10.29</v>
      </c>
      <c r="AD450" s="2">
        <v>1.62</v>
      </c>
      <c r="AE450" s="2">
        <v>46.14</v>
      </c>
      <c r="AF450" s="2">
        <v>62.77</v>
      </c>
      <c r="AG450" s="2">
        <v>10.08</v>
      </c>
      <c r="AH450" s="4">
        <f t="shared" si="6"/>
        <v>561.07999999999993</v>
      </c>
    </row>
    <row r="451" spans="1:34" x14ac:dyDescent="0.2">
      <c r="A451" s="3">
        <v>21640</v>
      </c>
      <c r="B451" s="2">
        <v>0.45</v>
      </c>
      <c r="C451" s="2">
        <v>14.31</v>
      </c>
      <c r="D451" s="2">
        <v>-25.21</v>
      </c>
      <c r="E451" s="2">
        <v>-72.150000000000006</v>
      </c>
      <c r="F451" s="2">
        <v>-32.979999999999997</v>
      </c>
      <c r="G451" s="2">
        <v>-42.58</v>
      </c>
      <c r="H451" s="2">
        <v>5.92</v>
      </c>
      <c r="I451" s="2">
        <v>32.32</v>
      </c>
      <c r="J451" s="2">
        <v>-10.52</v>
      </c>
      <c r="K451" s="2">
        <v>-23.53</v>
      </c>
      <c r="L451" s="2">
        <v>-14.69</v>
      </c>
      <c r="M451" s="2">
        <v>-16.21</v>
      </c>
      <c r="N451" s="2">
        <v>12.69</v>
      </c>
      <c r="O451" s="2">
        <v>13.97</v>
      </c>
      <c r="P451" s="2">
        <v>67.540000000000006</v>
      </c>
      <c r="Q451" s="2">
        <v>0.15</v>
      </c>
      <c r="R451" s="2">
        <v>-1.68</v>
      </c>
      <c r="S451" s="2">
        <v>-12.34</v>
      </c>
      <c r="T451" s="2">
        <v>27.97</v>
      </c>
      <c r="U451" s="2">
        <v>-2.33</v>
      </c>
      <c r="V451" s="2">
        <v>17.11</v>
      </c>
      <c r="W451" s="2">
        <v>0</v>
      </c>
      <c r="X451" s="2">
        <v>0.9</v>
      </c>
      <c r="Y451" s="2">
        <v>0</v>
      </c>
      <c r="Z451" s="2">
        <v>0</v>
      </c>
      <c r="AA451" s="2">
        <v>0</v>
      </c>
      <c r="AB451" s="2">
        <v>0.36</v>
      </c>
      <c r="AC451" s="2">
        <v>0</v>
      </c>
      <c r="AD451" s="2">
        <v>3.35</v>
      </c>
      <c r="AE451" s="2">
        <v>2.33</v>
      </c>
      <c r="AF451" s="2">
        <v>74.069999999999993</v>
      </c>
      <c r="AG451" s="2">
        <v>10.69</v>
      </c>
      <c r="AH451" s="4">
        <f t="shared" ref="AH451:AH514" si="7">SUM(B451:V451)</f>
        <v>-61.790000000000063</v>
      </c>
    </row>
    <row r="452" spans="1:34" x14ac:dyDescent="0.2">
      <c r="A452" s="3">
        <v>21670</v>
      </c>
      <c r="B452" s="2">
        <v>-1.27</v>
      </c>
      <c r="C452" s="2">
        <v>7.42</v>
      </c>
      <c r="D452" s="2">
        <v>-20.76</v>
      </c>
      <c r="E452" s="2">
        <v>-62.09</v>
      </c>
      <c r="F452" s="2">
        <v>-22.86</v>
      </c>
      <c r="G452" s="2">
        <v>-21.99</v>
      </c>
      <c r="H452" s="2">
        <v>2.0099999999999998</v>
      </c>
      <c r="I452" s="2">
        <v>34.619999999999997</v>
      </c>
      <c r="J452" s="2">
        <v>-16.7</v>
      </c>
      <c r="K452" s="2">
        <v>-4.7699999999999996</v>
      </c>
      <c r="L452" s="2">
        <v>-21.96</v>
      </c>
      <c r="M452" s="2">
        <v>-8.8000000000000007</v>
      </c>
      <c r="N452" s="2">
        <v>23.79</v>
      </c>
      <c r="O452" s="2">
        <v>8.6300000000000008</v>
      </c>
      <c r="P452" s="2">
        <v>42.49</v>
      </c>
      <c r="Q452" s="2">
        <v>-2.4900000000000002</v>
      </c>
      <c r="R452" s="2">
        <v>2.16</v>
      </c>
      <c r="S452" s="2">
        <v>-3.06</v>
      </c>
      <c r="T452" s="2">
        <v>17.25</v>
      </c>
      <c r="U452" s="2">
        <v>0.59</v>
      </c>
      <c r="V452" s="2">
        <v>15.8</v>
      </c>
      <c r="W452" s="2">
        <v>0</v>
      </c>
      <c r="X452" s="2">
        <v>1.06</v>
      </c>
      <c r="Y452" s="2">
        <v>0.2</v>
      </c>
      <c r="Z452" s="2">
        <v>1.1000000000000001</v>
      </c>
      <c r="AA452" s="2">
        <v>0.14000000000000001</v>
      </c>
      <c r="AB452" s="2">
        <v>0</v>
      </c>
      <c r="AC452" s="2">
        <v>0</v>
      </c>
      <c r="AD452" s="2">
        <v>4.2</v>
      </c>
      <c r="AE452" s="2">
        <v>5.59</v>
      </c>
      <c r="AF452" s="2">
        <v>91.65</v>
      </c>
      <c r="AG452" s="2">
        <v>14.64</v>
      </c>
      <c r="AH452" s="4">
        <f t="shared" si="7"/>
        <v>-31.99000000000002</v>
      </c>
    </row>
    <row r="453" spans="1:34" x14ac:dyDescent="0.2">
      <c r="A453" s="3">
        <v>21701</v>
      </c>
      <c r="B453" s="2">
        <v>-0.91</v>
      </c>
      <c r="C453" s="2">
        <v>8.0299999999999994</v>
      </c>
      <c r="D453" s="2">
        <v>-9.49</v>
      </c>
      <c r="E453" s="2">
        <v>-40.299999999999997</v>
      </c>
      <c r="F453" s="2">
        <v>-29.27</v>
      </c>
      <c r="G453" s="2">
        <v>-5.78</v>
      </c>
      <c r="H453" s="2">
        <v>4.8899999999999997</v>
      </c>
      <c r="I453" s="2">
        <v>25.43</v>
      </c>
      <c r="J453" s="2">
        <v>-16.02</v>
      </c>
      <c r="K453" s="2">
        <v>-6.4</v>
      </c>
      <c r="L453" s="2">
        <v>-13.51</v>
      </c>
      <c r="M453" s="2">
        <v>-3.69</v>
      </c>
      <c r="N453" s="2">
        <v>21.05</v>
      </c>
      <c r="O453" s="2">
        <v>24.42</v>
      </c>
      <c r="P453" s="2">
        <v>56.91</v>
      </c>
      <c r="Q453" s="2">
        <v>-1.1399999999999999</v>
      </c>
      <c r="R453" s="2">
        <v>0.24</v>
      </c>
      <c r="S453" s="2">
        <v>14.16</v>
      </c>
      <c r="T453" s="2">
        <v>47.94</v>
      </c>
      <c r="U453" s="2">
        <v>-0.92</v>
      </c>
      <c r="V453" s="2">
        <v>45.22</v>
      </c>
      <c r="W453" s="2">
        <v>4.88</v>
      </c>
      <c r="X453" s="2">
        <v>3.49</v>
      </c>
      <c r="Y453" s="2">
        <v>2</v>
      </c>
      <c r="Z453" s="2">
        <v>0</v>
      </c>
      <c r="AA453" s="2">
        <v>0</v>
      </c>
      <c r="AB453" s="2">
        <v>0</v>
      </c>
      <c r="AC453" s="2">
        <v>0</v>
      </c>
      <c r="AD453" s="2">
        <v>7.61</v>
      </c>
      <c r="AE453" s="2">
        <v>0.09</v>
      </c>
      <c r="AF453" s="2">
        <v>103.51</v>
      </c>
      <c r="AG453" s="2">
        <v>17.690000000000001</v>
      </c>
      <c r="AH453" s="4">
        <f t="shared" si="7"/>
        <v>120.85999999999997</v>
      </c>
    </row>
    <row r="454" spans="1:34" x14ac:dyDescent="0.2">
      <c r="A454" s="3">
        <v>21731</v>
      </c>
      <c r="B454" s="2">
        <v>-0.14000000000000001</v>
      </c>
      <c r="C454" s="2">
        <v>11.46</v>
      </c>
      <c r="D454" s="2">
        <v>-11.07</v>
      </c>
      <c r="E454" s="2">
        <v>-42.39</v>
      </c>
      <c r="F454" s="2">
        <v>-22.05</v>
      </c>
      <c r="G454" s="2">
        <v>3.83</v>
      </c>
      <c r="H454" s="2">
        <v>8.3800000000000008</v>
      </c>
      <c r="I454" s="2">
        <v>27.69</v>
      </c>
      <c r="J454" s="2">
        <v>-12.32</v>
      </c>
      <c r="K454" s="2">
        <v>0.21</v>
      </c>
      <c r="L454" s="2">
        <v>-4.76</v>
      </c>
      <c r="M454" s="2">
        <v>2.61</v>
      </c>
      <c r="N454" s="2">
        <v>24.7</v>
      </c>
      <c r="O454" s="2">
        <v>119.35</v>
      </c>
      <c r="P454" s="2">
        <v>116.67</v>
      </c>
      <c r="Q454" s="2">
        <v>3.45</v>
      </c>
      <c r="R454" s="2">
        <v>0.28000000000000003</v>
      </c>
      <c r="S454" s="2">
        <v>56.12</v>
      </c>
      <c r="T454" s="2">
        <v>71.44</v>
      </c>
      <c r="U454" s="2">
        <v>11.4</v>
      </c>
      <c r="V454" s="2">
        <v>56.88</v>
      </c>
      <c r="W454" s="2">
        <v>18.62</v>
      </c>
      <c r="X454" s="2">
        <v>8.42</v>
      </c>
      <c r="Y454" s="2">
        <v>7.55</v>
      </c>
      <c r="Z454" s="2">
        <v>0</v>
      </c>
      <c r="AA454" s="2">
        <v>0</v>
      </c>
      <c r="AB454" s="2">
        <v>0</v>
      </c>
      <c r="AC454" s="2">
        <v>0</v>
      </c>
      <c r="AD454" s="2">
        <v>9.67</v>
      </c>
      <c r="AE454" s="2">
        <v>0</v>
      </c>
      <c r="AF454" s="2">
        <v>113.28</v>
      </c>
      <c r="AG454" s="2">
        <v>22.83</v>
      </c>
      <c r="AH454" s="4">
        <f t="shared" si="7"/>
        <v>421.73999999999995</v>
      </c>
    </row>
    <row r="455" spans="1:34" x14ac:dyDescent="0.2">
      <c r="A455" s="3">
        <v>21762</v>
      </c>
      <c r="B455" s="2">
        <v>0.64</v>
      </c>
      <c r="C455" s="2">
        <v>13.41</v>
      </c>
      <c r="D455" s="2">
        <v>-7.01</v>
      </c>
      <c r="E455" s="2">
        <v>-30.06</v>
      </c>
      <c r="F455" s="2">
        <v>0.41</v>
      </c>
      <c r="G455" s="2">
        <v>16.91</v>
      </c>
      <c r="H455" s="2">
        <v>15.56</v>
      </c>
      <c r="I455" s="2">
        <v>28.75</v>
      </c>
      <c r="J455" s="2">
        <v>-10.96</v>
      </c>
      <c r="K455" s="2">
        <v>-1.78</v>
      </c>
      <c r="L455" s="2">
        <v>1.1399999999999999</v>
      </c>
      <c r="M455" s="2">
        <v>4.25</v>
      </c>
      <c r="N455" s="2">
        <v>24.21</v>
      </c>
      <c r="O455" s="2">
        <v>129.97</v>
      </c>
      <c r="P455" s="2">
        <v>157.94999999999999</v>
      </c>
      <c r="Q455" s="2">
        <v>0.94</v>
      </c>
      <c r="R455" s="2">
        <v>-5.4</v>
      </c>
      <c r="S455" s="2">
        <v>73.63</v>
      </c>
      <c r="T455" s="2">
        <v>55.35</v>
      </c>
      <c r="U455" s="2">
        <v>17.66</v>
      </c>
      <c r="V455" s="2">
        <v>56.28</v>
      </c>
      <c r="W455" s="2">
        <v>30.39</v>
      </c>
      <c r="X455" s="2">
        <v>13.21</v>
      </c>
      <c r="Y455" s="2">
        <v>12.76</v>
      </c>
      <c r="Z455" s="2">
        <v>0</v>
      </c>
      <c r="AA455" s="2">
        <v>0</v>
      </c>
      <c r="AB455" s="2">
        <v>0.21</v>
      </c>
      <c r="AC455" s="2">
        <v>1.35</v>
      </c>
      <c r="AD455" s="2">
        <v>8.92</v>
      </c>
      <c r="AE455" s="2">
        <v>0</v>
      </c>
      <c r="AF455" s="2">
        <v>123.36</v>
      </c>
      <c r="AG455" s="2">
        <v>24.8</v>
      </c>
      <c r="AH455" s="4">
        <f t="shared" si="7"/>
        <v>541.85</v>
      </c>
    </row>
    <row r="456" spans="1:34" x14ac:dyDescent="0.2">
      <c r="A456" s="3">
        <v>21793</v>
      </c>
      <c r="B456" s="2">
        <v>-0.08</v>
      </c>
      <c r="C456" s="2">
        <v>11.98</v>
      </c>
      <c r="D456" s="2">
        <v>1.37</v>
      </c>
      <c r="E456" s="2">
        <v>-45.66</v>
      </c>
      <c r="F456" s="2">
        <v>-2.42</v>
      </c>
      <c r="G456" s="2">
        <v>20.84</v>
      </c>
      <c r="H456" s="2">
        <v>17.8</v>
      </c>
      <c r="I456" s="2">
        <v>28</v>
      </c>
      <c r="J456" s="2">
        <v>-5.21</v>
      </c>
      <c r="K456" s="2">
        <v>-5.43</v>
      </c>
      <c r="L456" s="2">
        <v>-0.67</v>
      </c>
      <c r="M456" s="2">
        <v>1.99</v>
      </c>
      <c r="N456" s="2">
        <v>21.41</v>
      </c>
      <c r="O456" s="2">
        <v>97.34</v>
      </c>
      <c r="P456" s="2">
        <v>138.44</v>
      </c>
      <c r="Q456" s="2">
        <v>1.69</v>
      </c>
      <c r="R456" s="2">
        <v>-4.21</v>
      </c>
      <c r="S456" s="2">
        <v>56.87</v>
      </c>
      <c r="T456" s="2">
        <v>54.15</v>
      </c>
      <c r="U456" s="2">
        <v>11.61</v>
      </c>
      <c r="V456" s="2">
        <v>42.69</v>
      </c>
      <c r="W456" s="2">
        <v>31.47</v>
      </c>
      <c r="X456" s="2">
        <v>15.46</v>
      </c>
      <c r="Y456" s="2">
        <v>15.1</v>
      </c>
      <c r="Z456" s="2">
        <v>0.62</v>
      </c>
      <c r="AA456" s="2">
        <v>1.72</v>
      </c>
      <c r="AB456" s="2">
        <v>0.05</v>
      </c>
      <c r="AC456" s="2">
        <v>6.36</v>
      </c>
      <c r="AD456" s="2">
        <v>6.7</v>
      </c>
      <c r="AE456" s="2">
        <v>0</v>
      </c>
      <c r="AF456" s="2">
        <v>125.46</v>
      </c>
      <c r="AG456" s="2">
        <v>23.65</v>
      </c>
      <c r="AH456" s="4">
        <f t="shared" si="7"/>
        <v>442.5</v>
      </c>
    </row>
    <row r="457" spans="1:34" x14ac:dyDescent="0.2">
      <c r="A457" s="3">
        <v>21823</v>
      </c>
      <c r="B457" s="2">
        <v>-1.61</v>
      </c>
      <c r="C457" s="2">
        <v>11.77</v>
      </c>
      <c r="D457" s="2">
        <v>-9.94</v>
      </c>
      <c r="E457" s="2">
        <v>-35.840000000000003</v>
      </c>
      <c r="F457" s="2">
        <v>9.81</v>
      </c>
      <c r="G457" s="2">
        <v>21.89</v>
      </c>
      <c r="H457" s="2">
        <v>18.329999999999998</v>
      </c>
      <c r="I457" s="2">
        <v>37.03</v>
      </c>
      <c r="J457" s="2">
        <v>10.59</v>
      </c>
      <c r="K457" s="2">
        <v>4.67</v>
      </c>
      <c r="L457" s="2">
        <v>-0.59</v>
      </c>
      <c r="M457" s="2">
        <v>2.31</v>
      </c>
      <c r="N457" s="2">
        <v>24</v>
      </c>
      <c r="O457" s="2">
        <v>7.94</v>
      </c>
      <c r="P457" s="2">
        <v>41.25</v>
      </c>
      <c r="Q457" s="2">
        <v>1.76</v>
      </c>
      <c r="R457" s="2">
        <v>4.79</v>
      </c>
      <c r="S457" s="2">
        <v>8.9700000000000006</v>
      </c>
      <c r="T457" s="2">
        <v>14.34</v>
      </c>
      <c r="U457" s="2">
        <v>4.74</v>
      </c>
      <c r="V457" s="2">
        <v>10.76</v>
      </c>
      <c r="W457" s="2">
        <v>26.1</v>
      </c>
      <c r="X457" s="2">
        <v>14.81</v>
      </c>
      <c r="Y457" s="2">
        <v>14.26</v>
      </c>
      <c r="Z457" s="2">
        <v>0.91</v>
      </c>
      <c r="AA457" s="2">
        <v>0.86</v>
      </c>
      <c r="AB457" s="2">
        <v>1.25</v>
      </c>
      <c r="AC457" s="2">
        <v>0</v>
      </c>
      <c r="AD457" s="2">
        <v>4.24</v>
      </c>
      <c r="AE457" s="2">
        <v>19.02</v>
      </c>
      <c r="AF457" s="2">
        <v>116.86</v>
      </c>
      <c r="AG457" s="2">
        <v>20.170000000000002</v>
      </c>
      <c r="AH457" s="4">
        <f t="shared" si="7"/>
        <v>186.97</v>
      </c>
    </row>
    <row r="458" spans="1:34" x14ac:dyDescent="0.2">
      <c r="A458" s="3">
        <v>21854</v>
      </c>
      <c r="B458" s="2">
        <v>-5.88</v>
      </c>
      <c r="C458" s="2">
        <v>10.56</v>
      </c>
      <c r="D458" s="2">
        <v>-12.61</v>
      </c>
      <c r="E458" s="2">
        <v>-34.520000000000003</v>
      </c>
      <c r="F458" s="2">
        <v>-5.37</v>
      </c>
      <c r="G458" s="2">
        <v>14</v>
      </c>
      <c r="H458" s="2">
        <v>14.09</v>
      </c>
      <c r="I458" s="2">
        <v>32.17</v>
      </c>
      <c r="J458" s="2">
        <v>-0.6</v>
      </c>
      <c r="K458" s="2">
        <v>-8.17</v>
      </c>
      <c r="L458" s="2">
        <v>-2.13</v>
      </c>
      <c r="M458" s="2">
        <v>-3.86</v>
      </c>
      <c r="N458" s="2">
        <v>15.92</v>
      </c>
      <c r="O458" s="2">
        <v>14.88</v>
      </c>
      <c r="P458" s="2">
        <v>32.840000000000003</v>
      </c>
      <c r="Q458" s="2">
        <v>1.64</v>
      </c>
      <c r="R458" s="2">
        <v>0.15</v>
      </c>
      <c r="S458" s="2">
        <v>1.41</v>
      </c>
      <c r="T458" s="2">
        <v>17.18</v>
      </c>
      <c r="U458" s="2">
        <v>1.71</v>
      </c>
      <c r="V458" s="2">
        <v>9.2200000000000006</v>
      </c>
      <c r="W458" s="2">
        <v>22.19</v>
      </c>
      <c r="X458" s="2">
        <v>13.83</v>
      </c>
      <c r="Y458" s="2">
        <v>13.28</v>
      </c>
      <c r="Z458" s="2">
        <v>0</v>
      </c>
      <c r="AA458" s="2">
        <v>4.18</v>
      </c>
      <c r="AB458" s="2">
        <v>0</v>
      </c>
      <c r="AC458" s="2">
        <v>0</v>
      </c>
      <c r="AD458" s="2">
        <v>3.59</v>
      </c>
      <c r="AE458" s="2">
        <v>0</v>
      </c>
      <c r="AF458" s="2">
        <v>105.99</v>
      </c>
      <c r="AG458" s="2">
        <v>16.420000000000002</v>
      </c>
      <c r="AH458" s="4">
        <f t="shared" si="7"/>
        <v>92.63000000000001</v>
      </c>
    </row>
    <row r="459" spans="1:34" x14ac:dyDescent="0.2">
      <c r="A459" s="3">
        <v>21884</v>
      </c>
      <c r="B459" s="2">
        <v>-5.52</v>
      </c>
      <c r="C459" s="2">
        <v>7.65</v>
      </c>
      <c r="D459" s="2">
        <v>-13.93</v>
      </c>
      <c r="E459" s="2">
        <v>-36.590000000000003</v>
      </c>
      <c r="F459" s="2">
        <v>-7.38</v>
      </c>
      <c r="G459" s="2">
        <v>8</v>
      </c>
      <c r="H459" s="2">
        <v>9.9499999999999993</v>
      </c>
      <c r="I459" s="2">
        <v>28.13</v>
      </c>
      <c r="J459" s="2">
        <v>4.99</v>
      </c>
      <c r="K459" s="2">
        <v>-6.85</v>
      </c>
      <c r="L459" s="2">
        <v>0.42</v>
      </c>
      <c r="M459" s="2">
        <v>-1.5</v>
      </c>
      <c r="N459" s="2">
        <v>14.95</v>
      </c>
      <c r="O459" s="2">
        <v>6.48</v>
      </c>
      <c r="P459" s="2">
        <v>26.35</v>
      </c>
      <c r="Q459" s="2">
        <v>1.87</v>
      </c>
      <c r="R459" s="2">
        <v>-1.63</v>
      </c>
      <c r="S459" s="2">
        <v>-1.5</v>
      </c>
      <c r="T459" s="2">
        <v>12.98</v>
      </c>
      <c r="U459" s="2">
        <v>3.67</v>
      </c>
      <c r="V459" s="2">
        <v>10.18</v>
      </c>
      <c r="W459" s="2">
        <v>15.43</v>
      </c>
      <c r="X459" s="2">
        <v>8.91</v>
      </c>
      <c r="Y459" s="2">
        <v>7.39</v>
      </c>
      <c r="Z459" s="2">
        <v>5.46</v>
      </c>
      <c r="AA459" s="2">
        <v>7.31</v>
      </c>
      <c r="AB459" s="2">
        <v>0</v>
      </c>
      <c r="AC459" s="2">
        <v>7.99</v>
      </c>
      <c r="AD459" s="2">
        <v>2.35</v>
      </c>
      <c r="AE459" s="2">
        <v>0</v>
      </c>
      <c r="AF459" s="2">
        <v>69.540000000000006</v>
      </c>
      <c r="AG459" s="2">
        <v>12.92</v>
      </c>
      <c r="AH459" s="4">
        <f t="shared" si="7"/>
        <v>60.719999999999992</v>
      </c>
    </row>
    <row r="460" spans="1:34" x14ac:dyDescent="0.2">
      <c r="A460" s="3">
        <v>21915</v>
      </c>
      <c r="B460" s="2">
        <v>-3.66</v>
      </c>
      <c r="C460" s="2">
        <v>7.62</v>
      </c>
      <c r="D460" s="2">
        <v>-1.95</v>
      </c>
      <c r="E460" s="2">
        <v>-18.940000000000001</v>
      </c>
      <c r="F460" s="2">
        <v>-5.35</v>
      </c>
      <c r="G460" s="2">
        <v>11.77</v>
      </c>
      <c r="H460" s="2">
        <v>11.8</v>
      </c>
      <c r="I460" s="2">
        <v>27.9</v>
      </c>
      <c r="J460" s="2">
        <v>6.43</v>
      </c>
      <c r="K460" s="2">
        <v>-3.33</v>
      </c>
      <c r="L460" s="2">
        <v>-1.72</v>
      </c>
      <c r="M460" s="2">
        <v>-0.94</v>
      </c>
      <c r="N460" s="2">
        <v>11.44</v>
      </c>
      <c r="O460" s="2">
        <v>5.99</v>
      </c>
      <c r="P460" s="2">
        <v>24.48</v>
      </c>
      <c r="Q460" s="2">
        <v>-0.56999999999999995</v>
      </c>
      <c r="R460" s="2">
        <v>-1.7</v>
      </c>
      <c r="S460" s="2">
        <v>-1.32</v>
      </c>
      <c r="T460" s="2">
        <v>10.62</v>
      </c>
      <c r="U460" s="2">
        <v>2.08</v>
      </c>
      <c r="V460" s="2">
        <v>9.02</v>
      </c>
      <c r="W460" s="2">
        <v>11.73</v>
      </c>
      <c r="X460" s="2">
        <v>6.96</v>
      </c>
      <c r="Y460" s="2">
        <v>6.66</v>
      </c>
      <c r="Z460" s="2">
        <v>0</v>
      </c>
      <c r="AA460" s="2">
        <v>23.8</v>
      </c>
      <c r="AB460" s="2">
        <v>1.36</v>
      </c>
      <c r="AC460" s="2">
        <v>11.37</v>
      </c>
      <c r="AD460" s="2">
        <v>2.25</v>
      </c>
      <c r="AE460" s="2">
        <v>5.87</v>
      </c>
      <c r="AF460" s="2">
        <v>63.89</v>
      </c>
      <c r="AG460" s="2">
        <v>11.2</v>
      </c>
      <c r="AH460" s="4">
        <f t="shared" si="7"/>
        <v>89.670000000000016</v>
      </c>
    </row>
    <row r="461" spans="1:34" x14ac:dyDescent="0.2">
      <c r="A461" s="3">
        <v>21946</v>
      </c>
      <c r="B461" s="2">
        <v>-2.8</v>
      </c>
      <c r="C461" s="2">
        <v>18.37</v>
      </c>
      <c r="D461" s="2">
        <v>16.03</v>
      </c>
      <c r="E461" s="2">
        <v>42.43</v>
      </c>
      <c r="F461" s="2">
        <v>28.97</v>
      </c>
      <c r="G461" s="2">
        <v>49.88</v>
      </c>
      <c r="H461" s="2">
        <v>19.07</v>
      </c>
      <c r="I461" s="2">
        <v>33.06</v>
      </c>
      <c r="J461" s="2">
        <v>17.78</v>
      </c>
      <c r="K461" s="2">
        <v>10.72</v>
      </c>
      <c r="L461" s="2">
        <v>-1.01</v>
      </c>
      <c r="M461" s="2">
        <v>4.53</v>
      </c>
      <c r="N461" s="2">
        <v>16.62</v>
      </c>
      <c r="O461" s="2">
        <v>7.72</v>
      </c>
      <c r="P461" s="2">
        <v>31.47</v>
      </c>
      <c r="Q461" s="2">
        <v>-3.83</v>
      </c>
      <c r="R461" s="2">
        <v>-3.37</v>
      </c>
      <c r="S461" s="2">
        <v>5.54</v>
      </c>
      <c r="T461" s="2">
        <v>12.26</v>
      </c>
      <c r="U461" s="2">
        <v>1.39</v>
      </c>
      <c r="V461" s="2">
        <v>9.24</v>
      </c>
      <c r="W461" s="2">
        <v>4.26</v>
      </c>
      <c r="X461" s="2">
        <v>5.56</v>
      </c>
      <c r="Y461" s="2">
        <v>4.13</v>
      </c>
      <c r="Z461" s="2">
        <v>6.84</v>
      </c>
      <c r="AA461" s="2">
        <v>4.7300000000000004</v>
      </c>
      <c r="AB461" s="2">
        <v>0.3</v>
      </c>
      <c r="AC461" s="2">
        <v>5.82</v>
      </c>
      <c r="AD461" s="2">
        <v>2.1800000000000002</v>
      </c>
      <c r="AE461" s="2">
        <v>27.13</v>
      </c>
      <c r="AF461" s="2">
        <v>68.83</v>
      </c>
      <c r="AG461" s="2">
        <v>9.8800000000000008</v>
      </c>
      <c r="AH461" s="4">
        <f t="shared" si="7"/>
        <v>314.07000000000005</v>
      </c>
    </row>
    <row r="462" spans="1:34" x14ac:dyDescent="0.2">
      <c r="A462" s="3">
        <v>21975</v>
      </c>
      <c r="B462" s="2">
        <v>1.82</v>
      </c>
      <c r="C462" s="2">
        <v>22.85</v>
      </c>
      <c r="D462" s="2">
        <v>14.35</v>
      </c>
      <c r="E462" s="2">
        <v>60.86</v>
      </c>
      <c r="F462" s="2">
        <v>80.86</v>
      </c>
      <c r="G462" s="2">
        <v>139.26</v>
      </c>
      <c r="H462" s="2">
        <v>29.92</v>
      </c>
      <c r="I462" s="2">
        <v>37.4</v>
      </c>
      <c r="J462" s="2">
        <v>35.6</v>
      </c>
      <c r="K462" s="2">
        <v>25.48</v>
      </c>
      <c r="L462" s="2">
        <v>-3.57</v>
      </c>
      <c r="M462" s="2">
        <v>4.1399999999999997</v>
      </c>
      <c r="N462" s="2">
        <v>33.07</v>
      </c>
      <c r="O462" s="2">
        <v>5.65</v>
      </c>
      <c r="P462" s="2">
        <v>43.27</v>
      </c>
      <c r="Q462" s="2">
        <v>-1.98</v>
      </c>
      <c r="R462" s="2">
        <v>-2.97</v>
      </c>
      <c r="S462" s="2">
        <v>32.46</v>
      </c>
      <c r="T462" s="2">
        <v>13.18</v>
      </c>
      <c r="U462" s="2">
        <v>3.73</v>
      </c>
      <c r="V462" s="2">
        <v>12.76</v>
      </c>
      <c r="W462" s="2">
        <v>0</v>
      </c>
      <c r="X462" s="2">
        <v>0</v>
      </c>
      <c r="Y462" s="2">
        <v>0</v>
      </c>
      <c r="Z462" s="2">
        <v>6.94</v>
      </c>
      <c r="AA462" s="2">
        <v>4.4400000000000004</v>
      </c>
      <c r="AB462" s="2">
        <v>6.28</v>
      </c>
      <c r="AC462" s="2">
        <v>9.8800000000000008</v>
      </c>
      <c r="AD462" s="2">
        <v>2.44</v>
      </c>
      <c r="AE462" s="2">
        <v>30.48</v>
      </c>
      <c r="AF462" s="2">
        <v>57.37</v>
      </c>
      <c r="AG462" s="2">
        <v>10.08</v>
      </c>
      <c r="AH462" s="4">
        <f t="shared" si="7"/>
        <v>588.14</v>
      </c>
    </row>
    <row r="463" spans="1:34" x14ac:dyDescent="0.2">
      <c r="A463" s="3">
        <v>22006</v>
      </c>
      <c r="B463" s="2">
        <v>0.97</v>
      </c>
      <c r="C463" s="2">
        <v>17.61</v>
      </c>
      <c r="D463" s="2">
        <v>-10.64</v>
      </c>
      <c r="E463" s="2">
        <v>-12.79</v>
      </c>
      <c r="F463" s="2">
        <v>7.54</v>
      </c>
      <c r="G463" s="2">
        <v>2.17</v>
      </c>
      <c r="H463" s="2">
        <v>22.1</v>
      </c>
      <c r="I463" s="2">
        <v>33.93</v>
      </c>
      <c r="J463" s="2">
        <v>3.22</v>
      </c>
      <c r="K463" s="2">
        <v>-14.98</v>
      </c>
      <c r="L463" s="2">
        <v>-15.03</v>
      </c>
      <c r="M463" s="2">
        <v>-9.81</v>
      </c>
      <c r="N463" s="2">
        <v>13.23</v>
      </c>
      <c r="O463" s="2">
        <v>15.44</v>
      </c>
      <c r="P463" s="2">
        <v>69.72</v>
      </c>
      <c r="Q463" s="2">
        <v>-1.81</v>
      </c>
      <c r="R463" s="2">
        <v>-7.64</v>
      </c>
      <c r="S463" s="2">
        <v>1.02</v>
      </c>
      <c r="T463" s="2">
        <v>28.62</v>
      </c>
      <c r="U463" s="2">
        <v>-4.04</v>
      </c>
      <c r="V463" s="2">
        <v>12.52</v>
      </c>
      <c r="W463" s="2">
        <v>0</v>
      </c>
      <c r="X463" s="2">
        <v>0</v>
      </c>
      <c r="Y463" s="2">
        <v>0</v>
      </c>
      <c r="Z463" s="2">
        <v>0.24</v>
      </c>
      <c r="AA463" s="2">
        <v>0.43</v>
      </c>
      <c r="AB463" s="2">
        <v>0</v>
      </c>
      <c r="AC463" s="2">
        <v>0</v>
      </c>
      <c r="AD463" s="2">
        <v>4.22</v>
      </c>
      <c r="AE463" s="2">
        <v>4.47</v>
      </c>
      <c r="AF463" s="2">
        <v>67.7</v>
      </c>
      <c r="AG463" s="2">
        <v>10.69</v>
      </c>
      <c r="AH463" s="4">
        <f t="shared" si="7"/>
        <v>151.35</v>
      </c>
    </row>
    <row r="464" spans="1:34" x14ac:dyDescent="0.2">
      <c r="A464" s="3">
        <v>22036</v>
      </c>
      <c r="B464" s="2">
        <v>-1.08</v>
      </c>
      <c r="C464" s="2">
        <v>9.33</v>
      </c>
      <c r="D464" s="2">
        <v>-16.16</v>
      </c>
      <c r="E464" s="2">
        <v>-57.56</v>
      </c>
      <c r="F464" s="2">
        <v>-51.42</v>
      </c>
      <c r="G464" s="2">
        <v>-23.13</v>
      </c>
      <c r="H464" s="2">
        <v>1.73</v>
      </c>
      <c r="I464" s="2">
        <v>28.9</v>
      </c>
      <c r="J464" s="2">
        <v>-6.59</v>
      </c>
      <c r="K464" s="2">
        <v>2.4900000000000002</v>
      </c>
      <c r="L464" s="2">
        <v>-3.36</v>
      </c>
      <c r="M464" s="2">
        <v>-0.67</v>
      </c>
      <c r="N464" s="2">
        <v>27.45</v>
      </c>
      <c r="O464" s="2">
        <v>5.96</v>
      </c>
      <c r="P464" s="2">
        <v>53.59</v>
      </c>
      <c r="Q464" s="2">
        <v>-1.65</v>
      </c>
      <c r="R464" s="2">
        <v>0.91</v>
      </c>
      <c r="S464" s="2">
        <v>11.43</v>
      </c>
      <c r="T464" s="2">
        <v>16.899999999999999</v>
      </c>
      <c r="U464" s="2">
        <v>1.1000000000000001</v>
      </c>
      <c r="V464" s="2">
        <v>11.46</v>
      </c>
      <c r="W464" s="2">
        <v>0</v>
      </c>
      <c r="X464" s="2">
        <v>0</v>
      </c>
      <c r="Y464" s="2">
        <v>0</v>
      </c>
      <c r="Z464" s="2">
        <v>1.67</v>
      </c>
      <c r="AA464" s="2">
        <v>0</v>
      </c>
      <c r="AB464" s="2">
        <v>0</v>
      </c>
      <c r="AC464" s="2">
        <v>0</v>
      </c>
      <c r="AD464" s="2">
        <v>5.1100000000000003</v>
      </c>
      <c r="AE464" s="2">
        <v>7.46</v>
      </c>
      <c r="AF464" s="2">
        <v>83.78</v>
      </c>
      <c r="AG464" s="2">
        <v>14.64</v>
      </c>
      <c r="AH464" s="4">
        <f t="shared" si="7"/>
        <v>9.6299999999999759</v>
      </c>
    </row>
    <row r="465" spans="1:34" x14ac:dyDescent="0.2">
      <c r="A465" s="3">
        <v>22067</v>
      </c>
      <c r="B465" s="2">
        <v>0.44</v>
      </c>
      <c r="C465" s="2">
        <v>7.06</v>
      </c>
      <c r="D465" s="2">
        <v>-7.3</v>
      </c>
      <c r="E465" s="2">
        <v>-37.93</v>
      </c>
      <c r="F465" s="2">
        <v>-31.82</v>
      </c>
      <c r="G465" s="2">
        <v>-6.05</v>
      </c>
      <c r="H465" s="2">
        <v>2.9</v>
      </c>
      <c r="I465" s="2">
        <v>24.63</v>
      </c>
      <c r="J465" s="2">
        <v>-14.01</v>
      </c>
      <c r="K465" s="2">
        <v>-4.26</v>
      </c>
      <c r="L465" s="2">
        <v>-3.17</v>
      </c>
      <c r="M465" s="2">
        <v>-1.45</v>
      </c>
      <c r="N465" s="2">
        <v>25.39</v>
      </c>
      <c r="O465" s="2">
        <v>25.96</v>
      </c>
      <c r="P465" s="2">
        <v>65.150000000000006</v>
      </c>
      <c r="Q465" s="2">
        <v>-4.62</v>
      </c>
      <c r="R465" s="2">
        <v>-2.2400000000000002</v>
      </c>
      <c r="S465" s="2">
        <v>23.23</v>
      </c>
      <c r="T465" s="2">
        <v>28.51</v>
      </c>
      <c r="U465" s="2">
        <v>1.73</v>
      </c>
      <c r="V465" s="2">
        <v>47.95</v>
      </c>
      <c r="W465" s="2">
        <v>4.88</v>
      </c>
      <c r="X465" s="2">
        <v>2.2000000000000002</v>
      </c>
      <c r="Y465" s="2">
        <v>0.72</v>
      </c>
      <c r="Z465" s="2">
        <v>0</v>
      </c>
      <c r="AA465" s="2">
        <v>0</v>
      </c>
      <c r="AB465" s="2">
        <v>0.05</v>
      </c>
      <c r="AC465" s="2">
        <v>0</v>
      </c>
      <c r="AD465" s="2">
        <v>5.76</v>
      </c>
      <c r="AE465" s="2">
        <v>2.61</v>
      </c>
      <c r="AF465" s="2">
        <v>94.61</v>
      </c>
      <c r="AG465" s="2">
        <v>17.690000000000001</v>
      </c>
      <c r="AH465" s="4">
        <f t="shared" si="7"/>
        <v>140.10000000000002</v>
      </c>
    </row>
    <row r="466" spans="1:34" x14ac:dyDescent="0.2">
      <c r="A466" s="3">
        <v>22097</v>
      </c>
      <c r="B466" s="2">
        <v>7.0000000000000007E-2</v>
      </c>
      <c r="C466" s="2">
        <v>9.8000000000000007</v>
      </c>
      <c r="D466" s="2">
        <v>-9.59</v>
      </c>
      <c r="E466" s="2">
        <v>-47.59</v>
      </c>
      <c r="F466" s="2">
        <v>-15.92</v>
      </c>
      <c r="G466" s="2">
        <v>4.4400000000000004</v>
      </c>
      <c r="H466" s="2">
        <v>8.1999999999999993</v>
      </c>
      <c r="I466" s="2">
        <v>29.74</v>
      </c>
      <c r="J466" s="2">
        <v>-11.98</v>
      </c>
      <c r="K466" s="2">
        <v>2.46</v>
      </c>
      <c r="L466" s="2">
        <v>0.48</v>
      </c>
      <c r="M466" s="2">
        <v>5.01</v>
      </c>
      <c r="N466" s="2">
        <v>27.02</v>
      </c>
      <c r="O466" s="2">
        <v>121.69</v>
      </c>
      <c r="P466" s="2">
        <v>145.66</v>
      </c>
      <c r="Q466" s="2">
        <v>3.57</v>
      </c>
      <c r="R466" s="2">
        <v>-2.4</v>
      </c>
      <c r="S466" s="2">
        <v>63.4</v>
      </c>
      <c r="T466" s="2">
        <v>77.81</v>
      </c>
      <c r="U466" s="2">
        <v>10.11</v>
      </c>
      <c r="V466" s="2">
        <v>53.04</v>
      </c>
      <c r="W466" s="2">
        <v>18.62</v>
      </c>
      <c r="X466" s="2">
        <v>7.01</v>
      </c>
      <c r="Y466" s="2">
        <v>6.17</v>
      </c>
      <c r="Z466" s="2">
        <v>0</v>
      </c>
      <c r="AA466" s="2">
        <v>0</v>
      </c>
      <c r="AB466" s="2">
        <v>0</v>
      </c>
      <c r="AC466" s="2">
        <v>0</v>
      </c>
      <c r="AD466" s="2">
        <v>7.72</v>
      </c>
      <c r="AE466" s="2">
        <v>0</v>
      </c>
      <c r="AF466" s="2">
        <v>103.54</v>
      </c>
      <c r="AG466" s="2">
        <v>22.83</v>
      </c>
      <c r="AH466" s="4">
        <f t="shared" si="7"/>
        <v>475.02000000000004</v>
      </c>
    </row>
    <row r="467" spans="1:34" x14ac:dyDescent="0.2">
      <c r="A467" s="3">
        <v>22128</v>
      </c>
      <c r="B467" s="2">
        <v>0.24</v>
      </c>
      <c r="C467" s="2">
        <v>10.050000000000001</v>
      </c>
      <c r="D467" s="2">
        <v>-8.8800000000000008</v>
      </c>
      <c r="E467" s="2">
        <v>-42.93</v>
      </c>
      <c r="F467" s="2">
        <v>-8.44</v>
      </c>
      <c r="G467" s="2">
        <v>16.079999999999998</v>
      </c>
      <c r="H467" s="2">
        <v>12.33</v>
      </c>
      <c r="I467" s="2">
        <v>30.04</v>
      </c>
      <c r="J467" s="2">
        <v>-10.61</v>
      </c>
      <c r="K467" s="2">
        <v>2.21</v>
      </c>
      <c r="L467" s="2">
        <v>1.67</v>
      </c>
      <c r="M467" s="2">
        <v>6.59</v>
      </c>
      <c r="N467" s="2">
        <v>29.23</v>
      </c>
      <c r="O467" s="2">
        <v>129.35</v>
      </c>
      <c r="P467" s="2">
        <v>178.54</v>
      </c>
      <c r="Q467" s="2">
        <v>-0.57999999999999996</v>
      </c>
      <c r="R467" s="2">
        <v>-4.68</v>
      </c>
      <c r="S467" s="2">
        <v>71.989999999999995</v>
      </c>
      <c r="T467" s="2">
        <v>69.5</v>
      </c>
      <c r="U467" s="2">
        <v>14.87</v>
      </c>
      <c r="V467" s="2">
        <v>46.58</v>
      </c>
      <c r="W467" s="2">
        <v>30.39</v>
      </c>
      <c r="X467" s="2">
        <v>11.67</v>
      </c>
      <c r="Y467" s="2">
        <v>11.23</v>
      </c>
      <c r="Z467" s="2">
        <v>0</v>
      </c>
      <c r="AA467" s="2">
        <v>0</v>
      </c>
      <c r="AB467" s="2">
        <v>0</v>
      </c>
      <c r="AC467" s="2">
        <v>0</v>
      </c>
      <c r="AD467" s="2">
        <v>6.36</v>
      </c>
      <c r="AE467" s="2">
        <v>0.19</v>
      </c>
      <c r="AF467" s="2">
        <v>112.76</v>
      </c>
      <c r="AG467" s="2">
        <v>24.8</v>
      </c>
      <c r="AH467" s="4">
        <f t="shared" si="7"/>
        <v>543.15000000000009</v>
      </c>
    </row>
    <row r="468" spans="1:34" x14ac:dyDescent="0.2">
      <c r="A468" s="3">
        <v>22159</v>
      </c>
      <c r="B468" s="2">
        <v>-0.93</v>
      </c>
      <c r="C468" s="2">
        <v>9.44</v>
      </c>
      <c r="D468" s="2">
        <v>-10.199999999999999</v>
      </c>
      <c r="E468" s="2">
        <v>-51.58</v>
      </c>
      <c r="F468" s="2">
        <v>2.58</v>
      </c>
      <c r="G468" s="2">
        <v>17.78</v>
      </c>
      <c r="H468" s="2">
        <v>13.59</v>
      </c>
      <c r="I468" s="2">
        <v>28.42</v>
      </c>
      <c r="J468" s="2">
        <v>-6.25</v>
      </c>
      <c r="K468" s="2">
        <v>-2.85</v>
      </c>
      <c r="L468" s="2">
        <v>-0.13</v>
      </c>
      <c r="M468" s="2">
        <v>2.1</v>
      </c>
      <c r="N468" s="2">
        <v>32.24</v>
      </c>
      <c r="O468" s="2">
        <v>95.12</v>
      </c>
      <c r="P468" s="2">
        <v>128.88</v>
      </c>
      <c r="Q468" s="2">
        <v>-1.66</v>
      </c>
      <c r="R468" s="2">
        <v>-1.52</v>
      </c>
      <c r="S468" s="2">
        <v>56.08</v>
      </c>
      <c r="T468" s="2">
        <v>54.31</v>
      </c>
      <c r="U468" s="2">
        <v>10.84</v>
      </c>
      <c r="V468" s="2">
        <v>41.45</v>
      </c>
      <c r="W468" s="2">
        <v>31.47</v>
      </c>
      <c r="X468" s="2">
        <v>13.88</v>
      </c>
      <c r="Y468" s="2">
        <v>13.55</v>
      </c>
      <c r="Z468" s="2">
        <v>0</v>
      </c>
      <c r="AA468" s="2">
        <v>4</v>
      </c>
      <c r="AB468" s="2">
        <v>0</v>
      </c>
      <c r="AC468" s="2">
        <v>0</v>
      </c>
      <c r="AD468" s="2">
        <v>5.32</v>
      </c>
      <c r="AE468" s="2">
        <v>0</v>
      </c>
      <c r="AF468" s="2">
        <v>114.68</v>
      </c>
      <c r="AG468" s="2">
        <v>23.65</v>
      </c>
      <c r="AH468" s="4">
        <f t="shared" si="7"/>
        <v>417.71</v>
      </c>
    </row>
    <row r="469" spans="1:34" x14ac:dyDescent="0.2">
      <c r="A469" s="3">
        <v>22189</v>
      </c>
      <c r="B469" s="2">
        <v>-4.45</v>
      </c>
      <c r="C469" s="2">
        <v>8.14</v>
      </c>
      <c r="D469" s="2">
        <v>-17.05</v>
      </c>
      <c r="E469" s="2">
        <v>-38.35</v>
      </c>
      <c r="F469" s="2">
        <v>0.89</v>
      </c>
      <c r="G469" s="2">
        <v>20.52</v>
      </c>
      <c r="H469" s="2">
        <v>18.760000000000002</v>
      </c>
      <c r="I469" s="2">
        <v>30.08</v>
      </c>
      <c r="J469" s="2">
        <v>8.23</v>
      </c>
      <c r="K469" s="2">
        <v>-3.62</v>
      </c>
      <c r="L469" s="2">
        <v>-1.3</v>
      </c>
      <c r="M469" s="2">
        <v>-1.54</v>
      </c>
      <c r="N469" s="2">
        <v>31.46</v>
      </c>
      <c r="O469" s="2">
        <v>5.38</v>
      </c>
      <c r="P469" s="2">
        <v>39.18</v>
      </c>
      <c r="Q469" s="2">
        <v>2.4300000000000002</v>
      </c>
      <c r="R469" s="2">
        <v>3.9</v>
      </c>
      <c r="S469" s="2">
        <v>5.84</v>
      </c>
      <c r="T469" s="2">
        <v>13.99</v>
      </c>
      <c r="U469" s="2">
        <v>3.7</v>
      </c>
      <c r="V469" s="2">
        <v>11.16</v>
      </c>
      <c r="W469" s="2">
        <v>26.1</v>
      </c>
      <c r="X469" s="2">
        <v>13.33</v>
      </c>
      <c r="Y469" s="2">
        <v>12.8</v>
      </c>
      <c r="Z469" s="2">
        <v>0</v>
      </c>
      <c r="AA469" s="2">
        <v>1.86</v>
      </c>
      <c r="AB469" s="2">
        <v>0.25</v>
      </c>
      <c r="AC469" s="2">
        <v>14.21</v>
      </c>
      <c r="AD469" s="2">
        <v>4.2699999999999996</v>
      </c>
      <c r="AE469" s="2">
        <v>0</v>
      </c>
      <c r="AF469" s="2">
        <v>106.81</v>
      </c>
      <c r="AG469" s="2">
        <v>20.170000000000002</v>
      </c>
      <c r="AH469" s="4">
        <f t="shared" si="7"/>
        <v>137.35000000000002</v>
      </c>
    </row>
    <row r="470" spans="1:34" x14ac:dyDescent="0.2">
      <c r="A470" s="3">
        <v>22220</v>
      </c>
      <c r="B470" s="2">
        <v>-4.8099999999999996</v>
      </c>
      <c r="C470" s="2">
        <v>10.01</v>
      </c>
      <c r="D470" s="2">
        <v>-15.01</v>
      </c>
      <c r="E470" s="2">
        <v>-29.16</v>
      </c>
      <c r="F470" s="2">
        <v>-7.73</v>
      </c>
      <c r="G470" s="2">
        <v>17.059999999999999</v>
      </c>
      <c r="H470" s="2">
        <v>15.09</v>
      </c>
      <c r="I470" s="2">
        <v>29.92</v>
      </c>
      <c r="J470" s="2">
        <v>3.25</v>
      </c>
      <c r="K470" s="2">
        <v>-6.59</v>
      </c>
      <c r="L470" s="2">
        <v>4.6500000000000004</v>
      </c>
      <c r="M470" s="2">
        <v>-0.31</v>
      </c>
      <c r="N470" s="2">
        <v>19.899999999999999</v>
      </c>
      <c r="O470" s="2">
        <v>18.48</v>
      </c>
      <c r="P470" s="2">
        <v>34.75</v>
      </c>
      <c r="Q470" s="2">
        <v>0.83</v>
      </c>
      <c r="R470" s="2">
        <v>0.2</v>
      </c>
      <c r="S470" s="2">
        <v>-0.64</v>
      </c>
      <c r="T470" s="2">
        <v>15.55</v>
      </c>
      <c r="U470" s="2">
        <v>0.62</v>
      </c>
      <c r="V470" s="2">
        <v>9.83</v>
      </c>
      <c r="W470" s="2">
        <v>22.19</v>
      </c>
      <c r="X470" s="2">
        <v>12.49</v>
      </c>
      <c r="Y470" s="2">
        <v>11.96</v>
      </c>
      <c r="Z470" s="2">
        <v>6.22</v>
      </c>
      <c r="AA470" s="2">
        <v>0.35</v>
      </c>
      <c r="AB470" s="2">
        <v>1.64</v>
      </c>
      <c r="AC470" s="2">
        <v>6.5</v>
      </c>
      <c r="AD470" s="2">
        <v>3.91</v>
      </c>
      <c r="AE470" s="2">
        <v>0.47</v>
      </c>
      <c r="AF470" s="2">
        <v>96.89</v>
      </c>
      <c r="AG470" s="2">
        <v>16.420000000000002</v>
      </c>
      <c r="AH470" s="4">
        <f t="shared" si="7"/>
        <v>115.89</v>
      </c>
    </row>
    <row r="471" spans="1:34" x14ac:dyDescent="0.2">
      <c r="A471" s="3">
        <v>22250</v>
      </c>
      <c r="B471" s="2">
        <v>-1.68</v>
      </c>
      <c r="C471" s="2">
        <v>18.68</v>
      </c>
      <c r="D471" s="2">
        <v>13.13</v>
      </c>
      <c r="E471" s="2">
        <v>25.79</v>
      </c>
      <c r="F471" s="2">
        <v>34.39</v>
      </c>
      <c r="G471" s="2">
        <v>38.64</v>
      </c>
      <c r="H471" s="2">
        <v>22.6</v>
      </c>
      <c r="I471" s="2">
        <v>34.11</v>
      </c>
      <c r="J471" s="2">
        <v>21.25</v>
      </c>
      <c r="K471" s="2">
        <v>17.77</v>
      </c>
      <c r="L471" s="2">
        <v>12.77</v>
      </c>
      <c r="M471" s="2">
        <v>13.46</v>
      </c>
      <c r="N471" s="2">
        <v>26.96</v>
      </c>
      <c r="O471" s="2">
        <v>6.12</v>
      </c>
      <c r="P471" s="2">
        <v>67.010000000000005</v>
      </c>
      <c r="Q471" s="2">
        <v>-0.42</v>
      </c>
      <c r="R471" s="2">
        <v>0.56000000000000005</v>
      </c>
      <c r="S471" s="2">
        <v>39.04</v>
      </c>
      <c r="T471" s="2">
        <v>37.659999999999997</v>
      </c>
      <c r="U471" s="2">
        <v>2.65</v>
      </c>
      <c r="V471" s="2">
        <v>13.3</v>
      </c>
      <c r="W471" s="2">
        <v>15.43</v>
      </c>
      <c r="X471" s="2">
        <v>8.09</v>
      </c>
      <c r="Y471" s="2">
        <v>6.59</v>
      </c>
      <c r="Z471" s="2">
        <v>0.38</v>
      </c>
      <c r="AA471" s="2">
        <v>6.88</v>
      </c>
      <c r="AB471" s="2">
        <v>11.13</v>
      </c>
      <c r="AC471" s="2">
        <v>4.74</v>
      </c>
      <c r="AD471" s="2">
        <v>2.62</v>
      </c>
      <c r="AE471" s="2">
        <v>26.75</v>
      </c>
      <c r="AF471" s="2">
        <v>63.57</v>
      </c>
      <c r="AG471" s="2">
        <v>12.92</v>
      </c>
      <c r="AH471" s="4">
        <f t="shared" si="7"/>
        <v>443.79</v>
      </c>
    </row>
    <row r="472" spans="1:34" x14ac:dyDescent="0.2">
      <c r="A472" s="3">
        <v>22281</v>
      </c>
      <c r="B472" s="2">
        <v>-0.6</v>
      </c>
      <c r="C472" s="2">
        <v>18.36</v>
      </c>
      <c r="D472" s="2">
        <v>0.32</v>
      </c>
      <c r="E472" s="2">
        <v>2.27</v>
      </c>
      <c r="F472" s="2">
        <v>7.51</v>
      </c>
      <c r="G472" s="2">
        <v>35.119999999999997</v>
      </c>
      <c r="H472" s="2">
        <v>14.97</v>
      </c>
      <c r="I472" s="2">
        <v>30.73</v>
      </c>
      <c r="J472" s="2">
        <v>7.93</v>
      </c>
      <c r="K472" s="2">
        <v>-10.14</v>
      </c>
      <c r="L472" s="2">
        <v>2.66</v>
      </c>
      <c r="M472" s="2">
        <v>-0.45</v>
      </c>
      <c r="N472" s="2">
        <v>10.49</v>
      </c>
      <c r="O472" s="2">
        <v>5.5</v>
      </c>
      <c r="P472" s="2">
        <v>25.66</v>
      </c>
      <c r="Q472" s="2">
        <v>1.07</v>
      </c>
      <c r="R472" s="2">
        <v>1.5</v>
      </c>
      <c r="S472" s="2">
        <v>1.87</v>
      </c>
      <c r="T472" s="2">
        <v>10.61</v>
      </c>
      <c r="U472" s="2">
        <v>1.36</v>
      </c>
      <c r="V472" s="2">
        <v>9.44</v>
      </c>
      <c r="W472" s="2">
        <v>11.73</v>
      </c>
      <c r="X472" s="2">
        <v>6.21</v>
      </c>
      <c r="Y472" s="2">
        <v>5.93</v>
      </c>
      <c r="Z472" s="2">
        <v>1.1000000000000001</v>
      </c>
      <c r="AA472" s="2">
        <v>0.43</v>
      </c>
      <c r="AB472" s="2">
        <v>0</v>
      </c>
      <c r="AC472" s="2">
        <v>0.41</v>
      </c>
      <c r="AD472" s="2">
        <v>2.44</v>
      </c>
      <c r="AE472" s="2">
        <v>12.03</v>
      </c>
      <c r="AF472" s="2">
        <v>58.4</v>
      </c>
      <c r="AG472" s="2">
        <v>11.2</v>
      </c>
      <c r="AH472" s="4">
        <f t="shared" si="7"/>
        <v>176.18</v>
      </c>
    </row>
    <row r="473" spans="1:34" x14ac:dyDescent="0.2">
      <c r="A473" s="3">
        <v>22312</v>
      </c>
      <c r="B473" s="2">
        <v>-1.27</v>
      </c>
      <c r="C473" s="2">
        <v>17.989999999999998</v>
      </c>
      <c r="D473" s="2">
        <v>3.84</v>
      </c>
      <c r="E473" s="2">
        <v>-1.7</v>
      </c>
      <c r="F473" s="2">
        <v>-0.1</v>
      </c>
      <c r="G473" s="2">
        <v>46.38</v>
      </c>
      <c r="H473" s="2">
        <v>9.99</v>
      </c>
      <c r="I473" s="2">
        <v>28.46</v>
      </c>
      <c r="J473" s="2">
        <v>20.34</v>
      </c>
      <c r="K473" s="2">
        <v>18.7</v>
      </c>
      <c r="L473" s="2">
        <v>0.83</v>
      </c>
      <c r="M473" s="2">
        <v>4.08</v>
      </c>
      <c r="N473" s="2">
        <v>20.82</v>
      </c>
      <c r="O473" s="2">
        <v>5.9</v>
      </c>
      <c r="P473" s="2">
        <v>25.73</v>
      </c>
      <c r="Q473" s="2">
        <v>-1.1499999999999999</v>
      </c>
      <c r="R473" s="2">
        <v>0.91</v>
      </c>
      <c r="S473" s="2">
        <v>1.49</v>
      </c>
      <c r="T473" s="2">
        <v>11.5</v>
      </c>
      <c r="U473" s="2">
        <v>1.58</v>
      </c>
      <c r="V473" s="2">
        <v>8.89</v>
      </c>
      <c r="W473" s="2">
        <v>4.26</v>
      </c>
      <c r="X473" s="2">
        <v>5.4</v>
      </c>
      <c r="Y473" s="2">
        <v>4</v>
      </c>
      <c r="Z473" s="2">
        <v>1.63</v>
      </c>
      <c r="AA473" s="2">
        <v>2.87</v>
      </c>
      <c r="AB473" s="2">
        <v>3.12</v>
      </c>
      <c r="AC473" s="2">
        <v>1.62</v>
      </c>
      <c r="AD473" s="2">
        <v>2.46</v>
      </c>
      <c r="AE473" s="2">
        <v>12.68</v>
      </c>
      <c r="AF473" s="2">
        <v>68.83</v>
      </c>
      <c r="AG473" s="2">
        <v>9.8800000000000008</v>
      </c>
      <c r="AH473" s="4">
        <f t="shared" si="7"/>
        <v>223.21000000000004</v>
      </c>
    </row>
    <row r="474" spans="1:34" x14ac:dyDescent="0.2">
      <c r="A474" s="3">
        <v>22340</v>
      </c>
      <c r="B474" s="2">
        <v>6.6</v>
      </c>
      <c r="C474" s="2">
        <v>24.51</v>
      </c>
      <c r="D474" s="2">
        <v>4.03</v>
      </c>
      <c r="E474" s="2">
        <v>37.35</v>
      </c>
      <c r="F474" s="2">
        <v>34.78</v>
      </c>
      <c r="G474" s="2">
        <v>64.27</v>
      </c>
      <c r="H474" s="2">
        <v>25.37</v>
      </c>
      <c r="I474" s="2">
        <v>31.75</v>
      </c>
      <c r="J474" s="2">
        <v>11.2</v>
      </c>
      <c r="K474" s="2">
        <v>-7.89</v>
      </c>
      <c r="L474" s="2">
        <v>-12.88</v>
      </c>
      <c r="M474" s="2">
        <v>-12.18</v>
      </c>
      <c r="N474" s="2">
        <v>7.45</v>
      </c>
      <c r="O474" s="2">
        <v>5.0599999999999996</v>
      </c>
      <c r="P474" s="2">
        <v>24.54</v>
      </c>
      <c r="Q474" s="2">
        <v>0.04</v>
      </c>
      <c r="R474" s="2">
        <v>1.61</v>
      </c>
      <c r="S474" s="2">
        <v>-2.95</v>
      </c>
      <c r="T474" s="2">
        <v>11.32</v>
      </c>
      <c r="U474" s="2">
        <v>0.88</v>
      </c>
      <c r="V474" s="2">
        <v>11.67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0.05</v>
      </c>
      <c r="AC474" s="2">
        <v>0</v>
      </c>
      <c r="AD474" s="2">
        <v>2.79</v>
      </c>
      <c r="AE474" s="2">
        <v>7.46</v>
      </c>
      <c r="AF474" s="2">
        <v>57.37</v>
      </c>
      <c r="AG474" s="2">
        <v>10.08</v>
      </c>
      <c r="AH474" s="4">
        <f t="shared" si="7"/>
        <v>266.53000000000003</v>
      </c>
    </row>
    <row r="475" spans="1:34" x14ac:dyDescent="0.2">
      <c r="A475" s="3">
        <v>22371</v>
      </c>
      <c r="B475" s="2">
        <v>7.47</v>
      </c>
      <c r="C475" s="2">
        <v>21.46</v>
      </c>
      <c r="D475" s="2">
        <v>-3.59</v>
      </c>
      <c r="E475" s="2">
        <v>4.41</v>
      </c>
      <c r="F475" s="2">
        <v>-2.75</v>
      </c>
      <c r="G475" s="2">
        <v>27.35</v>
      </c>
      <c r="H475" s="2">
        <v>18.190000000000001</v>
      </c>
      <c r="I475" s="2">
        <v>30.27</v>
      </c>
      <c r="J475" s="2">
        <v>7.73</v>
      </c>
      <c r="K475" s="2">
        <v>-2.63</v>
      </c>
      <c r="L475" s="2">
        <v>-11.54</v>
      </c>
      <c r="M475" s="2">
        <v>-4.3899999999999997</v>
      </c>
      <c r="N475" s="2">
        <v>20.03</v>
      </c>
      <c r="O475" s="2">
        <v>16.829999999999998</v>
      </c>
      <c r="P475" s="2">
        <v>72.319999999999993</v>
      </c>
      <c r="Q475" s="2">
        <v>-1.63</v>
      </c>
      <c r="R475" s="2">
        <v>-5.1100000000000003</v>
      </c>
      <c r="S475" s="2">
        <v>7.76</v>
      </c>
      <c r="T475" s="2">
        <v>28.73</v>
      </c>
      <c r="U475" s="2">
        <v>-3.59</v>
      </c>
      <c r="V475" s="2">
        <v>9.33</v>
      </c>
      <c r="W475" s="2">
        <v>0</v>
      </c>
      <c r="X475" s="2">
        <v>0</v>
      </c>
      <c r="Y475" s="2">
        <v>0</v>
      </c>
      <c r="Z475" s="2">
        <v>2.25</v>
      </c>
      <c r="AA475" s="2">
        <v>0.43</v>
      </c>
      <c r="AB475" s="2">
        <v>0.11</v>
      </c>
      <c r="AC475" s="2">
        <v>0.27</v>
      </c>
      <c r="AD475" s="2">
        <v>4.54</v>
      </c>
      <c r="AE475" s="2">
        <v>18.920000000000002</v>
      </c>
      <c r="AF475" s="2">
        <v>67.7</v>
      </c>
      <c r="AG475" s="2">
        <v>10.69</v>
      </c>
      <c r="AH475" s="4">
        <f t="shared" si="7"/>
        <v>236.64999999999998</v>
      </c>
    </row>
    <row r="476" spans="1:34" x14ac:dyDescent="0.2">
      <c r="A476" s="3">
        <v>22401</v>
      </c>
      <c r="B476" s="2">
        <v>0.23</v>
      </c>
      <c r="C476" s="2">
        <v>14.38</v>
      </c>
      <c r="D476" s="2">
        <v>-20.96</v>
      </c>
      <c r="E476" s="2">
        <v>-62.02</v>
      </c>
      <c r="F476" s="2">
        <v>-14.63</v>
      </c>
      <c r="G476" s="2">
        <v>-14.74</v>
      </c>
      <c r="H476" s="2">
        <v>2.9</v>
      </c>
      <c r="I476" s="2">
        <v>28.62</v>
      </c>
      <c r="J476" s="2">
        <v>-6.77</v>
      </c>
      <c r="K476" s="2">
        <v>-5.01</v>
      </c>
      <c r="L476" s="2">
        <v>-0.79</v>
      </c>
      <c r="M476" s="2">
        <v>2.72</v>
      </c>
      <c r="N476" s="2">
        <v>22.62</v>
      </c>
      <c r="O476" s="2">
        <v>6.63</v>
      </c>
      <c r="P476" s="2">
        <v>46.87</v>
      </c>
      <c r="Q476" s="2">
        <v>-2.91</v>
      </c>
      <c r="R476" s="2">
        <v>1.18</v>
      </c>
      <c r="S476" s="2">
        <v>7.26</v>
      </c>
      <c r="T476" s="2">
        <v>19.46</v>
      </c>
      <c r="U476" s="2">
        <v>-3.87</v>
      </c>
      <c r="V476" s="2">
        <v>11.44</v>
      </c>
      <c r="W476" s="2">
        <v>0</v>
      </c>
      <c r="X476" s="2">
        <v>0</v>
      </c>
      <c r="Y476" s="2">
        <v>0</v>
      </c>
      <c r="Z476" s="2">
        <v>0.19</v>
      </c>
      <c r="AA476" s="2">
        <v>0</v>
      </c>
      <c r="AB476" s="2">
        <v>0.27</v>
      </c>
      <c r="AC476" s="2">
        <v>0</v>
      </c>
      <c r="AD476" s="2">
        <v>5.36</v>
      </c>
      <c r="AE476" s="2">
        <v>7.08</v>
      </c>
      <c r="AF476" s="2">
        <v>83.78</v>
      </c>
      <c r="AG476" s="2">
        <v>14.64</v>
      </c>
      <c r="AH476" s="4">
        <f t="shared" si="7"/>
        <v>32.610000000000014</v>
      </c>
    </row>
    <row r="477" spans="1:34" x14ac:dyDescent="0.2">
      <c r="A477" s="3">
        <v>22432</v>
      </c>
      <c r="B477" s="2">
        <v>0.74</v>
      </c>
      <c r="C477" s="2">
        <v>8.4600000000000009</v>
      </c>
      <c r="D477" s="2">
        <v>-9.0299999999999994</v>
      </c>
      <c r="E477" s="2">
        <v>-46.02</v>
      </c>
      <c r="F477" s="2">
        <v>-11.11</v>
      </c>
      <c r="G477" s="2">
        <v>-2.2400000000000002</v>
      </c>
      <c r="H477" s="2">
        <v>5.95</v>
      </c>
      <c r="I477" s="2">
        <v>25.17</v>
      </c>
      <c r="J477" s="2">
        <v>-8.4499999999999993</v>
      </c>
      <c r="K477" s="2">
        <v>-2.63</v>
      </c>
      <c r="L477" s="2">
        <v>0.09</v>
      </c>
      <c r="M477" s="2">
        <v>6.36</v>
      </c>
      <c r="N477" s="2">
        <v>28.29</v>
      </c>
      <c r="O477" s="2">
        <v>22.41</v>
      </c>
      <c r="P477" s="2">
        <v>62.31</v>
      </c>
      <c r="Q477" s="2">
        <v>-6.55</v>
      </c>
      <c r="R477" s="2">
        <v>-2.14</v>
      </c>
      <c r="S477" s="2">
        <v>33.380000000000003</v>
      </c>
      <c r="T477" s="2">
        <v>32.18</v>
      </c>
      <c r="U477" s="2">
        <v>4.33</v>
      </c>
      <c r="V477" s="2">
        <v>24.51</v>
      </c>
      <c r="W477" s="2">
        <v>4.88</v>
      </c>
      <c r="X477" s="2">
        <v>1.97</v>
      </c>
      <c r="Y477" s="2">
        <v>0.53</v>
      </c>
      <c r="Z477" s="2">
        <v>0</v>
      </c>
      <c r="AA477" s="2">
        <v>0</v>
      </c>
      <c r="AB477" s="2">
        <v>0.16</v>
      </c>
      <c r="AC477" s="2">
        <v>0</v>
      </c>
      <c r="AD477" s="2">
        <v>6.43</v>
      </c>
      <c r="AE477" s="2">
        <v>5.5</v>
      </c>
      <c r="AF477" s="2">
        <v>94.61</v>
      </c>
      <c r="AG477" s="2">
        <v>17.690000000000001</v>
      </c>
      <c r="AH477" s="4">
        <f t="shared" si="7"/>
        <v>166.01000000000002</v>
      </c>
    </row>
    <row r="478" spans="1:34" x14ac:dyDescent="0.2">
      <c r="A478" s="3">
        <v>22462</v>
      </c>
      <c r="B478" s="2">
        <v>0.88</v>
      </c>
      <c r="C478" s="2">
        <v>12.06</v>
      </c>
      <c r="D478" s="2">
        <v>-11.3</v>
      </c>
      <c r="E478" s="2">
        <v>-49.47</v>
      </c>
      <c r="F478" s="2">
        <v>-15.16</v>
      </c>
      <c r="G478" s="2">
        <v>7.42</v>
      </c>
      <c r="H478" s="2">
        <v>9.85</v>
      </c>
      <c r="I478" s="2">
        <v>26.18</v>
      </c>
      <c r="J478" s="2">
        <v>-9.7899999999999991</v>
      </c>
      <c r="K478" s="2">
        <v>0.84</v>
      </c>
      <c r="L478" s="2">
        <v>4.46</v>
      </c>
      <c r="M478" s="2">
        <v>5.76</v>
      </c>
      <c r="N478" s="2">
        <v>32.49</v>
      </c>
      <c r="O478" s="2">
        <v>109.21</v>
      </c>
      <c r="P478" s="2">
        <v>156.13</v>
      </c>
      <c r="Q478" s="2">
        <v>-2.7</v>
      </c>
      <c r="R478" s="2">
        <v>-4.3</v>
      </c>
      <c r="S478" s="2">
        <v>88.66</v>
      </c>
      <c r="T478" s="2">
        <v>68.36</v>
      </c>
      <c r="U478" s="2">
        <v>14.31</v>
      </c>
      <c r="V478" s="2">
        <v>53.08</v>
      </c>
      <c r="W478" s="2">
        <v>18.62</v>
      </c>
      <c r="X478" s="2">
        <v>6.75</v>
      </c>
      <c r="Y478" s="2">
        <v>5.95</v>
      </c>
      <c r="Z478" s="2">
        <v>0</v>
      </c>
      <c r="AA478" s="2">
        <v>0</v>
      </c>
      <c r="AB478" s="2">
        <v>0.16</v>
      </c>
      <c r="AC478" s="2">
        <v>0</v>
      </c>
      <c r="AD478" s="2">
        <v>8.93</v>
      </c>
      <c r="AE478" s="2">
        <v>1.1200000000000001</v>
      </c>
      <c r="AF478" s="2">
        <v>103.54</v>
      </c>
      <c r="AG478" s="2">
        <v>22.83</v>
      </c>
      <c r="AH478" s="4">
        <f t="shared" si="7"/>
        <v>496.97</v>
      </c>
    </row>
    <row r="479" spans="1:34" x14ac:dyDescent="0.2">
      <c r="A479" s="3">
        <v>22493</v>
      </c>
      <c r="B479" s="2">
        <v>0.98</v>
      </c>
      <c r="C479" s="2">
        <v>13.36</v>
      </c>
      <c r="D479" s="2">
        <v>-7.76</v>
      </c>
      <c r="E479" s="2">
        <v>-42.5</v>
      </c>
      <c r="F479" s="2">
        <v>0.17</v>
      </c>
      <c r="G479" s="2">
        <v>15.83</v>
      </c>
      <c r="H479" s="2">
        <v>14.06</v>
      </c>
      <c r="I479" s="2">
        <v>28.83</v>
      </c>
      <c r="J479" s="2">
        <v>-9.16</v>
      </c>
      <c r="K479" s="2">
        <v>-0.32</v>
      </c>
      <c r="L479" s="2">
        <v>6.48</v>
      </c>
      <c r="M479" s="2">
        <v>6.84</v>
      </c>
      <c r="N479" s="2">
        <v>33.76</v>
      </c>
      <c r="O479" s="2">
        <v>128.93</v>
      </c>
      <c r="P479" s="2">
        <v>170.34</v>
      </c>
      <c r="Q479" s="2">
        <v>-1.1100000000000001</v>
      </c>
      <c r="R479" s="2">
        <v>-1.89</v>
      </c>
      <c r="S479" s="2">
        <v>94.98</v>
      </c>
      <c r="T479" s="2">
        <v>65.16</v>
      </c>
      <c r="U479" s="2">
        <v>17.04</v>
      </c>
      <c r="V479" s="2">
        <v>52.62</v>
      </c>
      <c r="W479" s="2">
        <v>30.39</v>
      </c>
      <c r="X479" s="2">
        <v>11.4</v>
      </c>
      <c r="Y479" s="2">
        <v>11.01</v>
      </c>
      <c r="Z479" s="2">
        <v>0</v>
      </c>
      <c r="AA479" s="2">
        <v>0.35</v>
      </c>
      <c r="AB479" s="2">
        <v>0.6</v>
      </c>
      <c r="AC479" s="2">
        <v>0</v>
      </c>
      <c r="AD479" s="2">
        <v>6.69</v>
      </c>
      <c r="AE479" s="2">
        <v>0</v>
      </c>
      <c r="AF479" s="2">
        <v>112.76</v>
      </c>
      <c r="AG479" s="2">
        <v>24.8</v>
      </c>
      <c r="AH479" s="4">
        <f t="shared" si="7"/>
        <v>586.64</v>
      </c>
    </row>
    <row r="480" spans="1:34" x14ac:dyDescent="0.2">
      <c r="A480" s="3">
        <v>22524</v>
      </c>
      <c r="B480" s="2">
        <v>0.02</v>
      </c>
      <c r="C480" s="2">
        <v>12.14</v>
      </c>
      <c r="D480" s="2">
        <v>-9.4700000000000006</v>
      </c>
      <c r="E480" s="2">
        <v>-50.68</v>
      </c>
      <c r="F480" s="2">
        <v>8.99</v>
      </c>
      <c r="G480" s="2">
        <v>18.18</v>
      </c>
      <c r="H480" s="2">
        <v>14.85</v>
      </c>
      <c r="I480" s="2">
        <v>28.07</v>
      </c>
      <c r="J480" s="2">
        <v>-4.41</v>
      </c>
      <c r="K480" s="2">
        <v>-9.77</v>
      </c>
      <c r="L480" s="2">
        <v>4.24</v>
      </c>
      <c r="M480" s="2">
        <v>3.66</v>
      </c>
      <c r="N480" s="2">
        <v>34.81</v>
      </c>
      <c r="O480" s="2">
        <v>95.01</v>
      </c>
      <c r="P480" s="2">
        <v>132.56</v>
      </c>
      <c r="Q480" s="2">
        <v>-3.94</v>
      </c>
      <c r="R480" s="2">
        <v>-0.17</v>
      </c>
      <c r="S480" s="2">
        <v>64.349999999999994</v>
      </c>
      <c r="T480" s="2">
        <v>54.04</v>
      </c>
      <c r="U480" s="2">
        <v>9.07</v>
      </c>
      <c r="V480" s="2">
        <v>43.78</v>
      </c>
      <c r="W480" s="2">
        <v>31.47</v>
      </c>
      <c r="X480" s="2">
        <v>13.61</v>
      </c>
      <c r="Y480" s="2">
        <v>13.32</v>
      </c>
      <c r="Z480" s="2">
        <v>3.11</v>
      </c>
      <c r="AA480" s="2">
        <v>12.04</v>
      </c>
      <c r="AB480" s="2">
        <v>2.4700000000000002</v>
      </c>
      <c r="AC480" s="2">
        <v>7.99</v>
      </c>
      <c r="AD480" s="2">
        <v>5.86</v>
      </c>
      <c r="AE480" s="2">
        <v>0.37</v>
      </c>
      <c r="AF480" s="2">
        <v>114.68</v>
      </c>
      <c r="AG480" s="2">
        <v>23.65</v>
      </c>
      <c r="AH480" s="4">
        <f t="shared" si="7"/>
        <v>445.33000000000004</v>
      </c>
    </row>
    <row r="481" spans="1:34" x14ac:dyDescent="0.2">
      <c r="A481" s="3">
        <v>22554</v>
      </c>
      <c r="B481" s="2">
        <v>-3.05</v>
      </c>
      <c r="C481" s="2">
        <v>11</v>
      </c>
      <c r="D481" s="2">
        <v>-16.989999999999998</v>
      </c>
      <c r="E481" s="2">
        <v>-47.82</v>
      </c>
      <c r="F481" s="2">
        <v>-8.4700000000000006</v>
      </c>
      <c r="G481" s="2">
        <v>17.010000000000002</v>
      </c>
      <c r="H481" s="2">
        <v>16.8</v>
      </c>
      <c r="I481" s="2">
        <v>28.29</v>
      </c>
      <c r="J481" s="2">
        <v>6.88</v>
      </c>
      <c r="K481" s="2">
        <v>-8.93</v>
      </c>
      <c r="L481" s="2">
        <v>3.85</v>
      </c>
      <c r="M481" s="2">
        <v>-0.04</v>
      </c>
      <c r="N481" s="2">
        <v>31.18</v>
      </c>
      <c r="O481" s="2">
        <v>5.99</v>
      </c>
      <c r="P481" s="2">
        <v>41.58</v>
      </c>
      <c r="Q481" s="2">
        <v>1.88</v>
      </c>
      <c r="R481" s="2">
        <v>6.24</v>
      </c>
      <c r="S481" s="2">
        <v>10.27</v>
      </c>
      <c r="T481" s="2">
        <v>14.37</v>
      </c>
      <c r="U481" s="2">
        <v>1.35</v>
      </c>
      <c r="V481" s="2">
        <v>11.86</v>
      </c>
      <c r="W481" s="2">
        <v>26.1</v>
      </c>
      <c r="X481" s="2">
        <v>13.08</v>
      </c>
      <c r="Y481" s="2">
        <v>12.59</v>
      </c>
      <c r="Z481" s="2">
        <v>0</v>
      </c>
      <c r="AA481" s="2">
        <v>0</v>
      </c>
      <c r="AB481" s="2">
        <v>0</v>
      </c>
      <c r="AC481" s="2">
        <v>0</v>
      </c>
      <c r="AD481" s="2">
        <v>4.5199999999999996</v>
      </c>
      <c r="AE481" s="2">
        <v>1.96</v>
      </c>
      <c r="AF481" s="2">
        <v>106.81</v>
      </c>
      <c r="AG481" s="2">
        <v>20.170000000000002</v>
      </c>
      <c r="AH481" s="4">
        <f t="shared" si="7"/>
        <v>123.24999999999999</v>
      </c>
    </row>
    <row r="482" spans="1:34" x14ac:dyDescent="0.2">
      <c r="A482" s="3">
        <v>22585</v>
      </c>
      <c r="B482" s="2">
        <v>-4.25</v>
      </c>
      <c r="C482" s="2">
        <v>10.92</v>
      </c>
      <c r="D482" s="2">
        <v>-15.41</v>
      </c>
      <c r="E482" s="2">
        <v>-32.590000000000003</v>
      </c>
      <c r="F482" s="2">
        <v>-3.18</v>
      </c>
      <c r="G482" s="2">
        <v>15.31</v>
      </c>
      <c r="H482" s="2">
        <v>14.37</v>
      </c>
      <c r="I482" s="2">
        <v>28.26</v>
      </c>
      <c r="J482" s="2">
        <v>1.34</v>
      </c>
      <c r="K482" s="2">
        <v>-10.8</v>
      </c>
      <c r="L482" s="2">
        <v>3.36</v>
      </c>
      <c r="M482" s="2">
        <v>-1.56</v>
      </c>
      <c r="N482" s="2">
        <v>20.94</v>
      </c>
      <c r="O482" s="2">
        <v>13.3</v>
      </c>
      <c r="P482" s="2">
        <v>39.14</v>
      </c>
      <c r="Q482" s="2">
        <v>0.31</v>
      </c>
      <c r="R482" s="2">
        <v>2.16</v>
      </c>
      <c r="S482" s="2">
        <v>4.49</v>
      </c>
      <c r="T482" s="2">
        <v>17.329999999999998</v>
      </c>
      <c r="U482" s="2">
        <v>-1.67</v>
      </c>
      <c r="V482" s="2">
        <v>9.68</v>
      </c>
      <c r="W482" s="2">
        <v>22.19</v>
      </c>
      <c r="X482" s="2">
        <v>12.26</v>
      </c>
      <c r="Y482" s="2">
        <v>11.77</v>
      </c>
      <c r="Z482" s="2">
        <v>5.26</v>
      </c>
      <c r="AA482" s="2">
        <v>0</v>
      </c>
      <c r="AB482" s="2">
        <v>0</v>
      </c>
      <c r="AC482" s="2">
        <v>0</v>
      </c>
      <c r="AD482" s="2">
        <v>4.16</v>
      </c>
      <c r="AE482" s="2">
        <v>0.56000000000000005</v>
      </c>
      <c r="AF482" s="2">
        <v>96.89</v>
      </c>
      <c r="AG482" s="2">
        <v>16.420000000000002</v>
      </c>
      <c r="AH482" s="4">
        <f t="shared" si="7"/>
        <v>111.44999999999999</v>
      </c>
    </row>
    <row r="483" spans="1:34" x14ac:dyDescent="0.2">
      <c r="A483" s="3">
        <v>22615</v>
      </c>
      <c r="B483" s="2">
        <v>-1.1499999999999999</v>
      </c>
      <c r="C483" s="2">
        <v>14</v>
      </c>
      <c r="D483" s="2">
        <v>3.83</v>
      </c>
      <c r="E483" s="2">
        <v>3.61</v>
      </c>
      <c r="F483" s="2">
        <v>12.66</v>
      </c>
      <c r="G483" s="2">
        <v>24.57</v>
      </c>
      <c r="H483" s="2">
        <v>17.03</v>
      </c>
      <c r="I483" s="2">
        <v>29.93</v>
      </c>
      <c r="J483" s="2">
        <v>14.36</v>
      </c>
      <c r="K483" s="2">
        <v>5.05</v>
      </c>
      <c r="L483" s="2">
        <v>7.04</v>
      </c>
      <c r="M483" s="2">
        <v>9</v>
      </c>
      <c r="N483" s="2">
        <v>20.350000000000001</v>
      </c>
      <c r="O483" s="2">
        <v>5.81</v>
      </c>
      <c r="P483" s="2">
        <v>32.75</v>
      </c>
      <c r="Q483" s="2">
        <v>-1.04</v>
      </c>
      <c r="R483" s="2">
        <v>0.77</v>
      </c>
      <c r="S483" s="2">
        <v>7.29</v>
      </c>
      <c r="T483" s="2">
        <v>10.73</v>
      </c>
      <c r="U483" s="2">
        <v>1.88</v>
      </c>
      <c r="V483" s="2">
        <v>10.65</v>
      </c>
      <c r="W483" s="2">
        <v>15.43</v>
      </c>
      <c r="X483" s="2">
        <v>7.91</v>
      </c>
      <c r="Y483" s="2">
        <v>6.44</v>
      </c>
      <c r="Z483" s="2">
        <v>5.22</v>
      </c>
      <c r="AA483" s="2">
        <v>0.7</v>
      </c>
      <c r="AB483" s="2">
        <v>2.4900000000000002</v>
      </c>
      <c r="AC483" s="2">
        <v>6.23</v>
      </c>
      <c r="AD483" s="2">
        <v>3.33</v>
      </c>
      <c r="AE483" s="2">
        <v>24.52</v>
      </c>
      <c r="AF483" s="2">
        <v>63.57</v>
      </c>
      <c r="AG483" s="2">
        <v>12.92</v>
      </c>
      <c r="AH483" s="4">
        <f t="shared" si="7"/>
        <v>229.12</v>
      </c>
    </row>
    <row r="484" spans="1:34" x14ac:dyDescent="0.2">
      <c r="A484" s="3">
        <v>22646</v>
      </c>
      <c r="B484" s="2">
        <v>-0.69</v>
      </c>
      <c r="C484" s="2">
        <v>19.13</v>
      </c>
      <c r="D484" s="2">
        <v>4.67</v>
      </c>
      <c r="E484" s="2">
        <v>12.67</v>
      </c>
      <c r="F484" s="2">
        <v>23.47</v>
      </c>
      <c r="G484" s="2">
        <v>39.35</v>
      </c>
      <c r="H484" s="2">
        <v>16.89</v>
      </c>
      <c r="I484" s="2">
        <v>29.74</v>
      </c>
      <c r="J484" s="2">
        <v>9.6999999999999993</v>
      </c>
      <c r="K484" s="2">
        <v>-3.95</v>
      </c>
      <c r="L484" s="2">
        <v>-0.28000000000000003</v>
      </c>
      <c r="M484" s="2">
        <v>-0.91</v>
      </c>
      <c r="N484" s="2">
        <v>15.19</v>
      </c>
      <c r="O484" s="2">
        <v>5.26</v>
      </c>
      <c r="P484" s="2">
        <v>32.04</v>
      </c>
      <c r="Q484" s="2">
        <v>-0.98</v>
      </c>
      <c r="R484" s="2">
        <v>0.99</v>
      </c>
      <c r="S484" s="2">
        <v>2.63</v>
      </c>
      <c r="T484" s="2">
        <v>7.64</v>
      </c>
      <c r="U484" s="2">
        <v>1.37</v>
      </c>
      <c r="V484" s="2">
        <v>13.35</v>
      </c>
      <c r="W484" s="2">
        <v>11.73</v>
      </c>
      <c r="X484" s="2">
        <v>6.04</v>
      </c>
      <c r="Y484" s="2">
        <v>5.79</v>
      </c>
      <c r="Z484" s="2">
        <v>0</v>
      </c>
      <c r="AA484" s="2">
        <v>4.01</v>
      </c>
      <c r="AB484" s="2">
        <v>1.02</v>
      </c>
      <c r="AC484" s="2">
        <v>9.34</v>
      </c>
      <c r="AD484" s="2">
        <v>3.15</v>
      </c>
      <c r="AE484" s="2">
        <v>11.93</v>
      </c>
      <c r="AF484" s="2">
        <v>58.4</v>
      </c>
      <c r="AG484" s="2">
        <v>11.2</v>
      </c>
      <c r="AH484" s="4">
        <f t="shared" si="7"/>
        <v>227.27999999999997</v>
      </c>
    </row>
    <row r="485" spans="1:34" x14ac:dyDescent="0.2">
      <c r="A485" s="3">
        <v>22677</v>
      </c>
      <c r="B485" s="2">
        <v>-2.72</v>
      </c>
      <c r="C485" s="2">
        <v>8.66</v>
      </c>
      <c r="D485" s="2">
        <v>-16.420000000000002</v>
      </c>
      <c r="E485" s="2">
        <v>-37.92</v>
      </c>
      <c r="F485" s="2">
        <v>-10.16</v>
      </c>
      <c r="G485" s="2">
        <v>14.75</v>
      </c>
      <c r="H485" s="2">
        <v>6.88</v>
      </c>
      <c r="I485" s="2">
        <v>27.25</v>
      </c>
      <c r="J485" s="2">
        <v>7.37</v>
      </c>
      <c r="K485" s="2">
        <v>7.68</v>
      </c>
      <c r="L485" s="2">
        <v>0.23</v>
      </c>
      <c r="M485" s="2">
        <v>0.9</v>
      </c>
      <c r="N485" s="2">
        <v>18.36</v>
      </c>
      <c r="O485" s="2">
        <v>5.48</v>
      </c>
      <c r="P485" s="2">
        <v>27.58</v>
      </c>
      <c r="Q485" s="2">
        <v>-1.65</v>
      </c>
      <c r="R485" s="2">
        <v>1.68</v>
      </c>
      <c r="S485" s="2">
        <v>10.210000000000001</v>
      </c>
      <c r="T485" s="2">
        <v>9.25</v>
      </c>
      <c r="U485" s="2">
        <v>-0.89</v>
      </c>
      <c r="V485" s="2">
        <v>11.7</v>
      </c>
      <c r="W485" s="2">
        <v>4.26</v>
      </c>
      <c r="X485" s="2">
        <v>10.32</v>
      </c>
      <c r="Y485" s="2">
        <v>9.0399999999999991</v>
      </c>
      <c r="Z485" s="2">
        <v>8.4700000000000006</v>
      </c>
      <c r="AA485" s="2">
        <v>1.29</v>
      </c>
      <c r="AB485" s="2">
        <v>6.68</v>
      </c>
      <c r="AC485" s="2">
        <v>4.33</v>
      </c>
      <c r="AD485" s="2">
        <v>2.92</v>
      </c>
      <c r="AE485" s="2">
        <v>7.55</v>
      </c>
      <c r="AF485" s="2">
        <v>71.459999999999994</v>
      </c>
      <c r="AG485" s="2">
        <v>9.8800000000000008</v>
      </c>
      <c r="AH485" s="4">
        <f t="shared" si="7"/>
        <v>88.22</v>
      </c>
    </row>
    <row r="486" spans="1:34" x14ac:dyDescent="0.2">
      <c r="A486" s="3">
        <v>22705</v>
      </c>
      <c r="B486" s="2">
        <v>4.29</v>
      </c>
      <c r="C486" s="2">
        <v>27.14</v>
      </c>
      <c r="D486" s="2">
        <v>43.82</v>
      </c>
      <c r="E486" s="2">
        <v>114.36</v>
      </c>
      <c r="F486" s="2">
        <v>130.85</v>
      </c>
      <c r="G486" s="2">
        <v>195.5</v>
      </c>
      <c r="H486" s="2">
        <v>36.94</v>
      </c>
      <c r="I486" s="2">
        <v>45.21</v>
      </c>
      <c r="J486" s="2">
        <v>108.88</v>
      </c>
      <c r="K486" s="2">
        <v>126.71</v>
      </c>
      <c r="L486" s="2">
        <v>70.52</v>
      </c>
      <c r="M486" s="2">
        <v>74.02</v>
      </c>
      <c r="N486" s="2">
        <v>157.38</v>
      </c>
      <c r="O486" s="2">
        <v>8.4600000000000009</v>
      </c>
      <c r="P486" s="2">
        <v>226.65</v>
      </c>
      <c r="Q486" s="2">
        <v>0.1</v>
      </c>
      <c r="R486" s="2">
        <v>10.07</v>
      </c>
      <c r="S486" s="2">
        <v>154.19</v>
      </c>
      <c r="T486" s="2">
        <v>190.52</v>
      </c>
      <c r="U486" s="2">
        <v>2.41</v>
      </c>
      <c r="V486" s="2">
        <v>53.81</v>
      </c>
      <c r="W486" s="2">
        <v>0</v>
      </c>
      <c r="X486" s="2">
        <v>3.73</v>
      </c>
      <c r="Y486" s="2">
        <v>3.86</v>
      </c>
      <c r="Z486" s="2">
        <v>21.1</v>
      </c>
      <c r="AA486" s="2">
        <v>2.0099999999999998</v>
      </c>
      <c r="AB486" s="2">
        <v>21.58</v>
      </c>
      <c r="AC486" s="2">
        <v>14.76</v>
      </c>
      <c r="AD486" s="2">
        <v>3.01</v>
      </c>
      <c r="AE486" s="2">
        <v>52.3</v>
      </c>
      <c r="AF486" s="2">
        <v>59.57</v>
      </c>
      <c r="AG486" s="2">
        <v>10.08</v>
      </c>
      <c r="AH486" s="4">
        <f t="shared" si="7"/>
        <v>1781.8300000000002</v>
      </c>
    </row>
    <row r="487" spans="1:34" x14ac:dyDescent="0.2">
      <c r="A487" s="3">
        <v>22736</v>
      </c>
      <c r="B487" s="2">
        <v>4.08</v>
      </c>
      <c r="C487" s="2">
        <v>21.38</v>
      </c>
      <c r="D487" s="2">
        <v>-7.61</v>
      </c>
      <c r="E487" s="2">
        <v>-27.9</v>
      </c>
      <c r="F487" s="2">
        <v>-39.06</v>
      </c>
      <c r="G487" s="2">
        <v>33.69</v>
      </c>
      <c r="H487" s="2">
        <v>15.36</v>
      </c>
      <c r="I487" s="2">
        <v>36.11</v>
      </c>
      <c r="J487" s="2">
        <v>-1.42</v>
      </c>
      <c r="K487" s="2">
        <v>-48.57</v>
      </c>
      <c r="L487" s="2">
        <v>17</v>
      </c>
      <c r="M487" s="2">
        <v>-1.1499999999999999</v>
      </c>
      <c r="N487" s="2">
        <v>8.4600000000000009</v>
      </c>
      <c r="O487" s="2">
        <v>6.6</v>
      </c>
      <c r="P487" s="2">
        <v>17.61</v>
      </c>
      <c r="Q487" s="2">
        <v>9.56</v>
      </c>
      <c r="R487" s="2">
        <v>12.52</v>
      </c>
      <c r="S487" s="2">
        <v>3.62</v>
      </c>
      <c r="T487" s="2">
        <v>13.03</v>
      </c>
      <c r="U487" s="2">
        <v>4.6500000000000004</v>
      </c>
      <c r="V487" s="2">
        <v>23.24</v>
      </c>
      <c r="W487" s="2">
        <v>0</v>
      </c>
      <c r="X487" s="2">
        <v>4.7</v>
      </c>
      <c r="Y487" s="2">
        <v>3.76</v>
      </c>
      <c r="Z487" s="2">
        <v>5.79</v>
      </c>
      <c r="AA487" s="2">
        <v>2.0099999999999998</v>
      </c>
      <c r="AB487" s="2">
        <v>1.76</v>
      </c>
      <c r="AC487" s="2">
        <v>1.9</v>
      </c>
      <c r="AD487" s="2">
        <v>4.92</v>
      </c>
      <c r="AE487" s="2">
        <v>18.18</v>
      </c>
      <c r="AF487" s="2">
        <v>70.290000000000006</v>
      </c>
      <c r="AG487" s="2">
        <v>10.69</v>
      </c>
      <c r="AH487" s="4">
        <f t="shared" si="7"/>
        <v>101.19999999999999</v>
      </c>
    </row>
    <row r="488" spans="1:34" x14ac:dyDescent="0.2">
      <c r="A488" s="3">
        <v>22766</v>
      </c>
      <c r="B488" s="2">
        <v>-1.02</v>
      </c>
      <c r="C488" s="2">
        <v>15.92</v>
      </c>
      <c r="D488" s="2">
        <v>-26.32</v>
      </c>
      <c r="E488" s="2">
        <v>-57.79</v>
      </c>
      <c r="F488" s="2">
        <v>12.35</v>
      </c>
      <c r="G488" s="2">
        <v>-35.08</v>
      </c>
      <c r="H488" s="2">
        <v>11.78</v>
      </c>
      <c r="I488" s="2">
        <v>37.49</v>
      </c>
      <c r="J488" s="2">
        <v>-20.39</v>
      </c>
      <c r="K488" s="2">
        <v>-31.85</v>
      </c>
      <c r="L488" s="2">
        <v>-7.73</v>
      </c>
      <c r="M488" s="2">
        <v>-14.32</v>
      </c>
      <c r="N488" s="2">
        <v>36.19</v>
      </c>
      <c r="O488" s="2">
        <v>9.51</v>
      </c>
      <c r="P488" s="2">
        <v>28.4</v>
      </c>
      <c r="Q488" s="2">
        <v>7.76</v>
      </c>
      <c r="R488" s="2">
        <v>4.47</v>
      </c>
      <c r="S488" s="2">
        <v>-0.84</v>
      </c>
      <c r="T488" s="2">
        <v>22.22</v>
      </c>
      <c r="U488" s="2">
        <v>2.99</v>
      </c>
      <c r="V488" s="2">
        <v>30.85</v>
      </c>
      <c r="W488" s="2">
        <v>0</v>
      </c>
      <c r="X488" s="2">
        <v>5.73</v>
      </c>
      <c r="Y488" s="2">
        <v>5.0999999999999996</v>
      </c>
      <c r="Z488" s="2">
        <v>0</v>
      </c>
      <c r="AA488" s="2">
        <v>0</v>
      </c>
      <c r="AB488" s="2">
        <v>0</v>
      </c>
      <c r="AC488" s="2">
        <v>0</v>
      </c>
      <c r="AD488" s="2">
        <v>5.64</v>
      </c>
      <c r="AE488" s="2">
        <v>0.93</v>
      </c>
      <c r="AF488" s="2">
        <v>86.98</v>
      </c>
      <c r="AG488" s="2">
        <v>14.64</v>
      </c>
      <c r="AH488" s="4">
        <f t="shared" si="7"/>
        <v>24.589999999999989</v>
      </c>
    </row>
    <row r="489" spans="1:34" x14ac:dyDescent="0.2">
      <c r="A489" s="3">
        <v>22797</v>
      </c>
      <c r="B489" s="2">
        <v>0.85</v>
      </c>
      <c r="C489" s="2">
        <v>8.99</v>
      </c>
      <c r="D489" s="2">
        <v>-10.039999999999999</v>
      </c>
      <c r="E489" s="2">
        <v>-44.6</v>
      </c>
      <c r="F489" s="2">
        <v>-34.43</v>
      </c>
      <c r="G489" s="2">
        <v>-18.57</v>
      </c>
      <c r="H489" s="2">
        <v>4.95</v>
      </c>
      <c r="I489" s="2">
        <v>28.63</v>
      </c>
      <c r="J489" s="2">
        <v>-18.57</v>
      </c>
      <c r="K489" s="2">
        <v>-5.98</v>
      </c>
      <c r="L489" s="2">
        <v>1.3</v>
      </c>
      <c r="M489" s="2">
        <v>0.71</v>
      </c>
      <c r="N489" s="2">
        <v>27.22</v>
      </c>
      <c r="O489" s="2">
        <v>18.75</v>
      </c>
      <c r="P489" s="2">
        <v>52.93</v>
      </c>
      <c r="Q489" s="2">
        <v>8.0500000000000007</v>
      </c>
      <c r="R489" s="2">
        <v>8.2200000000000006</v>
      </c>
      <c r="S489" s="2">
        <v>6.46</v>
      </c>
      <c r="T489" s="2">
        <v>35.119999999999997</v>
      </c>
      <c r="U489" s="2">
        <v>-2.58</v>
      </c>
      <c r="V489" s="2">
        <v>32.82</v>
      </c>
      <c r="W489" s="2">
        <v>4.88</v>
      </c>
      <c r="X489" s="2">
        <v>8.81</v>
      </c>
      <c r="Y489" s="2">
        <v>7.51</v>
      </c>
      <c r="Z489" s="2">
        <v>0.24</v>
      </c>
      <c r="AA489" s="2">
        <v>0</v>
      </c>
      <c r="AB489" s="2">
        <v>1.59</v>
      </c>
      <c r="AC489" s="2">
        <v>1.08</v>
      </c>
      <c r="AD489" s="2">
        <v>7.15</v>
      </c>
      <c r="AE489" s="2">
        <v>0</v>
      </c>
      <c r="AF489" s="2">
        <v>98.23</v>
      </c>
      <c r="AG489" s="2">
        <v>17.690000000000001</v>
      </c>
      <c r="AH489" s="4">
        <f t="shared" si="7"/>
        <v>100.22999999999999</v>
      </c>
    </row>
    <row r="490" spans="1:34" x14ac:dyDescent="0.2">
      <c r="A490" s="3">
        <v>22827</v>
      </c>
      <c r="B490" s="2">
        <v>1.08</v>
      </c>
      <c r="C490" s="2">
        <v>13.15</v>
      </c>
      <c r="D490" s="2">
        <v>-11.95</v>
      </c>
      <c r="E490" s="2">
        <v>-52.15</v>
      </c>
      <c r="F490" s="2">
        <v>-25.32</v>
      </c>
      <c r="G490" s="2">
        <v>-4.28</v>
      </c>
      <c r="H490" s="2">
        <v>7.87</v>
      </c>
      <c r="I490" s="2">
        <v>34.79</v>
      </c>
      <c r="J490" s="2">
        <v>-6.51</v>
      </c>
      <c r="K490" s="2">
        <v>4.07</v>
      </c>
      <c r="L490" s="2">
        <v>14.35</v>
      </c>
      <c r="M490" s="2">
        <v>9.99</v>
      </c>
      <c r="N490" s="2">
        <v>29.64</v>
      </c>
      <c r="O490" s="2">
        <v>84.56</v>
      </c>
      <c r="P490" s="2">
        <v>128.49</v>
      </c>
      <c r="Q490" s="2">
        <v>12.7</v>
      </c>
      <c r="R490" s="2">
        <v>10.029999999999999</v>
      </c>
      <c r="S490" s="2">
        <v>27.04</v>
      </c>
      <c r="T490" s="2">
        <v>81.459999999999994</v>
      </c>
      <c r="U490" s="2">
        <v>2.4700000000000002</v>
      </c>
      <c r="V490" s="2">
        <v>47.92</v>
      </c>
      <c r="W490" s="2">
        <v>18.62</v>
      </c>
      <c r="X490" s="2">
        <v>14.23</v>
      </c>
      <c r="Y490" s="2">
        <v>13.64</v>
      </c>
      <c r="Z490" s="2">
        <v>0</v>
      </c>
      <c r="AA490" s="2">
        <v>0</v>
      </c>
      <c r="AB490" s="2">
        <v>1.25</v>
      </c>
      <c r="AC490" s="2">
        <v>0</v>
      </c>
      <c r="AD490" s="2">
        <v>10.48</v>
      </c>
      <c r="AE490" s="2">
        <v>0</v>
      </c>
      <c r="AF490" s="2">
        <v>107.5</v>
      </c>
      <c r="AG490" s="2">
        <v>22.83</v>
      </c>
      <c r="AH490" s="4">
        <f t="shared" si="7"/>
        <v>409.40000000000003</v>
      </c>
    </row>
    <row r="491" spans="1:34" x14ac:dyDescent="0.2">
      <c r="A491" s="3">
        <v>22858</v>
      </c>
      <c r="B491" s="2">
        <v>0.89</v>
      </c>
      <c r="C491" s="2">
        <v>12.81</v>
      </c>
      <c r="D491" s="2">
        <v>-11.04</v>
      </c>
      <c r="E491" s="2">
        <v>-50.34</v>
      </c>
      <c r="F491" s="2">
        <v>-14.58</v>
      </c>
      <c r="G491" s="2">
        <v>7.98</v>
      </c>
      <c r="H491" s="2">
        <v>9.11</v>
      </c>
      <c r="I491" s="2">
        <v>33.020000000000003</v>
      </c>
      <c r="J491" s="2">
        <v>-23.24</v>
      </c>
      <c r="K491" s="2">
        <v>-12.77</v>
      </c>
      <c r="L491" s="2">
        <v>-25.01</v>
      </c>
      <c r="M491" s="2">
        <v>3.56</v>
      </c>
      <c r="N491" s="2">
        <v>31.37</v>
      </c>
      <c r="O491" s="2">
        <v>120.44</v>
      </c>
      <c r="P491" s="2">
        <v>136.86000000000001</v>
      </c>
      <c r="Q491" s="2">
        <v>12.62</v>
      </c>
      <c r="R491" s="2">
        <v>16.13</v>
      </c>
      <c r="S491" s="2">
        <v>37.5</v>
      </c>
      <c r="T491" s="2">
        <v>59.45</v>
      </c>
      <c r="U491" s="2">
        <v>9.57</v>
      </c>
      <c r="V491" s="2">
        <v>52.98</v>
      </c>
      <c r="W491" s="2">
        <v>30.39</v>
      </c>
      <c r="X491" s="2">
        <v>19.54</v>
      </c>
      <c r="Y491" s="2">
        <v>19.3</v>
      </c>
      <c r="Z491" s="2">
        <v>0</v>
      </c>
      <c r="AA491" s="2">
        <v>0</v>
      </c>
      <c r="AB491" s="2">
        <v>1.47</v>
      </c>
      <c r="AC491" s="2">
        <v>0</v>
      </c>
      <c r="AD491" s="2">
        <v>7.69</v>
      </c>
      <c r="AE491" s="2">
        <v>0</v>
      </c>
      <c r="AF491" s="2">
        <v>117.07</v>
      </c>
      <c r="AG491" s="2">
        <v>24.8</v>
      </c>
      <c r="AH491" s="4">
        <f t="shared" si="7"/>
        <v>407.31</v>
      </c>
    </row>
    <row r="492" spans="1:34" x14ac:dyDescent="0.2">
      <c r="A492" s="3">
        <v>22889</v>
      </c>
      <c r="B492" s="2">
        <v>0.54</v>
      </c>
      <c r="C492" s="2">
        <v>12.97</v>
      </c>
      <c r="D492" s="2">
        <v>-9.8699999999999992</v>
      </c>
      <c r="E492" s="2">
        <v>-50.37</v>
      </c>
      <c r="F492" s="2">
        <v>-2.44</v>
      </c>
      <c r="G492" s="2">
        <v>15.61</v>
      </c>
      <c r="H492" s="2">
        <v>14.21</v>
      </c>
      <c r="I492" s="2">
        <v>31.27</v>
      </c>
      <c r="J492" s="2">
        <v>-10.11</v>
      </c>
      <c r="K492" s="2">
        <v>-7.1</v>
      </c>
      <c r="L492" s="2">
        <v>-11.97</v>
      </c>
      <c r="M492" s="2">
        <v>6.83</v>
      </c>
      <c r="N492" s="2">
        <v>25.69</v>
      </c>
      <c r="O492" s="2">
        <v>95.95</v>
      </c>
      <c r="P492" s="2">
        <v>139.08000000000001</v>
      </c>
      <c r="Q492" s="2">
        <v>5.95</v>
      </c>
      <c r="R492" s="2">
        <v>14.84</v>
      </c>
      <c r="S492" s="2">
        <v>24.77</v>
      </c>
      <c r="T492" s="2">
        <v>52.34</v>
      </c>
      <c r="U492" s="2">
        <v>7.42</v>
      </c>
      <c r="V492" s="2">
        <v>41.86</v>
      </c>
      <c r="W492" s="2">
        <v>31.47</v>
      </c>
      <c r="X492" s="2">
        <v>21.87</v>
      </c>
      <c r="Y492" s="2">
        <v>21.78</v>
      </c>
      <c r="Z492" s="2">
        <v>0</v>
      </c>
      <c r="AA492" s="2">
        <v>0</v>
      </c>
      <c r="AB492" s="2">
        <v>0</v>
      </c>
      <c r="AC492" s="2">
        <v>0</v>
      </c>
      <c r="AD492" s="2">
        <v>7.71</v>
      </c>
      <c r="AE492" s="2">
        <v>0</v>
      </c>
      <c r="AF492" s="2">
        <v>119.06</v>
      </c>
      <c r="AG492" s="2">
        <v>23.65</v>
      </c>
      <c r="AH492" s="4">
        <f t="shared" si="7"/>
        <v>397.46999999999997</v>
      </c>
    </row>
    <row r="493" spans="1:34" x14ac:dyDescent="0.2">
      <c r="A493" s="3">
        <v>22919</v>
      </c>
      <c r="B493" s="2">
        <v>-2.96</v>
      </c>
      <c r="C493" s="2">
        <v>10.89</v>
      </c>
      <c r="D493" s="2">
        <v>-15.95</v>
      </c>
      <c r="E493" s="2">
        <v>-43.21</v>
      </c>
      <c r="F493" s="2">
        <v>-0.57999999999999996</v>
      </c>
      <c r="G493" s="2">
        <v>17.829999999999998</v>
      </c>
      <c r="H493" s="2">
        <v>18.5</v>
      </c>
      <c r="I493" s="2">
        <v>33.56</v>
      </c>
      <c r="J493" s="2">
        <v>7.28</v>
      </c>
      <c r="K493" s="2">
        <v>-2.96</v>
      </c>
      <c r="L493" s="2">
        <v>-7.82</v>
      </c>
      <c r="M493" s="2">
        <v>2.4500000000000002</v>
      </c>
      <c r="N493" s="2">
        <v>33.25</v>
      </c>
      <c r="O493" s="2">
        <v>10.89</v>
      </c>
      <c r="P493" s="2">
        <v>73.28</v>
      </c>
      <c r="Q493" s="2">
        <v>8.81</v>
      </c>
      <c r="R493" s="2">
        <v>15.71</v>
      </c>
      <c r="S493" s="2">
        <v>9.51</v>
      </c>
      <c r="T493" s="2">
        <v>14.54</v>
      </c>
      <c r="U493" s="2">
        <v>4.7</v>
      </c>
      <c r="V493" s="2">
        <v>13.81</v>
      </c>
      <c r="W493" s="2">
        <v>26.1</v>
      </c>
      <c r="X493" s="2">
        <v>20.74</v>
      </c>
      <c r="Y493" s="2">
        <v>20.440000000000001</v>
      </c>
      <c r="Z493" s="2">
        <v>0</v>
      </c>
      <c r="AA493" s="2">
        <v>0</v>
      </c>
      <c r="AB493" s="2">
        <v>1.81</v>
      </c>
      <c r="AC493" s="2">
        <v>0</v>
      </c>
      <c r="AD493" s="2">
        <v>5</v>
      </c>
      <c r="AE493" s="2">
        <v>0</v>
      </c>
      <c r="AF493" s="2">
        <v>110.9</v>
      </c>
      <c r="AG493" s="2">
        <v>20.170000000000002</v>
      </c>
      <c r="AH493" s="4">
        <f t="shared" si="7"/>
        <v>201.52999999999997</v>
      </c>
    </row>
    <row r="494" spans="1:34" x14ac:dyDescent="0.2">
      <c r="A494" s="3">
        <v>22950</v>
      </c>
      <c r="B494" s="2">
        <v>2.44</v>
      </c>
      <c r="C494" s="2">
        <v>23.72</v>
      </c>
      <c r="D494" s="2">
        <v>24.04</v>
      </c>
      <c r="E494" s="2">
        <v>79.06</v>
      </c>
      <c r="F494" s="2">
        <v>143.08000000000001</v>
      </c>
      <c r="G494" s="2">
        <v>139.97</v>
      </c>
      <c r="H494" s="2">
        <v>43.57</v>
      </c>
      <c r="I494" s="2">
        <v>42.01</v>
      </c>
      <c r="J494" s="2">
        <v>40.409999999999997</v>
      </c>
      <c r="K494" s="2">
        <v>-6.74</v>
      </c>
      <c r="L494" s="2">
        <v>2.7</v>
      </c>
      <c r="M494" s="2">
        <v>3.92</v>
      </c>
      <c r="N494" s="2">
        <v>20.86</v>
      </c>
      <c r="O494" s="2">
        <v>13.74</v>
      </c>
      <c r="P494" s="2">
        <v>38.409999999999997</v>
      </c>
      <c r="Q494" s="2">
        <v>2.6</v>
      </c>
      <c r="R494" s="2">
        <v>6.82</v>
      </c>
      <c r="S494" s="2">
        <v>0.01</v>
      </c>
      <c r="T494" s="2">
        <v>17.61</v>
      </c>
      <c r="U494" s="2">
        <v>2.2599999999999998</v>
      </c>
      <c r="V494" s="2">
        <v>11.17</v>
      </c>
      <c r="W494" s="2">
        <v>22.19</v>
      </c>
      <c r="X494" s="2">
        <v>19.21</v>
      </c>
      <c r="Y494" s="2">
        <v>18.89</v>
      </c>
      <c r="Z494" s="2">
        <v>0</v>
      </c>
      <c r="AA494" s="2">
        <v>2.58</v>
      </c>
      <c r="AB494" s="2">
        <v>0.86</v>
      </c>
      <c r="AC494" s="2">
        <v>3.25</v>
      </c>
      <c r="AD494" s="2">
        <v>2.89</v>
      </c>
      <c r="AE494" s="2">
        <v>42.79</v>
      </c>
      <c r="AF494" s="2">
        <v>100.59</v>
      </c>
      <c r="AG494" s="2">
        <v>16.420000000000002</v>
      </c>
      <c r="AH494" s="4">
        <f t="shared" si="7"/>
        <v>651.66000000000008</v>
      </c>
    </row>
    <row r="495" spans="1:34" x14ac:dyDescent="0.2">
      <c r="A495" s="3">
        <v>22980</v>
      </c>
      <c r="B495" s="2">
        <v>-1.53</v>
      </c>
      <c r="C495" s="2">
        <v>10.23</v>
      </c>
      <c r="D495" s="2">
        <v>-18.850000000000001</v>
      </c>
      <c r="E495" s="2">
        <v>-60.33</v>
      </c>
      <c r="F495" s="2">
        <v>-86.94</v>
      </c>
      <c r="G495" s="2">
        <v>-29.95</v>
      </c>
      <c r="H495" s="2">
        <v>5.5</v>
      </c>
      <c r="I495" s="2">
        <v>28.28</v>
      </c>
      <c r="J495" s="2">
        <v>-0.36</v>
      </c>
      <c r="K495" s="2">
        <v>-6.47</v>
      </c>
      <c r="L495" s="2">
        <v>4.6100000000000003</v>
      </c>
      <c r="M495" s="2">
        <v>4.3899999999999997</v>
      </c>
      <c r="N495" s="2">
        <v>17.37</v>
      </c>
      <c r="O495" s="2">
        <v>8.17</v>
      </c>
      <c r="P495" s="2">
        <v>28.41</v>
      </c>
      <c r="Q495" s="2">
        <v>4.18</v>
      </c>
      <c r="R495" s="2">
        <v>4.7300000000000004</v>
      </c>
      <c r="S495" s="2">
        <v>-1.97</v>
      </c>
      <c r="T495" s="2">
        <v>13.21</v>
      </c>
      <c r="U495" s="2">
        <v>3.9</v>
      </c>
      <c r="V495" s="2">
        <v>11.97</v>
      </c>
      <c r="W495" s="2">
        <v>15.43</v>
      </c>
      <c r="X495" s="2">
        <v>12.59</v>
      </c>
      <c r="Y495" s="2">
        <v>11.25</v>
      </c>
      <c r="Z495" s="2">
        <v>0.14000000000000001</v>
      </c>
      <c r="AA495" s="2">
        <v>0</v>
      </c>
      <c r="AB495" s="2">
        <v>0</v>
      </c>
      <c r="AC495" s="2">
        <v>0</v>
      </c>
      <c r="AD495" s="2">
        <v>1.96</v>
      </c>
      <c r="AE495" s="2">
        <v>2.61</v>
      </c>
      <c r="AF495" s="2">
        <v>66</v>
      </c>
      <c r="AG495" s="2">
        <v>12.92</v>
      </c>
      <c r="AH495" s="4">
        <f t="shared" si="7"/>
        <v>-61.450000000000017</v>
      </c>
    </row>
    <row r="496" spans="1:34" x14ac:dyDescent="0.2">
      <c r="A496" s="3">
        <v>23011</v>
      </c>
      <c r="B496" s="2">
        <v>3.84</v>
      </c>
      <c r="C496" s="2">
        <v>21.2</v>
      </c>
      <c r="D496" s="2">
        <v>3.84</v>
      </c>
      <c r="E496" s="2">
        <v>26.04</v>
      </c>
      <c r="F496" s="2">
        <v>41.14</v>
      </c>
      <c r="G496" s="2">
        <v>34.380000000000003</v>
      </c>
      <c r="H496" s="2">
        <v>25.85</v>
      </c>
      <c r="I496" s="2">
        <v>34.04</v>
      </c>
      <c r="J496" s="2">
        <v>16.82</v>
      </c>
      <c r="K496" s="2">
        <v>4.03</v>
      </c>
      <c r="L496" s="2">
        <v>9.2200000000000006</v>
      </c>
      <c r="M496" s="2">
        <v>10.48</v>
      </c>
      <c r="N496" s="2">
        <v>18.23</v>
      </c>
      <c r="O496" s="2">
        <v>6.58</v>
      </c>
      <c r="P496" s="2">
        <v>24.36</v>
      </c>
      <c r="Q496" s="2">
        <v>1.62</v>
      </c>
      <c r="R496" s="2">
        <v>4.24</v>
      </c>
      <c r="S496" s="2">
        <v>-2.02</v>
      </c>
      <c r="T496" s="2">
        <v>10.89</v>
      </c>
      <c r="U496" s="2">
        <v>2.77</v>
      </c>
      <c r="V496" s="2">
        <v>10.93</v>
      </c>
      <c r="W496" s="2">
        <v>11.73</v>
      </c>
      <c r="X496" s="2">
        <v>10.34</v>
      </c>
      <c r="Y496" s="2">
        <v>10.220000000000001</v>
      </c>
      <c r="Z496" s="2">
        <v>0.33</v>
      </c>
      <c r="AA496" s="2">
        <v>4.01</v>
      </c>
      <c r="AB496" s="2">
        <v>0.06</v>
      </c>
      <c r="AC496" s="2">
        <v>0.95</v>
      </c>
      <c r="AD496" s="2">
        <v>1.97</v>
      </c>
      <c r="AE496" s="2">
        <v>18.64</v>
      </c>
      <c r="AF496" s="2">
        <v>60.63</v>
      </c>
      <c r="AG496" s="2">
        <v>11.2</v>
      </c>
      <c r="AH496" s="4">
        <f t="shared" si="7"/>
        <v>308.47999999999996</v>
      </c>
    </row>
    <row r="497" spans="1:34" x14ac:dyDescent="0.2">
      <c r="A497" s="3">
        <v>23042</v>
      </c>
      <c r="B497" s="2">
        <v>0.28999999999999998</v>
      </c>
      <c r="C497" s="2">
        <v>17.86</v>
      </c>
      <c r="D497" s="2">
        <v>2.15</v>
      </c>
      <c r="E497" s="2">
        <v>-1.27</v>
      </c>
      <c r="F497" s="2">
        <v>-0.22</v>
      </c>
      <c r="G497" s="2">
        <v>51.3</v>
      </c>
      <c r="H497" s="2">
        <v>12.36</v>
      </c>
      <c r="I497" s="2">
        <v>30.79</v>
      </c>
      <c r="J497" s="2">
        <v>15.9</v>
      </c>
      <c r="K497" s="2">
        <v>22.82</v>
      </c>
      <c r="L497" s="2">
        <v>-11.84</v>
      </c>
      <c r="M497" s="2">
        <v>1.39</v>
      </c>
      <c r="N497" s="2">
        <v>30.92</v>
      </c>
      <c r="O497" s="2">
        <v>7.15</v>
      </c>
      <c r="P497" s="2">
        <v>33.07</v>
      </c>
      <c r="Q497" s="2">
        <v>-0.56000000000000005</v>
      </c>
      <c r="R497" s="2">
        <v>1.72</v>
      </c>
      <c r="S497" s="2">
        <v>24</v>
      </c>
      <c r="T497" s="2">
        <v>16.690000000000001</v>
      </c>
      <c r="U497" s="2">
        <v>-0.25</v>
      </c>
      <c r="V497" s="2">
        <v>14.44</v>
      </c>
      <c r="W497" s="2">
        <v>4.26</v>
      </c>
      <c r="X497" s="2">
        <v>9.93</v>
      </c>
      <c r="Y497" s="2">
        <v>8.61</v>
      </c>
      <c r="Z497" s="2">
        <v>0.1</v>
      </c>
      <c r="AA497" s="2">
        <v>1.86</v>
      </c>
      <c r="AB497" s="2">
        <v>12.66</v>
      </c>
      <c r="AC497" s="2">
        <v>0</v>
      </c>
      <c r="AD497" s="2">
        <v>1.89</v>
      </c>
      <c r="AE497" s="2">
        <v>37.200000000000003</v>
      </c>
      <c r="AF497" s="2">
        <v>69.56</v>
      </c>
      <c r="AG497" s="2">
        <v>9.8800000000000008</v>
      </c>
      <c r="AH497" s="4">
        <f t="shared" si="7"/>
        <v>268.70999999999998</v>
      </c>
    </row>
    <row r="498" spans="1:34" x14ac:dyDescent="0.2">
      <c r="A498" s="3">
        <v>23070</v>
      </c>
      <c r="B498" s="2">
        <v>4.57</v>
      </c>
      <c r="C498" s="2">
        <v>26.3</v>
      </c>
      <c r="D498" s="2">
        <v>7.4</v>
      </c>
      <c r="E498" s="2">
        <v>41.45</v>
      </c>
      <c r="F498" s="2">
        <v>93.23</v>
      </c>
      <c r="G498" s="2">
        <v>113.85</v>
      </c>
      <c r="H498" s="2">
        <v>24.11</v>
      </c>
      <c r="I498" s="2">
        <v>43.81</v>
      </c>
      <c r="J498" s="2">
        <v>68.150000000000006</v>
      </c>
      <c r="K498" s="2">
        <v>44.61</v>
      </c>
      <c r="L498" s="2">
        <v>62.48</v>
      </c>
      <c r="M498" s="2">
        <v>36.24</v>
      </c>
      <c r="N498" s="2">
        <v>53.63</v>
      </c>
      <c r="O498" s="2">
        <v>6.37</v>
      </c>
      <c r="P498" s="2">
        <v>44.73</v>
      </c>
      <c r="Q498" s="2">
        <v>-1.39</v>
      </c>
      <c r="R498" s="2">
        <v>4.72</v>
      </c>
      <c r="S498" s="2">
        <v>22.68</v>
      </c>
      <c r="T498" s="2">
        <v>18.2</v>
      </c>
      <c r="U498" s="2">
        <v>3.07</v>
      </c>
      <c r="V498" s="2">
        <v>10.92</v>
      </c>
      <c r="W498" s="2">
        <v>0</v>
      </c>
      <c r="X498" s="2">
        <v>3.4</v>
      </c>
      <c r="Y498" s="2">
        <v>3.47</v>
      </c>
      <c r="Z498" s="2">
        <v>4.3099999999999996</v>
      </c>
      <c r="AA498" s="2">
        <v>11.33</v>
      </c>
      <c r="AB498" s="2">
        <v>22.33</v>
      </c>
      <c r="AC498" s="2">
        <v>1.76</v>
      </c>
      <c r="AD498" s="2">
        <v>2.68</v>
      </c>
      <c r="AE498" s="2">
        <v>20.79</v>
      </c>
      <c r="AF498" s="2">
        <v>57.98</v>
      </c>
      <c r="AG498" s="2">
        <v>10.08</v>
      </c>
      <c r="AH498" s="4">
        <f t="shared" si="7"/>
        <v>729.13000000000011</v>
      </c>
    </row>
    <row r="499" spans="1:34" x14ac:dyDescent="0.2">
      <c r="A499" s="3">
        <v>23101</v>
      </c>
      <c r="B499" s="2">
        <v>-0.3</v>
      </c>
      <c r="C499" s="2">
        <v>18.25</v>
      </c>
      <c r="D499" s="2">
        <v>-10.87</v>
      </c>
      <c r="E499" s="2">
        <v>-42.81</v>
      </c>
      <c r="F499" s="2">
        <v>-71.27</v>
      </c>
      <c r="G499" s="2">
        <v>-4.6500000000000004</v>
      </c>
      <c r="H499" s="2">
        <v>8.52</v>
      </c>
      <c r="I499" s="2">
        <v>34.119999999999997</v>
      </c>
      <c r="J499" s="2">
        <v>-6.54</v>
      </c>
      <c r="K499" s="2">
        <v>-16.2</v>
      </c>
      <c r="L499" s="2">
        <v>-21.84</v>
      </c>
      <c r="M499" s="2">
        <v>-13.97</v>
      </c>
      <c r="N499" s="2">
        <v>25.61</v>
      </c>
      <c r="O499" s="2">
        <v>14.42</v>
      </c>
      <c r="P499" s="2">
        <v>73.38</v>
      </c>
      <c r="Q499" s="2">
        <v>1.1100000000000001</v>
      </c>
      <c r="R499" s="2">
        <v>-1.3</v>
      </c>
      <c r="S499" s="2">
        <v>13.97</v>
      </c>
      <c r="T499" s="2">
        <v>25.49</v>
      </c>
      <c r="U499" s="2">
        <v>-4.04</v>
      </c>
      <c r="V499" s="2">
        <v>21.82</v>
      </c>
      <c r="W499" s="2">
        <v>0</v>
      </c>
      <c r="X499" s="2">
        <v>4.3099999999999996</v>
      </c>
      <c r="Y499" s="2">
        <v>3.34</v>
      </c>
      <c r="Z499" s="2">
        <v>4.93</v>
      </c>
      <c r="AA499" s="2">
        <v>1.1499999999999999</v>
      </c>
      <c r="AB499" s="2">
        <v>2.58</v>
      </c>
      <c r="AC499" s="2">
        <v>2.2999999999999998</v>
      </c>
      <c r="AD499" s="2">
        <v>4.0999999999999996</v>
      </c>
      <c r="AE499" s="2">
        <v>32.909999999999997</v>
      </c>
      <c r="AF499" s="2">
        <v>68.42</v>
      </c>
      <c r="AG499" s="2">
        <v>10.69</v>
      </c>
      <c r="AH499" s="4">
        <f t="shared" si="7"/>
        <v>42.899999999999963</v>
      </c>
    </row>
    <row r="500" spans="1:34" x14ac:dyDescent="0.2">
      <c r="A500" s="3">
        <v>23131</v>
      </c>
      <c r="B500" s="2">
        <v>10.73</v>
      </c>
      <c r="C500" s="2">
        <v>28.89</v>
      </c>
      <c r="D500" s="2">
        <v>19.02</v>
      </c>
      <c r="E500" s="2">
        <v>112.93</v>
      </c>
      <c r="F500" s="2">
        <v>139.69999999999999</v>
      </c>
      <c r="G500" s="2">
        <v>42.93</v>
      </c>
      <c r="H500" s="2">
        <v>34.72</v>
      </c>
      <c r="I500" s="2">
        <v>48.22</v>
      </c>
      <c r="J500" s="2">
        <v>50.22</v>
      </c>
      <c r="K500" s="2">
        <v>23.61</v>
      </c>
      <c r="L500" s="2">
        <v>45.7</v>
      </c>
      <c r="M500" s="2">
        <v>24.4</v>
      </c>
      <c r="N500" s="2">
        <v>43.49</v>
      </c>
      <c r="O500" s="2">
        <v>7</v>
      </c>
      <c r="P500" s="2">
        <v>42.92</v>
      </c>
      <c r="Q500" s="2">
        <v>6.08</v>
      </c>
      <c r="R500" s="2">
        <v>-2.91</v>
      </c>
      <c r="S500" s="2">
        <v>29.22</v>
      </c>
      <c r="T500" s="2">
        <v>17.350000000000001</v>
      </c>
      <c r="U500" s="2">
        <v>3.8</v>
      </c>
      <c r="V500" s="2">
        <v>29.77</v>
      </c>
      <c r="W500" s="2">
        <v>0</v>
      </c>
      <c r="X500" s="2">
        <v>5.25</v>
      </c>
      <c r="Y500" s="2">
        <v>4.57</v>
      </c>
      <c r="Z500" s="2">
        <v>3.97</v>
      </c>
      <c r="AA500" s="2">
        <v>0.14000000000000001</v>
      </c>
      <c r="AB500" s="2">
        <v>2.06</v>
      </c>
      <c r="AC500" s="2">
        <v>3.93</v>
      </c>
      <c r="AD500" s="2">
        <v>6.35</v>
      </c>
      <c r="AE500" s="2">
        <v>28.71</v>
      </c>
      <c r="AF500" s="2">
        <v>84.67</v>
      </c>
      <c r="AG500" s="2">
        <v>14.64</v>
      </c>
      <c r="AH500" s="4">
        <f t="shared" si="7"/>
        <v>757.79000000000008</v>
      </c>
    </row>
    <row r="501" spans="1:34" x14ac:dyDescent="0.2">
      <c r="A501" s="3">
        <v>23162</v>
      </c>
      <c r="B501" s="2">
        <v>2.86</v>
      </c>
      <c r="C501" s="2">
        <v>13.26</v>
      </c>
      <c r="D501" s="2">
        <v>-19.91</v>
      </c>
      <c r="E501" s="2">
        <v>-81.87</v>
      </c>
      <c r="F501" s="2">
        <v>-66.11</v>
      </c>
      <c r="G501" s="2">
        <v>-29.23</v>
      </c>
      <c r="H501" s="2">
        <v>10.81</v>
      </c>
      <c r="I501" s="2">
        <v>38.200000000000003</v>
      </c>
      <c r="J501" s="2">
        <v>8.41</v>
      </c>
      <c r="K501" s="2">
        <v>-0.33</v>
      </c>
      <c r="L501" s="2">
        <v>40.159999999999997</v>
      </c>
      <c r="M501" s="2">
        <v>7.03</v>
      </c>
      <c r="N501" s="2">
        <v>23.75</v>
      </c>
      <c r="O501" s="2">
        <v>18.579999999999998</v>
      </c>
      <c r="P501" s="2">
        <v>52.64</v>
      </c>
      <c r="Q501" s="2">
        <v>8.35</v>
      </c>
      <c r="R501" s="2">
        <v>2.5</v>
      </c>
      <c r="S501" s="2">
        <v>-3.06</v>
      </c>
      <c r="T501" s="2">
        <v>23.81</v>
      </c>
      <c r="U501" s="2">
        <v>-3.15</v>
      </c>
      <c r="V501" s="2">
        <v>39.380000000000003</v>
      </c>
      <c r="W501" s="2">
        <v>4.88</v>
      </c>
      <c r="X501" s="2">
        <v>8.26</v>
      </c>
      <c r="Y501" s="2">
        <v>6.91</v>
      </c>
      <c r="Z501" s="2">
        <v>0</v>
      </c>
      <c r="AA501" s="2">
        <v>0</v>
      </c>
      <c r="AB501" s="2">
        <v>0.92</v>
      </c>
      <c r="AC501" s="2">
        <v>0</v>
      </c>
      <c r="AD501" s="2">
        <v>8.6</v>
      </c>
      <c r="AE501" s="2">
        <v>4.8499999999999996</v>
      </c>
      <c r="AF501" s="2">
        <v>95.62</v>
      </c>
      <c r="AG501" s="2">
        <v>17.690000000000001</v>
      </c>
      <c r="AH501" s="4">
        <f t="shared" si="7"/>
        <v>86.080000000000041</v>
      </c>
    </row>
    <row r="502" spans="1:34" x14ac:dyDescent="0.2">
      <c r="A502" s="3">
        <v>23192</v>
      </c>
      <c r="B502" s="2">
        <v>-2.2999999999999998</v>
      </c>
      <c r="C502" s="2">
        <v>7.5</v>
      </c>
      <c r="D502" s="2">
        <v>-24.1</v>
      </c>
      <c r="E502" s="2">
        <v>-96.76</v>
      </c>
      <c r="F502" s="2">
        <v>-81.28</v>
      </c>
      <c r="G502" s="2">
        <v>-37.97</v>
      </c>
      <c r="H502" s="2">
        <v>-7.43</v>
      </c>
      <c r="I502" s="2">
        <v>30.79</v>
      </c>
      <c r="J502" s="2">
        <v>-40.700000000000003</v>
      </c>
      <c r="K502" s="2">
        <v>-4.45</v>
      </c>
      <c r="L502" s="2">
        <v>-20.43</v>
      </c>
      <c r="M502" s="2">
        <v>2.46</v>
      </c>
      <c r="N502" s="2">
        <v>33.29</v>
      </c>
      <c r="O502" s="2">
        <v>84.65</v>
      </c>
      <c r="P502" s="2">
        <v>107.98</v>
      </c>
      <c r="Q502" s="2">
        <v>12.71</v>
      </c>
      <c r="R502" s="2">
        <v>10.45</v>
      </c>
      <c r="S502" s="2">
        <v>10.14</v>
      </c>
      <c r="T502" s="2">
        <v>73.180000000000007</v>
      </c>
      <c r="U502" s="2">
        <v>1.04</v>
      </c>
      <c r="V502" s="2">
        <v>48.78</v>
      </c>
      <c r="W502" s="2">
        <v>18.62</v>
      </c>
      <c r="X502" s="2">
        <v>13.63</v>
      </c>
      <c r="Y502" s="2">
        <v>12.98</v>
      </c>
      <c r="Z502" s="2">
        <v>0</v>
      </c>
      <c r="AA502" s="2">
        <v>0</v>
      </c>
      <c r="AB502" s="2">
        <v>4.8099999999999996</v>
      </c>
      <c r="AC502" s="2">
        <v>0.81</v>
      </c>
      <c r="AD502" s="2">
        <v>15.48</v>
      </c>
      <c r="AE502" s="2">
        <v>0.19</v>
      </c>
      <c r="AF502" s="2">
        <v>104.64</v>
      </c>
      <c r="AG502" s="2">
        <v>22.83</v>
      </c>
      <c r="AH502" s="4">
        <f t="shared" si="7"/>
        <v>107.54999999999998</v>
      </c>
    </row>
    <row r="503" spans="1:34" x14ac:dyDescent="0.2">
      <c r="A503" s="3">
        <v>23223</v>
      </c>
      <c r="B503" s="2">
        <v>-1.41</v>
      </c>
      <c r="C503" s="2">
        <v>10.72</v>
      </c>
      <c r="D503" s="2">
        <v>-16.03</v>
      </c>
      <c r="E503" s="2">
        <v>-55.4</v>
      </c>
      <c r="F503" s="2">
        <v>-19.190000000000001</v>
      </c>
      <c r="G503" s="2">
        <v>-3.5</v>
      </c>
      <c r="H503" s="2">
        <v>4.88</v>
      </c>
      <c r="I503" s="2">
        <v>30.32</v>
      </c>
      <c r="J503" s="2">
        <v>-44.37</v>
      </c>
      <c r="K503" s="2">
        <v>-14.22</v>
      </c>
      <c r="L503" s="2">
        <v>-47.57</v>
      </c>
      <c r="M503" s="2">
        <v>-12.33</v>
      </c>
      <c r="N503" s="2">
        <v>27.53</v>
      </c>
      <c r="O503" s="2">
        <v>122.36</v>
      </c>
      <c r="P503" s="2">
        <v>134.12</v>
      </c>
      <c r="Q503" s="2">
        <v>13.14</v>
      </c>
      <c r="R503" s="2">
        <v>9.1300000000000008</v>
      </c>
      <c r="S503" s="2">
        <v>27.55</v>
      </c>
      <c r="T503" s="2">
        <v>67.989999999999995</v>
      </c>
      <c r="U503" s="2">
        <v>7.76</v>
      </c>
      <c r="V503" s="2">
        <v>54.64</v>
      </c>
      <c r="W503" s="2">
        <v>30.39</v>
      </c>
      <c r="X503" s="2">
        <v>18.88</v>
      </c>
      <c r="Y503" s="2">
        <v>18.600000000000001</v>
      </c>
      <c r="Z503" s="2">
        <v>0</v>
      </c>
      <c r="AA503" s="2">
        <v>0</v>
      </c>
      <c r="AB503" s="2">
        <v>0</v>
      </c>
      <c r="AC503" s="2">
        <v>0</v>
      </c>
      <c r="AD503" s="2">
        <v>14.17</v>
      </c>
      <c r="AE503" s="2">
        <v>0</v>
      </c>
      <c r="AF503" s="2">
        <v>113.96</v>
      </c>
      <c r="AG503" s="2">
        <v>24.8</v>
      </c>
      <c r="AH503" s="4">
        <f t="shared" si="7"/>
        <v>296.11999999999995</v>
      </c>
    </row>
    <row r="504" spans="1:34" x14ac:dyDescent="0.2">
      <c r="A504" s="3">
        <v>23254</v>
      </c>
      <c r="B504" s="2">
        <v>-2.0699999999999998</v>
      </c>
      <c r="C504" s="2">
        <v>11.48</v>
      </c>
      <c r="D504" s="2">
        <v>-11.65</v>
      </c>
      <c r="E504" s="2">
        <v>-49.22</v>
      </c>
      <c r="F504" s="2">
        <v>-22.31</v>
      </c>
      <c r="G504" s="2">
        <v>7.1</v>
      </c>
      <c r="H504" s="2">
        <v>9.48</v>
      </c>
      <c r="I504" s="2">
        <v>31.08</v>
      </c>
      <c r="J504" s="2">
        <v>-20.78</v>
      </c>
      <c r="K504" s="2">
        <v>-5.96</v>
      </c>
      <c r="L504" s="2">
        <v>-27.34</v>
      </c>
      <c r="M504" s="2">
        <v>-4.21</v>
      </c>
      <c r="N504" s="2">
        <v>28.41</v>
      </c>
      <c r="O504" s="2">
        <v>95.67</v>
      </c>
      <c r="P504" s="2">
        <v>105.66</v>
      </c>
      <c r="Q504" s="2">
        <v>9.23</v>
      </c>
      <c r="R504" s="2">
        <v>10.01</v>
      </c>
      <c r="S504" s="2">
        <v>21.44</v>
      </c>
      <c r="T504" s="2">
        <v>48.28</v>
      </c>
      <c r="U504" s="2">
        <v>9.09</v>
      </c>
      <c r="V504" s="2">
        <v>49.28</v>
      </c>
      <c r="W504" s="2">
        <v>31.47</v>
      </c>
      <c r="X504" s="2">
        <v>21.21</v>
      </c>
      <c r="Y504" s="2">
        <v>21.05</v>
      </c>
      <c r="Z504" s="2">
        <v>0.48</v>
      </c>
      <c r="AA504" s="2">
        <v>1.72</v>
      </c>
      <c r="AB504" s="2">
        <v>7.96</v>
      </c>
      <c r="AC504" s="2">
        <v>4.33</v>
      </c>
      <c r="AD504" s="2">
        <v>8.15</v>
      </c>
      <c r="AE504" s="2">
        <v>0</v>
      </c>
      <c r="AF504" s="2">
        <v>115.89</v>
      </c>
      <c r="AG504" s="2">
        <v>23.65</v>
      </c>
      <c r="AH504" s="4">
        <f t="shared" si="7"/>
        <v>292.66999999999996</v>
      </c>
    </row>
    <row r="505" spans="1:34" x14ac:dyDescent="0.2">
      <c r="A505" s="3">
        <v>23284</v>
      </c>
      <c r="B505" s="2">
        <v>-2.73</v>
      </c>
      <c r="C505" s="2">
        <v>11.57</v>
      </c>
      <c r="D505" s="2">
        <v>-12.46</v>
      </c>
      <c r="E505" s="2">
        <v>-28.48</v>
      </c>
      <c r="F505" s="2">
        <v>0.85</v>
      </c>
      <c r="G505" s="2">
        <v>13.58</v>
      </c>
      <c r="H505" s="2">
        <v>19.59</v>
      </c>
      <c r="I505" s="2">
        <v>35.840000000000003</v>
      </c>
      <c r="J505" s="2">
        <v>4.58</v>
      </c>
      <c r="K505" s="2">
        <v>1.97</v>
      </c>
      <c r="L505" s="2">
        <v>-15.18</v>
      </c>
      <c r="M505" s="2">
        <v>-2.59</v>
      </c>
      <c r="N505" s="2">
        <v>31.49</v>
      </c>
      <c r="O505" s="2">
        <v>11.17</v>
      </c>
      <c r="P505" s="2">
        <v>53.28</v>
      </c>
      <c r="Q505" s="2">
        <v>8.92</v>
      </c>
      <c r="R505" s="2">
        <v>14.58</v>
      </c>
      <c r="S505" s="2">
        <v>10.82</v>
      </c>
      <c r="T505" s="2">
        <v>14.39</v>
      </c>
      <c r="U505" s="2">
        <v>8.2899999999999991</v>
      </c>
      <c r="V505" s="2">
        <v>18.829999999999998</v>
      </c>
      <c r="W505" s="2">
        <v>26.1</v>
      </c>
      <c r="X505" s="2">
        <v>20.13</v>
      </c>
      <c r="Y505" s="2">
        <v>19.78</v>
      </c>
      <c r="Z505" s="2">
        <v>8.14</v>
      </c>
      <c r="AA505" s="2">
        <v>28.96</v>
      </c>
      <c r="AB505" s="2">
        <v>4.3499999999999996</v>
      </c>
      <c r="AC505" s="2">
        <v>21.39</v>
      </c>
      <c r="AD505" s="2">
        <v>5.0999999999999996</v>
      </c>
      <c r="AE505" s="2">
        <v>2.33</v>
      </c>
      <c r="AF505" s="2">
        <v>107.95</v>
      </c>
      <c r="AG505" s="2">
        <v>20.170000000000002</v>
      </c>
      <c r="AH505" s="4">
        <f t="shared" si="7"/>
        <v>198.31</v>
      </c>
    </row>
    <row r="506" spans="1:34" x14ac:dyDescent="0.2">
      <c r="A506" s="3">
        <v>23315</v>
      </c>
      <c r="B506" s="2">
        <v>-2.5499999999999998</v>
      </c>
      <c r="C506" s="2">
        <v>11.36</v>
      </c>
      <c r="D506" s="2">
        <v>-8.8699999999999992</v>
      </c>
      <c r="E506" s="2">
        <v>-23.6</v>
      </c>
      <c r="F506" s="2">
        <v>-1</v>
      </c>
      <c r="G506" s="2">
        <v>13.52</v>
      </c>
      <c r="H506" s="2">
        <v>16.329999999999998</v>
      </c>
      <c r="I506" s="2">
        <v>32.159999999999997</v>
      </c>
      <c r="J506" s="2">
        <v>10.24</v>
      </c>
      <c r="K506" s="2">
        <v>28.17</v>
      </c>
      <c r="L506" s="2">
        <v>10.26</v>
      </c>
      <c r="M506" s="2">
        <v>10.28</v>
      </c>
      <c r="N506" s="2">
        <v>19.329999999999998</v>
      </c>
      <c r="O506" s="2">
        <v>15.05</v>
      </c>
      <c r="P506" s="2">
        <v>17.82</v>
      </c>
      <c r="Q506" s="2">
        <v>5.45</v>
      </c>
      <c r="R506" s="2">
        <v>2.77</v>
      </c>
      <c r="S506" s="2">
        <v>9.19</v>
      </c>
      <c r="T506" s="2">
        <v>22.51</v>
      </c>
      <c r="U506" s="2">
        <v>1.83</v>
      </c>
      <c r="V506" s="2">
        <v>12.79</v>
      </c>
      <c r="W506" s="2">
        <v>22.19</v>
      </c>
      <c r="X506" s="2">
        <v>18.66</v>
      </c>
      <c r="Y506" s="2">
        <v>18.28</v>
      </c>
      <c r="Z506" s="2">
        <v>6.22</v>
      </c>
      <c r="AA506" s="2">
        <v>17.350000000000001</v>
      </c>
      <c r="AB506" s="2">
        <v>0.69</v>
      </c>
      <c r="AC506" s="2">
        <v>10.97</v>
      </c>
      <c r="AD506" s="2">
        <v>2.39</v>
      </c>
      <c r="AE506" s="2">
        <v>11.56</v>
      </c>
      <c r="AF506" s="2">
        <v>97.91</v>
      </c>
      <c r="AG506" s="2">
        <v>16.420000000000002</v>
      </c>
      <c r="AH506" s="4">
        <f t="shared" si="7"/>
        <v>203.04</v>
      </c>
    </row>
    <row r="507" spans="1:34" x14ac:dyDescent="0.2">
      <c r="A507" s="3">
        <v>23345</v>
      </c>
      <c r="B507" s="2">
        <v>-0.31</v>
      </c>
      <c r="C507" s="2">
        <v>19.21</v>
      </c>
      <c r="D507" s="2">
        <v>12.01</v>
      </c>
      <c r="E507" s="2">
        <v>29.25</v>
      </c>
      <c r="F507" s="2">
        <v>42.13</v>
      </c>
      <c r="G507" s="2">
        <v>48.44</v>
      </c>
      <c r="H507" s="2">
        <v>27.94</v>
      </c>
      <c r="I507" s="2">
        <v>38.35</v>
      </c>
      <c r="J507" s="2">
        <v>30.41</v>
      </c>
      <c r="K507" s="2">
        <v>13.99</v>
      </c>
      <c r="L507" s="2">
        <v>12.26</v>
      </c>
      <c r="M507" s="2">
        <v>18.11</v>
      </c>
      <c r="N507" s="2">
        <v>25.2</v>
      </c>
      <c r="O507" s="2">
        <v>7.63</v>
      </c>
      <c r="P507" s="2">
        <v>33.270000000000003</v>
      </c>
      <c r="Q507" s="2">
        <v>2.0499999999999998</v>
      </c>
      <c r="R507" s="2">
        <v>1.93</v>
      </c>
      <c r="S507" s="2">
        <v>21.33</v>
      </c>
      <c r="T507" s="2">
        <v>14.61</v>
      </c>
      <c r="U507" s="2">
        <v>4.03</v>
      </c>
      <c r="V507" s="2">
        <v>11.04</v>
      </c>
      <c r="W507" s="2">
        <v>15.43</v>
      </c>
      <c r="X507" s="2">
        <v>12.2</v>
      </c>
      <c r="Y507" s="2">
        <v>10.82</v>
      </c>
      <c r="Z507" s="2">
        <v>0.1</v>
      </c>
      <c r="AA507" s="2">
        <v>5.45</v>
      </c>
      <c r="AB507" s="2">
        <v>0.13</v>
      </c>
      <c r="AC507" s="2">
        <v>0.22</v>
      </c>
      <c r="AD507" s="2">
        <v>1.26</v>
      </c>
      <c r="AE507" s="2">
        <v>27.69</v>
      </c>
      <c r="AF507" s="2">
        <v>64.239999999999995</v>
      </c>
      <c r="AG507" s="2">
        <v>12.92</v>
      </c>
      <c r="AH507" s="4">
        <f t="shared" si="7"/>
        <v>412.88</v>
      </c>
    </row>
    <row r="508" spans="1:34" x14ac:dyDescent="0.2">
      <c r="A508" s="3">
        <v>23376</v>
      </c>
      <c r="B508" s="2">
        <v>-0.46</v>
      </c>
      <c r="C508" s="2">
        <v>9.0299999999999994</v>
      </c>
      <c r="D508" s="2">
        <v>-11.98</v>
      </c>
      <c r="E508" s="2">
        <v>-27.03</v>
      </c>
      <c r="F508" s="2">
        <v>-25.1</v>
      </c>
      <c r="G508" s="2">
        <v>1.04</v>
      </c>
      <c r="H508" s="2">
        <v>9.09</v>
      </c>
      <c r="I508" s="2">
        <v>27.88</v>
      </c>
      <c r="J508" s="2">
        <v>3.48</v>
      </c>
      <c r="K508" s="2">
        <v>-12.4</v>
      </c>
      <c r="L508" s="2">
        <v>4.68</v>
      </c>
      <c r="M508" s="2">
        <v>-3.38</v>
      </c>
      <c r="N508" s="2">
        <v>9.2899999999999991</v>
      </c>
      <c r="O508" s="2">
        <v>7.65</v>
      </c>
      <c r="P508" s="2">
        <v>24.93</v>
      </c>
      <c r="Q508" s="2">
        <v>1.87</v>
      </c>
      <c r="R508" s="2">
        <v>4.1100000000000003</v>
      </c>
      <c r="S508" s="2">
        <v>2.06</v>
      </c>
      <c r="T508" s="2">
        <v>11.8</v>
      </c>
      <c r="U508" s="2">
        <v>3.08</v>
      </c>
      <c r="V508" s="2">
        <v>12.53</v>
      </c>
      <c r="W508" s="2">
        <v>11.73</v>
      </c>
      <c r="X508" s="2">
        <v>9.99</v>
      </c>
      <c r="Y508" s="2">
        <v>9.82</v>
      </c>
      <c r="Z508" s="2">
        <v>6.89</v>
      </c>
      <c r="AA508" s="2">
        <v>0</v>
      </c>
      <c r="AB508" s="2">
        <v>0</v>
      </c>
      <c r="AC508" s="2">
        <v>0</v>
      </c>
      <c r="AD508" s="2">
        <v>1.2</v>
      </c>
      <c r="AE508" s="2">
        <v>1.86</v>
      </c>
      <c r="AF508" s="2">
        <v>59.02</v>
      </c>
      <c r="AG508" s="2">
        <v>11.2</v>
      </c>
      <c r="AH508" s="4">
        <f t="shared" si="7"/>
        <v>52.169999999999987</v>
      </c>
    </row>
    <row r="509" spans="1:34" x14ac:dyDescent="0.2">
      <c r="A509" s="3">
        <v>23407</v>
      </c>
      <c r="B509" s="2">
        <v>-1.43</v>
      </c>
      <c r="C509" s="2">
        <v>11.6</v>
      </c>
      <c r="D509" s="2">
        <v>2.4500000000000002</v>
      </c>
      <c r="E509" s="2">
        <v>11.56</v>
      </c>
      <c r="F509" s="2">
        <v>23.61</v>
      </c>
      <c r="G509" s="2">
        <v>56.24</v>
      </c>
      <c r="H509" s="2">
        <v>15.2</v>
      </c>
      <c r="I509" s="2">
        <v>32.369999999999997</v>
      </c>
      <c r="J509" s="2">
        <v>16.010000000000002</v>
      </c>
      <c r="K509" s="2">
        <v>1.72</v>
      </c>
      <c r="L509" s="2">
        <v>-0.93</v>
      </c>
      <c r="M509" s="2">
        <v>-11.2</v>
      </c>
      <c r="N509" s="2">
        <v>17.489999999999998</v>
      </c>
      <c r="O509" s="2">
        <v>8.7100000000000009</v>
      </c>
      <c r="P509" s="2">
        <v>27.35</v>
      </c>
      <c r="Q509" s="2">
        <v>-0.01</v>
      </c>
      <c r="R509" s="2">
        <v>2.81</v>
      </c>
      <c r="S509" s="2">
        <v>2.67</v>
      </c>
      <c r="T509" s="2">
        <v>15.32</v>
      </c>
      <c r="U509" s="2">
        <v>1.36</v>
      </c>
      <c r="V509" s="2">
        <v>12.9</v>
      </c>
      <c r="W509" s="2">
        <v>4.26</v>
      </c>
      <c r="X509" s="2">
        <v>6.92</v>
      </c>
      <c r="Y509" s="2">
        <v>5.59</v>
      </c>
      <c r="Z509" s="2">
        <v>6.22</v>
      </c>
      <c r="AA509" s="2">
        <v>3.3</v>
      </c>
      <c r="AB509" s="2">
        <v>0.6</v>
      </c>
      <c r="AC509" s="2">
        <v>0</v>
      </c>
      <c r="AD509" s="2">
        <v>1.18</v>
      </c>
      <c r="AE509" s="2">
        <v>31.79</v>
      </c>
      <c r="AF509" s="2">
        <v>75.3</v>
      </c>
      <c r="AG509" s="2">
        <v>9.8800000000000008</v>
      </c>
      <c r="AH509" s="4">
        <f t="shared" si="7"/>
        <v>245.8</v>
      </c>
    </row>
    <row r="510" spans="1:34" x14ac:dyDescent="0.2">
      <c r="A510" s="3">
        <v>23436</v>
      </c>
      <c r="B510" s="2">
        <v>-1.56</v>
      </c>
      <c r="C510" s="2">
        <v>7.51</v>
      </c>
      <c r="D510" s="2">
        <v>-13.55</v>
      </c>
      <c r="E510" s="2">
        <v>-27.54</v>
      </c>
      <c r="F510" s="2">
        <v>-23.19</v>
      </c>
      <c r="G510" s="2">
        <v>-4.3499999999999996</v>
      </c>
      <c r="H510" s="2">
        <v>8.66</v>
      </c>
      <c r="I510" s="2">
        <v>26.61</v>
      </c>
      <c r="J510" s="2">
        <v>-5.53</v>
      </c>
      <c r="K510" s="2">
        <v>-12.19</v>
      </c>
      <c r="L510" s="2">
        <v>-22.15</v>
      </c>
      <c r="M510" s="2">
        <v>-14.63</v>
      </c>
      <c r="N510" s="2">
        <v>13.63</v>
      </c>
      <c r="O510" s="2">
        <v>9.06</v>
      </c>
      <c r="P510" s="2">
        <v>21.82</v>
      </c>
      <c r="Q510" s="2">
        <v>0.8</v>
      </c>
      <c r="R510" s="2">
        <v>2.98</v>
      </c>
      <c r="S510" s="2">
        <v>1.59</v>
      </c>
      <c r="T510" s="2">
        <v>14.67</v>
      </c>
      <c r="U510" s="2">
        <v>1.1399999999999999</v>
      </c>
      <c r="V510" s="2">
        <v>11.77</v>
      </c>
      <c r="W510" s="2">
        <v>0</v>
      </c>
      <c r="X510" s="2">
        <v>0.88</v>
      </c>
      <c r="Y510" s="2">
        <v>0.92</v>
      </c>
      <c r="Z510" s="2">
        <v>0.1</v>
      </c>
      <c r="AA510" s="2">
        <v>1</v>
      </c>
      <c r="AB510" s="2">
        <v>0</v>
      </c>
      <c r="AC510" s="2">
        <v>0</v>
      </c>
      <c r="AD510" s="2">
        <v>1.99</v>
      </c>
      <c r="AE510" s="2">
        <v>2.14</v>
      </c>
      <c r="AF510" s="2">
        <v>62.77</v>
      </c>
      <c r="AG510" s="2">
        <v>10.08</v>
      </c>
      <c r="AH510" s="4">
        <f t="shared" si="7"/>
        <v>-4.4499999999999993</v>
      </c>
    </row>
    <row r="511" spans="1:34" x14ac:dyDescent="0.2">
      <c r="A511" s="3">
        <v>23467</v>
      </c>
      <c r="B511" s="2">
        <v>-3.43</v>
      </c>
      <c r="C511" s="2">
        <v>7.05</v>
      </c>
      <c r="D511" s="2">
        <v>-17.03</v>
      </c>
      <c r="E511" s="2">
        <v>-42.4</v>
      </c>
      <c r="F511" s="2">
        <v>-4.16</v>
      </c>
      <c r="G511" s="2">
        <v>-4.55</v>
      </c>
      <c r="H511" s="2">
        <v>7.43</v>
      </c>
      <c r="I511" s="2">
        <v>28.07</v>
      </c>
      <c r="J511" s="2">
        <v>-2.41</v>
      </c>
      <c r="K511" s="2">
        <v>19.3</v>
      </c>
      <c r="L511" s="2">
        <v>-15.44</v>
      </c>
      <c r="M511" s="2">
        <v>-4.62</v>
      </c>
      <c r="N511" s="2">
        <v>35.479999999999997</v>
      </c>
      <c r="O511" s="2">
        <v>15.48</v>
      </c>
      <c r="P511" s="2">
        <v>67.930000000000007</v>
      </c>
      <c r="Q511" s="2">
        <v>-2.14</v>
      </c>
      <c r="R511" s="2">
        <v>1.65</v>
      </c>
      <c r="S511" s="2">
        <v>-3.46</v>
      </c>
      <c r="T511" s="2">
        <v>28.2</v>
      </c>
      <c r="U511" s="2">
        <v>-4.87</v>
      </c>
      <c r="V511" s="2">
        <v>14.07</v>
      </c>
      <c r="W511" s="2">
        <v>0</v>
      </c>
      <c r="X511" s="2">
        <v>1.33</v>
      </c>
      <c r="Y511" s="2">
        <v>0.35</v>
      </c>
      <c r="Z511" s="2">
        <v>5.41</v>
      </c>
      <c r="AA511" s="2">
        <v>3.3</v>
      </c>
      <c r="AB511" s="2">
        <v>0.09</v>
      </c>
      <c r="AC511" s="2">
        <v>1.76</v>
      </c>
      <c r="AD511" s="2">
        <v>3.32</v>
      </c>
      <c r="AE511" s="2">
        <v>10.63</v>
      </c>
      <c r="AF511" s="2">
        <v>74.069999999999993</v>
      </c>
      <c r="AG511" s="2">
        <v>10.69</v>
      </c>
      <c r="AH511" s="4">
        <f t="shared" si="7"/>
        <v>120.15000000000003</v>
      </c>
    </row>
    <row r="512" spans="1:34" x14ac:dyDescent="0.2">
      <c r="A512" s="3">
        <v>23497</v>
      </c>
      <c r="B512" s="2">
        <v>-4.1900000000000004</v>
      </c>
      <c r="C512" s="2">
        <v>8.6</v>
      </c>
      <c r="D512" s="2">
        <v>-11.44</v>
      </c>
      <c r="E512" s="2">
        <v>-23.96</v>
      </c>
      <c r="F512" s="2">
        <v>14.52</v>
      </c>
      <c r="G512" s="2">
        <v>7.01</v>
      </c>
      <c r="H512" s="2">
        <v>11.62</v>
      </c>
      <c r="I512" s="2">
        <v>34.79</v>
      </c>
      <c r="J512" s="2">
        <v>-3.46</v>
      </c>
      <c r="K512" s="2">
        <v>-4.28</v>
      </c>
      <c r="L512" s="2">
        <v>-7.03</v>
      </c>
      <c r="M512" s="2">
        <v>1.61</v>
      </c>
      <c r="N512" s="2">
        <v>21.93</v>
      </c>
      <c r="O512" s="2">
        <v>9.36</v>
      </c>
      <c r="P512" s="2">
        <v>50.79</v>
      </c>
      <c r="Q512" s="2">
        <v>-1.92</v>
      </c>
      <c r="R512" s="2">
        <v>-8.91</v>
      </c>
      <c r="S512" s="2">
        <v>3.53</v>
      </c>
      <c r="T512" s="2">
        <v>18.260000000000002</v>
      </c>
      <c r="U512" s="2">
        <v>-0.86</v>
      </c>
      <c r="V512" s="2">
        <v>13.45</v>
      </c>
      <c r="W512" s="2">
        <v>0</v>
      </c>
      <c r="X512" s="2">
        <v>1.57</v>
      </c>
      <c r="Y512" s="2">
        <v>0.87</v>
      </c>
      <c r="Z512" s="2">
        <v>0.86</v>
      </c>
      <c r="AA512" s="2">
        <v>0.56999999999999995</v>
      </c>
      <c r="AB512" s="2">
        <v>0.3</v>
      </c>
      <c r="AC512" s="2">
        <v>0.95</v>
      </c>
      <c r="AD512" s="2">
        <v>3.86</v>
      </c>
      <c r="AE512" s="2">
        <v>1.96</v>
      </c>
      <c r="AF512" s="2">
        <v>91.65</v>
      </c>
      <c r="AG512" s="2">
        <v>14.64</v>
      </c>
      <c r="AH512" s="4">
        <f t="shared" si="7"/>
        <v>129.41999999999999</v>
      </c>
    </row>
    <row r="513" spans="1:34" x14ac:dyDescent="0.2">
      <c r="A513" s="3">
        <v>23528</v>
      </c>
      <c r="B513" s="2">
        <v>-2.92</v>
      </c>
      <c r="C513" s="2">
        <v>10.07</v>
      </c>
      <c r="D513" s="2">
        <v>-8.36</v>
      </c>
      <c r="E513" s="2">
        <v>-21.84</v>
      </c>
      <c r="F513" s="2">
        <v>-4.78</v>
      </c>
      <c r="G513" s="2">
        <v>13.11</v>
      </c>
      <c r="H513" s="2">
        <v>11.67</v>
      </c>
      <c r="I513" s="2">
        <v>29.7</v>
      </c>
      <c r="J513" s="2">
        <v>-6.46</v>
      </c>
      <c r="K513" s="2">
        <v>2.54</v>
      </c>
      <c r="L513" s="2">
        <v>-3.62</v>
      </c>
      <c r="M513" s="2">
        <v>2.74</v>
      </c>
      <c r="N513" s="2">
        <v>29.4</v>
      </c>
      <c r="O513" s="2">
        <v>22.88</v>
      </c>
      <c r="P513" s="2">
        <v>66.150000000000006</v>
      </c>
      <c r="Q513" s="2">
        <v>-6.26</v>
      </c>
      <c r="R513" s="2">
        <v>0.85</v>
      </c>
      <c r="S513" s="2">
        <v>22.35</v>
      </c>
      <c r="T513" s="2">
        <v>30.66</v>
      </c>
      <c r="U513" s="2">
        <v>-3.55</v>
      </c>
      <c r="V513" s="2">
        <v>22.39</v>
      </c>
      <c r="W513" s="2">
        <v>4.88</v>
      </c>
      <c r="X513" s="2">
        <v>4.0999999999999996</v>
      </c>
      <c r="Y513" s="2">
        <v>2.74</v>
      </c>
      <c r="Z513" s="2">
        <v>1.29</v>
      </c>
      <c r="AA513" s="2">
        <v>0</v>
      </c>
      <c r="AB513" s="2">
        <v>1.51</v>
      </c>
      <c r="AC513" s="2">
        <v>2.0299999999999998</v>
      </c>
      <c r="AD513" s="2">
        <v>5.81</v>
      </c>
      <c r="AE513" s="2">
        <v>3.54</v>
      </c>
      <c r="AF513" s="2">
        <v>103.51</v>
      </c>
      <c r="AG513" s="2">
        <v>17.690000000000001</v>
      </c>
      <c r="AH513" s="4">
        <f t="shared" si="7"/>
        <v>206.71999999999997</v>
      </c>
    </row>
    <row r="514" spans="1:34" x14ac:dyDescent="0.2">
      <c r="A514" s="3">
        <v>23558</v>
      </c>
      <c r="B514" s="2">
        <v>-1.72</v>
      </c>
      <c r="C514" s="2">
        <v>11.79</v>
      </c>
      <c r="D514" s="2">
        <v>-11.31</v>
      </c>
      <c r="E514" s="2">
        <v>-28.86</v>
      </c>
      <c r="F514" s="2">
        <v>-11.17</v>
      </c>
      <c r="G514" s="2">
        <v>13.78</v>
      </c>
      <c r="H514" s="2">
        <v>10.92</v>
      </c>
      <c r="I514" s="2">
        <v>28.54</v>
      </c>
      <c r="J514" s="2">
        <v>-8.39</v>
      </c>
      <c r="K514" s="2">
        <v>8.24</v>
      </c>
      <c r="L514" s="2">
        <v>1.57</v>
      </c>
      <c r="M514" s="2">
        <v>5.81</v>
      </c>
      <c r="N514" s="2">
        <v>27.31</v>
      </c>
      <c r="O514" s="2">
        <v>96.4</v>
      </c>
      <c r="P514" s="2">
        <v>135.27000000000001</v>
      </c>
      <c r="Q514" s="2">
        <v>4.21</v>
      </c>
      <c r="R514" s="2">
        <v>2.52</v>
      </c>
      <c r="S514" s="2">
        <v>60.57</v>
      </c>
      <c r="T514" s="2">
        <v>54.38</v>
      </c>
      <c r="U514" s="2">
        <v>10.41</v>
      </c>
      <c r="V514" s="2">
        <v>68.959999999999994</v>
      </c>
      <c r="W514" s="2">
        <v>18.62</v>
      </c>
      <c r="X514" s="2">
        <v>9.07</v>
      </c>
      <c r="Y514" s="2">
        <v>8.4</v>
      </c>
      <c r="Z514" s="2">
        <v>0</v>
      </c>
      <c r="AA514" s="2">
        <v>0</v>
      </c>
      <c r="AB514" s="2">
        <v>0</v>
      </c>
      <c r="AC514" s="2">
        <v>0</v>
      </c>
      <c r="AD514" s="2">
        <v>8.99</v>
      </c>
      <c r="AE514" s="2">
        <v>5.22</v>
      </c>
      <c r="AF514" s="2">
        <v>113.28</v>
      </c>
      <c r="AG514" s="2">
        <v>22.83</v>
      </c>
      <c r="AH514" s="4">
        <f t="shared" si="7"/>
        <v>479.22999999999996</v>
      </c>
    </row>
    <row r="515" spans="1:34" x14ac:dyDescent="0.2">
      <c r="A515" s="3">
        <v>23589</v>
      </c>
      <c r="B515" s="2">
        <v>-1.78</v>
      </c>
      <c r="C515" s="2">
        <v>12.65</v>
      </c>
      <c r="D515" s="2">
        <v>-11.2</v>
      </c>
      <c r="E515" s="2">
        <v>-12.59</v>
      </c>
      <c r="F515" s="2">
        <v>-0.59</v>
      </c>
      <c r="G515" s="2">
        <v>25.49</v>
      </c>
      <c r="H515" s="2">
        <v>13.5</v>
      </c>
      <c r="I515" s="2">
        <v>34.11</v>
      </c>
      <c r="J515" s="2">
        <v>-8.44</v>
      </c>
      <c r="K515" s="2">
        <v>14.07</v>
      </c>
      <c r="L515" s="2">
        <v>1.78</v>
      </c>
      <c r="M515" s="2">
        <v>9.94</v>
      </c>
      <c r="N515" s="2">
        <v>30.99</v>
      </c>
      <c r="O515" s="2">
        <v>124.65</v>
      </c>
      <c r="P515" s="2">
        <v>159.93</v>
      </c>
      <c r="Q515" s="2">
        <v>2.97</v>
      </c>
      <c r="R515" s="2">
        <v>2.38</v>
      </c>
      <c r="S515" s="2">
        <v>66.27</v>
      </c>
      <c r="T515" s="2">
        <v>59.11</v>
      </c>
      <c r="U515" s="2">
        <v>17.41</v>
      </c>
      <c r="V515" s="2">
        <v>54.88</v>
      </c>
      <c r="W515" s="2">
        <v>30.39</v>
      </c>
      <c r="X515" s="2">
        <v>13.92</v>
      </c>
      <c r="Y515" s="2">
        <v>13.63</v>
      </c>
      <c r="Z515" s="2">
        <v>0</v>
      </c>
      <c r="AA515" s="2">
        <v>0.17</v>
      </c>
      <c r="AB515" s="2">
        <v>0.3</v>
      </c>
      <c r="AC515" s="2">
        <v>5.14</v>
      </c>
      <c r="AD515" s="2">
        <v>9.27</v>
      </c>
      <c r="AE515" s="2">
        <v>0</v>
      </c>
      <c r="AF515" s="2">
        <v>123.36</v>
      </c>
      <c r="AG515" s="2">
        <v>24.8</v>
      </c>
      <c r="AH515" s="4">
        <f t="shared" ref="AH515:AH578" si="8">SUM(B515:V515)</f>
        <v>595.53</v>
      </c>
    </row>
    <row r="516" spans="1:34" x14ac:dyDescent="0.2">
      <c r="A516" s="3">
        <v>23620</v>
      </c>
      <c r="B516" s="2">
        <v>-2.5499999999999998</v>
      </c>
      <c r="C516" s="2">
        <v>12.47</v>
      </c>
      <c r="D516" s="2">
        <v>-11.07</v>
      </c>
      <c r="E516" s="2">
        <v>-25.46</v>
      </c>
      <c r="F516" s="2">
        <v>5.33</v>
      </c>
      <c r="G516" s="2">
        <v>24.4</v>
      </c>
      <c r="H516" s="2">
        <v>11.89</v>
      </c>
      <c r="I516" s="2">
        <v>31.35</v>
      </c>
      <c r="J516" s="2">
        <v>-3.76</v>
      </c>
      <c r="K516" s="2">
        <v>3.25</v>
      </c>
      <c r="L516" s="2">
        <v>1.88</v>
      </c>
      <c r="M516" s="2">
        <v>6.41</v>
      </c>
      <c r="N516" s="2">
        <v>25.69</v>
      </c>
      <c r="O516" s="2">
        <v>93.11</v>
      </c>
      <c r="P516" s="2">
        <v>140.29</v>
      </c>
      <c r="Q516" s="2">
        <v>3.01</v>
      </c>
      <c r="R516" s="2">
        <v>-0.04</v>
      </c>
      <c r="S516" s="2">
        <v>43.76</v>
      </c>
      <c r="T516" s="2">
        <v>55.54</v>
      </c>
      <c r="U516" s="2">
        <v>11.45</v>
      </c>
      <c r="V516" s="2">
        <v>40.5</v>
      </c>
      <c r="W516" s="2">
        <v>31.47</v>
      </c>
      <c r="X516" s="2">
        <v>16.170000000000002</v>
      </c>
      <c r="Y516" s="2">
        <v>16</v>
      </c>
      <c r="Z516" s="2">
        <v>0</v>
      </c>
      <c r="AA516" s="2">
        <v>2.44</v>
      </c>
      <c r="AB516" s="2">
        <v>0.17</v>
      </c>
      <c r="AC516" s="2">
        <v>0.41</v>
      </c>
      <c r="AD516" s="2">
        <v>6.16</v>
      </c>
      <c r="AE516" s="2">
        <v>0.93</v>
      </c>
      <c r="AF516" s="2">
        <v>125.46</v>
      </c>
      <c r="AG516" s="2">
        <v>23.65</v>
      </c>
      <c r="AH516" s="4">
        <f t="shared" si="8"/>
        <v>467.45</v>
      </c>
    </row>
    <row r="517" spans="1:34" x14ac:dyDescent="0.2">
      <c r="A517" s="3">
        <v>23650</v>
      </c>
      <c r="B517" s="2">
        <v>-4.92</v>
      </c>
      <c r="C517" s="2">
        <v>11.69</v>
      </c>
      <c r="D517" s="2">
        <v>-13.1</v>
      </c>
      <c r="E517" s="2">
        <v>-19.510000000000002</v>
      </c>
      <c r="F517" s="2">
        <v>9.7799999999999994</v>
      </c>
      <c r="G517" s="2">
        <v>21.49</v>
      </c>
      <c r="H517" s="2">
        <v>18.829999999999998</v>
      </c>
      <c r="I517" s="2">
        <v>34.94</v>
      </c>
      <c r="J517" s="2">
        <v>10.17</v>
      </c>
      <c r="K517" s="2">
        <v>6.24</v>
      </c>
      <c r="L517" s="2">
        <v>-1.17</v>
      </c>
      <c r="M517" s="2">
        <v>1.57</v>
      </c>
      <c r="N517" s="2">
        <v>31.18</v>
      </c>
      <c r="O517" s="2">
        <v>12.89</v>
      </c>
      <c r="P517" s="2">
        <v>68.25</v>
      </c>
      <c r="Q517" s="2">
        <v>4.1399999999999997</v>
      </c>
      <c r="R517" s="2">
        <v>8.65</v>
      </c>
      <c r="S517" s="2">
        <v>8.23</v>
      </c>
      <c r="T517" s="2">
        <v>13.62</v>
      </c>
      <c r="U517" s="2">
        <v>3.32</v>
      </c>
      <c r="V517" s="2">
        <v>13.06</v>
      </c>
      <c r="W517" s="2">
        <v>26.1</v>
      </c>
      <c r="X517" s="2">
        <v>15.44</v>
      </c>
      <c r="Y517" s="2">
        <v>15.07</v>
      </c>
      <c r="Z517" s="2">
        <v>0</v>
      </c>
      <c r="AA517" s="2">
        <v>1</v>
      </c>
      <c r="AB517" s="2">
        <v>0</v>
      </c>
      <c r="AC517" s="2">
        <v>0</v>
      </c>
      <c r="AD517" s="2">
        <v>4.2</v>
      </c>
      <c r="AE517" s="2">
        <v>0</v>
      </c>
      <c r="AF517" s="2">
        <v>116.86</v>
      </c>
      <c r="AG517" s="2">
        <v>20.170000000000002</v>
      </c>
      <c r="AH517" s="4">
        <f t="shared" si="8"/>
        <v>239.34999999999997</v>
      </c>
    </row>
    <row r="518" spans="1:34" x14ac:dyDescent="0.2">
      <c r="A518" s="3">
        <v>23681</v>
      </c>
      <c r="B518" s="2">
        <v>-6.18</v>
      </c>
      <c r="C518" s="2">
        <v>9.48</v>
      </c>
      <c r="D518" s="2">
        <v>-13.78</v>
      </c>
      <c r="E518" s="2">
        <v>-30.33</v>
      </c>
      <c r="F518" s="2">
        <v>3.29</v>
      </c>
      <c r="G518" s="2">
        <v>15.33</v>
      </c>
      <c r="H518" s="2">
        <v>14.02</v>
      </c>
      <c r="I518" s="2">
        <v>32.06</v>
      </c>
      <c r="J518" s="2">
        <v>12.5</v>
      </c>
      <c r="K518" s="2">
        <v>23.21</v>
      </c>
      <c r="L518" s="2">
        <v>3.64</v>
      </c>
      <c r="M518" s="2">
        <v>4.3899999999999997</v>
      </c>
      <c r="N518" s="2">
        <v>22.66</v>
      </c>
      <c r="O518" s="2">
        <v>16.329999999999998</v>
      </c>
      <c r="P518" s="2">
        <v>31.88</v>
      </c>
      <c r="Q518" s="2">
        <v>1.02</v>
      </c>
      <c r="R518" s="2">
        <v>3.56</v>
      </c>
      <c r="S518" s="2">
        <v>1.64</v>
      </c>
      <c r="T518" s="2">
        <v>15.19</v>
      </c>
      <c r="U518" s="2">
        <v>0.85</v>
      </c>
      <c r="V518" s="2">
        <v>10.83</v>
      </c>
      <c r="W518" s="2">
        <v>22.19</v>
      </c>
      <c r="X518" s="2">
        <v>14.41</v>
      </c>
      <c r="Y518" s="2">
        <v>14.02</v>
      </c>
      <c r="Z518" s="2">
        <v>5.22</v>
      </c>
      <c r="AA518" s="2">
        <v>1.04</v>
      </c>
      <c r="AB518" s="2">
        <v>0.61</v>
      </c>
      <c r="AC518" s="2">
        <v>0</v>
      </c>
      <c r="AD518" s="2">
        <v>4.3899999999999997</v>
      </c>
      <c r="AE518" s="2">
        <v>8.9499999999999993</v>
      </c>
      <c r="AF518" s="2">
        <v>105.99</v>
      </c>
      <c r="AG518" s="2">
        <v>16.420000000000002</v>
      </c>
      <c r="AH518" s="4">
        <f t="shared" si="8"/>
        <v>171.59</v>
      </c>
    </row>
    <row r="519" spans="1:34" x14ac:dyDescent="0.2">
      <c r="A519" s="3">
        <v>23711</v>
      </c>
      <c r="B519" s="2">
        <v>-3.66</v>
      </c>
      <c r="C519" s="2">
        <v>19.82</v>
      </c>
      <c r="D519" s="2">
        <v>13.16</v>
      </c>
      <c r="E519" s="2">
        <v>31.02</v>
      </c>
      <c r="F519" s="2">
        <v>28.06</v>
      </c>
      <c r="G519" s="2">
        <v>37.83</v>
      </c>
      <c r="H519" s="2">
        <v>20.32</v>
      </c>
      <c r="I519" s="2">
        <v>33.39</v>
      </c>
      <c r="J519" s="2">
        <v>21.52</v>
      </c>
      <c r="K519" s="2">
        <v>11.3</v>
      </c>
      <c r="L519" s="2">
        <v>17.43</v>
      </c>
      <c r="M519" s="2">
        <v>22.13</v>
      </c>
      <c r="N519" s="2">
        <v>21.26</v>
      </c>
      <c r="O519" s="2">
        <v>8.65</v>
      </c>
      <c r="P519" s="2">
        <v>35.54</v>
      </c>
      <c r="Q519" s="2">
        <v>0.03</v>
      </c>
      <c r="R519" s="2">
        <v>1.49</v>
      </c>
      <c r="S519" s="2">
        <v>19.27</v>
      </c>
      <c r="T519" s="2">
        <v>13.84</v>
      </c>
      <c r="U519" s="2">
        <v>2.92</v>
      </c>
      <c r="V519" s="2">
        <v>13.75</v>
      </c>
      <c r="W519" s="2">
        <v>15.43</v>
      </c>
      <c r="X519" s="2">
        <v>9.39</v>
      </c>
      <c r="Y519" s="2">
        <v>8</v>
      </c>
      <c r="Z519" s="2">
        <v>1.1000000000000001</v>
      </c>
      <c r="AA519" s="2">
        <v>13.05</v>
      </c>
      <c r="AB519" s="2">
        <v>1.17</v>
      </c>
      <c r="AC519" s="2">
        <v>8.39</v>
      </c>
      <c r="AD519" s="2">
        <v>3.1</v>
      </c>
      <c r="AE519" s="2">
        <v>25.08</v>
      </c>
      <c r="AF519" s="2">
        <v>69.540000000000006</v>
      </c>
      <c r="AG519" s="2">
        <v>12.92</v>
      </c>
      <c r="AH519" s="4">
        <f t="shared" si="8"/>
        <v>369.07</v>
      </c>
    </row>
    <row r="520" spans="1:34" x14ac:dyDescent="0.2">
      <c r="A520" s="3">
        <v>23742</v>
      </c>
      <c r="B520" s="2">
        <v>7.52</v>
      </c>
      <c r="C520" s="2">
        <v>37.200000000000003</v>
      </c>
      <c r="D520" s="2">
        <v>47.57</v>
      </c>
      <c r="E520" s="2">
        <v>193.93</v>
      </c>
      <c r="F520" s="2">
        <v>294.29000000000002</v>
      </c>
      <c r="G520" s="2">
        <v>297.12</v>
      </c>
      <c r="H520" s="2">
        <v>47.66</v>
      </c>
      <c r="I520" s="2">
        <v>53.71</v>
      </c>
      <c r="J520" s="2">
        <v>115.53</v>
      </c>
      <c r="K520" s="2">
        <v>50.21</v>
      </c>
      <c r="L520" s="2">
        <v>88.03</v>
      </c>
      <c r="M520" s="2">
        <v>38.869999999999997</v>
      </c>
      <c r="N520" s="2">
        <v>74.849999999999994</v>
      </c>
      <c r="O520" s="2">
        <v>8.01</v>
      </c>
      <c r="P520" s="2">
        <v>47.03</v>
      </c>
      <c r="Q520" s="2">
        <v>0.32</v>
      </c>
      <c r="R520" s="2">
        <v>3.68</v>
      </c>
      <c r="S520" s="2">
        <v>33.22</v>
      </c>
      <c r="T520" s="2">
        <v>12.67</v>
      </c>
      <c r="U520" s="2">
        <v>3.02</v>
      </c>
      <c r="V520" s="2">
        <v>12.82</v>
      </c>
      <c r="W520" s="2">
        <v>11.73</v>
      </c>
      <c r="X520" s="2">
        <v>7.4</v>
      </c>
      <c r="Y520" s="2">
        <v>7.22</v>
      </c>
      <c r="Z520" s="2">
        <v>1.24</v>
      </c>
      <c r="AA520" s="2">
        <v>0.52</v>
      </c>
      <c r="AB520" s="2">
        <v>6.88</v>
      </c>
      <c r="AC520" s="2">
        <v>0</v>
      </c>
      <c r="AD520" s="2">
        <v>2.79</v>
      </c>
      <c r="AE520" s="2">
        <v>46.61</v>
      </c>
      <c r="AF520" s="2">
        <v>63.89</v>
      </c>
      <c r="AG520" s="2">
        <v>11.2</v>
      </c>
      <c r="AH520" s="4">
        <f t="shared" si="8"/>
        <v>1467.2599999999998</v>
      </c>
    </row>
    <row r="521" spans="1:34" x14ac:dyDescent="0.2">
      <c r="A521" s="3">
        <v>23773</v>
      </c>
      <c r="B521" s="2">
        <v>11.73</v>
      </c>
      <c r="C521" s="2">
        <v>32.67</v>
      </c>
      <c r="D521" s="2">
        <v>27.95</v>
      </c>
      <c r="E521" s="2">
        <v>89.52</v>
      </c>
      <c r="F521" s="2">
        <v>36.590000000000003</v>
      </c>
      <c r="G521" s="2">
        <v>153.57</v>
      </c>
      <c r="H521" s="2">
        <v>27.69</v>
      </c>
      <c r="I521" s="2">
        <v>51.08</v>
      </c>
      <c r="J521" s="2">
        <v>61.95</v>
      </c>
      <c r="K521" s="2">
        <v>12.9</v>
      </c>
      <c r="L521" s="2">
        <v>48.91</v>
      </c>
      <c r="M521" s="2">
        <v>25.71</v>
      </c>
      <c r="N521" s="2">
        <v>52.86</v>
      </c>
      <c r="O521" s="2">
        <v>8.57</v>
      </c>
      <c r="P521" s="2">
        <v>14.65</v>
      </c>
      <c r="Q521" s="2">
        <v>-0.79</v>
      </c>
      <c r="R521" s="2">
        <v>5.74</v>
      </c>
      <c r="S521" s="2">
        <v>-0.19</v>
      </c>
      <c r="T521" s="2">
        <v>13.66</v>
      </c>
      <c r="U521" s="2">
        <v>1.98</v>
      </c>
      <c r="V521" s="2">
        <v>15.28</v>
      </c>
      <c r="W521" s="2">
        <v>4.26</v>
      </c>
      <c r="X521" s="2">
        <v>9.32</v>
      </c>
      <c r="Y521" s="2">
        <v>8.1199999999999992</v>
      </c>
      <c r="Z521" s="2">
        <v>0.53</v>
      </c>
      <c r="AA521" s="2">
        <v>0.87</v>
      </c>
      <c r="AB521" s="2">
        <v>2.2200000000000002</v>
      </c>
      <c r="AC521" s="2">
        <v>4.5999999999999996</v>
      </c>
      <c r="AD521" s="2">
        <v>2.5499999999999998</v>
      </c>
      <c r="AE521" s="2">
        <v>19.86</v>
      </c>
      <c r="AF521" s="2">
        <v>71.25</v>
      </c>
      <c r="AG521" s="2">
        <v>9.8800000000000008</v>
      </c>
      <c r="AH521" s="4">
        <f t="shared" si="8"/>
        <v>692.03</v>
      </c>
    </row>
    <row r="522" spans="1:34" x14ac:dyDescent="0.2">
      <c r="A522" s="3">
        <v>23801</v>
      </c>
      <c r="B522" s="2">
        <v>3.73</v>
      </c>
      <c r="C522" s="2">
        <v>16</v>
      </c>
      <c r="D522" s="2">
        <v>-38.840000000000003</v>
      </c>
      <c r="E522" s="2">
        <v>-112.21</v>
      </c>
      <c r="F522" s="2">
        <v>-125.95</v>
      </c>
      <c r="G522" s="2">
        <v>-100.86</v>
      </c>
      <c r="H522" s="2">
        <v>5.0199999999999996</v>
      </c>
      <c r="I522" s="2">
        <v>35.58</v>
      </c>
      <c r="J522" s="2">
        <v>-19.59</v>
      </c>
      <c r="K522" s="2">
        <v>-28.29</v>
      </c>
      <c r="L522" s="2">
        <v>-27.12</v>
      </c>
      <c r="M522" s="2">
        <v>-21.45</v>
      </c>
      <c r="N522" s="2">
        <v>20.27</v>
      </c>
      <c r="O522" s="2">
        <v>10.119999999999999</v>
      </c>
      <c r="P522" s="2">
        <v>13.81</v>
      </c>
      <c r="Q522" s="2">
        <v>-0.47</v>
      </c>
      <c r="R522" s="2">
        <v>5.75</v>
      </c>
      <c r="S522" s="2">
        <v>-4.8899999999999997</v>
      </c>
      <c r="T522" s="2">
        <v>10.07</v>
      </c>
      <c r="U522" s="2">
        <v>6.73</v>
      </c>
      <c r="V522" s="2">
        <v>14.1</v>
      </c>
      <c r="W522" s="2">
        <v>0</v>
      </c>
      <c r="X522" s="2">
        <v>2.91</v>
      </c>
      <c r="Y522" s="2">
        <v>3.14</v>
      </c>
      <c r="Z522" s="2">
        <v>0</v>
      </c>
      <c r="AA522" s="2">
        <v>2.61</v>
      </c>
      <c r="AB522" s="2">
        <v>0</v>
      </c>
      <c r="AC522" s="2">
        <v>0.68</v>
      </c>
      <c r="AD522" s="2">
        <v>2.64</v>
      </c>
      <c r="AE522" s="2">
        <v>4.47</v>
      </c>
      <c r="AF522" s="2">
        <v>59.39</v>
      </c>
      <c r="AG522" s="2">
        <v>10.08</v>
      </c>
      <c r="AH522" s="4">
        <f t="shared" si="8"/>
        <v>-338.49</v>
      </c>
    </row>
    <row r="523" spans="1:34" x14ac:dyDescent="0.2">
      <c r="A523" s="3">
        <v>23832</v>
      </c>
      <c r="B523" s="2">
        <v>-1.74</v>
      </c>
      <c r="C523" s="2">
        <v>9.27</v>
      </c>
      <c r="D523" s="2">
        <v>-30.45</v>
      </c>
      <c r="E523" s="2">
        <v>-86.81</v>
      </c>
      <c r="F523" s="2">
        <v>-42.49</v>
      </c>
      <c r="G523" s="2">
        <v>-67.739999999999995</v>
      </c>
      <c r="H523" s="2">
        <v>-1.26</v>
      </c>
      <c r="I523" s="2">
        <v>33.01</v>
      </c>
      <c r="J523" s="2">
        <v>-14.75</v>
      </c>
      <c r="K523" s="2">
        <v>-2.2999999999999998</v>
      </c>
      <c r="L523" s="2">
        <v>-23.77</v>
      </c>
      <c r="M523" s="2">
        <v>-9.42</v>
      </c>
      <c r="N523" s="2">
        <v>45.05</v>
      </c>
      <c r="O523" s="2">
        <v>17.45</v>
      </c>
      <c r="P523" s="2">
        <v>51.92</v>
      </c>
      <c r="Q523" s="2">
        <v>3.85</v>
      </c>
      <c r="R523" s="2">
        <v>-1.82</v>
      </c>
      <c r="S523" s="2">
        <v>6.74</v>
      </c>
      <c r="T523" s="2">
        <v>27.59</v>
      </c>
      <c r="U523" s="2">
        <v>-5.46</v>
      </c>
      <c r="V523" s="2">
        <v>16.12</v>
      </c>
      <c r="W523" s="2">
        <v>0</v>
      </c>
      <c r="X523" s="2">
        <v>3.73</v>
      </c>
      <c r="Y523" s="2">
        <v>2.88</v>
      </c>
      <c r="Z523" s="2">
        <v>1.29</v>
      </c>
      <c r="AA523" s="2">
        <v>6.31</v>
      </c>
      <c r="AB523" s="2">
        <v>0.11</v>
      </c>
      <c r="AC523" s="2">
        <v>7.45</v>
      </c>
      <c r="AD523" s="2">
        <v>4.2699999999999996</v>
      </c>
      <c r="AE523" s="2">
        <v>16.22</v>
      </c>
      <c r="AF523" s="2">
        <v>70.09</v>
      </c>
      <c r="AG523" s="2">
        <v>10.69</v>
      </c>
      <c r="AH523" s="4">
        <f t="shared" si="8"/>
        <v>-77.009999999999977</v>
      </c>
    </row>
    <row r="524" spans="1:34" x14ac:dyDescent="0.2">
      <c r="A524" s="3">
        <v>23862</v>
      </c>
      <c r="B524" s="2">
        <v>1.97</v>
      </c>
      <c r="C524" s="2">
        <v>23.91</v>
      </c>
      <c r="D524" s="2">
        <v>0.14000000000000001</v>
      </c>
      <c r="E524" s="2">
        <v>28.46</v>
      </c>
      <c r="F524" s="2">
        <v>60.99</v>
      </c>
      <c r="G524" s="2">
        <v>15.67</v>
      </c>
      <c r="H524" s="2">
        <v>27.72</v>
      </c>
      <c r="I524" s="2">
        <v>48.95</v>
      </c>
      <c r="J524" s="2">
        <v>31.51</v>
      </c>
      <c r="K524" s="2">
        <v>14.71</v>
      </c>
      <c r="L524" s="2">
        <v>33.119999999999997</v>
      </c>
      <c r="M524" s="2">
        <v>20.94</v>
      </c>
      <c r="N524" s="2">
        <v>44.17</v>
      </c>
      <c r="O524" s="2">
        <v>5.31</v>
      </c>
      <c r="P524" s="2">
        <v>55.55</v>
      </c>
      <c r="Q524" s="2">
        <v>5.6</v>
      </c>
      <c r="R524" s="2">
        <v>-4.58</v>
      </c>
      <c r="S524" s="2">
        <v>27.14</v>
      </c>
      <c r="T524" s="2">
        <v>23.25</v>
      </c>
      <c r="U524" s="2">
        <v>2.73</v>
      </c>
      <c r="V524" s="2">
        <v>16.48</v>
      </c>
      <c r="W524" s="2">
        <v>0</v>
      </c>
      <c r="X524" s="2">
        <v>4.5199999999999996</v>
      </c>
      <c r="Y524" s="2">
        <v>4</v>
      </c>
      <c r="Z524" s="2">
        <v>7.27</v>
      </c>
      <c r="AA524" s="2">
        <v>12.76</v>
      </c>
      <c r="AB524" s="2">
        <v>6.44</v>
      </c>
      <c r="AC524" s="2">
        <v>13.94</v>
      </c>
      <c r="AD524" s="2">
        <v>4.93</v>
      </c>
      <c r="AE524" s="2">
        <v>17.989999999999998</v>
      </c>
      <c r="AF524" s="2">
        <v>86.72</v>
      </c>
      <c r="AG524" s="2">
        <v>14.64</v>
      </c>
      <c r="AH524" s="4">
        <f t="shared" si="8"/>
        <v>483.74000000000007</v>
      </c>
    </row>
    <row r="525" spans="1:34" x14ac:dyDescent="0.2">
      <c r="A525" s="3">
        <v>23893</v>
      </c>
      <c r="B525" s="2">
        <v>0.05</v>
      </c>
      <c r="C525" s="2">
        <v>13.58</v>
      </c>
      <c r="D525" s="2">
        <v>-9.8000000000000007</v>
      </c>
      <c r="E525" s="2">
        <v>-45.96</v>
      </c>
      <c r="F525" s="2">
        <v>-49.19</v>
      </c>
      <c r="G525" s="2">
        <v>-22.82</v>
      </c>
      <c r="H525" s="2">
        <v>2.4500000000000002</v>
      </c>
      <c r="I525" s="2">
        <v>38.07</v>
      </c>
      <c r="J525" s="2">
        <v>-22.29</v>
      </c>
      <c r="K525" s="2">
        <v>-13.45</v>
      </c>
      <c r="L525" s="2">
        <v>-19.96</v>
      </c>
      <c r="M525" s="2">
        <v>-5.38</v>
      </c>
      <c r="N525" s="2">
        <v>28.15</v>
      </c>
      <c r="O525" s="2">
        <v>19.39</v>
      </c>
      <c r="P525" s="2">
        <v>63.9</v>
      </c>
      <c r="Q525" s="2">
        <v>5.82</v>
      </c>
      <c r="R525" s="2">
        <v>8.83</v>
      </c>
      <c r="S525" s="2">
        <v>4.0199999999999996</v>
      </c>
      <c r="T525" s="2">
        <v>30.29</v>
      </c>
      <c r="U525" s="2">
        <v>-7.36</v>
      </c>
      <c r="V525" s="2">
        <v>33.18</v>
      </c>
      <c r="W525" s="2">
        <v>4.88</v>
      </c>
      <c r="X525" s="2">
        <v>7.46</v>
      </c>
      <c r="Y525" s="2">
        <v>6.27</v>
      </c>
      <c r="Z525" s="2">
        <v>0</v>
      </c>
      <c r="AA525" s="2">
        <v>0</v>
      </c>
      <c r="AB525" s="2">
        <v>0</v>
      </c>
      <c r="AC525" s="2">
        <v>1.94</v>
      </c>
      <c r="AD525" s="2">
        <v>6.91</v>
      </c>
      <c r="AE525" s="2">
        <v>0</v>
      </c>
      <c r="AF525" s="2">
        <v>97.94</v>
      </c>
      <c r="AG525" s="2">
        <v>17.690000000000001</v>
      </c>
      <c r="AH525" s="4">
        <f t="shared" si="8"/>
        <v>51.520000000000046</v>
      </c>
    </row>
    <row r="526" spans="1:34" x14ac:dyDescent="0.2">
      <c r="A526" s="3">
        <v>23923</v>
      </c>
      <c r="B526" s="2">
        <v>-1.02</v>
      </c>
      <c r="C526" s="2">
        <v>11.84</v>
      </c>
      <c r="D526" s="2">
        <v>-17.73</v>
      </c>
      <c r="E526" s="2">
        <v>-60.04</v>
      </c>
      <c r="F526" s="2">
        <v>-38.44</v>
      </c>
      <c r="G526" s="2">
        <v>-10.83</v>
      </c>
      <c r="H526" s="2">
        <v>0.72</v>
      </c>
      <c r="I526" s="2">
        <v>35.46</v>
      </c>
      <c r="J526" s="2">
        <v>-22.73</v>
      </c>
      <c r="K526" s="2">
        <v>-5.94</v>
      </c>
      <c r="L526" s="2">
        <v>4.05</v>
      </c>
      <c r="M526" s="2">
        <v>7.66</v>
      </c>
      <c r="N526" s="2">
        <v>26.64</v>
      </c>
      <c r="O526" s="2">
        <v>82.09</v>
      </c>
      <c r="P526" s="2">
        <v>123.44</v>
      </c>
      <c r="Q526" s="2">
        <v>12.77</v>
      </c>
      <c r="R526" s="2">
        <v>6.56</v>
      </c>
      <c r="S526" s="2">
        <v>28.86</v>
      </c>
      <c r="T526" s="2">
        <v>58.18</v>
      </c>
      <c r="U526" s="2">
        <v>1.1599999999999999</v>
      </c>
      <c r="V526" s="2">
        <v>64.36</v>
      </c>
      <c r="W526" s="2">
        <v>18.62</v>
      </c>
      <c r="X526" s="2">
        <v>12.74</v>
      </c>
      <c r="Y526" s="2">
        <v>12.3</v>
      </c>
      <c r="Z526" s="2">
        <v>0</v>
      </c>
      <c r="AA526" s="2">
        <v>0</v>
      </c>
      <c r="AB526" s="2">
        <v>0.78</v>
      </c>
      <c r="AC526" s="2">
        <v>0</v>
      </c>
      <c r="AD526" s="2">
        <v>8.7100000000000009</v>
      </c>
      <c r="AE526" s="2">
        <v>0</v>
      </c>
      <c r="AF526" s="2">
        <v>107.19</v>
      </c>
      <c r="AG526" s="2">
        <v>22.83</v>
      </c>
      <c r="AH526" s="4">
        <f t="shared" si="8"/>
        <v>307.06</v>
      </c>
    </row>
    <row r="527" spans="1:34" x14ac:dyDescent="0.2">
      <c r="A527" s="3">
        <v>23954</v>
      </c>
      <c r="B527" s="2">
        <v>0.01</v>
      </c>
      <c r="C527" s="2">
        <v>17.47</v>
      </c>
      <c r="D527" s="2">
        <v>-13.93</v>
      </c>
      <c r="E527" s="2">
        <v>-28.8</v>
      </c>
      <c r="F527" s="2">
        <v>-18.170000000000002</v>
      </c>
      <c r="G527" s="2">
        <v>8.5399999999999991</v>
      </c>
      <c r="H527" s="2">
        <v>5.66</v>
      </c>
      <c r="I527" s="2">
        <v>34.65</v>
      </c>
      <c r="J527" s="2">
        <v>-35.4</v>
      </c>
      <c r="K527" s="2">
        <v>-10.25</v>
      </c>
      <c r="L527" s="2">
        <v>-33.36</v>
      </c>
      <c r="M527" s="2">
        <v>-6.77</v>
      </c>
      <c r="N527" s="2">
        <v>31.69</v>
      </c>
      <c r="O527" s="2">
        <v>116.17</v>
      </c>
      <c r="P527" s="2">
        <v>143.99</v>
      </c>
      <c r="Q527" s="2">
        <v>12.6</v>
      </c>
      <c r="R527" s="2">
        <v>13.09</v>
      </c>
      <c r="S527" s="2">
        <v>32.21</v>
      </c>
      <c r="T527" s="2">
        <v>54.24</v>
      </c>
      <c r="U527" s="2">
        <v>11.37</v>
      </c>
      <c r="V527" s="2">
        <v>54.05</v>
      </c>
      <c r="W527" s="2">
        <v>30.39</v>
      </c>
      <c r="X527" s="2">
        <v>17.91</v>
      </c>
      <c r="Y527" s="2">
        <v>17.82</v>
      </c>
      <c r="Z527" s="2">
        <v>2.34</v>
      </c>
      <c r="AA527" s="2">
        <v>0</v>
      </c>
      <c r="AB527" s="2">
        <v>5.44</v>
      </c>
      <c r="AC527" s="2">
        <v>0</v>
      </c>
      <c r="AD527" s="2">
        <v>7.61</v>
      </c>
      <c r="AE527" s="2">
        <v>0</v>
      </c>
      <c r="AF527" s="2">
        <v>116.73</v>
      </c>
      <c r="AG527" s="2">
        <v>24.8</v>
      </c>
      <c r="AH527" s="4">
        <f t="shared" si="8"/>
        <v>389.06</v>
      </c>
    </row>
    <row r="528" spans="1:34" x14ac:dyDescent="0.2">
      <c r="A528" s="3">
        <v>23985</v>
      </c>
      <c r="B528" s="2">
        <v>0.38</v>
      </c>
      <c r="C528" s="2">
        <v>19.690000000000001</v>
      </c>
      <c r="D528" s="2">
        <v>-10.01</v>
      </c>
      <c r="E528" s="2">
        <v>-26.54</v>
      </c>
      <c r="F528" s="2">
        <v>-2.81</v>
      </c>
      <c r="G528" s="2">
        <v>18.59</v>
      </c>
      <c r="H528" s="2">
        <v>12.22</v>
      </c>
      <c r="I528" s="2">
        <v>33.75</v>
      </c>
      <c r="J528" s="2">
        <v>-13.2</v>
      </c>
      <c r="K528" s="2">
        <v>-7.35</v>
      </c>
      <c r="L528" s="2">
        <v>-26.46</v>
      </c>
      <c r="M528" s="2">
        <v>-2.2400000000000002</v>
      </c>
      <c r="N528" s="2">
        <v>29.71</v>
      </c>
      <c r="O528" s="2">
        <v>93.96</v>
      </c>
      <c r="P528" s="2">
        <v>129.72</v>
      </c>
      <c r="Q528" s="2">
        <v>3.64</v>
      </c>
      <c r="R528" s="2">
        <v>14.36</v>
      </c>
      <c r="S528" s="2">
        <v>21.11</v>
      </c>
      <c r="T528" s="2">
        <v>48.27</v>
      </c>
      <c r="U528" s="2">
        <v>12.37</v>
      </c>
      <c r="V528" s="2">
        <v>47.86</v>
      </c>
      <c r="W528" s="2">
        <v>31.47</v>
      </c>
      <c r="X528" s="2">
        <v>20.21</v>
      </c>
      <c r="Y528" s="2">
        <v>20.27</v>
      </c>
      <c r="Z528" s="2">
        <v>0.62</v>
      </c>
      <c r="AA528" s="2">
        <v>0</v>
      </c>
      <c r="AB528" s="2">
        <v>0.72</v>
      </c>
      <c r="AC528" s="2">
        <v>0</v>
      </c>
      <c r="AD528" s="2">
        <v>6.37</v>
      </c>
      <c r="AE528" s="2">
        <v>1.49</v>
      </c>
      <c r="AF528" s="2">
        <v>118.71</v>
      </c>
      <c r="AG528" s="2">
        <v>23.65</v>
      </c>
      <c r="AH528" s="4">
        <f t="shared" si="8"/>
        <v>397.02</v>
      </c>
    </row>
    <row r="529" spans="1:34" x14ac:dyDescent="0.2">
      <c r="A529" s="3">
        <v>24015</v>
      </c>
      <c r="B529" s="2">
        <v>-2.16</v>
      </c>
      <c r="C529" s="2">
        <v>16.68</v>
      </c>
      <c r="D529" s="2">
        <v>-12.79</v>
      </c>
      <c r="E529" s="2">
        <v>-25.36</v>
      </c>
      <c r="F529" s="2">
        <v>0.46</v>
      </c>
      <c r="G529" s="2">
        <v>15.23</v>
      </c>
      <c r="H529" s="2">
        <v>17.13</v>
      </c>
      <c r="I529" s="2">
        <v>41.39</v>
      </c>
      <c r="J529" s="2">
        <v>7.4</v>
      </c>
      <c r="K529" s="2">
        <v>-7.64</v>
      </c>
      <c r="L529" s="2">
        <v>-10.18</v>
      </c>
      <c r="M529" s="2">
        <v>4.66</v>
      </c>
      <c r="N529" s="2">
        <v>32.159999999999997</v>
      </c>
      <c r="O529" s="2">
        <v>10.62</v>
      </c>
      <c r="P529" s="2">
        <v>59.47</v>
      </c>
      <c r="Q529" s="2">
        <v>9.91</v>
      </c>
      <c r="R529" s="2">
        <v>14.84</v>
      </c>
      <c r="S529" s="2">
        <v>7.21</v>
      </c>
      <c r="T529" s="2">
        <v>14.46</v>
      </c>
      <c r="U529" s="2">
        <v>6.13</v>
      </c>
      <c r="V529" s="2">
        <v>22.27</v>
      </c>
      <c r="W529" s="2">
        <v>26.1</v>
      </c>
      <c r="X529" s="2">
        <v>19.2</v>
      </c>
      <c r="Y529" s="2">
        <v>19.03</v>
      </c>
      <c r="Z529" s="2">
        <v>0.43</v>
      </c>
      <c r="AA529" s="2">
        <v>7.17</v>
      </c>
      <c r="AB529" s="2">
        <v>0</v>
      </c>
      <c r="AC529" s="2">
        <v>0</v>
      </c>
      <c r="AD529" s="2">
        <v>4.29</v>
      </c>
      <c r="AE529" s="2">
        <v>0</v>
      </c>
      <c r="AF529" s="2">
        <v>110.57</v>
      </c>
      <c r="AG529" s="2">
        <v>20.170000000000002</v>
      </c>
      <c r="AH529" s="4">
        <f t="shared" si="8"/>
        <v>221.89000000000001</v>
      </c>
    </row>
    <row r="530" spans="1:34" x14ac:dyDescent="0.2">
      <c r="A530" s="3">
        <v>24046</v>
      </c>
      <c r="B530" s="2">
        <v>-3.15</v>
      </c>
      <c r="C530" s="2">
        <v>14.23</v>
      </c>
      <c r="D530" s="2">
        <v>-9.92</v>
      </c>
      <c r="E530" s="2">
        <v>-20.78</v>
      </c>
      <c r="F530" s="2">
        <v>-0.21</v>
      </c>
      <c r="G530" s="2">
        <v>15.57</v>
      </c>
      <c r="H530" s="2">
        <v>16.2</v>
      </c>
      <c r="I530" s="2">
        <v>44.89</v>
      </c>
      <c r="J530" s="2">
        <v>10.5</v>
      </c>
      <c r="K530" s="2">
        <v>-10.52</v>
      </c>
      <c r="L530" s="2">
        <v>14.59</v>
      </c>
      <c r="M530" s="2">
        <v>12.22</v>
      </c>
      <c r="N530" s="2">
        <v>20.74</v>
      </c>
      <c r="O530" s="2">
        <v>14.78</v>
      </c>
      <c r="P530" s="2">
        <v>46.12</v>
      </c>
      <c r="Q530" s="2">
        <v>5.93</v>
      </c>
      <c r="R530" s="2">
        <v>3.72</v>
      </c>
      <c r="S530" s="2">
        <v>-1.89</v>
      </c>
      <c r="T530" s="2">
        <v>21.75</v>
      </c>
      <c r="U530" s="2">
        <v>3.17</v>
      </c>
      <c r="V530" s="2">
        <v>22.57</v>
      </c>
      <c r="W530" s="2">
        <v>22.19</v>
      </c>
      <c r="X530" s="2">
        <v>17.809999999999999</v>
      </c>
      <c r="Y530" s="2">
        <v>17.61</v>
      </c>
      <c r="Z530" s="2">
        <v>26.9</v>
      </c>
      <c r="AA530" s="2">
        <v>0</v>
      </c>
      <c r="AB530" s="2">
        <v>0</v>
      </c>
      <c r="AC530" s="2">
        <v>0</v>
      </c>
      <c r="AD530" s="2">
        <v>2.52</v>
      </c>
      <c r="AE530" s="2">
        <v>2.33</v>
      </c>
      <c r="AF530" s="2">
        <v>100.29</v>
      </c>
      <c r="AG530" s="2">
        <v>16.420000000000002</v>
      </c>
      <c r="AH530" s="4">
        <f t="shared" si="8"/>
        <v>220.51</v>
      </c>
    </row>
    <row r="531" spans="1:34" x14ac:dyDescent="0.2">
      <c r="A531" s="3">
        <v>24076</v>
      </c>
      <c r="B531" s="2">
        <v>1.25</v>
      </c>
      <c r="C531" s="2">
        <v>22.97</v>
      </c>
      <c r="D531" s="2">
        <v>18.64</v>
      </c>
      <c r="E531" s="2">
        <v>42.23</v>
      </c>
      <c r="F531" s="2">
        <v>34.76</v>
      </c>
      <c r="G531" s="2">
        <v>58.29</v>
      </c>
      <c r="H531" s="2">
        <v>26.57</v>
      </c>
      <c r="I531" s="2">
        <v>45.35</v>
      </c>
      <c r="J531" s="2">
        <v>51.89</v>
      </c>
      <c r="K531" s="2">
        <v>81.290000000000006</v>
      </c>
      <c r="L531" s="2">
        <v>30.66</v>
      </c>
      <c r="M531" s="2">
        <v>39.979999999999997</v>
      </c>
      <c r="N531" s="2">
        <v>72.63</v>
      </c>
      <c r="O531" s="2">
        <v>9.19</v>
      </c>
      <c r="P531" s="2">
        <v>73.23</v>
      </c>
      <c r="Q531" s="2">
        <v>3.78</v>
      </c>
      <c r="R531" s="2">
        <v>4.54</v>
      </c>
      <c r="S531" s="2">
        <v>21.73</v>
      </c>
      <c r="T531" s="2">
        <v>25.38</v>
      </c>
      <c r="U531" s="2">
        <v>3.82</v>
      </c>
      <c r="V531" s="2">
        <v>18.97</v>
      </c>
      <c r="W531" s="2">
        <v>15.43</v>
      </c>
      <c r="X531" s="2">
        <v>11.7</v>
      </c>
      <c r="Y531" s="2">
        <v>10.46</v>
      </c>
      <c r="Z531" s="2">
        <v>10.15</v>
      </c>
      <c r="AA531" s="2">
        <v>35.56</v>
      </c>
      <c r="AB531" s="2">
        <v>14.12</v>
      </c>
      <c r="AC531" s="2">
        <v>31</v>
      </c>
      <c r="AD531" s="2">
        <v>1.58</v>
      </c>
      <c r="AE531" s="2">
        <v>37.1</v>
      </c>
      <c r="AF531" s="2">
        <v>65.81</v>
      </c>
      <c r="AG531" s="2">
        <v>12.92</v>
      </c>
      <c r="AH531" s="4">
        <f t="shared" si="8"/>
        <v>687.15000000000009</v>
      </c>
    </row>
    <row r="532" spans="1:34" x14ac:dyDescent="0.2">
      <c r="A532" s="3">
        <v>24107</v>
      </c>
      <c r="B532" s="2">
        <v>1.92</v>
      </c>
      <c r="C532" s="2">
        <v>13.33</v>
      </c>
      <c r="D532" s="2">
        <v>-1.1299999999999999</v>
      </c>
      <c r="E532" s="2">
        <v>-4.13</v>
      </c>
      <c r="F532" s="2">
        <v>-1.07</v>
      </c>
      <c r="G532" s="2">
        <v>35.92</v>
      </c>
      <c r="H532" s="2">
        <v>12.93</v>
      </c>
      <c r="I532" s="2">
        <v>37.25</v>
      </c>
      <c r="J532" s="2">
        <v>24.27</v>
      </c>
      <c r="K532" s="2">
        <v>-11.5</v>
      </c>
      <c r="L532" s="2">
        <v>19.66</v>
      </c>
      <c r="M532" s="2">
        <v>5.83</v>
      </c>
      <c r="N532" s="2">
        <v>22.86</v>
      </c>
      <c r="O532" s="2">
        <v>8.52</v>
      </c>
      <c r="P532" s="2">
        <v>45.74</v>
      </c>
      <c r="Q532" s="2">
        <v>2.0299999999999998</v>
      </c>
      <c r="R532" s="2">
        <v>5.71</v>
      </c>
      <c r="S532" s="2">
        <v>24.84</v>
      </c>
      <c r="T532" s="2">
        <v>15.47</v>
      </c>
      <c r="U532" s="2">
        <v>3.64</v>
      </c>
      <c r="V532" s="2">
        <v>16.940000000000001</v>
      </c>
      <c r="W532" s="2">
        <v>11.73</v>
      </c>
      <c r="X532" s="2">
        <v>9.52</v>
      </c>
      <c r="Y532" s="2">
        <v>9.49</v>
      </c>
      <c r="Z532" s="2">
        <v>0</v>
      </c>
      <c r="AA532" s="2">
        <v>22.22</v>
      </c>
      <c r="AB532" s="2">
        <v>3.85</v>
      </c>
      <c r="AC532" s="2">
        <v>23.28</v>
      </c>
      <c r="AD532" s="2">
        <v>1.91</v>
      </c>
      <c r="AE532" s="2">
        <v>29.83</v>
      </c>
      <c r="AF532" s="2">
        <v>60.46</v>
      </c>
      <c r="AG532" s="2">
        <v>11.2</v>
      </c>
      <c r="AH532" s="4">
        <f t="shared" si="8"/>
        <v>279.03000000000003</v>
      </c>
    </row>
    <row r="533" spans="1:34" x14ac:dyDescent="0.2">
      <c r="A533" s="3">
        <v>24138</v>
      </c>
      <c r="B533" s="2">
        <v>3.96</v>
      </c>
      <c r="C533" s="2">
        <v>23.44</v>
      </c>
      <c r="D533" s="2">
        <v>13.54</v>
      </c>
      <c r="E533" s="2">
        <v>46.5</v>
      </c>
      <c r="F533" s="2">
        <v>35.26</v>
      </c>
      <c r="G533" s="2">
        <v>121.35</v>
      </c>
      <c r="H533" s="2">
        <v>21.06</v>
      </c>
      <c r="I533" s="2">
        <v>39.14</v>
      </c>
      <c r="J533" s="2">
        <v>15.55</v>
      </c>
      <c r="K533" s="2">
        <v>-24.74</v>
      </c>
      <c r="L533" s="2">
        <v>-7.85</v>
      </c>
      <c r="M533" s="2">
        <v>-20.07</v>
      </c>
      <c r="N533" s="2">
        <v>23.51</v>
      </c>
      <c r="O533" s="2">
        <v>7.93</v>
      </c>
      <c r="P533" s="2">
        <v>16.87</v>
      </c>
      <c r="Q533" s="2">
        <v>3.9</v>
      </c>
      <c r="R533" s="2">
        <v>4.91</v>
      </c>
      <c r="S533" s="2">
        <v>-3.46</v>
      </c>
      <c r="T533" s="2">
        <v>8.3800000000000008</v>
      </c>
      <c r="U533" s="2">
        <v>4.24</v>
      </c>
      <c r="V533" s="2">
        <v>16.32</v>
      </c>
      <c r="W533" s="2">
        <v>4.26</v>
      </c>
      <c r="X533" s="2">
        <v>10.11</v>
      </c>
      <c r="Y533" s="2">
        <v>8.84</v>
      </c>
      <c r="Z533" s="2">
        <v>1.67</v>
      </c>
      <c r="AA533" s="2">
        <v>0.72</v>
      </c>
      <c r="AB533" s="2">
        <v>0</v>
      </c>
      <c r="AC533" s="2">
        <v>1.76</v>
      </c>
      <c r="AD533" s="2">
        <v>1.93</v>
      </c>
      <c r="AE533" s="2">
        <v>11.09</v>
      </c>
      <c r="AF533" s="2">
        <v>71.459999999999994</v>
      </c>
      <c r="AG533" s="2">
        <v>9.8800000000000008</v>
      </c>
      <c r="AH533" s="4">
        <f t="shared" si="8"/>
        <v>349.73999999999995</v>
      </c>
    </row>
    <row r="534" spans="1:34" x14ac:dyDescent="0.2">
      <c r="A534" s="3">
        <v>24166</v>
      </c>
      <c r="B534" s="2">
        <v>0.37</v>
      </c>
      <c r="C534" s="2">
        <v>21.06</v>
      </c>
      <c r="D534" s="2">
        <v>-6.65</v>
      </c>
      <c r="E534" s="2">
        <v>-29.95</v>
      </c>
      <c r="F534" s="2">
        <v>-13.23</v>
      </c>
      <c r="G534" s="2">
        <v>40.25</v>
      </c>
      <c r="H534" s="2">
        <v>7.15</v>
      </c>
      <c r="I534" s="2">
        <v>36.44</v>
      </c>
      <c r="J534" s="2">
        <v>-0.55000000000000004</v>
      </c>
      <c r="K534" s="2">
        <v>-4.99</v>
      </c>
      <c r="L534" s="2">
        <v>-13.09</v>
      </c>
      <c r="M534" s="2">
        <v>-11.75</v>
      </c>
      <c r="N534" s="2">
        <v>23.42</v>
      </c>
      <c r="O534" s="2">
        <v>8.26</v>
      </c>
      <c r="P534" s="2">
        <v>14.09</v>
      </c>
      <c r="Q534" s="2">
        <v>1.1200000000000001</v>
      </c>
      <c r="R534" s="2">
        <v>7.04</v>
      </c>
      <c r="S534" s="2">
        <v>-6.24</v>
      </c>
      <c r="T534" s="2">
        <v>9.56</v>
      </c>
      <c r="U534" s="2">
        <v>2.74</v>
      </c>
      <c r="V534" s="2">
        <v>15.86</v>
      </c>
      <c r="W534" s="2">
        <v>0</v>
      </c>
      <c r="X534" s="2">
        <v>3.53</v>
      </c>
      <c r="Y534" s="2">
        <v>3.64</v>
      </c>
      <c r="Z534" s="2">
        <v>4.21</v>
      </c>
      <c r="AA534" s="2">
        <v>3.44</v>
      </c>
      <c r="AB534" s="2">
        <v>0</v>
      </c>
      <c r="AC534" s="2">
        <v>7.04</v>
      </c>
      <c r="AD534" s="2">
        <v>1.92</v>
      </c>
      <c r="AE534" s="2">
        <v>9.14</v>
      </c>
      <c r="AF534" s="2">
        <v>59.57</v>
      </c>
      <c r="AG534" s="2">
        <v>10.08</v>
      </c>
      <c r="AH534" s="4">
        <f t="shared" si="8"/>
        <v>100.91000000000001</v>
      </c>
    </row>
    <row r="535" spans="1:34" x14ac:dyDescent="0.2">
      <c r="A535" s="3">
        <v>24197</v>
      </c>
      <c r="B535" s="2">
        <v>1.54</v>
      </c>
      <c r="C535" s="2">
        <v>17.54</v>
      </c>
      <c r="D535" s="2">
        <v>-18.25</v>
      </c>
      <c r="E535" s="2">
        <v>-27.66</v>
      </c>
      <c r="F535" s="2">
        <v>10.220000000000001</v>
      </c>
      <c r="G535" s="2">
        <v>-28.96</v>
      </c>
      <c r="H535" s="2">
        <v>12.12</v>
      </c>
      <c r="I535" s="2">
        <v>35.26</v>
      </c>
      <c r="J535" s="2">
        <v>-3.58</v>
      </c>
      <c r="K535" s="2">
        <v>-3.48</v>
      </c>
      <c r="L535" s="2">
        <v>-25.28</v>
      </c>
      <c r="M535" s="2">
        <v>-2.16</v>
      </c>
      <c r="N535" s="2">
        <v>33.99</v>
      </c>
      <c r="O535" s="2">
        <v>14.96</v>
      </c>
      <c r="P535" s="2">
        <v>61.89</v>
      </c>
      <c r="Q535" s="2">
        <v>4.3099999999999996</v>
      </c>
      <c r="R535" s="2">
        <v>11.14</v>
      </c>
      <c r="S535" s="2">
        <v>-12.51</v>
      </c>
      <c r="T535" s="2">
        <v>31.02</v>
      </c>
      <c r="U535" s="2">
        <v>-2.29</v>
      </c>
      <c r="V535" s="2">
        <v>23.86</v>
      </c>
      <c r="W535" s="2">
        <v>0</v>
      </c>
      <c r="X535" s="2">
        <v>4.46</v>
      </c>
      <c r="Y535" s="2">
        <v>3.55</v>
      </c>
      <c r="Z535" s="2">
        <v>0.56999999999999995</v>
      </c>
      <c r="AA535" s="2">
        <v>1.1499999999999999</v>
      </c>
      <c r="AB535" s="2">
        <v>0</v>
      </c>
      <c r="AC535" s="2">
        <v>5.82</v>
      </c>
      <c r="AD535" s="2">
        <v>3.6</v>
      </c>
      <c r="AE535" s="2">
        <v>3.36</v>
      </c>
      <c r="AF535" s="2">
        <v>70.290000000000006</v>
      </c>
      <c r="AG535" s="2">
        <v>10.69</v>
      </c>
      <c r="AH535" s="4">
        <f t="shared" si="8"/>
        <v>133.67999999999998</v>
      </c>
    </row>
    <row r="536" spans="1:34" x14ac:dyDescent="0.2">
      <c r="A536" s="3">
        <v>24227</v>
      </c>
      <c r="B536" s="2">
        <v>0.91</v>
      </c>
      <c r="C536" s="2">
        <v>16.21</v>
      </c>
      <c r="D536" s="2">
        <v>-15.15</v>
      </c>
      <c r="E536" s="2">
        <v>-20.03</v>
      </c>
      <c r="F536" s="2">
        <v>23.91</v>
      </c>
      <c r="G536" s="2">
        <v>-13.74</v>
      </c>
      <c r="H536" s="2">
        <v>10.6</v>
      </c>
      <c r="I536" s="2">
        <v>41.43</v>
      </c>
      <c r="J536" s="2">
        <v>-7.89</v>
      </c>
      <c r="K536" s="2">
        <v>-3.13</v>
      </c>
      <c r="L536" s="2">
        <v>-19.690000000000001</v>
      </c>
      <c r="M536" s="2">
        <v>-4.04</v>
      </c>
      <c r="N536" s="2">
        <v>45.43</v>
      </c>
      <c r="O536" s="2">
        <v>10.7</v>
      </c>
      <c r="P536" s="2">
        <v>45.67</v>
      </c>
      <c r="Q536" s="2">
        <v>-3.51</v>
      </c>
      <c r="R536" s="2">
        <v>-1.4</v>
      </c>
      <c r="S536" s="2">
        <v>5.3</v>
      </c>
      <c r="T536" s="2">
        <v>22.46</v>
      </c>
      <c r="U536" s="2">
        <v>-6.44</v>
      </c>
      <c r="V536" s="2">
        <v>22.01</v>
      </c>
      <c r="W536" s="2">
        <v>0</v>
      </c>
      <c r="X536" s="2">
        <v>5.45</v>
      </c>
      <c r="Y536" s="2">
        <v>4.83</v>
      </c>
      <c r="Z536" s="2">
        <v>0</v>
      </c>
      <c r="AA536" s="2">
        <v>0</v>
      </c>
      <c r="AB536" s="2">
        <v>0</v>
      </c>
      <c r="AC536" s="2">
        <v>0</v>
      </c>
      <c r="AD536" s="2">
        <v>4.3899999999999997</v>
      </c>
      <c r="AE536" s="2">
        <v>3.45</v>
      </c>
      <c r="AF536" s="2">
        <v>86.98</v>
      </c>
      <c r="AG536" s="2">
        <v>14.64</v>
      </c>
      <c r="AH536" s="4">
        <f t="shared" si="8"/>
        <v>149.60999999999999</v>
      </c>
    </row>
    <row r="537" spans="1:34" x14ac:dyDescent="0.2">
      <c r="A537" s="3">
        <v>24258</v>
      </c>
      <c r="B537" s="2">
        <v>-0.37</v>
      </c>
      <c r="C537" s="2">
        <v>12.03</v>
      </c>
      <c r="D537" s="2">
        <v>-8.4</v>
      </c>
      <c r="E537" s="2">
        <v>-33.159999999999997</v>
      </c>
      <c r="F537" s="2">
        <v>-31.81</v>
      </c>
      <c r="G537" s="2">
        <v>-8.77</v>
      </c>
      <c r="H537" s="2">
        <v>2.92</v>
      </c>
      <c r="I537" s="2">
        <v>30.28</v>
      </c>
      <c r="J537" s="2">
        <v>-14.69</v>
      </c>
      <c r="K537" s="2">
        <v>-12.29</v>
      </c>
      <c r="L537" s="2">
        <v>-9.82</v>
      </c>
      <c r="M537" s="2">
        <v>0.23</v>
      </c>
      <c r="N537" s="2">
        <v>29.18</v>
      </c>
      <c r="O537" s="2">
        <v>21.53</v>
      </c>
      <c r="P537" s="2">
        <v>78.64</v>
      </c>
      <c r="Q537" s="2">
        <v>0.49</v>
      </c>
      <c r="R537" s="2">
        <v>4.38</v>
      </c>
      <c r="S537" s="2">
        <v>26.04</v>
      </c>
      <c r="T537" s="2">
        <v>35.44</v>
      </c>
      <c r="U537" s="2">
        <v>-1.04</v>
      </c>
      <c r="V537" s="2">
        <v>32.15</v>
      </c>
      <c r="W537" s="2">
        <v>4.88</v>
      </c>
      <c r="X537" s="2">
        <v>8.48</v>
      </c>
      <c r="Y537" s="2">
        <v>7.22</v>
      </c>
      <c r="Z537" s="2">
        <v>0</v>
      </c>
      <c r="AA537" s="2">
        <v>0</v>
      </c>
      <c r="AB537" s="2">
        <v>1.32</v>
      </c>
      <c r="AC537" s="2">
        <v>0</v>
      </c>
      <c r="AD537" s="2">
        <v>6.4</v>
      </c>
      <c r="AE537" s="2">
        <v>0.56000000000000005</v>
      </c>
      <c r="AF537" s="2">
        <v>98.23</v>
      </c>
      <c r="AG537" s="2">
        <v>17.690000000000001</v>
      </c>
      <c r="AH537" s="4">
        <f t="shared" si="8"/>
        <v>152.96</v>
      </c>
    </row>
    <row r="538" spans="1:34" x14ac:dyDescent="0.2">
      <c r="A538" s="3">
        <v>24288</v>
      </c>
      <c r="B538" s="2">
        <v>0.16</v>
      </c>
      <c r="C538" s="2">
        <v>17.260000000000002</v>
      </c>
      <c r="D538" s="2">
        <v>-12.97</v>
      </c>
      <c r="E538" s="2">
        <v>-34.47</v>
      </c>
      <c r="F538" s="2">
        <v>-22.87</v>
      </c>
      <c r="G538" s="2">
        <v>2.35</v>
      </c>
      <c r="H538" s="2">
        <v>5.01</v>
      </c>
      <c r="I538" s="2">
        <v>30.91</v>
      </c>
      <c r="J538" s="2">
        <v>-14.65</v>
      </c>
      <c r="K538" s="2">
        <v>-8.93</v>
      </c>
      <c r="L538" s="2">
        <v>-0.66</v>
      </c>
      <c r="M538" s="2">
        <v>4.5999999999999996</v>
      </c>
      <c r="N538" s="2">
        <v>32.590000000000003</v>
      </c>
      <c r="O538" s="2">
        <v>81.96</v>
      </c>
      <c r="P538" s="2">
        <v>112.24</v>
      </c>
      <c r="Q538" s="2">
        <v>6.68</v>
      </c>
      <c r="R538" s="2">
        <v>5.71</v>
      </c>
      <c r="S538" s="2">
        <v>61.51</v>
      </c>
      <c r="T538" s="2">
        <v>76.33</v>
      </c>
      <c r="U538" s="2">
        <v>11.64</v>
      </c>
      <c r="V538" s="2">
        <v>45.57</v>
      </c>
      <c r="W538" s="2">
        <v>18.62</v>
      </c>
      <c r="X538" s="2">
        <v>13.87</v>
      </c>
      <c r="Y538" s="2">
        <v>13.3</v>
      </c>
      <c r="Z538" s="2">
        <v>0</v>
      </c>
      <c r="AA538" s="2">
        <v>0</v>
      </c>
      <c r="AB538" s="2">
        <v>0</v>
      </c>
      <c r="AC538" s="2">
        <v>0</v>
      </c>
      <c r="AD538" s="2">
        <v>9.35</v>
      </c>
      <c r="AE538" s="2">
        <v>0.19</v>
      </c>
      <c r="AF538" s="2">
        <v>107.5</v>
      </c>
      <c r="AG538" s="2">
        <v>22.83</v>
      </c>
      <c r="AH538" s="4">
        <f t="shared" si="8"/>
        <v>399.96999999999997</v>
      </c>
    </row>
    <row r="539" spans="1:34" x14ac:dyDescent="0.2">
      <c r="A539" s="3">
        <v>24319</v>
      </c>
      <c r="B539" s="2">
        <v>0.9</v>
      </c>
      <c r="C539" s="2">
        <v>20</v>
      </c>
      <c r="D539" s="2">
        <v>-11.81</v>
      </c>
      <c r="E539" s="2">
        <v>-14.14</v>
      </c>
      <c r="F539" s="2">
        <v>9.4</v>
      </c>
      <c r="G539" s="2">
        <v>20.85</v>
      </c>
      <c r="H539" s="2">
        <v>13.47</v>
      </c>
      <c r="I539" s="2">
        <v>34.380000000000003</v>
      </c>
      <c r="J539" s="2">
        <v>-11.58</v>
      </c>
      <c r="K539" s="2">
        <v>-9.01</v>
      </c>
      <c r="L539" s="2">
        <v>5.25</v>
      </c>
      <c r="M539" s="2">
        <v>7.25</v>
      </c>
      <c r="N539" s="2">
        <v>31.92</v>
      </c>
      <c r="O539" s="2">
        <v>113.94</v>
      </c>
      <c r="P539" s="2">
        <v>156.44</v>
      </c>
      <c r="Q539" s="2">
        <v>5.23</v>
      </c>
      <c r="R539" s="2">
        <v>6.12</v>
      </c>
      <c r="S539" s="2">
        <v>79.58</v>
      </c>
      <c r="T539" s="2">
        <v>63.34</v>
      </c>
      <c r="U539" s="2">
        <v>21.38</v>
      </c>
      <c r="V539" s="2">
        <v>54.94</v>
      </c>
      <c r="W539" s="2">
        <v>30.39</v>
      </c>
      <c r="X539" s="2">
        <v>19.14</v>
      </c>
      <c r="Y539" s="2">
        <v>18.96</v>
      </c>
      <c r="Z539" s="2">
        <v>0</v>
      </c>
      <c r="AA539" s="2">
        <v>2.44</v>
      </c>
      <c r="AB539" s="2">
        <v>0.16</v>
      </c>
      <c r="AC539" s="2">
        <v>0.68</v>
      </c>
      <c r="AD539" s="2">
        <v>10.4</v>
      </c>
      <c r="AE539" s="2">
        <v>1.96</v>
      </c>
      <c r="AF539" s="2">
        <v>117.07</v>
      </c>
      <c r="AG539" s="2">
        <v>24.8</v>
      </c>
      <c r="AH539" s="4">
        <f t="shared" si="8"/>
        <v>597.84999999999991</v>
      </c>
    </row>
    <row r="540" spans="1:34" x14ac:dyDescent="0.2">
      <c r="A540" s="3">
        <v>24350</v>
      </c>
      <c r="B540" s="2">
        <v>-0.44</v>
      </c>
      <c r="C540" s="2">
        <v>18.2</v>
      </c>
      <c r="D540" s="2">
        <v>-11.97</v>
      </c>
      <c r="E540" s="2">
        <v>-19.38</v>
      </c>
      <c r="F540" s="2">
        <v>7.81</v>
      </c>
      <c r="G540" s="2">
        <v>22.84</v>
      </c>
      <c r="H540" s="2">
        <v>11.47</v>
      </c>
      <c r="I540" s="2">
        <v>33</v>
      </c>
      <c r="J540" s="2">
        <v>-4.62</v>
      </c>
      <c r="K540" s="2">
        <v>-10.86</v>
      </c>
      <c r="L540" s="2">
        <v>5.46</v>
      </c>
      <c r="M540" s="2">
        <v>4.3600000000000003</v>
      </c>
      <c r="N540" s="2">
        <v>33.78</v>
      </c>
      <c r="O540" s="2">
        <v>95.77</v>
      </c>
      <c r="P540" s="2">
        <v>151.44</v>
      </c>
      <c r="Q540" s="2">
        <v>4.4400000000000004</v>
      </c>
      <c r="R540" s="2">
        <v>0.57999999999999996</v>
      </c>
      <c r="S540" s="2">
        <v>65.05</v>
      </c>
      <c r="T540" s="2">
        <v>55.64</v>
      </c>
      <c r="U540" s="2">
        <v>15.84</v>
      </c>
      <c r="V540" s="2">
        <v>46.15</v>
      </c>
      <c r="W540" s="2">
        <v>31.47</v>
      </c>
      <c r="X540" s="2">
        <v>21.48</v>
      </c>
      <c r="Y540" s="2">
        <v>21.42</v>
      </c>
      <c r="Z540" s="2">
        <v>0</v>
      </c>
      <c r="AA540" s="2">
        <v>1.43</v>
      </c>
      <c r="AB540" s="2">
        <v>0.38</v>
      </c>
      <c r="AC540" s="2">
        <v>0</v>
      </c>
      <c r="AD540" s="2">
        <v>8.33</v>
      </c>
      <c r="AE540" s="2">
        <v>0</v>
      </c>
      <c r="AF540" s="2">
        <v>119.06</v>
      </c>
      <c r="AG540" s="2">
        <v>23.65</v>
      </c>
      <c r="AH540" s="4">
        <f t="shared" si="8"/>
        <v>524.55999999999995</v>
      </c>
    </row>
    <row r="541" spans="1:34" x14ac:dyDescent="0.2">
      <c r="A541" s="3">
        <v>24380</v>
      </c>
      <c r="B541" s="2">
        <v>-3.96</v>
      </c>
      <c r="C541" s="2">
        <v>14.96</v>
      </c>
      <c r="D541" s="2">
        <v>-13.29</v>
      </c>
      <c r="E541" s="2">
        <v>-29.66</v>
      </c>
      <c r="F541" s="2">
        <v>8.86</v>
      </c>
      <c r="G541" s="2">
        <v>16.3</v>
      </c>
      <c r="H541" s="2">
        <v>15.66</v>
      </c>
      <c r="I541" s="2">
        <v>38.81</v>
      </c>
      <c r="J541" s="2">
        <v>8.41</v>
      </c>
      <c r="K541" s="2">
        <v>-7.8</v>
      </c>
      <c r="L541" s="2">
        <v>1.79</v>
      </c>
      <c r="M541" s="2">
        <v>1.54</v>
      </c>
      <c r="N541" s="2">
        <v>34.729999999999997</v>
      </c>
      <c r="O541" s="2">
        <v>13.29</v>
      </c>
      <c r="P541" s="2">
        <v>76.08</v>
      </c>
      <c r="Q541" s="2">
        <v>6.39</v>
      </c>
      <c r="R541" s="2">
        <v>11.12</v>
      </c>
      <c r="S541" s="2">
        <v>12.71</v>
      </c>
      <c r="T541" s="2">
        <v>15.37</v>
      </c>
      <c r="U541" s="2">
        <v>4.6100000000000003</v>
      </c>
      <c r="V541" s="2">
        <v>15.54</v>
      </c>
      <c r="W541" s="2">
        <v>26.1</v>
      </c>
      <c r="X541" s="2">
        <v>20.39</v>
      </c>
      <c r="Y541" s="2">
        <v>20.12</v>
      </c>
      <c r="Z541" s="2">
        <v>1.91</v>
      </c>
      <c r="AA541" s="2">
        <v>2.0099999999999998</v>
      </c>
      <c r="AB541" s="2">
        <v>0.71</v>
      </c>
      <c r="AC541" s="2">
        <v>1.35</v>
      </c>
      <c r="AD541" s="2">
        <v>4.58</v>
      </c>
      <c r="AE541" s="2">
        <v>1.77</v>
      </c>
      <c r="AF541" s="2">
        <v>110.9</v>
      </c>
      <c r="AG541" s="2">
        <v>20.170000000000002</v>
      </c>
      <c r="AH541" s="4">
        <f t="shared" si="8"/>
        <v>241.45999999999998</v>
      </c>
    </row>
    <row r="542" spans="1:34" x14ac:dyDescent="0.2">
      <c r="A542" s="3">
        <v>24411</v>
      </c>
      <c r="B542" s="2">
        <v>-4.33</v>
      </c>
      <c r="C542" s="2">
        <v>16.440000000000001</v>
      </c>
      <c r="D542" s="2">
        <v>-10.17</v>
      </c>
      <c r="E542" s="2">
        <v>-19.04</v>
      </c>
      <c r="F542" s="2">
        <v>-1.36</v>
      </c>
      <c r="G542" s="2">
        <v>15.69</v>
      </c>
      <c r="H542" s="2">
        <v>13.96</v>
      </c>
      <c r="I542" s="2">
        <v>36.26</v>
      </c>
      <c r="J542" s="2">
        <v>3.91</v>
      </c>
      <c r="K542" s="2">
        <v>-11.57</v>
      </c>
      <c r="L542" s="2">
        <v>9.1</v>
      </c>
      <c r="M542" s="2">
        <v>2.74</v>
      </c>
      <c r="N542" s="2">
        <v>26.72</v>
      </c>
      <c r="O542" s="2">
        <v>20.29</v>
      </c>
      <c r="P542" s="2">
        <v>44.6</v>
      </c>
      <c r="Q542" s="2">
        <v>3.75</v>
      </c>
      <c r="R542" s="2">
        <v>5.62</v>
      </c>
      <c r="S542" s="2">
        <v>7.46</v>
      </c>
      <c r="T542" s="2">
        <v>19.649999999999999</v>
      </c>
      <c r="U542" s="2">
        <v>2.48</v>
      </c>
      <c r="V542" s="2">
        <v>15.06</v>
      </c>
      <c r="W542" s="2">
        <v>22.19</v>
      </c>
      <c r="X542" s="2">
        <v>18.899999999999999</v>
      </c>
      <c r="Y542" s="2">
        <v>18.600000000000001</v>
      </c>
      <c r="Z542" s="2">
        <v>8.7100000000000009</v>
      </c>
      <c r="AA542" s="2">
        <v>10.47</v>
      </c>
      <c r="AB542" s="2">
        <v>0</v>
      </c>
      <c r="AC542" s="2">
        <v>1.76</v>
      </c>
      <c r="AD542" s="2">
        <v>5.1100000000000003</v>
      </c>
      <c r="AE542" s="2">
        <v>0</v>
      </c>
      <c r="AF542" s="2">
        <v>100.59</v>
      </c>
      <c r="AG542" s="2">
        <v>16.420000000000002</v>
      </c>
      <c r="AH542" s="4">
        <f t="shared" si="8"/>
        <v>197.26</v>
      </c>
    </row>
    <row r="543" spans="1:34" x14ac:dyDescent="0.2">
      <c r="A543" s="3">
        <v>24441</v>
      </c>
      <c r="B543" s="2">
        <v>1.69</v>
      </c>
      <c r="C543" s="2">
        <v>25</v>
      </c>
      <c r="D543" s="2">
        <v>25.83</v>
      </c>
      <c r="E543" s="2">
        <v>65.44</v>
      </c>
      <c r="F543" s="2">
        <v>57.9</v>
      </c>
      <c r="G543" s="2">
        <v>73.56</v>
      </c>
      <c r="H543" s="2">
        <v>32.42</v>
      </c>
      <c r="I543" s="2">
        <v>42.85</v>
      </c>
      <c r="J543" s="2">
        <v>30.09</v>
      </c>
      <c r="K543" s="2">
        <v>10.24</v>
      </c>
      <c r="L543" s="2">
        <v>14.51</v>
      </c>
      <c r="M543" s="2">
        <v>13.4</v>
      </c>
      <c r="N543" s="2">
        <v>25.75</v>
      </c>
      <c r="O543" s="2">
        <v>10.14</v>
      </c>
      <c r="P543" s="2">
        <v>37.450000000000003</v>
      </c>
      <c r="Q543" s="2">
        <v>1.32</v>
      </c>
      <c r="R543" s="2">
        <v>2.81</v>
      </c>
      <c r="S543" s="2">
        <v>11.04</v>
      </c>
      <c r="T543" s="2">
        <v>14.59</v>
      </c>
      <c r="U543" s="2">
        <v>3.15</v>
      </c>
      <c r="V543" s="2">
        <v>16.32</v>
      </c>
      <c r="W543" s="2">
        <v>15.43</v>
      </c>
      <c r="X543" s="2">
        <v>12.33</v>
      </c>
      <c r="Y543" s="2">
        <v>11.01</v>
      </c>
      <c r="Z543" s="2">
        <v>7.56</v>
      </c>
      <c r="AA543" s="2">
        <v>5.88</v>
      </c>
      <c r="AB543" s="2">
        <v>2.19</v>
      </c>
      <c r="AC543" s="2">
        <v>4.47</v>
      </c>
      <c r="AD543" s="2">
        <v>4.0999999999999996</v>
      </c>
      <c r="AE543" s="2">
        <v>28.43</v>
      </c>
      <c r="AF543" s="2">
        <v>66</v>
      </c>
      <c r="AG543" s="2">
        <v>12.92</v>
      </c>
      <c r="AH543" s="4">
        <f t="shared" si="8"/>
        <v>515.49999999999989</v>
      </c>
    </row>
    <row r="544" spans="1:34" x14ac:dyDescent="0.2">
      <c r="A544" s="3">
        <v>24472</v>
      </c>
      <c r="B544" s="2">
        <v>7.23</v>
      </c>
      <c r="C544" s="2">
        <v>24.48</v>
      </c>
      <c r="D544" s="2">
        <v>17.559999999999999</v>
      </c>
      <c r="E544" s="2">
        <v>72.56</v>
      </c>
      <c r="F544" s="2">
        <v>71.819999999999993</v>
      </c>
      <c r="G544" s="2">
        <v>134.38</v>
      </c>
      <c r="H544" s="2">
        <v>26.71</v>
      </c>
      <c r="I544" s="2">
        <v>41.03</v>
      </c>
      <c r="J544" s="2">
        <v>56.65</v>
      </c>
      <c r="K544" s="2">
        <v>41.95</v>
      </c>
      <c r="L544" s="2">
        <v>55.37</v>
      </c>
      <c r="M544" s="2">
        <v>36.28</v>
      </c>
      <c r="N544" s="2">
        <v>65.650000000000006</v>
      </c>
      <c r="O544" s="2">
        <v>9.82</v>
      </c>
      <c r="P544" s="2">
        <v>137.44999999999999</v>
      </c>
      <c r="Q544" s="2">
        <v>1.92</v>
      </c>
      <c r="R544" s="2">
        <v>8.9499999999999993</v>
      </c>
      <c r="S544" s="2">
        <v>140.43</v>
      </c>
      <c r="T544" s="2">
        <v>62.65</v>
      </c>
      <c r="U544" s="2">
        <v>5.34</v>
      </c>
      <c r="V544" s="2">
        <v>40.1</v>
      </c>
      <c r="W544" s="2">
        <v>11.73</v>
      </c>
      <c r="X544" s="2">
        <v>10.1</v>
      </c>
      <c r="Y544" s="2">
        <v>9.99</v>
      </c>
      <c r="Z544" s="2">
        <v>0</v>
      </c>
      <c r="AA544" s="2">
        <v>2.29</v>
      </c>
      <c r="AB544" s="2">
        <v>56.98</v>
      </c>
      <c r="AC544" s="2">
        <v>6.5</v>
      </c>
      <c r="AD544" s="2">
        <v>3.95</v>
      </c>
      <c r="AE544" s="2">
        <v>20.23</v>
      </c>
      <c r="AF544" s="2">
        <v>60.63</v>
      </c>
      <c r="AG544" s="2">
        <v>11.2</v>
      </c>
      <c r="AH544" s="4">
        <f t="shared" si="8"/>
        <v>1058.3299999999997</v>
      </c>
    </row>
    <row r="545" spans="1:34" x14ac:dyDescent="0.2">
      <c r="A545" s="3">
        <v>24503</v>
      </c>
      <c r="B545" s="2">
        <v>2.54</v>
      </c>
      <c r="C545" s="2">
        <v>36.270000000000003</v>
      </c>
      <c r="D545" s="2">
        <v>45.23</v>
      </c>
      <c r="E545" s="2">
        <v>93.42</v>
      </c>
      <c r="F545" s="2">
        <v>123.95</v>
      </c>
      <c r="G545" s="2">
        <v>169.04</v>
      </c>
      <c r="H545" s="2">
        <v>35.07</v>
      </c>
      <c r="I545" s="2">
        <v>48.7</v>
      </c>
      <c r="J545" s="2">
        <v>71.2</v>
      </c>
      <c r="K545" s="2">
        <v>20.73</v>
      </c>
      <c r="L545" s="2">
        <v>15.58</v>
      </c>
      <c r="M545" s="2">
        <v>4.42</v>
      </c>
      <c r="N545" s="2">
        <v>54.57</v>
      </c>
      <c r="O545" s="2">
        <v>8.65</v>
      </c>
      <c r="P545" s="2">
        <v>43.53</v>
      </c>
      <c r="Q545" s="2">
        <v>0.88</v>
      </c>
      <c r="R545" s="2">
        <v>11.41</v>
      </c>
      <c r="S545" s="2">
        <v>25.16</v>
      </c>
      <c r="T545" s="2">
        <v>74.709999999999994</v>
      </c>
      <c r="U545" s="2">
        <v>4.49</v>
      </c>
      <c r="V545" s="2">
        <v>33.44</v>
      </c>
      <c r="W545" s="2">
        <v>4.26</v>
      </c>
      <c r="X545" s="2">
        <v>9.19</v>
      </c>
      <c r="Y545" s="2">
        <v>7.94</v>
      </c>
      <c r="Z545" s="2">
        <v>6.13</v>
      </c>
      <c r="AA545" s="2">
        <v>4.7300000000000004</v>
      </c>
      <c r="AB545" s="2">
        <v>9.9600000000000009</v>
      </c>
      <c r="AC545" s="2">
        <v>8.93</v>
      </c>
      <c r="AD545" s="2">
        <v>3.74</v>
      </c>
      <c r="AE545" s="2">
        <v>45.4</v>
      </c>
      <c r="AF545" s="2">
        <v>71.25</v>
      </c>
      <c r="AG545" s="2">
        <v>9.8800000000000008</v>
      </c>
      <c r="AH545" s="4">
        <f t="shared" si="8"/>
        <v>922.99</v>
      </c>
    </row>
    <row r="546" spans="1:34" x14ac:dyDescent="0.2">
      <c r="A546" s="3">
        <v>24531</v>
      </c>
      <c r="B546" s="2">
        <v>8.35</v>
      </c>
      <c r="C546" s="2">
        <v>30.21</v>
      </c>
      <c r="D546" s="2">
        <v>-20.28</v>
      </c>
      <c r="E546" s="2">
        <v>-24.39</v>
      </c>
      <c r="F546" s="2">
        <v>-11.93</v>
      </c>
      <c r="G546" s="2">
        <v>15.61</v>
      </c>
      <c r="H546" s="2">
        <v>0.87</v>
      </c>
      <c r="I546" s="2">
        <v>35.369999999999997</v>
      </c>
      <c r="J546" s="2">
        <v>-3.96</v>
      </c>
      <c r="K546" s="2">
        <v>-13.87</v>
      </c>
      <c r="L546" s="2">
        <v>14.24</v>
      </c>
      <c r="M546" s="2">
        <v>-2.25</v>
      </c>
      <c r="N546" s="2">
        <v>41.92</v>
      </c>
      <c r="O546" s="2">
        <v>8.75</v>
      </c>
      <c r="P546" s="2">
        <v>18.98</v>
      </c>
      <c r="Q546" s="2">
        <v>5.94</v>
      </c>
      <c r="R546" s="2">
        <v>11.6</v>
      </c>
      <c r="S546" s="2">
        <v>-7.72</v>
      </c>
      <c r="T546" s="2">
        <v>17.11</v>
      </c>
      <c r="U546" s="2">
        <v>3.17</v>
      </c>
      <c r="V546" s="2">
        <v>14.55</v>
      </c>
      <c r="W546" s="2">
        <v>0</v>
      </c>
      <c r="X546" s="2">
        <v>2.79</v>
      </c>
      <c r="Y546" s="2">
        <v>2.95</v>
      </c>
      <c r="Z546" s="2">
        <v>0</v>
      </c>
      <c r="AA546" s="2">
        <v>0</v>
      </c>
      <c r="AB546" s="2">
        <v>0</v>
      </c>
      <c r="AC546" s="2">
        <v>0</v>
      </c>
      <c r="AD546" s="2">
        <v>3.48</v>
      </c>
      <c r="AE546" s="2">
        <v>1.31</v>
      </c>
      <c r="AF546" s="2">
        <v>59.39</v>
      </c>
      <c r="AG546" s="2">
        <v>10.08</v>
      </c>
      <c r="AH546" s="4">
        <f t="shared" si="8"/>
        <v>142.27000000000001</v>
      </c>
    </row>
    <row r="547" spans="1:34" x14ac:dyDescent="0.2">
      <c r="A547" s="3">
        <v>24562</v>
      </c>
      <c r="B547" s="2">
        <v>2.95</v>
      </c>
      <c r="C547" s="2">
        <v>25.25</v>
      </c>
      <c r="D547" s="2">
        <v>-8.9</v>
      </c>
      <c r="E547" s="2">
        <v>-39.14</v>
      </c>
      <c r="F547" s="2">
        <v>19.72</v>
      </c>
      <c r="G547" s="2">
        <v>23.54</v>
      </c>
      <c r="H547" s="2">
        <v>27.19</v>
      </c>
      <c r="I547" s="2">
        <v>47.8</v>
      </c>
      <c r="J547" s="2">
        <v>30.08</v>
      </c>
      <c r="K547" s="2">
        <v>9.83</v>
      </c>
      <c r="L547" s="2">
        <v>26.3</v>
      </c>
      <c r="M547" s="2">
        <v>18.22</v>
      </c>
      <c r="N547" s="2">
        <v>59.35</v>
      </c>
      <c r="O547" s="2">
        <v>18.309999999999999</v>
      </c>
      <c r="P547" s="2">
        <v>52.72</v>
      </c>
      <c r="Q547" s="2">
        <v>7.72</v>
      </c>
      <c r="R547" s="2">
        <v>8.7899999999999991</v>
      </c>
      <c r="S547" s="2">
        <v>18.940000000000001</v>
      </c>
      <c r="T547" s="2">
        <v>28.94</v>
      </c>
      <c r="U547" s="2">
        <v>0.85</v>
      </c>
      <c r="V547" s="2">
        <v>24.6</v>
      </c>
      <c r="W547" s="2">
        <v>0</v>
      </c>
      <c r="X547" s="2">
        <v>3.59</v>
      </c>
      <c r="Y547" s="2">
        <v>2.69</v>
      </c>
      <c r="Z547" s="2">
        <v>1.29</v>
      </c>
      <c r="AA547" s="2">
        <v>2.61</v>
      </c>
      <c r="AB547" s="2">
        <v>0.17</v>
      </c>
      <c r="AC547" s="2">
        <v>0.81</v>
      </c>
      <c r="AD547" s="2">
        <v>5.49</v>
      </c>
      <c r="AE547" s="2">
        <v>47.92</v>
      </c>
      <c r="AF547" s="2">
        <v>70.09</v>
      </c>
      <c r="AG547" s="2">
        <v>10.69</v>
      </c>
      <c r="AH547" s="4">
        <f t="shared" si="8"/>
        <v>403.06000000000012</v>
      </c>
    </row>
    <row r="548" spans="1:34" x14ac:dyDescent="0.2">
      <c r="A548" s="3">
        <v>24592</v>
      </c>
      <c r="B548" s="2">
        <v>7.92</v>
      </c>
      <c r="C548" s="2">
        <v>27.23</v>
      </c>
      <c r="D548" s="2">
        <v>9.82</v>
      </c>
      <c r="E548" s="2">
        <v>24.64</v>
      </c>
      <c r="F548" s="2">
        <v>-9.5</v>
      </c>
      <c r="G548" s="2">
        <v>-14.24</v>
      </c>
      <c r="H548" s="2">
        <v>22.46</v>
      </c>
      <c r="I548" s="2">
        <v>54.44</v>
      </c>
      <c r="J548" s="2">
        <v>57.72</v>
      </c>
      <c r="K548" s="2">
        <v>90.59</v>
      </c>
      <c r="L548" s="2">
        <v>53.94</v>
      </c>
      <c r="M548" s="2">
        <v>55.37</v>
      </c>
      <c r="N548" s="2">
        <v>152.31</v>
      </c>
      <c r="O548" s="2">
        <v>13.84</v>
      </c>
      <c r="P548" s="2">
        <v>146.75</v>
      </c>
      <c r="Q548" s="2">
        <v>17.170000000000002</v>
      </c>
      <c r="R548" s="2">
        <v>6.28</v>
      </c>
      <c r="S548" s="2">
        <v>86.34</v>
      </c>
      <c r="T548" s="2">
        <v>49.62</v>
      </c>
      <c r="U548" s="2">
        <v>6.09</v>
      </c>
      <c r="V548" s="2">
        <v>29.54</v>
      </c>
      <c r="W548" s="2">
        <v>0</v>
      </c>
      <c r="X548" s="2">
        <v>4.3499999999999996</v>
      </c>
      <c r="Y548" s="2">
        <v>3.77</v>
      </c>
      <c r="Z548" s="2">
        <v>8.61</v>
      </c>
      <c r="AA548" s="2">
        <v>0</v>
      </c>
      <c r="AB548" s="2">
        <v>1.73</v>
      </c>
      <c r="AC548" s="2">
        <v>7.31</v>
      </c>
      <c r="AD548" s="2">
        <v>7.48</v>
      </c>
      <c r="AE548" s="2">
        <v>36.26</v>
      </c>
      <c r="AF548" s="2">
        <v>86.72</v>
      </c>
      <c r="AG548" s="2">
        <v>14.64</v>
      </c>
      <c r="AH548" s="4">
        <f t="shared" si="8"/>
        <v>888.33</v>
      </c>
    </row>
    <row r="549" spans="1:34" x14ac:dyDescent="0.2">
      <c r="A549" s="3">
        <v>24623</v>
      </c>
      <c r="B549" s="2">
        <v>6.83</v>
      </c>
      <c r="C549" s="2">
        <v>21.65</v>
      </c>
      <c r="D549" s="2">
        <v>-12.62</v>
      </c>
      <c r="E549" s="2">
        <v>-10.119999999999999</v>
      </c>
      <c r="F549" s="2">
        <v>40.799999999999997</v>
      </c>
      <c r="G549" s="2">
        <v>-7.61</v>
      </c>
      <c r="H549" s="2">
        <v>18.850000000000001</v>
      </c>
      <c r="I549" s="2">
        <v>43.9</v>
      </c>
      <c r="J549" s="2">
        <v>14.34</v>
      </c>
      <c r="K549" s="2">
        <v>22.04</v>
      </c>
      <c r="L549" s="2">
        <v>22.35</v>
      </c>
      <c r="M549" s="2">
        <v>12.66</v>
      </c>
      <c r="N549" s="2">
        <v>64.52</v>
      </c>
      <c r="O549" s="2">
        <v>26.67</v>
      </c>
      <c r="P549" s="2">
        <v>163.19</v>
      </c>
      <c r="Q549" s="2">
        <v>25.01</v>
      </c>
      <c r="R549" s="2">
        <v>20.440000000000001</v>
      </c>
      <c r="S549" s="2">
        <v>34.630000000000003</v>
      </c>
      <c r="T549" s="2">
        <v>53.71</v>
      </c>
      <c r="U549" s="2">
        <v>-0.77</v>
      </c>
      <c r="V549" s="2">
        <v>42.46</v>
      </c>
      <c r="W549" s="2">
        <v>4.88</v>
      </c>
      <c r="X549" s="2">
        <v>7.26</v>
      </c>
      <c r="Y549" s="2">
        <v>6.01</v>
      </c>
      <c r="Z549" s="2">
        <v>0</v>
      </c>
      <c r="AA549" s="2">
        <v>0</v>
      </c>
      <c r="AB549" s="2">
        <v>0.69</v>
      </c>
      <c r="AC549" s="2">
        <v>0</v>
      </c>
      <c r="AD549" s="2">
        <v>12</v>
      </c>
      <c r="AE549" s="2">
        <v>0.28000000000000003</v>
      </c>
      <c r="AF549" s="2">
        <v>97.94</v>
      </c>
      <c r="AG549" s="2">
        <v>17.690000000000001</v>
      </c>
      <c r="AH549" s="4">
        <f t="shared" si="8"/>
        <v>602.93000000000006</v>
      </c>
    </row>
    <row r="550" spans="1:34" x14ac:dyDescent="0.2">
      <c r="A550" s="3">
        <v>24653</v>
      </c>
      <c r="B550" s="2">
        <v>2.65</v>
      </c>
      <c r="C550" s="2">
        <v>22.3</v>
      </c>
      <c r="D550" s="2">
        <v>-20.12</v>
      </c>
      <c r="E550" s="2">
        <v>-50.58</v>
      </c>
      <c r="F550" s="2">
        <v>-31.67</v>
      </c>
      <c r="G550" s="2">
        <v>-12.64</v>
      </c>
      <c r="H550" s="2">
        <v>7.99</v>
      </c>
      <c r="I550" s="2">
        <v>37.79</v>
      </c>
      <c r="J550" s="2">
        <v>-6.31</v>
      </c>
      <c r="K550" s="2">
        <v>-18.579999999999998</v>
      </c>
      <c r="L550" s="2">
        <v>32.71</v>
      </c>
      <c r="M550" s="2">
        <v>22</v>
      </c>
      <c r="N550" s="2">
        <v>34.409999999999997</v>
      </c>
      <c r="O550" s="2">
        <v>70.760000000000005</v>
      </c>
      <c r="P550" s="2">
        <v>144.93</v>
      </c>
      <c r="Q550" s="2">
        <v>21.94</v>
      </c>
      <c r="R550" s="2">
        <v>20.92</v>
      </c>
      <c r="S550" s="2">
        <v>31.94</v>
      </c>
      <c r="T550" s="2">
        <v>118.76</v>
      </c>
      <c r="U550" s="2">
        <v>-2.5099999999999998</v>
      </c>
      <c r="V550" s="2">
        <v>50.41</v>
      </c>
      <c r="W550" s="2">
        <v>18.62</v>
      </c>
      <c r="X550" s="2">
        <v>12.53</v>
      </c>
      <c r="Y550" s="2">
        <v>12</v>
      </c>
      <c r="Z550" s="2">
        <v>0.1</v>
      </c>
      <c r="AA550" s="2">
        <v>0</v>
      </c>
      <c r="AB550" s="2">
        <v>0.4</v>
      </c>
      <c r="AC550" s="2">
        <v>0</v>
      </c>
      <c r="AD550" s="2">
        <v>11.95</v>
      </c>
      <c r="AE550" s="2">
        <v>2.89</v>
      </c>
      <c r="AF550" s="2">
        <v>107.19</v>
      </c>
      <c r="AG550" s="2">
        <v>22.83</v>
      </c>
      <c r="AH550" s="4">
        <f t="shared" si="8"/>
        <v>477.1</v>
      </c>
    </row>
    <row r="551" spans="1:34" x14ac:dyDescent="0.2">
      <c r="A551" s="3">
        <v>24684</v>
      </c>
      <c r="B551" s="2">
        <v>0.28999999999999998</v>
      </c>
      <c r="C551" s="2">
        <v>20.02</v>
      </c>
      <c r="D551" s="2">
        <v>-20.23</v>
      </c>
      <c r="E551" s="2">
        <v>-53.82</v>
      </c>
      <c r="F551" s="2">
        <v>-55.1</v>
      </c>
      <c r="G551" s="2">
        <v>-17.86</v>
      </c>
      <c r="H551" s="2">
        <v>-7.04</v>
      </c>
      <c r="I551" s="2">
        <v>35.619999999999997</v>
      </c>
      <c r="J551" s="2">
        <v>-46.91</v>
      </c>
      <c r="K551" s="2">
        <v>-59.95</v>
      </c>
      <c r="L551" s="2">
        <v>-44.14</v>
      </c>
      <c r="M551" s="2">
        <v>-11.34</v>
      </c>
      <c r="N551" s="2">
        <v>0.1</v>
      </c>
      <c r="O551" s="2">
        <v>120.77</v>
      </c>
      <c r="P551" s="2">
        <v>127.63</v>
      </c>
      <c r="Q551" s="2">
        <v>17.86</v>
      </c>
      <c r="R551" s="2">
        <v>23.56</v>
      </c>
      <c r="S551" s="2">
        <v>32.36</v>
      </c>
      <c r="T551" s="2">
        <v>71.56</v>
      </c>
      <c r="U551" s="2">
        <v>5.35</v>
      </c>
      <c r="V551" s="2">
        <v>52.57</v>
      </c>
      <c r="W551" s="2">
        <v>30.39</v>
      </c>
      <c r="X551" s="2">
        <v>17.690000000000001</v>
      </c>
      <c r="Y551" s="2">
        <v>17.510000000000002</v>
      </c>
      <c r="Z551" s="2">
        <v>0</v>
      </c>
      <c r="AA551" s="2">
        <v>0</v>
      </c>
      <c r="AB551" s="2">
        <v>0.06</v>
      </c>
      <c r="AC551" s="2">
        <v>5.55</v>
      </c>
      <c r="AD551" s="2">
        <v>9.75</v>
      </c>
      <c r="AE551" s="2">
        <v>0</v>
      </c>
      <c r="AF551" s="2">
        <v>116.73</v>
      </c>
      <c r="AG551" s="2">
        <v>24.8</v>
      </c>
      <c r="AH551" s="4">
        <f t="shared" si="8"/>
        <v>191.3</v>
      </c>
    </row>
    <row r="552" spans="1:34" x14ac:dyDescent="0.2">
      <c r="A552" s="3">
        <v>24715</v>
      </c>
      <c r="B552" s="2">
        <v>-0.64</v>
      </c>
      <c r="C552" s="2">
        <v>20.16</v>
      </c>
      <c r="D552" s="2">
        <v>-12.52</v>
      </c>
      <c r="E552" s="2">
        <v>-37.26</v>
      </c>
      <c r="F552" s="2">
        <v>-17.79</v>
      </c>
      <c r="G552" s="2">
        <v>3.67</v>
      </c>
      <c r="H552" s="2">
        <v>3.27</v>
      </c>
      <c r="I552" s="2">
        <v>35.590000000000003</v>
      </c>
      <c r="J552" s="2">
        <v>-50.37</v>
      </c>
      <c r="K552" s="2">
        <v>-58.04</v>
      </c>
      <c r="L552" s="2">
        <v>-67.95</v>
      </c>
      <c r="M552" s="2">
        <v>-37.1</v>
      </c>
      <c r="N552" s="2">
        <v>8.7899999999999991</v>
      </c>
      <c r="O552" s="2">
        <v>97.97</v>
      </c>
      <c r="P552" s="2">
        <v>85.45</v>
      </c>
      <c r="Q552" s="2">
        <v>14.06</v>
      </c>
      <c r="R552" s="2">
        <v>10.6</v>
      </c>
      <c r="S552" s="2">
        <v>25.72</v>
      </c>
      <c r="T552" s="2">
        <v>100.14</v>
      </c>
      <c r="U552" s="2">
        <v>9.68</v>
      </c>
      <c r="V552" s="2">
        <v>59.09</v>
      </c>
      <c r="W552" s="2">
        <v>31.47</v>
      </c>
      <c r="X552" s="2">
        <v>19.98</v>
      </c>
      <c r="Y552" s="2">
        <v>19.95</v>
      </c>
      <c r="Z552" s="2">
        <v>1.34</v>
      </c>
      <c r="AA552" s="2">
        <v>18.21</v>
      </c>
      <c r="AB552" s="2">
        <v>1.04</v>
      </c>
      <c r="AC552" s="2">
        <v>0.54</v>
      </c>
      <c r="AD552" s="2">
        <v>8.0500000000000007</v>
      </c>
      <c r="AE552" s="2">
        <v>0</v>
      </c>
      <c r="AF552" s="2">
        <v>118.71</v>
      </c>
      <c r="AG552" s="2">
        <v>23.65</v>
      </c>
      <c r="AH552" s="4">
        <f t="shared" si="8"/>
        <v>192.52</v>
      </c>
    </row>
    <row r="553" spans="1:34" x14ac:dyDescent="0.2">
      <c r="A553" s="3">
        <v>24745</v>
      </c>
      <c r="B553" s="2">
        <v>-1.83</v>
      </c>
      <c r="C553" s="2">
        <v>19.97</v>
      </c>
      <c r="D553" s="2">
        <v>-12.77</v>
      </c>
      <c r="E553" s="2">
        <v>-17.829999999999998</v>
      </c>
      <c r="F553" s="2">
        <v>-0.12</v>
      </c>
      <c r="G553" s="2">
        <v>11.3</v>
      </c>
      <c r="H553" s="2">
        <v>15.79</v>
      </c>
      <c r="I553" s="2">
        <v>48.81</v>
      </c>
      <c r="J553" s="2">
        <v>-12.8</v>
      </c>
      <c r="K553" s="2">
        <v>-19.64</v>
      </c>
      <c r="L553" s="2">
        <v>-30.66</v>
      </c>
      <c r="M553" s="2">
        <v>-9.93</v>
      </c>
      <c r="N553" s="2">
        <v>34.69</v>
      </c>
      <c r="O553" s="2">
        <v>14.15</v>
      </c>
      <c r="P553" s="2">
        <v>24.61</v>
      </c>
      <c r="Q553" s="2">
        <v>13.73</v>
      </c>
      <c r="R553" s="2">
        <v>3.33</v>
      </c>
      <c r="S553" s="2">
        <v>18.75</v>
      </c>
      <c r="T553" s="2">
        <v>24.69</v>
      </c>
      <c r="U553" s="2">
        <v>13.64</v>
      </c>
      <c r="V553" s="2">
        <v>29.88</v>
      </c>
      <c r="W553" s="2">
        <v>26.1</v>
      </c>
      <c r="X553" s="2">
        <v>18.989999999999998</v>
      </c>
      <c r="Y553" s="2">
        <v>18.739999999999998</v>
      </c>
      <c r="Z553" s="2">
        <v>2.0099999999999998</v>
      </c>
      <c r="AA553" s="2">
        <v>11.76</v>
      </c>
      <c r="AB553" s="2">
        <v>1.9</v>
      </c>
      <c r="AC553" s="2">
        <v>17.190000000000001</v>
      </c>
      <c r="AD553" s="2">
        <v>5.4</v>
      </c>
      <c r="AE553" s="2">
        <v>0.19</v>
      </c>
      <c r="AF553" s="2">
        <v>110.57</v>
      </c>
      <c r="AG553" s="2">
        <v>20.170000000000002</v>
      </c>
      <c r="AH553" s="4">
        <f t="shared" si="8"/>
        <v>167.76</v>
      </c>
    </row>
    <row r="554" spans="1:34" x14ac:dyDescent="0.2">
      <c r="A554" s="3">
        <v>24776</v>
      </c>
      <c r="B554" s="2">
        <v>-1.59</v>
      </c>
      <c r="C554" s="2">
        <v>19.510000000000002</v>
      </c>
      <c r="D554" s="2">
        <v>-8.18</v>
      </c>
      <c r="E554" s="2">
        <v>-19.88</v>
      </c>
      <c r="F554" s="2">
        <v>-1.1599999999999999</v>
      </c>
      <c r="G554" s="2">
        <v>11.54</v>
      </c>
      <c r="H554" s="2">
        <v>15.25</v>
      </c>
      <c r="I554" s="2">
        <v>46.7</v>
      </c>
      <c r="J554" s="2">
        <v>-1.89</v>
      </c>
      <c r="K554" s="2">
        <v>-11.09</v>
      </c>
      <c r="L554" s="2">
        <v>-6.22</v>
      </c>
      <c r="M554" s="2">
        <v>4.58</v>
      </c>
      <c r="N554" s="2">
        <v>23.9</v>
      </c>
      <c r="O554" s="2">
        <v>21.02</v>
      </c>
      <c r="P554" s="2">
        <v>29.31</v>
      </c>
      <c r="Q554" s="2">
        <v>4.13</v>
      </c>
      <c r="R554" s="2">
        <v>13.9</v>
      </c>
      <c r="S554" s="2">
        <v>-5.34</v>
      </c>
      <c r="T554" s="2">
        <v>18.100000000000001</v>
      </c>
      <c r="U554" s="2">
        <v>12.44</v>
      </c>
      <c r="V554" s="2">
        <v>25</v>
      </c>
      <c r="W554" s="2">
        <v>22.19</v>
      </c>
      <c r="X554" s="2">
        <v>17.62</v>
      </c>
      <c r="Y554" s="2">
        <v>17.350000000000001</v>
      </c>
      <c r="Z554" s="2">
        <v>16.8</v>
      </c>
      <c r="AA554" s="2">
        <v>0</v>
      </c>
      <c r="AB554" s="2">
        <v>0</v>
      </c>
      <c r="AC554" s="2">
        <v>0</v>
      </c>
      <c r="AD554" s="2">
        <v>2.04</v>
      </c>
      <c r="AE554" s="2">
        <v>1.77</v>
      </c>
      <c r="AF554" s="2">
        <v>100.29</v>
      </c>
      <c r="AG554" s="2">
        <v>16.420000000000002</v>
      </c>
      <c r="AH554" s="4">
        <f t="shared" si="8"/>
        <v>190.02999999999997</v>
      </c>
    </row>
    <row r="555" spans="1:34" x14ac:dyDescent="0.2">
      <c r="A555" s="3">
        <v>24806</v>
      </c>
      <c r="B555" s="2">
        <v>-1.9</v>
      </c>
      <c r="C555" s="2">
        <v>13.9</v>
      </c>
      <c r="D555" s="2">
        <v>-7.76</v>
      </c>
      <c r="E555" s="2">
        <v>-17.87</v>
      </c>
      <c r="F555" s="2">
        <v>-6.48</v>
      </c>
      <c r="G555" s="2">
        <v>7.41</v>
      </c>
      <c r="H555" s="2">
        <v>10.57</v>
      </c>
      <c r="I555" s="2">
        <v>36.49</v>
      </c>
      <c r="J555" s="2">
        <v>6.97</v>
      </c>
      <c r="K555" s="2">
        <v>-2.0099999999999998</v>
      </c>
      <c r="L555" s="2">
        <v>16.23</v>
      </c>
      <c r="M555" s="2">
        <v>10.9</v>
      </c>
      <c r="N555" s="2">
        <v>20.46</v>
      </c>
      <c r="O555" s="2">
        <v>13.1</v>
      </c>
      <c r="P555" s="2">
        <v>41.04</v>
      </c>
      <c r="Q555" s="2">
        <v>2.42</v>
      </c>
      <c r="R555" s="2">
        <v>11.99</v>
      </c>
      <c r="S555" s="2">
        <v>18.2</v>
      </c>
      <c r="T555" s="2">
        <v>23.11</v>
      </c>
      <c r="U555" s="2">
        <v>9.01</v>
      </c>
      <c r="V555" s="2">
        <v>18.91</v>
      </c>
      <c r="W555" s="2">
        <v>15.43</v>
      </c>
      <c r="X555" s="2">
        <v>11.55</v>
      </c>
      <c r="Y555" s="2">
        <v>10.24</v>
      </c>
      <c r="Z555" s="2">
        <v>3.25</v>
      </c>
      <c r="AA555" s="2">
        <v>5.45</v>
      </c>
      <c r="AB555" s="2">
        <v>4.5999999999999996</v>
      </c>
      <c r="AC555" s="2">
        <v>15.3</v>
      </c>
      <c r="AD555" s="2">
        <v>1.02</v>
      </c>
      <c r="AE555" s="2">
        <v>11.84</v>
      </c>
      <c r="AF555" s="2">
        <v>65.81</v>
      </c>
      <c r="AG555" s="2">
        <v>12.92</v>
      </c>
      <c r="AH555" s="4">
        <f t="shared" si="8"/>
        <v>224.68999999999997</v>
      </c>
    </row>
    <row r="556" spans="1:34" x14ac:dyDescent="0.2">
      <c r="A556" s="3">
        <v>24837</v>
      </c>
      <c r="B556" s="2">
        <v>-0.22</v>
      </c>
      <c r="C556" s="2">
        <v>16.43</v>
      </c>
      <c r="D556" s="2">
        <v>-1.6</v>
      </c>
      <c r="E556" s="2">
        <v>1.34</v>
      </c>
      <c r="F556" s="2">
        <v>-2.54</v>
      </c>
      <c r="G556" s="2">
        <v>13.76</v>
      </c>
      <c r="H556" s="2">
        <v>12.01</v>
      </c>
      <c r="I556" s="2">
        <v>36.42</v>
      </c>
      <c r="J556" s="2">
        <v>10.14</v>
      </c>
      <c r="K556" s="2">
        <v>-1.39</v>
      </c>
      <c r="L556" s="2">
        <v>6.66</v>
      </c>
      <c r="M556" s="2">
        <v>0.45</v>
      </c>
      <c r="N556" s="2">
        <v>15.01</v>
      </c>
      <c r="O556" s="2">
        <v>12.57</v>
      </c>
      <c r="P556" s="2">
        <v>29.45</v>
      </c>
      <c r="Q556" s="2">
        <v>3.13</v>
      </c>
      <c r="R556" s="2">
        <v>9.4600000000000009</v>
      </c>
      <c r="S556" s="2">
        <v>7.05</v>
      </c>
      <c r="T556" s="2">
        <v>14.9</v>
      </c>
      <c r="U556" s="2">
        <v>5.55</v>
      </c>
      <c r="V556" s="2">
        <v>10.119999999999999</v>
      </c>
      <c r="W556" s="2">
        <v>11.73</v>
      </c>
      <c r="X556" s="2">
        <v>9.3800000000000008</v>
      </c>
      <c r="Y556" s="2">
        <v>9.2899999999999991</v>
      </c>
      <c r="Z556" s="2">
        <v>0</v>
      </c>
      <c r="AA556" s="2">
        <v>7.74</v>
      </c>
      <c r="AB556" s="2">
        <v>0.47</v>
      </c>
      <c r="AC556" s="2">
        <v>13.54</v>
      </c>
      <c r="AD556" s="2">
        <v>1.53</v>
      </c>
      <c r="AE556" s="2">
        <v>20.04</v>
      </c>
      <c r="AF556" s="2">
        <v>60.46</v>
      </c>
      <c r="AG556" s="2">
        <v>11.2</v>
      </c>
      <c r="AH556" s="4">
        <f t="shared" si="8"/>
        <v>198.70000000000002</v>
      </c>
    </row>
    <row r="557" spans="1:34" x14ac:dyDescent="0.2">
      <c r="A557" s="3">
        <v>24868</v>
      </c>
      <c r="B557" s="2">
        <v>-0.7</v>
      </c>
      <c r="C557" s="2">
        <v>23.53</v>
      </c>
      <c r="D557" s="2">
        <v>25.09</v>
      </c>
      <c r="E557" s="2">
        <v>52.26</v>
      </c>
      <c r="F557" s="2">
        <v>35.79</v>
      </c>
      <c r="G557" s="2">
        <v>91.05</v>
      </c>
      <c r="H557" s="2">
        <v>22.99</v>
      </c>
      <c r="I557" s="2">
        <v>40.369999999999997</v>
      </c>
      <c r="J557" s="2">
        <v>21.69</v>
      </c>
      <c r="K557" s="2">
        <v>2.52</v>
      </c>
      <c r="L557" s="2">
        <v>-6.19</v>
      </c>
      <c r="M557" s="2">
        <v>-6.33</v>
      </c>
      <c r="N557" s="2">
        <v>17.149999999999999</v>
      </c>
      <c r="O557" s="2">
        <v>14.06</v>
      </c>
      <c r="P557" s="2">
        <v>21.1</v>
      </c>
      <c r="Q557" s="2">
        <v>1.2</v>
      </c>
      <c r="R557" s="2">
        <v>12.93</v>
      </c>
      <c r="S557" s="2">
        <v>-5.52</v>
      </c>
      <c r="T557" s="2">
        <v>12.86</v>
      </c>
      <c r="U557" s="2">
        <v>5.1100000000000003</v>
      </c>
      <c r="V557" s="2">
        <v>13.96</v>
      </c>
      <c r="W557" s="2">
        <v>4.26</v>
      </c>
      <c r="X557" s="2">
        <v>6.75</v>
      </c>
      <c r="Y557" s="2">
        <v>5.37</v>
      </c>
      <c r="Z557" s="2">
        <v>1.39</v>
      </c>
      <c r="AA557" s="2">
        <v>0</v>
      </c>
      <c r="AB557" s="2">
        <v>0.1</v>
      </c>
      <c r="AC557" s="2">
        <v>0</v>
      </c>
      <c r="AD557" s="2">
        <v>1.18</v>
      </c>
      <c r="AE557" s="2">
        <v>50.06</v>
      </c>
      <c r="AF557" s="2">
        <v>75.3</v>
      </c>
      <c r="AG557" s="2">
        <v>9.8800000000000008</v>
      </c>
      <c r="AH557" s="4">
        <f t="shared" si="8"/>
        <v>394.92</v>
      </c>
    </row>
    <row r="558" spans="1:34" x14ac:dyDescent="0.2">
      <c r="A558" s="3">
        <v>24897</v>
      </c>
      <c r="B558" s="2">
        <v>7.76</v>
      </c>
      <c r="C558" s="2">
        <v>32.68</v>
      </c>
      <c r="D558" s="2">
        <v>20.9</v>
      </c>
      <c r="E558" s="2">
        <v>75.58</v>
      </c>
      <c r="F558" s="2">
        <v>57.23</v>
      </c>
      <c r="G558" s="2">
        <v>106.01</v>
      </c>
      <c r="H558" s="2">
        <v>28.07</v>
      </c>
      <c r="I558" s="2">
        <v>43.3</v>
      </c>
      <c r="J558" s="2">
        <v>18.920000000000002</v>
      </c>
      <c r="K558" s="2">
        <v>-2.13</v>
      </c>
      <c r="L558" s="2">
        <v>-16.53</v>
      </c>
      <c r="M558" s="2">
        <v>-4.25</v>
      </c>
      <c r="N558" s="2">
        <v>24.21</v>
      </c>
      <c r="O558" s="2">
        <v>12.07</v>
      </c>
      <c r="P558" s="2">
        <v>7.56</v>
      </c>
      <c r="Q558" s="2">
        <v>0.94</v>
      </c>
      <c r="R558" s="2">
        <v>9.73</v>
      </c>
      <c r="S558" s="2">
        <v>-7.68</v>
      </c>
      <c r="T558" s="2">
        <v>10.6</v>
      </c>
      <c r="U558" s="2">
        <v>4.26</v>
      </c>
      <c r="V558" s="2">
        <v>18.350000000000001</v>
      </c>
      <c r="W558" s="2">
        <v>0</v>
      </c>
      <c r="X558" s="2">
        <v>0.72</v>
      </c>
      <c r="Y558" s="2">
        <v>0.68</v>
      </c>
      <c r="Z558" s="2">
        <v>1.96</v>
      </c>
      <c r="AA558" s="2">
        <v>0.14000000000000001</v>
      </c>
      <c r="AB558" s="2">
        <v>2.2200000000000002</v>
      </c>
      <c r="AC558" s="2">
        <v>0.68</v>
      </c>
      <c r="AD558" s="2">
        <v>1.54</v>
      </c>
      <c r="AE558" s="2">
        <v>7.18</v>
      </c>
      <c r="AF558" s="2">
        <v>62.77</v>
      </c>
      <c r="AG558" s="2">
        <v>10.08</v>
      </c>
      <c r="AH558" s="4">
        <f t="shared" si="8"/>
        <v>447.58</v>
      </c>
    </row>
    <row r="559" spans="1:34" x14ac:dyDescent="0.2">
      <c r="A559" s="3">
        <v>24928</v>
      </c>
      <c r="B559" s="2">
        <v>5.6</v>
      </c>
      <c r="C559" s="2">
        <v>17.93</v>
      </c>
      <c r="D559" s="2">
        <v>-21.45</v>
      </c>
      <c r="E559" s="2">
        <v>-45.04</v>
      </c>
      <c r="F559" s="2">
        <v>-17.12</v>
      </c>
      <c r="G559" s="2">
        <v>-19.829999999999998</v>
      </c>
      <c r="H559" s="2">
        <v>6.93</v>
      </c>
      <c r="I559" s="2">
        <v>38.82</v>
      </c>
      <c r="J559" s="2">
        <v>8.48</v>
      </c>
      <c r="K559" s="2">
        <v>5.57</v>
      </c>
      <c r="L559" s="2">
        <v>1.88</v>
      </c>
      <c r="M559" s="2">
        <v>4.03</v>
      </c>
      <c r="N559" s="2">
        <v>33.72</v>
      </c>
      <c r="O559" s="2">
        <v>21.56</v>
      </c>
      <c r="P559" s="2">
        <v>65.459999999999994</v>
      </c>
      <c r="Q559" s="2">
        <v>0.89</v>
      </c>
      <c r="R559" s="2">
        <v>3.5</v>
      </c>
      <c r="S559" s="2">
        <v>4.6100000000000003</v>
      </c>
      <c r="T559" s="2">
        <v>28.59</v>
      </c>
      <c r="U559" s="2">
        <v>-1.1399999999999999</v>
      </c>
      <c r="V559" s="2">
        <v>19.29</v>
      </c>
      <c r="W559" s="2">
        <v>0</v>
      </c>
      <c r="X559" s="2">
        <v>1.1399999999999999</v>
      </c>
      <c r="Y559" s="2">
        <v>0.12</v>
      </c>
      <c r="Z559" s="2">
        <v>3.64</v>
      </c>
      <c r="AA559" s="2">
        <v>7.74</v>
      </c>
      <c r="AB559" s="2">
        <v>0.72</v>
      </c>
      <c r="AC559" s="2">
        <v>9.8800000000000008</v>
      </c>
      <c r="AD559" s="2">
        <v>3.26</v>
      </c>
      <c r="AE559" s="2">
        <v>24.42</v>
      </c>
      <c r="AF559" s="2">
        <v>74.069999999999993</v>
      </c>
      <c r="AG559" s="2">
        <v>10.69</v>
      </c>
      <c r="AH559" s="4">
        <f t="shared" si="8"/>
        <v>162.28</v>
      </c>
    </row>
    <row r="560" spans="1:34" x14ac:dyDescent="0.2">
      <c r="A560" s="3">
        <v>24958</v>
      </c>
      <c r="B560" s="2">
        <v>0.92</v>
      </c>
      <c r="C560" s="2">
        <v>18.579999999999998</v>
      </c>
      <c r="D560" s="2">
        <v>-25.57</v>
      </c>
      <c r="E560" s="2">
        <v>-49.81</v>
      </c>
      <c r="F560" s="2">
        <v>-18.100000000000001</v>
      </c>
      <c r="G560" s="2">
        <v>-34.729999999999997</v>
      </c>
      <c r="H560" s="2">
        <v>-1.22</v>
      </c>
      <c r="I560" s="2">
        <v>36.72</v>
      </c>
      <c r="J560" s="2">
        <v>-12.47</v>
      </c>
      <c r="K560" s="2">
        <v>-1.38</v>
      </c>
      <c r="L560" s="2">
        <v>-13.78</v>
      </c>
      <c r="M560" s="2">
        <v>-8.76</v>
      </c>
      <c r="N560" s="2">
        <v>26.04</v>
      </c>
      <c r="O560" s="2">
        <v>11.99</v>
      </c>
      <c r="P560" s="2">
        <v>44.38</v>
      </c>
      <c r="Q560" s="2">
        <v>-4.34</v>
      </c>
      <c r="R560" s="2">
        <v>0.78</v>
      </c>
      <c r="S560" s="2">
        <v>-2.25</v>
      </c>
      <c r="T560" s="2">
        <v>22.23</v>
      </c>
      <c r="U560" s="2">
        <v>-6.6</v>
      </c>
      <c r="V560" s="2">
        <v>17.61</v>
      </c>
      <c r="W560" s="2">
        <v>0</v>
      </c>
      <c r="X560" s="2">
        <v>1.35</v>
      </c>
      <c r="Y560" s="2">
        <v>0.57999999999999996</v>
      </c>
      <c r="Z560" s="2">
        <v>2.11</v>
      </c>
      <c r="AA560" s="2">
        <v>1.1499999999999999</v>
      </c>
      <c r="AB560" s="2">
        <v>0.05</v>
      </c>
      <c r="AC560" s="2">
        <v>0.95</v>
      </c>
      <c r="AD560" s="2">
        <v>3.57</v>
      </c>
      <c r="AE560" s="2">
        <v>5.31</v>
      </c>
      <c r="AF560" s="2">
        <v>91.65</v>
      </c>
      <c r="AG560" s="2">
        <v>14.64</v>
      </c>
      <c r="AH560" s="4">
        <f t="shared" si="8"/>
        <v>0.24000000000000199</v>
      </c>
    </row>
    <row r="561" spans="1:34" x14ac:dyDescent="0.2">
      <c r="A561" s="3">
        <v>24989</v>
      </c>
      <c r="B561" s="2">
        <v>1.41</v>
      </c>
      <c r="C561" s="2">
        <v>15.2</v>
      </c>
      <c r="D561" s="2">
        <v>-9.4499999999999993</v>
      </c>
      <c r="E561" s="2">
        <v>-28.22</v>
      </c>
      <c r="F561" s="2">
        <v>-1.57</v>
      </c>
      <c r="G561" s="2">
        <v>-11.22</v>
      </c>
      <c r="H561" s="2">
        <v>4.75</v>
      </c>
      <c r="I561" s="2">
        <v>31.14</v>
      </c>
      <c r="J561" s="2">
        <v>-17.600000000000001</v>
      </c>
      <c r="K561" s="2">
        <v>-7.15</v>
      </c>
      <c r="L561" s="2">
        <v>-11.92</v>
      </c>
      <c r="M561" s="2">
        <v>-1.31</v>
      </c>
      <c r="N561" s="2">
        <v>26.51</v>
      </c>
      <c r="O561" s="2">
        <v>21.53</v>
      </c>
      <c r="P561" s="2">
        <v>45.28</v>
      </c>
      <c r="Q561" s="2">
        <v>-5.19</v>
      </c>
      <c r="R561" s="2">
        <v>1.2</v>
      </c>
      <c r="S561" s="2">
        <v>25.75</v>
      </c>
      <c r="T561" s="2">
        <v>32.24</v>
      </c>
      <c r="U561" s="2">
        <v>-1.04</v>
      </c>
      <c r="V561" s="2">
        <v>29.26</v>
      </c>
      <c r="W561" s="2">
        <v>4.88</v>
      </c>
      <c r="X561" s="2">
        <v>3.83</v>
      </c>
      <c r="Y561" s="2">
        <v>2.42</v>
      </c>
      <c r="Z561" s="2">
        <v>0</v>
      </c>
      <c r="AA561" s="2">
        <v>0</v>
      </c>
      <c r="AB561" s="2">
        <v>0.41</v>
      </c>
      <c r="AC561" s="2">
        <v>0</v>
      </c>
      <c r="AD561" s="2">
        <v>5.62</v>
      </c>
      <c r="AE561" s="2">
        <v>1.68</v>
      </c>
      <c r="AF561" s="2">
        <v>103.51</v>
      </c>
      <c r="AG561" s="2">
        <v>17.690000000000001</v>
      </c>
      <c r="AH561" s="4">
        <f t="shared" si="8"/>
        <v>139.6</v>
      </c>
    </row>
    <row r="562" spans="1:34" x14ac:dyDescent="0.2">
      <c r="A562" s="3">
        <v>25019</v>
      </c>
      <c r="B562" s="2">
        <v>1.62</v>
      </c>
      <c r="C562" s="2">
        <v>17.78</v>
      </c>
      <c r="D562" s="2">
        <v>-13.77</v>
      </c>
      <c r="E562" s="2">
        <v>-26.06</v>
      </c>
      <c r="F562" s="2">
        <v>-6.84</v>
      </c>
      <c r="G562" s="2">
        <v>4.97</v>
      </c>
      <c r="H562" s="2">
        <v>7.01</v>
      </c>
      <c r="I562" s="2">
        <v>32.090000000000003</v>
      </c>
      <c r="J562" s="2">
        <v>-13.83</v>
      </c>
      <c r="K562" s="2">
        <v>-1.34</v>
      </c>
      <c r="L562" s="2">
        <v>-1.19</v>
      </c>
      <c r="M562" s="2">
        <v>4.59</v>
      </c>
      <c r="N562" s="2">
        <v>28.58</v>
      </c>
      <c r="O562" s="2">
        <v>66.709999999999994</v>
      </c>
      <c r="P562" s="2">
        <v>116.49</v>
      </c>
      <c r="Q562" s="2">
        <v>5.19</v>
      </c>
      <c r="R562" s="2">
        <v>3.49</v>
      </c>
      <c r="S562" s="2">
        <v>64.239999999999995</v>
      </c>
      <c r="T562" s="2">
        <v>73.44</v>
      </c>
      <c r="U562" s="2">
        <v>8.9</v>
      </c>
      <c r="V562" s="2">
        <v>51.2</v>
      </c>
      <c r="W562" s="2">
        <v>18.62</v>
      </c>
      <c r="X562" s="2">
        <v>8.7899999999999991</v>
      </c>
      <c r="Y562" s="2">
        <v>8.0299999999999994</v>
      </c>
      <c r="Z562" s="2">
        <v>0</v>
      </c>
      <c r="AA562" s="2">
        <v>0</v>
      </c>
      <c r="AB562" s="2">
        <v>0.05</v>
      </c>
      <c r="AC562" s="2">
        <v>0.41</v>
      </c>
      <c r="AD562" s="2">
        <v>9.19</v>
      </c>
      <c r="AE562" s="2">
        <v>0</v>
      </c>
      <c r="AF562" s="2">
        <v>113.28</v>
      </c>
      <c r="AG562" s="2">
        <v>22.83</v>
      </c>
      <c r="AH562" s="4">
        <f t="shared" si="8"/>
        <v>423.27</v>
      </c>
    </row>
    <row r="563" spans="1:34" x14ac:dyDescent="0.2">
      <c r="A563" s="3">
        <v>25050</v>
      </c>
      <c r="B563" s="2">
        <v>2.33</v>
      </c>
      <c r="C563" s="2">
        <v>21.2</v>
      </c>
      <c r="D563" s="2">
        <v>-11.22</v>
      </c>
      <c r="E563" s="2">
        <v>-10.65</v>
      </c>
      <c r="F563" s="2">
        <v>-10.65</v>
      </c>
      <c r="G563" s="2">
        <v>20.28</v>
      </c>
      <c r="H563" s="2">
        <v>11.73</v>
      </c>
      <c r="I563" s="2">
        <v>35.94</v>
      </c>
      <c r="J563" s="2">
        <v>-10.93</v>
      </c>
      <c r="K563" s="2">
        <v>3.86</v>
      </c>
      <c r="L563" s="2">
        <v>6.63</v>
      </c>
      <c r="M563" s="2">
        <v>8.81</v>
      </c>
      <c r="N563" s="2">
        <v>38.25</v>
      </c>
      <c r="O563" s="2">
        <v>107.18</v>
      </c>
      <c r="P563" s="2">
        <v>155.16999999999999</v>
      </c>
      <c r="Q563" s="2">
        <v>1.63</v>
      </c>
      <c r="R563" s="2">
        <v>4.5199999999999996</v>
      </c>
      <c r="S563" s="2">
        <v>84.94</v>
      </c>
      <c r="T563" s="2">
        <v>58.76</v>
      </c>
      <c r="U563" s="2">
        <v>24.25</v>
      </c>
      <c r="V563" s="2">
        <v>54</v>
      </c>
      <c r="W563" s="2">
        <v>30.39</v>
      </c>
      <c r="X563" s="2">
        <v>13.62</v>
      </c>
      <c r="Y563" s="2">
        <v>13.25</v>
      </c>
      <c r="Z563" s="2">
        <v>0</v>
      </c>
      <c r="AA563" s="2">
        <v>17.78</v>
      </c>
      <c r="AB563" s="2">
        <v>1.66</v>
      </c>
      <c r="AC563" s="2">
        <v>9.07</v>
      </c>
      <c r="AD563" s="2">
        <v>11.76</v>
      </c>
      <c r="AE563" s="2">
        <v>0</v>
      </c>
      <c r="AF563" s="2">
        <v>123.36</v>
      </c>
      <c r="AG563" s="2">
        <v>24.8</v>
      </c>
      <c r="AH563" s="4">
        <f t="shared" si="8"/>
        <v>596.03</v>
      </c>
    </row>
    <row r="564" spans="1:34" x14ac:dyDescent="0.2">
      <c r="A564" s="3">
        <v>25081</v>
      </c>
      <c r="B564" s="2">
        <v>1.78</v>
      </c>
      <c r="C564" s="2">
        <v>21.54</v>
      </c>
      <c r="D564" s="2">
        <v>-10.76</v>
      </c>
      <c r="E564" s="2">
        <v>-13.38</v>
      </c>
      <c r="F564" s="2">
        <v>6.86</v>
      </c>
      <c r="G564" s="2">
        <v>21.84</v>
      </c>
      <c r="H564" s="2">
        <v>11.94</v>
      </c>
      <c r="I564" s="2">
        <v>34.61</v>
      </c>
      <c r="J564" s="2">
        <v>-2.75</v>
      </c>
      <c r="K564" s="2">
        <v>-0.92</v>
      </c>
      <c r="L564" s="2">
        <v>4.32</v>
      </c>
      <c r="M564" s="2">
        <v>7.6</v>
      </c>
      <c r="N564" s="2">
        <v>30.85</v>
      </c>
      <c r="O564" s="2">
        <v>83.54</v>
      </c>
      <c r="P564" s="2">
        <v>136.16</v>
      </c>
      <c r="Q564" s="2">
        <v>2.61</v>
      </c>
      <c r="R564" s="2">
        <v>1.96</v>
      </c>
      <c r="S564" s="2">
        <v>66.92</v>
      </c>
      <c r="T564" s="2">
        <v>51.67</v>
      </c>
      <c r="U564" s="2">
        <v>19.32</v>
      </c>
      <c r="V564" s="2">
        <v>45.47</v>
      </c>
      <c r="W564" s="2">
        <v>31.47</v>
      </c>
      <c r="X564" s="2">
        <v>15.86</v>
      </c>
      <c r="Y564" s="2">
        <v>15.6</v>
      </c>
      <c r="Z564" s="2">
        <v>6.99</v>
      </c>
      <c r="AA564" s="2">
        <v>0</v>
      </c>
      <c r="AB564" s="2">
        <v>0</v>
      </c>
      <c r="AC564" s="2">
        <v>6.5</v>
      </c>
      <c r="AD564" s="2">
        <v>7.04</v>
      </c>
      <c r="AE564" s="2">
        <v>18.27</v>
      </c>
      <c r="AF564" s="2">
        <v>125.46</v>
      </c>
      <c r="AG564" s="2">
        <v>23.65</v>
      </c>
      <c r="AH564" s="4">
        <f t="shared" si="8"/>
        <v>521.18000000000006</v>
      </c>
    </row>
    <row r="565" spans="1:34" x14ac:dyDescent="0.2">
      <c r="A565" s="3">
        <v>25111</v>
      </c>
      <c r="B565" s="2">
        <v>-1.1399999999999999</v>
      </c>
      <c r="C565" s="2">
        <v>16.96</v>
      </c>
      <c r="D565" s="2">
        <v>-11.41</v>
      </c>
      <c r="E565" s="2">
        <v>-14.77</v>
      </c>
      <c r="F565" s="2">
        <v>14.44</v>
      </c>
      <c r="G565" s="2">
        <v>17.920000000000002</v>
      </c>
      <c r="H565" s="2">
        <v>17.53</v>
      </c>
      <c r="I565" s="2">
        <v>40.33</v>
      </c>
      <c r="J565" s="2">
        <v>8.42</v>
      </c>
      <c r="K565" s="2">
        <v>-9.8000000000000007</v>
      </c>
      <c r="L565" s="2">
        <v>2.52</v>
      </c>
      <c r="M565" s="2">
        <v>3.39</v>
      </c>
      <c r="N565" s="2">
        <v>37.21</v>
      </c>
      <c r="O565" s="2">
        <v>15.27</v>
      </c>
      <c r="P565" s="2">
        <v>71.77</v>
      </c>
      <c r="Q565" s="2">
        <v>5.52</v>
      </c>
      <c r="R565" s="2">
        <v>11.33</v>
      </c>
      <c r="S565" s="2">
        <v>10.95</v>
      </c>
      <c r="T565" s="2">
        <v>15.38</v>
      </c>
      <c r="U565" s="2">
        <v>4.57</v>
      </c>
      <c r="V565" s="2">
        <v>13.37</v>
      </c>
      <c r="W565" s="2">
        <v>26.1</v>
      </c>
      <c r="X565" s="2">
        <v>15.17</v>
      </c>
      <c r="Y565" s="2">
        <v>14.72</v>
      </c>
      <c r="Z565" s="2">
        <v>0</v>
      </c>
      <c r="AA565" s="2">
        <v>0</v>
      </c>
      <c r="AB565" s="2">
        <v>0</v>
      </c>
      <c r="AC565" s="2">
        <v>0</v>
      </c>
      <c r="AD565" s="2">
        <v>4.71</v>
      </c>
      <c r="AE565" s="2">
        <v>0</v>
      </c>
      <c r="AF565" s="2">
        <v>116.86</v>
      </c>
      <c r="AG565" s="2">
        <v>20.170000000000002</v>
      </c>
      <c r="AH565" s="4">
        <f t="shared" si="8"/>
        <v>269.76</v>
      </c>
    </row>
    <row r="566" spans="1:34" x14ac:dyDescent="0.2">
      <c r="A566" s="3">
        <v>25142</v>
      </c>
      <c r="B566" s="2">
        <v>-1.47</v>
      </c>
      <c r="C566" s="2">
        <v>15.78</v>
      </c>
      <c r="D566" s="2">
        <v>-9.2200000000000006</v>
      </c>
      <c r="E566" s="2">
        <v>-15.69</v>
      </c>
      <c r="F566" s="2">
        <v>5.72</v>
      </c>
      <c r="G566" s="2">
        <v>13.9</v>
      </c>
      <c r="H566" s="2">
        <v>14.65</v>
      </c>
      <c r="I566" s="2">
        <v>37.64</v>
      </c>
      <c r="J566" s="2">
        <v>8.1300000000000008</v>
      </c>
      <c r="K566" s="2">
        <v>-2.1800000000000002</v>
      </c>
      <c r="L566" s="2">
        <v>4.37</v>
      </c>
      <c r="M566" s="2">
        <v>5.34</v>
      </c>
      <c r="N566" s="2">
        <v>24.85</v>
      </c>
      <c r="O566" s="2">
        <v>13.46</v>
      </c>
      <c r="P566" s="2">
        <v>38.4</v>
      </c>
      <c r="Q566" s="2">
        <v>0.87</v>
      </c>
      <c r="R566" s="2">
        <v>3.98</v>
      </c>
      <c r="S566" s="2">
        <v>8.08</v>
      </c>
      <c r="T566" s="2">
        <v>15.96</v>
      </c>
      <c r="U566" s="2">
        <v>3.07</v>
      </c>
      <c r="V566" s="2">
        <v>10.81</v>
      </c>
      <c r="W566" s="2">
        <v>22.19</v>
      </c>
      <c r="X566" s="2">
        <v>14.16</v>
      </c>
      <c r="Y566" s="2">
        <v>13.7</v>
      </c>
      <c r="Z566" s="2">
        <v>0.28999999999999998</v>
      </c>
      <c r="AA566" s="2">
        <v>1.43</v>
      </c>
      <c r="AB566" s="2">
        <v>0.52</v>
      </c>
      <c r="AC566" s="2">
        <v>2.84</v>
      </c>
      <c r="AD566" s="2">
        <v>7.02</v>
      </c>
      <c r="AE566" s="2">
        <v>2.8</v>
      </c>
      <c r="AF566" s="2">
        <v>105.99</v>
      </c>
      <c r="AG566" s="2">
        <v>16.420000000000002</v>
      </c>
      <c r="AH566" s="4">
        <f t="shared" si="8"/>
        <v>196.45000000000002</v>
      </c>
    </row>
    <row r="567" spans="1:34" x14ac:dyDescent="0.2">
      <c r="A567" s="3">
        <v>25172</v>
      </c>
      <c r="B567" s="2">
        <v>-0.59</v>
      </c>
      <c r="C567" s="2">
        <v>16.71</v>
      </c>
      <c r="D567" s="2">
        <v>3.04</v>
      </c>
      <c r="E567" s="2">
        <v>6.57</v>
      </c>
      <c r="F567" s="2">
        <v>17.98</v>
      </c>
      <c r="G567" s="2">
        <v>22.85</v>
      </c>
      <c r="H567" s="2">
        <v>15.33</v>
      </c>
      <c r="I567" s="2">
        <v>37.28</v>
      </c>
      <c r="J567" s="2">
        <v>17.64</v>
      </c>
      <c r="K567" s="2">
        <v>10.56</v>
      </c>
      <c r="L567" s="2">
        <v>11.91</v>
      </c>
      <c r="M567" s="2">
        <v>13.11</v>
      </c>
      <c r="N567" s="2">
        <v>27.16</v>
      </c>
      <c r="O567" s="2">
        <v>12.28</v>
      </c>
      <c r="P567" s="2">
        <v>34.76</v>
      </c>
      <c r="Q567" s="2">
        <v>-0.22</v>
      </c>
      <c r="R567" s="2">
        <v>3.69</v>
      </c>
      <c r="S567" s="2">
        <v>5.3</v>
      </c>
      <c r="T567" s="2">
        <v>15.65</v>
      </c>
      <c r="U567" s="2">
        <v>3.24</v>
      </c>
      <c r="V567" s="2">
        <v>11.05</v>
      </c>
      <c r="W567" s="2">
        <v>15.43</v>
      </c>
      <c r="X567" s="2">
        <v>9.18</v>
      </c>
      <c r="Y567" s="2">
        <v>7.73</v>
      </c>
      <c r="Z567" s="2">
        <v>2.4900000000000002</v>
      </c>
      <c r="AA567" s="2">
        <v>0</v>
      </c>
      <c r="AB567" s="2">
        <v>0.81</v>
      </c>
      <c r="AC567" s="2">
        <v>4.5999999999999996</v>
      </c>
      <c r="AD567" s="2">
        <v>4.58</v>
      </c>
      <c r="AE567" s="2">
        <v>18.829999999999998</v>
      </c>
      <c r="AF567" s="2">
        <v>69.540000000000006</v>
      </c>
      <c r="AG567" s="2">
        <v>12.92</v>
      </c>
      <c r="AH567" s="4">
        <f t="shared" si="8"/>
        <v>285.3</v>
      </c>
    </row>
    <row r="568" spans="1:34" x14ac:dyDescent="0.2">
      <c r="A568" s="3">
        <v>25203</v>
      </c>
      <c r="B568" s="2">
        <v>2.2599999999999998</v>
      </c>
      <c r="C568" s="2">
        <v>25.5</v>
      </c>
      <c r="D568" s="2">
        <v>24.87</v>
      </c>
      <c r="E568" s="2">
        <v>53.71</v>
      </c>
      <c r="F568" s="2">
        <v>39.090000000000003</v>
      </c>
      <c r="G568" s="2">
        <v>89.8</v>
      </c>
      <c r="H568" s="2">
        <v>23.64</v>
      </c>
      <c r="I568" s="2">
        <v>41.06</v>
      </c>
      <c r="J568" s="2">
        <v>35.75</v>
      </c>
      <c r="K568" s="2">
        <v>22.96</v>
      </c>
      <c r="L568" s="2">
        <v>25.17</v>
      </c>
      <c r="M568" s="2">
        <v>28.75</v>
      </c>
      <c r="N568" s="2">
        <v>44.55</v>
      </c>
      <c r="O568" s="2">
        <v>11.84</v>
      </c>
      <c r="P568" s="2">
        <v>37.76</v>
      </c>
      <c r="Q568" s="2">
        <v>-0.16</v>
      </c>
      <c r="R568" s="2">
        <v>6.11</v>
      </c>
      <c r="S568" s="2">
        <v>24.31</v>
      </c>
      <c r="T568" s="2">
        <v>14.06</v>
      </c>
      <c r="U568" s="2">
        <v>3.84</v>
      </c>
      <c r="V568" s="2">
        <v>11.48</v>
      </c>
      <c r="W568" s="2">
        <v>11.73</v>
      </c>
      <c r="X568" s="2">
        <v>7.21</v>
      </c>
      <c r="Y568" s="2">
        <v>6.98</v>
      </c>
      <c r="Z568" s="2">
        <v>1.05</v>
      </c>
      <c r="AA568" s="2">
        <v>3.15</v>
      </c>
      <c r="AB568" s="2">
        <v>1.85</v>
      </c>
      <c r="AC568" s="2">
        <v>1.76</v>
      </c>
      <c r="AD568" s="2">
        <v>4.43</v>
      </c>
      <c r="AE568" s="2">
        <v>17.25</v>
      </c>
      <c r="AF568" s="2">
        <v>63.89</v>
      </c>
      <c r="AG568" s="2">
        <v>11.2</v>
      </c>
      <c r="AH568" s="4">
        <f t="shared" si="8"/>
        <v>566.34999999999991</v>
      </c>
    </row>
    <row r="569" spans="1:34" x14ac:dyDescent="0.2">
      <c r="A569" s="3">
        <v>25234</v>
      </c>
      <c r="B569" s="2">
        <v>11.76</v>
      </c>
      <c r="C569" s="2">
        <v>51.96</v>
      </c>
      <c r="D569" s="2">
        <v>71.02</v>
      </c>
      <c r="E569" s="2">
        <v>247.06</v>
      </c>
      <c r="F569" s="2">
        <v>270.55</v>
      </c>
      <c r="G569" s="2">
        <v>275.77999999999997</v>
      </c>
      <c r="H569" s="2">
        <v>43.15</v>
      </c>
      <c r="I569" s="2">
        <v>62.06</v>
      </c>
      <c r="J569" s="2">
        <v>154.52000000000001</v>
      </c>
      <c r="K569" s="2">
        <v>173.63</v>
      </c>
      <c r="L569" s="2">
        <v>137.77000000000001</v>
      </c>
      <c r="M569" s="2">
        <v>101.79</v>
      </c>
      <c r="N569" s="2">
        <v>242.53</v>
      </c>
      <c r="O569" s="2">
        <v>19.41</v>
      </c>
      <c r="P569" s="2">
        <v>374.01</v>
      </c>
      <c r="Q569" s="2">
        <v>3.21</v>
      </c>
      <c r="R569" s="2">
        <v>21.4</v>
      </c>
      <c r="S569" s="2">
        <v>240.89</v>
      </c>
      <c r="T569" s="2">
        <v>153.91999999999999</v>
      </c>
      <c r="U569" s="2">
        <v>6.86</v>
      </c>
      <c r="V569" s="2">
        <v>51.7</v>
      </c>
      <c r="W569" s="2">
        <v>4.26</v>
      </c>
      <c r="X569" s="2">
        <v>9.3000000000000007</v>
      </c>
      <c r="Y569" s="2">
        <v>8.11</v>
      </c>
      <c r="Z569" s="2">
        <v>16.32</v>
      </c>
      <c r="AA569" s="2">
        <v>10.18</v>
      </c>
      <c r="AB569" s="2">
        <v>61.85</v>
      </c>
      <c r="AC569" s="2">
        <v>13.54</v>
      </c>
      <c r="AD569" s="2">
        <v>4.05</v>
      </c>
      <c r="AE569" s="2">
        <v>51.83</v>
      </c>
      <c r="AF569" s="2">
        <v>71.25</v>
      </c>
      <c r="AG569" s="2">
        <v>9.8800000000000008</v>
      </c>
      <c r="AH569" s="4">
        <f t="shared" si="8"/>
        <v>2714.98</v>
      </c>
    </row>
    <row r="570" spans="1:34" x14ac:dyDescent="0.2">
      <c r="A570" s="3">
        <v>25262</v>
      </c>
      <c r="B570" s="2">
        <v>18.36</v>
      </c>
      <c r="C570" s="2">
        <v>61.69</v>
      </c>
      <c r="D570" s="2">
        <v>49.9</v>
      </c>
      <c r="E570" s="2">
        <v>93.7</v>
      </c>
      <c r="F570" s="2">
        <v>82.92</v>
      </c>
      <c r="G570" s="2">
        <v>153.41999999999999</v>
      </c>
      <c r="H570" s="2">
        <v>38.840000000000003</v>
      </c>
      <c r="I570" s="2">
        <v>64.739999999999995</v>
      </c>
      <c r="J570" s="2">
        <v>81.19</v>
      </c>
      <c r="K570" s="2">
        <v>89.84</v>
      </c>
      <c r="L570" s="2">
        <v>49.55</v>
      </c>
      <c r="M570" s="2">
        <v>66.5</v>
      </c>
      <c r="N570" s="2">
        <v>208.47</v>
      </c>
      <c r="O570" s="2">
        <v>18.07</v>
      </c>
      <c r="P570" s="2">
        <v>300.17</v>
      </c>
      <c r="Q570" s="2">
        <v>26.09</v>
      </c>
      <c r="R570" s="2">
        <v>46.28</v>
      </c>
      <c r="S570" s="2">
        <v>214.39</v>
      </c>
      <c r="T570" s="2">
        <v>171.94</v>
      </c>
      <c r="U570" s="2">
        <v>10.08</v>
      </c>
      <c r="V570" s="2">
        <v>44.24</v>
      </c>
      <c r="W570" s="2">
        <v>0</v>
      </c>
      <c r="X570" s="2">
        <v>2.89</v>
      </c>
      <c r="Y570" s="2">
        <v>3.13</v>
      </c>
      <c r="Z570" s="2">
        <v>20.2</v>
      </c>
      <c r="AA570" s="2">
        <v>3.3</v>
      </c>
      <c r="AB570" s="2">
        <v>21.25</v>
      </c>
      <c r="AC570" s="2">
        <v>29.78</v>
      </c>
      <c r="AD570" s="2">
        <v>4.3</v>
      </c>
      <c r="AE570" s="2">
        <v>61.81</v>
      </c>
      <c r="AF570" s="2">
        <v>59.39</v>
      </c>
      <c r="AG570" s="2">
        <v>10.08</v>
      </c>
      <c r="AH570" s="4">
        <f t="shared" si="8"/>
        <v>1890.3799999999999</v>
      </c>
    </row>
    <row r="571" spans="1:34" x14ac:dyDescent="0.2">
      <c r="A571" s="3">
        <v>25293</v>
      </c>
      <c r="B571" s="2">
        <v>10.75</v>
      </c>
      <c r="C571" s="2">
        <v>41.52</v>
      </c>
      <c r="D571" s="2">
        <v>-43.85</v>
      </c>
      <c r="E571" s="2">
        <v>-123.38</v>
      </c>
      <c r="F571" s="2">
        <v>-81.22</v>
      </c>
      <c r="G571" s="2">
        <v>-113.73</v>
      </c>
      <c r="H571" s="2">
        <v>10</v>
      </c>
      <c r="I571" s="2">
        <v>57.6</v>
      </c>
      <c r="J571" s="2">
        <v>-4.0199999999999996</v>
      </c>
      <c r="K571" s="2">
        <v>-38.78</v>
      </c>
      <c r="L571" s="2">
        <v>-15.24</v>
      </c>
      <c r="M571" s="2">
        <v>-21.59</v>
      </c>
      <c r="N571" s="2">
        <v>90.47</v>
      </c>
      <c r="O571" s="2">
        <v>17.489999999999998</v>
      </c>
      <c r="P571" s="2">
        <v>93.44</v>
      </c>
      <c r="Q571" s="2">
        <v>31.44</v>
      </c>
      <c r="R571" s="2">
        <v>39.75</v>
      </c>
      <c r="S571" s="2">
        <v>44.99</v>
      </c>
      <c r="T571" s="2">
        <v>140.96</v>
      </c>
      <c r="U571" s="2">
        <v>10.06</v>
      </c>
      <c r="V571" s="2">
        <v>51.01</v>
      </c>
      <c r="W571" s="2">
        <v>0</v>
      </c>
      <c r="X571" s="2">
        <v>3.7</v>
      </c>
      <c r="Y571" s="2">
        <v>2.87</v>
      </c>
      <c r="Z571" s="2">
        <v>1.24</v>
      </c>
      <c r="AA571" s="2">
        <v>0.14000000000000001</v>
      </c>
      <c r="AB571" s="2">
        <v>2.14</v>
      </c>
      <c r="AC571" s="2">
        <v>3.25</v>
      </c>
      <c r="AD571" s="2">
        <v>6.59</v>
      </c>
      <c r="AE571" s="2">
        <v>9.9700000000000006</v>
      </c>
      <c r="AF571" s="2">
        <v>70.09</v>
      </c>
      <c r="AG571" s="2">
        <v>10.69</v>
      </c>
      <c r="AH571" s="4">
        <f t="shared" si="8"/>
        <v>197.67000000000002</v>
      </c>
    </row>
    <row r="572" spans="1:34" x14ac:dyDescent="0.2">
      <c r="A572" s="3">
        <v>25323</v>
      </c>
      <c r="B572" s="2">
        <v>9.16</v>
      </c>
      <c r="C572" s="2">
        <v>37.71</v>
      </c>
      <c r="D572" s="2">
        <v>-17.75</v>
      </c>
      <c r="E572" s="2">
        <v>-49.9</v>
      </c>
      <c r="F572" s="2">
        <v>33.72</v>
      </c>
      <c r="G572" s="2">
        <v>-41.22</v>
      </c>
      <c r="H572" s="2">
        <v>21.77</v>
      </c>
      <c r="I572" s="2">
        <v>61.46</v>
      </c>
      <c r="J572" s="2">
        <v>-7.22</v>
      </c>
      <c r="K572" s="2">
        <v>-41.97</v>
      </c>
      <c r="L572" s="2">
        <v>-1.46</v>
      </c>
      <c r="M572" s="2">
        <v>-5.63</v>
      </c>
      <c r="N572" s="2">
        <v>51.44</v>
      </c>
      <c r="O572" s="2">
        <v>20.74</v>
      </c>
      <c r="P572" s="2">
        <v>88.99</v>
      </c>
      <c r="Q572" s="2">
        <v>26.84</v>
      </c>
      <c r="R572" s="2">
        <v>26.57</v>
      </c>
      <c r="S572" s="2">
        <v>53.71</v>
      </c>
      <c r="T572" s="2">
        <v>250.31</v>
      </c>
      <c r="U572" s="2">
        <v>6.7</v>
      </c>
      <c r="V572" s="2">
        <v>61.7</v>
      </c>
      <c r="W572" s="2">
        <v>0</v>
      </c>
      <c r="X572" s="2">
        <v>4.49</v>
      </c>
      <c r="Y572" s="2">
        <v>3.99</v>
      </c>
      <c r="Z572" s="2">
        <v>3.21</v>
      </c>
      <c r="AA572" s="2">
        <v>0.14000000000000001</v>
      </c>
      <c r="AB572" s="2">
        <v>0.4</v>
      </c>
      <c r="AC572" s="2">
        <v>4.87</v>
      </c>
      <c r="AD572" s="2">
        <v>7.56</v>
      </c>
      <c r="AE572" s="2">
        <v>15.85</v>
      </c>
      <c r="AF572" s="2">
        <v>86.72</v>
      </c>
      <c r="AG572" s="2">
        <v>14.64</v>
      </c>
      <c r="AH572" s="4">
        <f t="shared" si="8"/>
        <v>585.67000000000007</v>
      </c>
    </row>
    <row r="573" spans="1:34" x14ac:dyDescent="0.2">
      <c r="A573" s="3">
        <v>25354</v>
      </c>
      <c r="B573" s="2">
        <v>10.41</v>
      </c>
      <c r="C573" s="2">
        <v>29.01</v>
      </c>
      <c r="D573" s="2">
        <v>-9.6</v>
      </c>
      <c r="E573" s="2">
        <v>-28.58</v>
      </c>
      <c r="F573" s="2">
        <v>-40.51</v>
      </c>
      <c r="G573" s="2">
        <v>-11.48</v>
      </c>
      <c r="H573" s="2">
        <v>13.71</v>
      </c>
      <c r="I573" s="2">
        <v>42.82</v>
      </c>
      <c r="J573" s="2">
        <v>12.82</v>
      </c>
      <c r="K573" s="2">
        <v>16.940000000000001</v>
      </c>
      <c r="L573" s="2">
        <v>60.69</v>
      </c>
      <c r="M573" s="2">
        <v>31.55</v>
      </c>
      <c r="N573" s="2">
        <v>62.78</v>
      </c>
      <c r="O573" s="2">
        <v>39.07</v>
      </c>
      <c r="P573" s="2">
        <v>111.77</v>
      </c>
      <c r="Q573" s="2">
        <v>30.28</v>
      </c>
      <c r="R573" s="2">
        <v>21.57</v>
      </c>
      <c r="S573" s="2">
        <v>53.31</v>
      </c>
      <c r="T573" s="2">
        <v>231.93</v>
      </c>
      <c r="U573" s="2">
        <v>1.33</v>
      </c>
      <c r="V573" s="2">
        <v>53.87</v>
      </c>
      <c r="W573" s="2">
        <v>4.88</v>
      </c>
      <c r="X573" s="2">
        <v>7.42</v>
      </c>
      <c r="Y573" s="2">
        <v>6.26</v>
      </c>
      <c r="Z573" s="2">
        <v>1.2</v>
      </c>
      <c r="AA573" s="2">
        <v>7.31</v>
      </c>
      <c r="AB573" s="2">
        <v>1.5</v>
      </c>
      <c r="AC573" s="2">
        <v>6.36</v>
      </c>
      <c r="AD573" s="2">
        <v>10.25</v>
      </c>
      <c r="AE573" s="2">
        <v>0.28000000000000003</v>
      </c>
      <c r="AF573" s="2">
        <v>97.94</v>
      </c>
      <c r="AG573" s="2">
        <v>17.690000000000001</v>
      </c>
      <c r="AH573" s="4">
        <f t="shared" si="8"/>
        <v>733.69</v>
      </c>
    </row>
    <row r="574" spans="1:34" x14ac:dyDescent="0.2">
      <c r="A574" s="3">
        <v>25384</v>
      </c>
      <c r="B574" s="2">
        <v>8.34</v>
      </c>
      <c r="C574" s="2">
        <v>30.53</v>
      </c>
      <c r="D574" s="2">
        <v>-16.190000000000001</v>
      </c>
      <c r="E574" s="2">
        <v>-57.83</v>
      </c>
      <c r="F574" s="2">
        <v>-67.680000000000007</v>
      </c>
      <c r="G574" s="2">
        <v>-26.39</v>
      </c>
      <c r="H574" s="2">
        <v>-1.93</v>
      </c>
      <c r="I574" s="2">
        <v>35.24</v>
      </c>
      <c r="J574" s="2">
        <v>-21.48</v>
      </c>
      <c r="K574" s="2">
        <v>0.26</v>
      </c>
      <c r="L574" s="2">
        <v>-1.64</v>
      </c>
      <c r="M574" s="2">
        <v>19.43</v>
      </c>
      <c r="N574" s="2">
        <v>54.23</v>
      </c>
      <c r="O574" s="2">
        <v>73.599999999999994</v>
      </c>
      <c r="P574" s="2">
        <v>260.19</v>
      </c>
      <c r="Q574" s="2">
        <v>28.88</v>
      </c>
      <c r="R574" s="2">
        <v>34.81</v>
      </c>
      <c r="S574" s="2">
        <v>73.67</v>
      </c>
      <c r="T574" s="2">
        <v>309.33999999999997</v>
      </c>
      <c r="U574" s="2">
        <v>1.4</v>
      </c>
      <c r="V574" s="2">
        <v>68.849999999999994</v>
      </c>
      <c r="W574" s="2">
        <v>18.62</v>
      </c>
      <c r="X574" s="2">
        <v>12.7</v>
      </c>
      <c r="Y574" s="2">
        <v>12.29</v>
      </c>
      <c r="Z574" s="2">
        <v>1.91</v>
      </c>
      <c r="AA574" s="2">
        <v>0</v>
      </c>
      <c r="AB574" s="2">
        <v>0.92</v>
      </c>
      <c r="AC574" s="2">
        <v>0.95</v>
      </c>
      <c r="AD574" s="2">
        <v>12.5</v>
      </c>
      <c r="AE574" s="2">
        <v>0</v>
      </c>
      <c r="AF574" s="2">
        <v>107.19</v>
      </c>
      <c r="AG574" s="2">
        <v>22.83</v>
      </c>
      <c r="AH574" s="4">
        <f t="shared" si="8"/>
        <v>805.63</v>
      </c>
    </row>
    <row r="575" spans="1:34" x14ac:dyDescent="0.2">
      <c r="A575" s="3">
        <v>25415</v>
      </c>
      <c r="B575" s="2">
        <v>5.83</v>
      </c>
      <c r="C575" s="2">
        <v>27.85</v>
      </c>
      <c r="D575" s="2">
        <v>-17.32</v>
      </c>
      <c r="E575" s="2">
        <v>-44.17</v>
      </c>
      <c r="F575" s="2">
        <v>-4.93</v>
      </c>
      <c r="G575" s="2">
        <v>2.48</v>
      </c>
      <c r="H575" s="2">
        <v>4.63</v>
      </c>
      <c r="I575" s="2">
        <v>39.42</v>
      </c>
      <c r="J575" s="2">
        <v>-60.34</v>
      </c>
      <c r="K575" s="2">
        <v>-88.68</v>
      </c>
      <c r="L575" s="2">
        <v>-81.23</v>
      </c>
      <c r="M575" s="2">
        <v>-49.05</v>
      </c>
      <c r="N575" s="2">
        <v>-6.9</v>
      </c>
      <c r="O575" s="2">
        <v>65.540000000000006</v>
      </c>
      <c r="P575" s="2">
        <v>78.459999999999994</v>
      </c>
      <c r="Q575" s="2">
        <v>21.08</v>
      </c>
      <c r="R575" s="2">
        <v>34.6</v>
      </c>
      <c r="S575" s="2">
        <v>33.25</v>
      </c>
      <c r="T575" s="2">
        <v>194.47</v>
      </c>
      <c r="U575" s="2">
        <v>10.5</v>
      </c>
      <c r="V575" s="2">
        <v>55.01</v>
      </c>
      <c r="W575" s="2">
        <v>30.39</v>
      </c>
      <c r="X575" s="2">
        <v>17.87</v>
      </c>
      <c r="Y575" s="2">
        <v>17.8</v>
      </c>
      <c r="Z575" s="2">
        <v>0.81</v>
      </c>
      <c r="AA575" s="2">
        <v>6.31</v>
      </c>
      <c r="AB575" s="2">
        <v>1.21</v>
      </c>
      <c r="AC575" s="2">
        <v>11.37</v>
      </c>
      <c r="AD575" s="2">
        <v>11.37</v>
      </c>
      <c r="AE575" s="2">
        <v>0</v>
      </c>
      <c r="AF575" s="2">
        <v>116.73</v>
      </c>
      <c r="AG575" s="2">
        <v>24.8</v>
      </c>
      <c r="AH575" s="4">
        <f t="shared" si="8"/>
        <v>220.49999999999997</v>
      </c>
    </row>
    <row r="576" spans="1:34" x14ac:dyDescent="0.2">
      <c r="A576" s="3">
        <v>25446</v>
      </c>
      <c r="B576" s="2">
        <v>4.08</v>
      </c>
      <c r="C576" s="2">
        <v>27.41</v>
      </c>
      <c r="D576" s="2">
        <v>-14.42</v>
      </c>
      <c r="E576" s="2">
        <v>-25.77</v>
      </c>
      <c r="F576" s="2">
        <v>20.48</v>
      </c>
      <c r="G576" s="2">
        <v>20.5</v>
      </c>
      <c r="H576" s="2">
        <v>15.72</v>
      </c>
      <c r="I576" s="2">
        <v>43.34</v>
      </c>
      <c r="J576" s="2">
        <v>-37.92</v>
      </c>
      <c r="K576" s="2">
        <v>-38.67</v>
      </c>
      <c r="L576" s="2">
        <v>-48.9</v>
      </c>
      <c r="M576" s="2">
        <v>-20.27</v>
      </c>
      <c r="N576" s="2">
        <v>19.489999999999998</v>
      </c>
      <c r="O576" s="2">
        <v>68.040000000000006</v>
      </c>
      <c r="P576" s="2">
        <v>60.36</v>
      </c>
      <c r="Q576" s="2">
        <v>13.72</v>
      </c>
      <c r="R576" s="2">
        <v>28.19</v>
      </c>
      <c r="S576" s="2">
        <v>20.239999999999998</v>
      </c>
      <c r="T576" s="2">
        <v>158.94999999999999</v>
      </c>
      <c r="U576" s="2">
        <v>13.54</v>
      </c>
      <c r="V576" s="2">
        <v>54.03</v>
      </c>
      <c r="W576" s="2">
        <v>31.47</v>
      </c>
      <c r="X576" s="2">
        <v>20.170000000000002</v>
      </c>
      <c r="Y576" s="2">
        <v>20.260000000000002</v>
      </c>
      <c r="Z576" s="2">
        <v>0</v>
      </c>
      <c r="AA576" s="2">
        <v>0</v>
      </c>
      <c r="AB576" s="2">
        <v>0.35</v>
      </c>
      <c r="AC576" s="2">
        <v>0.68</v>
      </c>
      <c r="AD576" s="2">
        <v>9</v>
      </c>
      <c r="AE576" s="2">
        <v>0</v>
      </c>
      <c r="AF576" s="2">
        <v>118.71</v>
      </c>
      <c r="AG576" s="2">
        <v>23.65</v>
      </c>
      <c r="AH576" s="4">
        <f t="shared" si="8"/>
        <v>382.14</v>
      </c>
    </row>
    <row r="577" spans="1:34" x14ac:dyDescent="0.2">
      <c r="A577" s="3">
        <v>25476</v>
      </c>
      <c r="B577" s="2">
        <v>1.78</v>
      </c>
      <c r="C577" s="2">
        <v>24.67</v>
      </c>
      <c r="D577" s="2">
        <v>-8.34</v>
      </c>
      <c r="E577" s="2">
        <v>-26.15</v>
      </c>
      <c r="F577" s="2">
        <v>3.75</v>
      </c>
      <c r="G577" s="2">
        <v>17.75</v>
      </c>
      <c r="H577" s="2">
        <v>19.91</v>
      </c>
      <c r="I577" s="2">
        <v>54.1</v>
      </c>
      <c r="J577" s="2">
        <v>-4.29</v>
      </c>
      <c r="K577" s="2">
        <v>-16.100000000000001</v>
      </c>
      <c r="L577" s="2">
        <v>-10.56</v>
      </c>
      <c r="M577" s="2">
        <v>2</v>
      </c>
      <c r="N577" s="2">
        <v>39.51</v>
      </c>
      <c r="O577" s="2">
        <v>21.07</v>
      </c>
      <c r="P577" s="2">
        <v>20.149999999999999</v>
      </c>
      <c r="Q577" s="2">
        <v>15.8</v>
      </c>
      <c r="R577" s="2">
        <v>25</v>
      </c>
      <c r="S577" s="2">
        <v>15.43</v>
      </c>
      <c r="T577" s="2">
        <v>61.21</v>
      </c>
      <c r="U577" s="2">
        <v>13.26</v>
      </c>
      <c r="V577" s="2">
        <v>31.34</v>
      </c>
      <c r="W577" s="2">
        <v>26.1</v>
      </c>
      <c r="X577" s="2">
        <v>19.16</v>
      </c>
      <c r="Y577" s="2">
        <v>19.02</v>
      </c>
      <c r="Z577" s="2">
        <v>0</v>
      </c>
      <c r="AA577" s="2">
        <v>18.100000000000001</v>
      </c>
      <c r="AB577" s="2">
        <v>0.17</v>
      </c>
      <c r="AC577" s="2">
        <v>9.07</v>
      </c>
      <c r="AD577" s="2">
        <v>6.22</v>
      </c>
      <c r="AE577" s="2">
        <v>1.31</v>
      </c>
      <c r="AF577" s="2">
        <v>110.57</v>
      </c>
      <c r="AG577" s="2">
        <v>20.170000000000002</v>
      </c>
      <c r="AH577" s="4">
        <f t="shared" si="8"/>
        <v>301.28999999999996</v>
      </c>
    </row>
    <row r="578" spans="1:34" x14ac:dyDescent="0.2">
      <c r="A578" s="3">
        <v>25507</v>
      </c>
      <c r="B578" s="2">
        <v>2.29</v>
      </c>
      <c r="C578" s="2">
        <v>22.42</v>
      </c>
      <c r="D578" s="2">
        <v>-8.36</v>
      </c>
      <c r="E578" s="2">
        <v>-22.34</v>
      </c>
      <c r="F578" s="2">
        <v>-23.56</v>
      </c>
      <c r="G578" s="2">
        <v>13.08</v>
      </c>
      <c r="H578" s="2">
        <v>13.53</v>
      </c>
      <c r="I578" s="2">
        <v>51.5</v>
      </c>
      <c r="J578" s="2">
        <v>8.25</v>
      </c>
      <c r="K578" s="2">
        <v>-6.31</v>
      </c>
      <c r="L578" s="2">
        <v>12.06</v>
      </c>
      <c r="M578" s="2">
        <v>11.4</v>
      </c>
      <c r="N578" s="2">
        <v>28.24</v>
      </c>
      <c r="O578" s="2">
        <v>22.4</v>
      </c>
      <c r="P578" s="2">
        <v>23.33</v>
      </c>
      <c r="Q578" s="2">
        <v>6.24</v>
      </c>
      <c r="R578" s="2">
        <v>10.34</v>
      </c>
      <c r="S578" s="2">
        <v>11.03</v>
      </c>
      <c r="T578" s="2">
        <v>36.97</v>
      </c>
      <c r="U578" s="2">
        <v>12.56</v>
      </c>
      <c r="V578" s="2">
        <v>29.58</v>
      </c>
      <c r="W578" s="2">
        <v>22.19</v>
      </c>
      <c r="X578" s="2">
        <v>17.77</v>
      </c>
      <c r="Y578" s="2">
        <v>17.600000000000001</v>
      </c>
      <c r="Z578" s="2">
        <v>3.35</v>
      </c>
      <c r="AA578" s="2">
        <v>0</v>
      </c>
      <c r="AB578" s="2">
        <v>0</v>
      </c>
      <c r="AC578" s="2">
        <v>0</v>
      </c>
      <c r="AD578" s="2">
        <v>1.88</v>
      </c>
      <c r="AE578" s="2">
        <v>5.78</v>
      </c>
      <c r="AF578" s="2">
        <v>100.29</v>
      </c>
      <c r="AG578" s="2">
        <v>16.420000000000002</v>
      </c>
      <c r="AH578" s="4">
        <f t="shared" si="8"/>
        <v>254.65000000000003</v>
      </c>
    </row>
    <row r="579" spans="1:34" x14ac:dyDescent="0.2">
      <c r="A579" s="3">
        <v>25537</v>
      </c>
      <c r="B579" s="2">
        <v>2.1</v>
      </c>
      <c r="C579" s="2">
        <v>18.989999999999998</v>
      </c>
      <c r="D579" s="2">
        <v>-5.34</v>
      </c>
      <c r="E579" s="2">
        <v>-14.16</v>
      </c>
      <c r="F579" s="2">
        <v>-6.71</v>
      </c>
      <c r="G579" s="2">
        <v>10.46</v>
      </c>
      <c r="H579" s="2">
        <v>13.58</v>
      </c>
      <c r="I579" s="2">
        <v>42.85</v>
      </c>
      <c r="J579" s="2">
        <v>8.5</v>
      </c>
      <c r="K579" s="2">
        <v>-5.39</v>
      </c>
      <c r="L579" s="2">
        <v>-2.9</v>
      </c>
      <c r="M579" s="2">
        <v>6.14</v>
      </c>
      <c r="N579" s="2">
        <v>21.03</v>
      </c>
      <c r="O579" s="2">
        <v>17.53</v>
      </c>
      <c r="P579" s="2">
        <v>15.41</v>
      </c>
      <c r="Q579" s="2">
        <v>3.16</v>
      </c>
      <c r="R579" s="2">
        <v>2.0299999999999998</v>
      </c>
      <c r="S579" s="2">
        <v>1.34</v>
      </c>
      <c r="T579" s="2">
        <v>21.59</v>
      </c>
      <c r="U579" s="2">
        <v>13.09</v>
      </c>
      <c r="V579" s="2">
        <v>25.31</v>
      </c>
      <c r="W579" s="2">
        <v>15.43</v>
      </c>
      <c r="X579" s="2">
        <v>11.67</v>
      </c>
      <c r="Y579" s="2">
        <v>10.45</v>
      </c>
      <c r="Z579" s="2">
        <v>0</v>
      </c>
      <c r="AA579" s="2">
        <v>10.32</v>
      </c>
      <c r="AB579" s="2">
        <v>0.03</v>
      </c>
      <c r="AC579" s="2">
        <v>4.5999999999999996</v>
      </c>
      <c r="AD579" s="2">
        <v>0.95</v>
      </c>
      <c r="AE579" s="2">
        <v>8.67</v>
      </c>
      <c r="AF579" s="2">
        <v>65.81</v>
      </c>
      <c r="AG579" s="2">
        <v>12.92</v>
      </c>
      <c r="AH579" s="4">
        <f t="shared" ref="AH579:AH642" si="9">SUM(B579:V579)</f>
        <v>188.61</v>
      </c>
    </row>
    <row r="580" spans="1:34" x14ac:dyDescent="0.2">
      <c r="A580" s="3">
        <v>25568</v>
      </c>
      <c r="B580" s="2">
        <v>11.01</v>
      </c>
      <c r="C580" s="2">
        <v>34.56</v>
      </c>
      <c r="D580" s="2">
        <v>46.71</v>
      </c>
      <c r="E580" s="2">
        <v>144.97</v>
      </c>
      <c r="F580" s="2">
        <v>119.14</v>
      </c>
      <c r="G580" s="2">
        <v>153.63</v>
      </c>
      <c r="H580" s="2">
        <v>43.07</v>
      </c>
      <c r="I580" s="2">
        <v>52.67</v>
      </c>
      <c r="J580" s="2">
        <v>38.159999999999997</v>
      </c>
      <c r="K580" s="2">
        <v>-1.91</v>
      </c>
      <c r="L580" s="2">
        <v>9.2100000000000009</v>
      </c>
      <c r="M580" s="2">
        <v>0.03</v>
      </c>
      <c r="N580" s="2">
        <v>20.76</v>
      </c>
      <c r="O580" s="2">
        <v>17.18</v>
      </c>
      <c r="P580" s="2">
        <v>21.13</v>
      </c>
      <c r="Q580" s="2">
        <v>3.65</v>
      </c>
      <c r="R580" s="2">
        <v>2.06</v>
      </c>
      <c r="S580" s="2">
        <v>7.21</v>
      </c>
      <c r="T580" s="2">
        <v>11.44</v>
      </c>
      <c r="U580" s="2">
        <v>8.86</v>
      </c>
      <c r="V580" s="2">
        <v>16.88</v>
      </c>
      <c r="W580" s="2">
        <v>11.73</v>
      </c>
      <c r="X580" s="2">
        <v>9.49</v>
      </c>
      <c r="Y580" s="2">
        <v>9.49</v>
      </c>
      <c r="Z580" s="2">
        <v>0</v>
      </c>
      <c r="AA580" s="2">
        <v>1.74</v>
      </c>
      <c r="AB580" s="2">
        <v>0.7</v>
      </c>
      <c r="AC580" s="2">
        <v>0</v>
      </c>
      <c r="AD580" s="2">
        <v>0.98</v>
      </c>
      <c r="AE580" s="2">
        <v>14.64</v>
      </c>
      <c r="AF580" s="2">
        <v>60.46</v>
      </c>
      <c r="AG580" s="2">
        <v>11.2</v>
      </c>
      <c r="AH580" s="4">
        <f t="shared" si="9"/>
        <v>760.42</v>
      </c>
    </row>
    <row r="581" spans="1:34" x14ac:dyDescent="0.2">
      <c r="A581" s="3">
        <v>25599</v>
      </c>
      <c r="B581" s="2">
        <v>23.72</v>
      </c>
      <c r="C581" s="2">
        <v>68.739999999999995</v>
      </c>
      <c r="D581" s="2">
        <v>102.82</v>
      </c>
      <c r="E581" s="2">
        <v>359.33</v>
      </c>
      <c r="F581" s="2">
        <v>395.78</v>
      </c>
      <c r="G581" s="2">
        <v>304.81</v>
      </c>
      <c r="H581" s="2">
        <v>47.89</v>
      </c>
      <c r="I581" s="2">
        <v>67.55</v>
      </c>
      <c r="J581" s="2">
        <v>109.41</v>
      </c>
      <c r="K581" s="2">
        <v>73.89</v>
      </c>
      <c r="L581" s="2">
        <v>82.37</v>
      </c>
      <c r="M581" s="2">
        <v>44</v>
      </c>
      <c r="N581" s="2">
        <v>72.8</v>
      </c>
      <c r="O581" s="2">
        <v>21.1</v>
      </c>
      <c r="P581" s="2">
        <v>44.45</v>
      </c>
      <c r="Q581" s="2">
        <v>3.61</v>
      </c>
      <c r="R581" s="2">
        <v>9.8000000000000007</v>
      </c>
      <c r="S581" s="2">
        <v>37.49</v>
      </c>
      <c r="T581" s="2">
        <v>4.51</v>
      </c>
      <c r="U581" s="2">
        <v>7.27</v>
      </c>
      <c r="V581" s="2">
        <v>23.06</v>
      </c>
      <c r="W581" s="2">
        <v>4.26</v>
      </c>
      <c r="X581" s="2">
        <v>9.74</v>
      </c>
      <c r="Y581" s="2">
        <v>8.4</v>
      </c>
      <c r="Z581" s="2">
        <v>1.24</v>
      </c>
      <c r="AA581" s="2">
        <v>12.62</v>
      </c>
      <c r="AB581" s="2">
        <v>5.51</v>
      </c>
      <c r="AC581" s="2">
        <v>4.47</v>
      </c>
      <c r="AD581" s="2">
        <v>1.1399999999999999</v>
      </c>
      <c r="AE581" s="2">
        <v>37.47</v>
      </c>
      <c r="AF581" s="2">
        <v>69.56</v>
      </c>
      <c r="AG581" s="2">
        <v>9.8800000000000008</v>
      </c>
      <c r="AH581" s="4">
        <f t="shared" si="9"/>
        <v>1904.3999999999996</v>
      </c>
    </row>
    <row r="582" spans="1:34" x14ac:dyDescent="0.2">
      <c r="A582" s="3">
        <v>25627</v>
      </c>
      <c r="B582" s="2">
        <v>17.37</v>
      </c>
      <c r="C582" s="2">
        <v>34.880000000000003</v>
      </c>
      <c r="D582" s="2">
        <v>-35.479999999999997</v>
      </c>
      <c r="E582" s="2">
        <v>-116.17</v>
      </c>
      <c r="F582" s="2">
        <v>-151.02000000000001</v>
      </c>
      <c r="G582" s="2">
        <v>-9.32</v>
      </c>
      <c r="H582" s="2">
        <v>2</v>
      </c>
      <c r="I582" s="2">
        <v>51.55</v>
      </c>
      <c r="J582" s="2">
        <v>-6.71</v>
      </c>
      <c r="K582" s="2">
        <v>-19.940000000000001</v>
      </c>
      <c r="L582" s="2">
        <v>-24.46</v>
      </c>
      <c r="M582" s="2">
        <v>-14.81</v>
      </c>
      <c r="N582" s="2">
        <v>27.08</v>
      </c>
      <c r="O582" s="2">
        <v>16.71</v>
      </c>
      <c r="P582" s="2">
        <v>-2.16</v>
      </c>
      <c r="Q582" s="2">
        <v>5.82</v>
      </c>
      <c r="R582" s="2">
        <v>6.97</v>
      </c>
      <c r="S582" s="2">
        <v>-6.05</v>
      </c>
      <c r="T582" s="2">
        <v>3.61</v>
      </c>
      <c r="U582" s="2">
        <v>11.64</v>
      </c>
      <c r="V582" s="2">
        <v>20.39</v>
      </c>
      <c r="W582" s="2">
        <v>0</v>
      </c>
      <c r="X582" s="2">
        <v>3.23</v>
      </c>
      <c r="Y582" s="2">
        <v>3.24</v>
      </c>
      <c r="Z582" s="2">
        <v>3.68</v>
      </c>
      <c r="AA582" s="2">
        <v>6.45</v>
      </c>
      <c r="AB582" s="2">
        <v>2.34</v>
      </c>
      <c r="AC582" s="2">
        <v>3.79</v>
      </c>
      <c r="AD582" s="2">
        <v>1.4</v>
      </c>
      <c r="AE582" s="2">
        <v>13.52</v>
      </c>
      <c r="AF582" s="2">
        <v>57.98</v>
      </c>
      <c r="AG582" s="2">
        <v>10.08</v>
      </c>
      <c r="AH582" s="4">
        <f t="shared" si="9"/>
        <v>-188.10000000000002</v>
      </c>
    </row>
    <row r="583" spans="1:34" x14ac:dyDescent="0.2">
      <c r="A583" s="3">
        <v>25658</v>
      </c>
      <c r="B583" s="2">
        <v>7.25</v>
      </c>
      <c r="C583" s="2">
        <v>27.16</v>
      </c>
      <c r="D583" s="2">
        <v>-39.04</v>
      </c>
      <c r="E583" s="2">
        <v>-123.74</v>
      </c>
      <c r="F583" s="2">
        <v>-69.709999999999994</v>
      </c>
      <c r="G583" s="2">
        <v>-112.96</v>
      </c>
      <c r="H583" s="2">
        <v>13.97</v>
      </c>
      <c r="I583" s="2">
        <v>50.37</v>
      </c>
      <c r="J583" s="2">
        <v>-9.8800000000000008</v>
      </c>
      <c r="K583" s="2">
        <v>-1.91</v>
      </c>
      <c r="L583" s="2">
        <v>-10.33</v>
      </c>
      <c r="M583" s="2">
        <v>-2.27</v>
      </c>
      <c r="N583" s="2">
        <v>50.89</v>
      </c>
      <c r="O583" s="2">
        <v>18.52</v>
      </c>
      <c r="P583" s="2">
        <v>72.13</v>
      </c>
      <c r="Q583" s="2">
        <v>3.26</v>
      </c>
      <c r="R583" s="2">
        <v>1.45</v>
      </c>
      <c r="S583" s="2">
        <v>-2.63</v>
      </c>
      <c r="T583" s="2">
        <v>30.54</v>
      </c>
      <c r="U583" s="2">
        <v>1.73</v>
      </c>
      <c r="V583" s="2">
        <v>25.63</v>
      </c>
      <c r="W583" s="2">
        <v>0</v>
      </c>
      <c r="X583" s="2">
        <v>4.0999999999999996</v>
      </c>
      <c r="Y583" s="2">
        <v>3.11</v>
      </c>
      <c r="Z583" s="2">
        <v>3.06</v>
      </c>
      <c r="AA583" s="2">
        <v>12.9</v>
      </c>
      <c r="AB583" s="2">
        <v>0.52</v>
      </c>
      <c r="AC583" s="2">
        <v>6.36</v>
      </c>
      <c r="AD583" s="2">
        <v>2.93</v>
      </c>
      <c r="AE583" s="2">
        <v>21.07</v>
      </c>
      <c r="AF583" s="2">
        <v>68.42</v>
      </c>
      <c r="AG583" s="2">
        <v>10.69</v>
      </c>
      <c r="AH583" s="4">
        <f t="shared" si="9"/>
        <v>-69.569999999999922</v>
      </c>
    </row>
    <row r="584" spans="1:34" x14ac:dyDescent="0.2">
      <c r="A584" s="3">
        <v>25688</v>
      </c>
      <c r="B584" s="2">
        <v>3.5</v>
      </c>
      <c r="C584" s="2">
        <v>24.07</v>
      </c>
      <c r="D584" s="2">
        <v>-27.52</v>
      </c>
      <c r="E584" s="2">
        <v>-97.14</v>
      </c>
      <c r="F584" s="2">
        <v>-91.9</v>
      </c>
      <c r="G584" s="2">
        <v>-69.72</v>
      </c>
      <c r="H584" s="2">
        <v>-8.2100000000000009</v>
      </c>
      <c r="I584" s="2">
        <v>43.52</v>
      </c>
      <c r="J584" s="2">
        <v>-35.770000000000003</v>
      </c>
      <c r="K584" s="2">
        <v>-28.98</v>
      </c>
      <c r="L584" s="2">
        <v>-46.59</v>
      </c>
      <c r="M584" s="2">
        <v>-18.34</v>
      </c>
      <c r="N584" s="2">
        <v>16.86</v>
      </c>
      <c r="O584" s="2">
        <v>14.31</v>
      </c>
      <c r="P584" s="2">
        <v>43.31</v>
      </c>
      <c r="Q584" s="2">
        <v>0.08</v>
      </c>
      <c r="R584" s="2">
        <v>6.41</v>
      </c>
      <c r="S584" s="2">
        <v>-8.25</v>
      </c>
      <c r="T584" s="2">
        <v>22.62</v>
      </c>
      <c r="U584" s="2">
        <v>6.3</v>
      </c>
      <c r="V584" s="2">
        <v>25.09</v>
      </c>
      <c r="W584" s="2">
        <v>0</v>
      </c>
      <c r="X584" s="2">
        <v>5</v>
      </c>
      <c r="Y584" s="2">
        <v>4.29</v>
      </c>
      <c r="Z584" s="2">
        <v>0.24</v>
      </c>
      <c r="AA584" s="2">
        <v>0</v>
      </c>
      <c r="AB584" s="2">
        <v>0</v>
      </c>
      <c r="AC584" s="2">
        <v>0.27</v>
      </c>
      <c r="AD584" s="2">
        <v>4.0199999999999996</v>
      </c>
      <c r="AE584" s="2">
        <v>1.96</v>
      </c>
      <c r="AF584" s="2">
        <v>84.67</v>
      </c>
      <c r="AG584" s="2">
        <v>14.64</v>
      </c>
      <c r="AH584" s="4">
        <f t="shared" si="9"/>
        <v>-226.34999999999994</v>
      </c>
    </row>
    <row r="585" spans="1:34" x14ac:dyDescent="0.2">
      <c r="A585" s="3">
        <v>25719</v>
      </c>
      <c r="B585" s="2">
        <v>3.17</v>
      </c>
      <c r="C585" s="2">
        <v>18.87</v>
      </c>
      <c r="D585" s="2">
        <v>-15.09</v>
      </c>
      <c r="E585" s="2">
        <v>-59.12</v>
      </c>
      <c r="F585" s="2">
        <v>-31.46</v>
      </c>
      <c r="G585" s="2">
        <v>-29.51</v>
      </c>
      <c r="H585" s="2">
        <v>2.42</v>
      </c>
      <c r="I585" s="2">
        <v>32.18</v>
      </c>
      <c r="J585" s="2">
        <v>-20.21</v>
      </c>
      <c r="K585" s="2">
        <v>-11.47</v>
      </c>
      <c r="L585" s="2">
        <v>5.9</v>
      </c>
      <c r="M585" s="2">
        <v>1.07</v>
      </c>
      <c r="N585" s="2">
        <v>23.3</v>
      </c>
      <c r="O585" s="2">
        <v>20.079999999999998</v>
      </c>
      <c r="P585" s="2">
        <v>47.63</v>
      </c>
      <c r="Q585" s="2">
        <v>-0.26</v>
      </c>
      <c r="R585" s="2">
        <v>4.0199999999999996</v>
      </c>
      <c r="S585" s="2">
        <v>14.96</v>
      </c>
      <c r="T585" s="2">
        <v>50.4</v>
      </c>
      <c r="U585" s="2">
        <v>2.9</v>
      </c>
      <c r="V585" s="2">
        <v>37.06</v>
      </c>
      <c r="W585" s="2">
        <v>4.88</v>
      </c>
      <c r="X585" s="2">
        <v>7.97</v>
      </c>
      <c r="Y585" s="2">
        <v>6.61</v>
      </c>
      <c r="Z585" s="2">
        <v>0</v>
      </c>
      <c r="AA585" s="2">
        <v>0</v>
      </c>
      <c r="AB585" s="2">
        <v>0.09</v>
      </c>
      <c r="AC585" s="2">
        <v>0</v>
      </c>
      <c r="AD585" s="2">
        <v>8.67</v>
      </c>
      <c r="AE585" s="2">
        <v>0.19</v>
      </c>
      <c r="AF585" s="2">
        <v>95.62</v>
      </c>
      <c r="AG585" s="2">
        <v>17.690000000000001</v>
      </c>
      <c r="AH585" s="4">
        <f t="shared" si="9"/>
        <v>96.84</v>
      </c>
    </row>
    <row r="586" spans="1:34" x14ac:dyDescent="0.2">
      <c r="A586" s="3">
        <v>25749</v>
      </c>
      <c r="B586" s="2">
        <v>3.97</v>
      </c>
      <c r="C586" s="2">
        <v>25.74</v>
      </c>
      <c r="D586" s="2">
        <v>-13.98</v>
      </c>
      <c r="E586" s="2">
        <v>-48.9</v>
      </c>
      <c r="F586" s="2">
        <v>-13.87</v>
      </c>
      <c r="G586" s="2">
        <v>-5.91</v>
      </c>
      <c r="H586" s="2">
        <v>8.57</v>
      </c>
      <c r="I586" s="2">
        <v>34.04</v>
      </c>
      <c r="J586" s="2">
        <v>-14.99</v>
      </c>
      <c r="K586" s="2">
        <v>1.67</v>
      </c>
      <c r="L586" s="2">
        <v>15.77</v>
      </c>
      <c r="M586" s="2">
        <v>17.61</v>
      </c>
      <c r="N586" s="2">
        <v>33.450000000000003</v>
      </c>
      <c r="O586" s="2">
        <v>41.54</v>
      </c>
      <c r="P586" s="2">
        <v>110.79</v>
      </c>
      <c r="Q586" s="2">
        <v>7.23</v>
      </c>
      <c r="R586" s="2">
        <v>4.7300000000000004</v>
      </c>
      <c r="S586" s="2">
        <v>36.32</v>
      </c>
      <c r="T586" s="2">
        <v>104.58</v>
      </c>
      <c r="U586" s="2">
        <v>7.3</v>
      </c>
      <c r="V586" s="2">
        <v>48.4</v>
      </c>
      <c r="W586" s="2">
        <v>18.62</v>
      </c>
      <c r="X586" s="2">
        <v>13.31</v>
      </c>
      <c r="Y586" s="2">
        <v>12.62</v>
      </c>
      <c r="Z586" s="2">
        <v>0</v>
      </c>
      <c r="AA586" s="2">
        <v>0</v>
      </c>
      <c r="AB586" s="2">
        <v>0</v>
      </c>
      <c r="AC586" s="2">
        <v>0</v>
      </c>
      <c r="AD586" s="2">
        <v>11.84</v>
      </c>
      <c r="AE586" s="2">
        <v>0.93</v>
      </c>
      <c r="AF586" s="2">
        <v>104.64</v>
      </c>
      <c r="AG586" s="2">
        <v>22.83</v>
      </c>
      <c r="AH586" s="4">
        <f t="shared" si="9"/>
        <v>404.05999999999995</v>
      </c>
    </row>
    <row r="587" spans="1:34" x14ac:dyDescent="0.2">
      <c r="A587" s="3">
        <v>25780</v>
      </c>
      <c r="B587" s="2">
        <v>3.29</v>
      </c>
      <c r="C587" s="2">
        <v>24.2</v>
      </c>
      <c r="D587" s="2">
        <v>-11.91</v>
      </c>
      <c r="E587" s="2">
        <v>-31.38</v>
      </c>
      <c r="F587" s="2">
        <v>-0.61</v>
      </c>
      <c r="G587" s="2">
        <v>16.34</v>
      </c>
      <c r="H587" s="2">
        <v>12.61</v>
      </c>
      <c r="I587" s="2">
        <v>38.9</v>
      </c>
      <c r="J587" s="2">
        <v>-16.989999999999998</v>
      </c>
      <c r="K587" s="2">
        <v>-7.99</v>
      </c>
      <c r="L587" s="2">
        <v>-21.36</v>
      </c>
      <c r="M587" s="2">
        <v>3.49</v>
      </c>
      <c r="N587" s="2">
        <v>35.75</v>
      </c>
      <c r="O587" s="2">
        <v>60.48</v>
      </c>
      <c r="P587" s="2">
        <v>90.63</v>
      </c>
      <c r="Q587" s="2">
        <v>7.61</v>
      </c>
      <c r="R587" s="2">
        <v>6.09</v>
      </c>
      <c r="S587" s="2">
        <v>49.31</v>
      </c>
      <c r="T587" s="2">
        <v>87.93</v>
      </c>
      <c r="U587" s="2">
        <v>19.079999999999998</v>
      </c>
      <c r="V587" s="2">
        <v>55.37</v>
      </c>
      <c r="W587" s="2">
        <v>30.39</v>
      </c>
      <c r="X587" s="2">
        <v>18.54</v>
      </c>
      <c r="Y587" s="2">
        <v>18.239999999999998</v>
      </c>
      <c r="Z587" s="2">
        <v>0.14000000000000001</v>
      </c>
      <c r="AA587" s="2">
        <v>10.75</v>
      </c>
      <c r="AB587" s="2">
        <v>0.55000000000000004</v>
      </c>
      <c r="AC587" s="2">
        <v>1.49</v>
      </c>
      <c r="AD587" s="2">
        <v>10.67</v>
      </c>
      <c r="AE587" s="2">
        <v>0</v>
      </c>
      <c r="AF587" s="2">
        <v>113.96</v>
      </c>
      <c r="AG587" s="2">
        <v>24.8</v>
      </c>
      <c r="AH587" s="4">
        <f t="shared" si="9"/>
        <v>420.84000000000003</v>
      </c>
    </row>
    <row r="588" spans="1:34" x14ac:dyDescent="0.2">
      <c r="A588" s="3">
        <v>25811</v>
      </c>
      <c r="B588" s="2">
        <v>1.59</v>
      </c>
      <c r="C588" s="2">
        <v>21.61</v>
      </c>
      <c r="D588" s="2">
        <v>-13.55</v>
      </c>
      <c r="E588" s="2">
        <v>-35.64</v>
      </c>
      <c r="F588" s="2">
        <v>16.54</v>
      </c>
      <c r="G588" s="2">
        <v>25.5</v>
      </c>
      <c r="H588" s="2">
        <v>15.82</v>
      </c>
      <c r="I588" s="2">
        <v>38.659999999999997</v>
      </c>
      <c r="J588" s="2">
        <v>-6.33</v>
      </c>
      <c r="K588" s="2">
        <v>-8.0399999999999991</v>
      </c>
      <c r="L588" s="2">
        <v>-9.07</v>
      </c>
      <c r="M588" s="2">
        <v>5.28</v>
      </c>
      <c r="N588" s="2">
        <v>34.85</v>
      </c>
      <c r="O588" s="2">
        <v>64.260000000000005</v>
      </c>
      <c r="P588" s="2">
        <v>88.02</v>
      </c>
      <c r="Q588" s="2">
        <v>0.38</v>
      </c>
      <c r="R588" s="2">
        <v>8.18</v>
      </c>
      <c r="S588" s="2">
        <v>33.93</v>
      </c>
      <c r="T588" s="2">
        <v>69.569999999999993</v>
      </c>
      <c r="U588" s="2">
        <v>16.79</v>
      </c>
      <c r="V588" s="2">
        <v>51.31</v>
      </c>
      <c r="W588" s="2">
        <v>31.47</v>
      </c>
      <c r="X588" s="2">
        <v>20.86</v>
      </c>
      <c r="Y588" s="2">
        <v>20.68</v>
      </c>
      <c r="Z588" s="2">
        <v>0</v>
      </c>
      <c r="AA588" s="2">
        <v>12.04</v>
      </c>
      <c r="AB588" s="2">
        <v>0.27</v>
      </c>
      <c r="AC588" s="2">
        <v>1.08</v>
      </c>
      <c r="AD588" s="2">
        <v>6.97</v>
      </c>
      <c r="AE588" s="2">
        <v>0</v>
      </c>
      <c r="AF588" s="2">
        <v>115.89</v>
      </c>
      <c r="AG588" s="2">
        <v>23.65</v>
      </c>
      <c r="AH588" s="4">
        <f t="shared" si="9"/>
        <v>419.66</v>
      </c>
    </row>
    <row r="589" spans="1:34" x14ac:dyDescent="0.2">
      <c r="A589" s="3">
        <v>25841</v>
      </c>
      <c r="B589" s="2">
        <v>-0.86</v>
      </c>
      <c r="C589" s="2">
        <v>22.9</v>
      </c>
      <c r="D589" s="2">
        <v>-9.5</v>
      </c>
      <c r="E589" s="2">
        <v>-24.73</v>
      </c>
      <c r="F589" s="2">
        <v>3.64</v>
      </c>
      <c r="G589" s="2">
        <v>20.16</v>
      </c>
      <c r="H589" s="2">
        <v>21.22</v>
      </c>
      <c r="I589" s="2">
        <v>48.54</v>
      </c>
      <c r="J589" s="2">
        <v>8.11</v>
      </c>
      <c r="K589" s="2">
        <v>-6.55</v>
      </c>
      <c r="L589" s="2">
        <v>-6.01</v>
      </c>
      <c r="M589" s="2">
        <v>1.39</v>
      </c>
      <c r="N589" s="2">
        <v>40.840000000000003</v>
      </c>
      <c r="O589" s="2">
        <v>16.63</v>
      </c>
      <c r="P589" s="2">
        <v>47.69</v>
      </c>
      <c r="Q589" s="2">
        <v>5.09</v>
      </c>
      <c r="R589" s="2">
        <v>9.8800000000000008</v>
      </c>
      <c r="S589" s="2">
        <v>5.62</v>
      </c>
      <c r="T589" s="2">
        <v>16.02</v>
      </c>
      <c r="U589" s="2">
        <v>9.82</v>
      </c>
      <c r="V589" s="2">
        <v>19.28</v>
      </c>
      <c r="W589" s="2">
        <v>26.1</v>
      </c>
      <c r="X589" s="2">
        <v>19.829999999999998</v>
      </c>
      <c r="Y589" s="2">
        <v>19.440000000000001</v>
      </c>
      <c r="Z589" s="2">
        <v>0</v>
      </c>
      <c r="AA589" s="2">
        <v>5.22</v>
      </c>
      <c r="AB589" s="2">
        <v>0</v>
      </c>
      <c r="AC589" s="2">
        <v>0</v>
      </c>
      <c r="AD589" s="2">
        <v>4.07</v>
      </c>
      <c r="AE589" s="2">
        <v>0</v>
      </c>
      <c r="AF589" s="2">
        <v>107.95</v>
      </c>
      <c r="AG589" s="2">
        <v>20.170000000000002</v>
      </c>
      <c r="AH589" s="4">
        <f t="shared" si="9"/>
        <v>249.18</v>
      </c>
    </row>
    <row r="590" spans="1:34" x14ac:dyDescent="0.2">
      <c r="A590" s="3">
        <v>25872</v>
      </c>
      <c r="B590" s="2">
        <v>1.38</v>
      </c>
      <c r="C590" s="2">
        <v>21.21</v>
      </c>
      <c r="D590" s="2">
        <v>-3.24</v>
      </c>
      <c r="E590" s="2">
        <v>-14.81</v>
      </c>
      <c r="F590" s="2">
        <v>-12.9</v>
      </c>
      <c r="G590" s="2">
        <v>16</v>
      </c>
      <c r="H590" s="2">
        <v>16.27</v>
      </c>
      <c r="I590" s="2">
        <v>47.25</v>
      </c>
      <c r="J590" s="2">
        <v>5.65</v>
      </c>
      <c r="K590" s="2">
        <v>-3.89</v>
      </c>
      <c r="L590" s="2">
        <v>-4.91</v>
      </c>
      <c r="M590" s="2">
        <v>-3.44</v>
      </c>
      <c r="N590" s="2">
        <v>27.59</v>
      </c>
      <c r="O590" s="2">
        <v>17.84</v>
      </c>
      <c r="P590" s="2">
        <v>39.22</v>
      </c>
      <c r="Q590" s="2">
        <v>2.65</v>
      </c>
      <c r="R590" s="2">
        <v>4.29</v>
      </c>
      <c r="S590" s="2">
        <v>4.22</v>
      </c>
      <c r="T590" s="2">
        <v>19.87</v>
      </c>
      <c r="U590" s="2">
        <v>5.79</v>
      </c>
      <c r="V590" s="2">
        <v>15.89</v>
      </c>
      <c r="W590" s="2">
        <v>22.19</v>
      </c>
      <c r="X590" s="2">
        <v>18.38</v>
      </c>
      <c r="Y590" s="2">
        <v>17.98</v>
      </c>
      <c r="Z590" s="2">
        <v>13.69</v>
      </c>
      <c r="AA590" s="2">
        <v>0.72</v>
      </c>
      <c r="AB590" s="2">
        <v>0</v>
      </c>
      <c r="AC590" s="2">
        <v>0</v>
      </c>
      <c r="AD590" s="2">
        <v>3.69</v>
      </c>
      <c r="AE590" s="2">
        <v>3.26</v>
      </c>
      <c r="AF590" s="2">
        <v>97.91</v>
      </c>
      <c r="AG590" s="2">
        <v>16.420000000000002</v>
      </c>
      <c r="AH590" s="4">
        <f t="shared" si="9"/>
        <v>201.93</v>
      </c>
    </row>
    <row r="591" spans="1:34" x14ac:dyDescent="0.2">
      <c r="A591" s="3">
        <v>25902</v>
      </c>
      <c r="B591" s="2">
        <v>6.97</v>
      </c>
      <c r="C591" s="2">
        <v>31.74</v>
      </c>
      <c r="D591" s="2">
        <v>38.6</v>
      </c>
      <c r="E591" s="2">
        <v>95.56</v>
      </c>
      <c r="F591" s="2">
        <v>54.7</v>
      </c>
      <c r="G591" s="2">
        <v>108.37</v>
      </c>
      <c r="H591" s="2">
        <v>35.89</v>
      </c>
      <c r="I591" s="2">
        <v>53.86</v>
      </c>
      <c r="J591" s="2">
        <v>54.26</v>
      </c>
      <c r="K591" s="2">
        <v>48.26</v>
      </c>
      <c r="L591" s="2">
        <v>22.74</v>
      </c>
      <c r="M591" s="2">
        <v>27.98</v>
      </c>
      <c r="N591" s="2">
        <v>46.7</v>
      </c>
      <c r="O591" s="2">
        <v>15.58</v>
      </c>
      <c r="P591" s="2">
        <v>69.209999999999994</v>
      </c>
      <c r="Q591" s="2">
        <v>0.5</v>
      </c>
      <c r="R591" s="2">
        <v>3.76</v>
      </c>
      <c r="S591" s="2">
        <v>43.74</v>
      </c>
      <c r="T591" s="2">
        <v>17.260000000000002</v>
      </c>
      <c r="U591" s="2">
        <v>6.52</v>
      </c>
      <c r="V591" s="2">
        <v>17.190000000000001</v>
      </c>
      <c r="W591" s="2">
        <v>15.43</v>
      </c>
      <c r="X591" s="2">
        <v>11.97</v>
      </c>
      <c r="Y591" s="2">
        <v>10.57</v>
      </c>
      <c r="Z591" s="2">
        <v>9.57</v>
      </c>
      <c r="AA591" s="2">
        <v>1.72</v>
      </c>
      <c r="AB591" s="2">
        <v>3.97</v>
      </c>
      <c r="AC591" s="2">
        <v>6.5</v>
      </c>
      <c r="AD591" s="2">
        <v>2.3199999999999998</v>
      </c>
      <c r="AE591" s="2">
        <v>57.61</v>
      </c>
      <c r="AF591" s="2">
        <v>64.239999999999995</v>
      </c>
      <c r="AG591" s="2">
        <v>12.92</v>
      </c>
      <c r="AH591" s="4">
        <f t="shared" si="9"/>
        <v>799.39000000000021</v>
      </c>
    </row>
    <row r="592" spans="1:34" x14ac:dyDescent="0.2">
      <c r="A592" s="3">
        <v>25933</v>
      </c>
      <c r="B592" s="2">
        <v>14.03</v>
      </c>
      <c r="C592" s="2">
        <v>35.549999999999997</v>
      </c>
      <c r="D592" s="2">
        <v>34.659999999999997</v>
      </c>
      <c r="E592" s="2">
        <v>112.87</v>
      </c>
      <c r="F592" s="2">
        <v>95.19</v>
      </c>
      <c r="G592" s="2">
        <v>150.4</v>
      </c>
      <c r="H592" s="2">
        <v>34.340000000000003</v>
      </c>
      <c r="I592" s="2">
        <v>57.43</v>
      </c>
      <c r="J592" s="2">
        <v>56.78</v>
      </c>
      <c r="K592" s="2">
        <v>19.04</v>
      </c>
      <c r="L592" s="2">
        <v>44.65</v>
      </c>
      <c r="M592" s="2">
        <v>24.94</v>
      </c>
      <c r="N592" s="2">
        <v>37.630000000000003</v>
      </c>
      <c r="O592" s="2">
        <v>13.81</v>
      </c>
      <c r="P592" s="2">
        <v>44.6</v>
      </c>
      <c r="Q592" s="2">
        <v>0.18</v>
      </c>
      <c r="R592" s="2">
        <v>6.03</v>
      </c>
      <c r="S592" s="2">
        <v>25.28</v>
      </c>
      <c r="T592" s="2">
        <v>-0.7</v>
      </c>
      <c r="U592" s="2">
        <v>7.34</v>
      </c>
      <c r="V592" s="2">
        <v>20.149999999999999</v>
      </c>
      <c r="W592" s="2">
        <v>11.73</v>
      </c>
      <c r="X592" s="2">
        <v>9.77</v>
      </c>
      <c r="Y592" s="2">
        <v>9.59</v>
      </c>
      <c r="Z592" s="2">
        <v>0.1</v>
      </c>
      <c r="AA592" s="2">
        <v>10.32</v>
      </c>
      <c r="AB592" s="2">
        <v>0.89</v>
      </c>
      <c r="AC592" s="2">
        <v>4.33</v>
      </c>
      <c r="AD592" s="2">
        <v>2.16</v>
      </c>
      <c r="AE592" s="2">
        <v>36.64</v>
      </c>
      <c r="AF592" s="2">
        <v>59.02</v>
      </c>
      <c r="AG592" s="2">
        <v>11.2</v>
      </c>
      <c r="AH592" s="4">
        <f t="shared" si="9"/>
        <v>834.19999999999982</v>
      </c>
    </row>
    <row r="593" spans="1:34" x14ac:dyDescent="0.2">
      <c r="A593" s="3">
        <v>25964</v>
      </c>
      <c r="B593" s="2">
        <v>10.72</v>
      </c>
      <c r="C593" s="2">
        <v>33.950000000000003</v>
      </c>
      <c r="D593" s="2">
        <v>0.03</v>
      </c>
      <c r="E593" s="2">
        <v>3.13</v>
      </c>
      <c r="F593" s="2">
        <v>18.32</v>
      </c>
      <c r="G593" s="2">
        <v>53.77</v>
      </c>
      <c r="H593" s="2">
        <v>17.25</v>
      </c>
      <c r="I593" s="2">
        <v>47.42</v>
      </c>
      <c r="J593" s="2">
        <v>5.47</v>
      </c>
      <c r="K593" s="2">
        <v>-15.16</v>
      </c>
      <c r="L593" s="2">
        <v>9.4700000000000006</v>
      </c>
      <c r="M593" s="2">
        <v>-5.2</v>
      </c>
      <c r="N593" s="2">
        <v>18.47</v>
      </c>
      <c r="O593" s="2">
        <v>14.89</v>
      </c>
      <c r="P593" s="2">
        <v>26.36</v>
      </c>
      <c r="Q593" s="2">
        <v>1.82</v>
      </c>
      <c r="R593" s="2">
        <v>7.23</v>
      </c>
      <c r="S593" s="2">
        <v>3.21</v>
      </c>
      <c r="T593" s="2">
        <v>2.96</v>
      </c>
      <c r="U593" s="2">
        <v>6.77</v>
      </c>
      <c r="V593" s="2">
        <v>18.59</v>
      </c>
      <c r="W593" s="2">
        <v>4.26</v>
      </c>
      <c r="X593" s="2">
        <v>10.1</v>
      </c>
      <c r="Y593" s="2">
        <v>8.73</v>
      </c>
      <c r="Z593" s="2">
        <v>0.14000000000000001</v>
      </c>
      <c r="AA593" s="2">
        <v>1.43</v>
      </c>
      <c r="AB593" s="2">
        <v>0</v>
      </c>
      <c r="AC593" s="2">
        <v>0</v>
      </c>
      <c r="AD593" s="2">
        <v>2.21</v>
      </c>
      <c r="AE593" s="2">
        <v>8.48</v>
      </c>
      <c r="AF593" s="2">
        <v>71.459999999999994</v>
      </c>
      <c r="AG593" s="2">
        <v>9.8800000000000008</v>
      </c>
      <c r="AH593" s="4">
        <f t="shared" si="9"/>
        <v>279.47000000000003</v>
      </c>
    </row>
    <row r="594" spans="1:34" x14ac:dyDescent="0.2">
      <c r="A594" s="3">
        <v>25992</v>
      </c>
      <c r="B594" s="2">
        <v>6.82</v>
      </c>
      <c r="C594" s="2">
        <v>19.11</v>
      </c>
      <c r="D594" s="2">
        <v>-26.36</v>
      </c>
      <c r="E594" s="2">
        <v>-80.319999999999993</v>
      </c>
      <c r="F594" s="2">
        <v>-65.989999999999995</v>
      </c>
      <c r="G594" s="2">
        <v>-47.51</v>
      </c>
      <c r="H594" s="2">
        <v>-1.64</v>
      </c>
      <c r="I594" s="2">
        <v>39.65</v>
      </c>
      <c r="J594" s="2">
        <v>-7.32</v>
      </c>
      <c r="K594" s="2">
        <v>-2.41</v>
      </c>
      <c r="L594" s="2">
        <v>-5.1100000000000003</v>
      </c>
      <c r="M594" s="2">
        <v>-4.33</v>
      </c>
      <c r="N594" s="2">
        <v>23.17</v>
      </c>
      <c r="O594" s="2">
        <v>16.93</v>
      </c>
      <c r="P594" s="2">
        <v>7.22</v>
      </c>
      <c r="Q594" s="2">
        <v>2.4500000000000002</v>
      </c>
      <c r="R594" s="2">
        <v>10.199999999999999</v>
      </c>
      <c r="S594" s="2">
        <v>-0.57999999999999996</v>
      </c>
      <c r="T594" s="2">
        <v>1.65</v>
      </c>
      <c r="U594" s="2">
        <v>9.02</v>
      </c>
      <c r="V594" s="2">
        <v>31.06</v>
      </c>
      <c r="W594" s="2">
        <v>0</v>
      </c>
      <c r="X594" s="2">
        <v>3.53</v>
      </c>
      <c r="Y594" s="2">
        <v>3.52</v>
      </c>
      <c r="Z594" s="2">
        <v>0.91</v>
      </c>
      <c r="AA594" s="2">
        <v>0.52</v>
      </c>
      <c r="AB594" s="2">
        <v>0.03</v>
      </c>
      <c r="AC594" s="2">
        <v>0.68</v>
      </c>
      <c r="AD594" s="2">
        <v>2.2200000000000002</v>
      </c>
      <c r="AE594" s="2">
        <v>5.03</v>
      </c>
      <c r="AF594" s="2">
        <v>59.57</v>
      </c>
      <c r="AG594" s="2">
        <v>10.08</v>
      </c>
      <c r="AH594" s="4">
        <f t="shared" si="9"/>
        <v>-74.289999999999992</v>
      </c>
    </row>
    <row r="595" spans="1:34" x14ac:dyDescent="0.2">
      <c r="A595" s="3">
        <v>26023</v>
      </c>
      <c r="B595" s="2">
        <v>6.5</v>
      </c>
      <c r="C595" s="2">
        <v>29.17</v>
      </c>
      <c r="D595" s="2">
        <v>-9.41</v>
      </c>
      <c r="E595" s="2">
        <v>-8</v>
      </c>
      <c r="F595" s="2">
        <v>56.96</v>
      </c>
      <c r="G595" s="2">
        <v>-10.55</v>
      </c>
      <c r="H595" s="2">
        <v>20.52</v>
      </c>
      <c r="I595" s="2">
        <v>47.45</v>
      </c>
      <c r="J595" s="2">
        <v>4.71</v>
      </c>
      <c r="K595" s="2">
        <v>7.16</v>
      </c>
      <c r="L595" s="2">
        <v>-18.559999999999999</v>
      </c>
      <c r="M595" s="2">
        <v>-0.4</v>
      </c>
      <c r="N595" s="2">
        <v>46.6</v>
      </c>
      <c r="O595" s="2">
        <v>16.84</v>
      </c>
      <c r="P595" s="2">
        <v>84.2</v>
      </c>
      <c r="Q595" s="2">
        <v>0.03</v>
      </c>
      <c r="R595" s="2">
        <v>0.27</v>
      </c>
      <c r="S595" s="2">
        <v>-11.33</v>
      </c>
      <c r="T595" s="2">
        <v>30.75</v>
      </c>
      <c r="U595" s="2">
        <v>2.35</v>
      </c>
      <c r="V595" s="2">
        <v>27.18</v>
      </c>
      <c r="W595" s="2">
        <v>0</v>
      </c>
      <c r="X595" s="2">
        <v>4.46</v>
      </c>
      <c r="Y595" s="2">
        <v>3.44</v>
      </c>
      <c r="Z595" s="2">
        <v>1.39</v>
      </c>
      <c r="AA595" s="2">
        <v>0.14000000000000001</v>
      </c>
      <c r="AB595" s="2">
        <v>7.0000000000000007E-2</v>
      </c>
      <c r="AC595" s="2">
        <v>1.9</v>
      </c>
      <c r="AD595" s="2">
        <v>3.76</v>
      </c>
      <c r="AE595" s="2">
        <v>14.54</v>
      </c>
      <c r="AF595" s="2">
        <v>70.290000000000006</v>
      </c>
      <c r="AG595" s="2">
        <v>10.69</v>
      </c>
      <c r="AH595" s="4">
        <f t="shared" si="9"/>
        <v>322.44</v>
      </c>
    </row>
    <row r="596" spans="1:34" x14ac:dyDescent="0.2">
      <c r="A596" s="3">
        <v>26053</v>
      </c>
      <c r="B596" s="2">
        <v>6.98</v>
      </c>
      <c r="C596" s="2">
        <v>24.76</v>
      </c>
      <c r="D596" s="2">
        <v>-5.86</v>
      </c>
      <c r="E596" s="2">
        <v>-15.23</v>
      </c>
      <c r="F596" s="2">
        <v>-5.51</v>
      </c>
      <c r="G596" s="2">
        <v>-7.03</v>
      </c>
      <c r="H596" s="2">
        <v>12.83</v>
      </c>
      <c r="I596" s="2">
        <v>49.78</v>
      </c>
      <c r="J596" s="2">
        <v>-4.7300000000000004</v>
      </c>
      <c r="K596" s="2">
        <v>-8.99</v>
      </c>
      <c r="L596" s="2">
        <v>-21.15</v>
      </c>
      <c r="M596" s="2">
        <v>-4.99</v>
      </c>
      <c r="N596" s="2">
        <v>45.55</v>
      </c>
      <c r="O596" s="2">
        <v>11.43</v>
      </c>
      <c r="P596" s="2">
        <v>35.42</v>
      </c>
      <c r="Q596" s="2">
        <v>-5.66</v>
      </c>
      <c r="R596" s="2">
        <v>11.93</v>
      </c>
      <c r="S596" s="2">
        <v>5.97</v>
      </c>
      <c r="T596" s="2">
        <v>20.56</v>
      </c>
      <c r="U596" s="2">
        <v>-0.28999999999999998</v>
      </c>
      <c r="V596" s="2">
        <v>19.809999999999999</v>
      </c>
      <c r="W596" s="2">
        <v>0</v>
      </c>
      <c r="X596" s="2">
        <v>5.44</v>
      </c>
      <c r="Y596" s="2">
        <v>4.6900000000000004</v>
      </c>
      <c r="Z596" s="2">
        <v>1.2</v>
      </c>
      <c r="AA596" s="2">
        <v>0.14000000000000001</v>
      </c>
      <c r="AB596" s="2">
        <v>0</v>
      </c>
      <c r="AC596" s="2">
        <v>2.84</v>
      </c>
      <c r="AD596" s="2">
        <v>4.3499999999999996</v>
      </c>
      <c r="AE596" s="2">
        <v>11.56</v>
      </c>
      <c r="AF596" s="2">
        <v>86.98</v>
      </c>
      <c r="AG596" s="2">
        <v>14.64</v>
      </c>
      <c r="AH596" s="4">
        <f t="shared" si="9"/>
        <v>165.58</v>
      </c>
    </row>
    <row r="597" spans="1:34" x14ac:dyDescent="0.2">
      <c r="A597" s="3">
        <v>26084</v>
      </c>
      <c r="B597" s="2">
        <v>6.76</v>
      </c>
      <c r="C597" s="2">
        <v>23.22</v>
      </c>
      <c r="D597" s="2">
        <v>-2.85</v>
      </c>
      <c r="E597" s="2">
        <v>-16.68</v>
      </c>
      <c r="F597" s="2">
        <v>-27.05</v>
      </c>
      <c r="G597" s="2">
        <v>-0.35</v>
      </c>
      <c r="H597" s="2">
        <v>9.26</v>
      </c>
      <c r="I597" s="2">
        <v>33.659999999999997</v>
      </c>
      <c r="J597" s="2">
        <v>-7.21</v>
      </c>
      <c r="K597" s="2">
        <v>-10.09</v>
      </c>
      <c r="L597" s="2">
        <v>-7.05</v>
      </c>
      <c r="M597" s="2">
        <v>-0.91</v>
      </c>
      <c r="N597" s="2">
        <v>24.06</v>
      </c>
      <c r="O597" s="2">
        <v>15.99</v>
      </c>
      <c r="P597" s="2">
        <v>59.45</v>
      </c>
      <c r="Q597" s="2">
        <v>-4.1399999999999997</v>
      </c>
      <c r="R597" s="2">
        <v>1.29</v>
      </c>
      <c r="S597" s="2">
        <v>21.68</v>
      </c>
      <c r="T597" s="2">
        <v>26.24</v>
      </c>
      <c r="U597" s="2">
        <v>-1.17</v>
      </c>
      <c r="V597" s="2">
        <v>27.69</v>
      </c>
      <c r="W597" s="2">
        <v>4.88</v>
      </c>
      <c r="X597" s="2">
        <v>8.4700000000000006</v>
      </c>
      <c r="Y597" s="2">
        <v>7.06</v>
      </c>
      <c r="Z597" s="2">
        <v>0.81</v>
      </c>
      <c r="AA597" s="2">
        <v>0.86</v>
      </c>
      <c r="AB597" s="2">
        <v>1.65</v>
      </c>
      <c r="AC597" s="2">
        <v>4.5999999999999996</v>
      </c>
      <c r="AD597" s="2">
        <v>6.06</v>
      </c>
      <c r="AE597" s="2">
        <v>0.75</v>
      </c>
      <c r="AF597" s="2">
        <v>98.23</v>
      </c>
      <c r="AG597" s="2">
        <v>17.690000000000001</v>
      </c>
      <c r="AH597" s="4">
        <f t="shared" si="9"/>
        <v>171.8</v>
      </c>
    </row>
    <row r="598" spans="1:34" x14ac:dyDescent="0.2">
      <c r="A598" s="3">
        <v>26114</v>
      </c>
      <c r="B598" s="2">
        <v>4.29</v>
      </c>
      <c r="C598" s="2">
        <v>24.69</v>
      </c>
      <c r="D598" s="2">
        <v>-10.220000000000001</v>
      </c>
      <c r="E598" s="2">
        <v>-44.41</v>
      </c>
      <c r="F598" s="2">
        <v>4.72</v>
      </c>
      <c r="G598" s="2">
        <v>2.29</v>
      </c>
      <c r="H598" s="2">
        <v>10.050000000000001</v>
      </c>
      <c r="I598" s="2">
        <v>36.93</v>
      </c>
      <c r="J598" s="2">
        <v>-10.06</v>
      </c>
      <c r="K598" s="2">
        <v>3.48</v>
      </c>
      <c r="L598" s="2">
        <v>22.74</v>
      </c>
      <c r="M598" s="2">
        <v>6.18</v>
      </c>
      <c r="N598" s="2">
        <v>36.299999999999997</v>
      </c>
      <c r="O598" s="2">
        <v>33.729999999999997</v>
      </c>
      <c r="P598" s="2">
        <v>113.05</v>
      </c>
      <c r="Q598" s="2">
        <v>3.31</v>
      </c>
      <c r="R598" s="2">
        <v>4.8899999999999997</v>
      </c>
      <c r="S598" s="2">
        <v>47.17</v>
      </c>
      <c r="T598" s="2">
        <v>92.97</v>
      </c>
      <c r="U598" s="2">
        <v>11.54</v>
      </c>
      <c r="V598" s="2">
        <v>49.97</v>
      </c>
      <c r="W598" s="2">
        <v>18.62</v>
      </c>
      <c r="X598" s="2">
        <v>13.86</v>
      </c>
      <c r="Y598" s="2">
        <v>13.12</v>
      </c>
      <c r="Z598" s="2">
        <v>0</v>
      </c>
      <c r="AA598" s="2">
        <v>0</v>
      </c>
      <c r="AB598" s="2">
        <v>0</v>
      </c>
      <c r="AC598" s="2">
        <v>0</v>
      </c>
      <c r="AD598" s="2">
        <v>7.95</v>
      </c>
      <c r="AE598" s="2">
        <v>0</v>
      </c>
      <c r="AF598" s="2">
        <v>107.5</v>
      </c>
      <c r="AG598" s="2">
        <v>22.83</v>
      </c>
      <c r="AH598" s="4">
        <f t="shared" si="9"/>
        <v>443.61</v>
      </c>
    </row>
    <row r="599" spans="1:34" x14ac:dyDescent="0.2">
      <c r="A599" s="3">
        <v>26145</v>
      </c>
      <c r="B599" s="2">
        <v>2.33</v>
      </c>
      <c r="C599" s="2">
        <v>23.22</v>
      </c>
      <c r="D599" s="2">
        <v>-9.9499999999999993</v>
      </c>
      <c r="E599" s="2">
        <v>-46.56</v>
      </c>
      <c r="F599" s="2">
        <v>-6.29</v>
      </c>
      <c r="G599" s="2">
        <v>7.77</v>
      </c>
      <c r="H599" s="2">
        <v>6.67</v>
      </c>
      <c r="I599" s="2">
        <v>39.29</v>
      </c>
      <c r="J599" s="2">
        <v>-16.3</v>
      </c>
      <c r="K599" s="2">
        <v>-5.7</v>
      </c>
      <c r="L599" s="2">
        <v>-9.0399999999999991</v>
      </c>
      <c r="M599" s="2">
        <v>12.3</v>
      </c>
      <c r="N599" s="2">
        <v>34.770000000000003</v>
      </c>
      <c r="O599" s="2">
        <v>46.77</v>
      </c>
      <c r="P599" s="2">
        <v>114.29</v>
      </c>
      <c r="Q599" s="2">
        <v>6.35</v>
      </c>
      <c r="R599" s="2">
        <v>7.05</v>
      </c>
      <c r="S599" s="2">
        <v>39.75</v>
      </c>
      <c r="T599" s="2">
        <v>82.57</v>
      </c>
      <c r="U599" s="2">
        <v>23.8</v>
      </c>
      <c r="V599" s="2">
        <v>53.11</v>
      </c>
      <c r="W599" s="2">
        <v>30.39</v>
      </c>
      <c r="X599" s="2">
        <v>19.13</v>
      </c>
      <c r="Y599" s="2">
        <v>18.77</v>
      </c>
      <c r="Z599" s="2">
        <v>0.14000000000000001</v>
      </c>
      <c r="AA599" s="2">
        <v>0</v>
      </c>
      <c r="AB599" s="2">
        <v>0.18</v>
      </c>
      <c r="AC599" s="2">
        <v>0</v>
      </c>
      <c r="AD599" s="2">
        <v>7.4</v>
      </c>
      <c r="AE599" s="2">
        <v>0</v>
      </c>
      <c r="AF599" s="2">
        <v>117.07</v>
      </c>
      <c r="AG599" s="2">
        <v>24.8</v>
      </c>
      <c r="AH599" s="4">
        <f t="shared" si="9"/>
        <v>406.2</v>
      </c>
    </row>
    <row r="600" spans="1:34" x14ac:dyDescent="0.2">
      <c r="A600" s="3">
        <v>26176</v>
      </c>
      <c r="B600" s="2">
        <v>1.76</v>
      </c>
      <c r="C600" s="2">
        <v>22.75</v>
      </c>
      <c r="D600" s="2">
        <v>-9.5</v>
      </c>
      <c r="E600" s="2">
        <v>-34.06</v>
      </c>
      <c r="F600" s="2">
        <v>15.5</v>
      </c>
      <c r="G600" s="2">
        <v>23.36</v>
      </c>
      <c r="H600" s="2">
        <v>13.94</v>
      </c>
      <c r="I600" s="2">
        <v>37.31</v>
      </c>
      <c r="J600" s="2">
        <v>-6.47</v>
      </c>
      <c r="K600" s="2">
        <v>-5.76</v>
      </c>
      <c r="L600" s="2">
        <v>-3.51</v>
      </c>
      <c r="M600" s="2">
        <v>10.94</v>
      </c>
      <c r="N600" s="2">
        <v>32.82</v>
      </c>
      <c r="O600" s="2">
        <v>49.73</v>
      </c>
      <c r="P600" s="2">
        <v>101.09</v>
      </c>
      <c r="Q600" s="2">
        <v>2.31</v>
      </c>
      <c r="R600" s="2">
        <v>11.62</v>
      </c>
      <c r="S600" s="2">
        <v>31.62</v>
      </c>
      <c r="T600" s="2">
        <v>65.760000000000005</v>
      </c>
      <c r="U600" s="2">
        <v>19.43</v>
      </c>
      <c r="V600" s="2">
        <v>46.54</v>
      </c>
      <c r="W600" s="2">
        <v>31.47</v>
      </c>
      <c r="X600" s="2">
        <v>21.47</v>
      </c>
      <c r="Y600" s="2">
        <v>21.23</v>
      </c>
      <c r="Z600" s="2">
        <v>0</v>
      </c>
      <c r="AA600" s="2">
        <v>1.1499999999999999</v>
      </c>
      <c r="AB600" s="2">
        <v>0</v>
      </c>
      <c r="AC600" s="2">
        <v>1.22</v>
      </c>
      <c r="AD600" s="2">
        <v>5.27</v>
      </c>
      <c r="AE600" s="2">
        <v>0.09</v>
      </c>
      <c r="AF600" s="2">
        <v>119.06</v>
      </c>
      <c r="AG600" s="2">
        <v>23.65</v>
      </c>
      <c r="AH600" s="4">
        <f t="shared" si="9"/>
        <v>427.18</v>
      </c>
    </row>
    <row r="601" spans="1:34" x14ac:dyDescent="0.2">
      <c r="A601" s="3">
        <v>26206</v>
      </c>
      <c r="B601" s="2">
        <v>0</v>
      </c>
      <c r="C601" s="2">
        <v>23.16</v>
      </c>
      <c r="D601" s="2">
        <v>-10</v>
      </c>
      <c r="E601" s="2">
        <v>-18.73</v>
      </c>
      <c r="F601" s="2">
        <v>6.89</v>
      </c>
      <c r="G601" s="2">
        <v>16.02</v>
      </c>
      <c r="H601" s="2">
        <v>18.59</v>
      </c>
      <c r="I601" s="2">
        <v>48.23</v>
      </c>
      <c r="J601" s="2">
        <v>8.7899999999999991</v>
      </c>
      <c r="K601" s="2">
        <v>-5.19</v>
      </c>
      <c r="L601" s="2">
        <v>-4.3099999999999996</v>
      </c>
      <c r="M601" s="2">
        <v>4.99</v>
      </c>
      <c r="N601" s="2">
        <v>36.51</v>
      </c>
      <c r="O601" s="2">
        <v>19.16</v>
      </c>
      <c r="P601" s="2">
        <v>47.48</v>
      </c>
      <c r="Q601" s="2">
        <v>5.22</v>
      </c>
      <c r="R601" s="2">
        <v>12.74</v>
      </c>
      <c r="S601" s="2">
        <v>4.62</v>
      </c>
      <c r="T601" s="2">
        <v>15.92</v>
      </c>
      <c r="U601" s="2">
        <v>8.65</v>
      </c>
      <c r="V601" s="2">
        <v>15.86</v>
      </c>
      <c r="W601" s="2">
        <v>26.1</v>
      </c>
      <c r="X601" s="2">
        <v>20.38</v>
      </c>
      <c r="Y601" s="2">
        <v>19.95</v>
      </c>
      <c r="Z601" s="2">
        <v>0</v>
      </c>
      <c r="AA601" s="2">
        <v>3.83</v>
      </c>
      <c r="AB601" s="2">
        <v>0</v>
      </c>
      <c r="AC601" s="2">
        <v>0</v>
      </c>
      <c r="AD601" s="2">
        <v>3.76</v>
      </c>
      <c r="AE601" s="2">
        <v>1.1200000000000001</v>
      </c>
      <c r="AF601" s="2">
        <v>110.9</v>
      </c>
      <c r="AG601" s="2">
        <v>20.170000000000002</v>
      </c>
      <c r="AH601" s="4">
        <f t="shared" si="9"/>
        <v>254.59999999999997</v>
      </c>
    </row>
    <row r="602" spans="1:34" x14ac:dyDescent="0.2">
      <c r="A602" s="3">
        <v>26237</v>
      </c>
      <c r="B602" s="2">
        <v>0.03</v>
      </c>
      <c r="C602" s="2">
        <v>22.62</v>
      </c>
      <c r="D602" s="2">
        <v>-8.4499999999999993</v>
      </c>
      <c r="E602" s="2">
        <v>-31.59</v>
      </c>
      <c r="F602" s="2">
        <v>-28.22</v>
      </c>
      <c r="G602" s="2">
        <v>9.85</v>
      </c>
      <c r="H602" s="2">
        <v>4.84</v>
      </c>
      <c r="I602" s="2">
        <v>44.43</v>
      </c>
      <c r="J602" s="2">
        <v>3.02</v>
      </c>
      <c r="K602" s="2">
        <v>-4.55</v>
      </c>
      <c r="L602" s="2">
        <v>10.48</v>
      </c>
      <c r="M602" s="2">
        <v>8.8699999999999992</v>
      </c>
      <c r="N602" s="2">
        <v>29.25</v>
      </c>
      <c r="O602" s="2">
        <v>18.71</v>
      </c>
      <c r="P602" s="2">
        <v>36.11</v>
      </c>
      <c r="Q602" s="2">
        <v>1.8</v>
      </c>
      <c r="R602" s="2">
        <v>5.28</v>
      </c>
      <c r="S602" s="2">
        <v>1.81</v>
      </c>
      <c r="T602" s="2">
        <v>19.66</v>
      </c>
      <c r="U602" s="2">
        <v>5.17</v>
      </c>
      <c r="V602" s="2">
        <v>14.35</v>
      </c>
      <c r="W602" s="2">
        <v>22.19</v>
      </c>
      <c r="X602" s="2">
        <v>18.89</v>
      </c>
      <c r="Y602" s="2">
        <v>18.440000000000001</v>
      </c>
      <c r="Z602" s="2">
        <v>0</v>
      </c>
      <c r="AA602" s="2">
        <v>4</v>
      </c>
      <c r="AB602" s="2">
        <v>0.24</v>
      </c>
      <c r="AC602" s="2">
        <v>2.44</v>
      </c>
      <c r="AD602" s="2">
        <v>2.88</v>
      </c>
      <c r="AE602" s="2">
        <v>0</v>
      </c>
      <c r="AF602" s="2">
        <v>100.59</v>
      </c>
      <c r="AG602" s="2">
        <v>16.420000000000002</v>
      </c>
      <c r="AH602" s="4">
        <f t="shared" si="9"/>
        <v>163.46999999999997</v>
      </c>
    </row>
    <row r="603" spans="1:34" x14ac:dyDescent="0.2">
      <c r="A603" s="3">
        <v>26267</v>
      </c>
      <c r="B603" s="2">
        <v>-0.77</v>
      </c>
      <c r="C603" s="2">
        <v>15.82</v>
      </c>
      <c r="D603" s="2">
        <v>-5.46</v>
      </c>
      <c r="E603" s="2">
        <v>-14.52</v>
      </c>
      <c r="F603" s="2">
        <v>1.85</v>
      </c>
      <c r="G603" s="2">
        <v>13.02</v>
      </c>
      <c r="H603" s="2">
        <v>11.84</v>
      </c>
      <c r="I603" s="2">
        <v>39.1</v>
      </c>
      <c r="J603" s="2">
        <v>8.41</v>
      </c>
      <c r="K603" s="2">
        <v>-3.94</v>
      </c>
      <c r="L603" s="2">
        <v>4.88</v>
      </c>
      <c r="M603" s="2">
        <v>1.77</v>
      </c>
      <c r="N603" s="2">
        <v>20.34</v>
      </c>
      <c r="O603" s="2">
        <v>15.35</v>
      </c>
      <c r="P603" s="2">
        <v>34.270000000000003</v>
      </c>
      <c r="Q603" s="2">
        <v>-0.36</v>
      </c>
      <c r="R603" s="2">
        <v>3.86</v>
      </c>
      <c r="S603" s="2">
        <v>-2.99</v>
      </c>
      <c r="T603" s="2">
        <v>11.36</v>
      </c>
      <c r="U603" s="2">
        <v>4.97</v>
      </c>
      <c r="V603" s="2">
        <v>15.99</v>
      </c>
      <c r="W603" s="2">
        <v>15.43</v>
      </c>
      <c r="X603" s="2">
        <v>12.32</v>
      </c>
      <c r="Y603" s="2">
        <v>10.88</v>
      </c>
      <c r="Z603" s="2">
        <v>20.34</v>
      </c>
      <c r="AA603" s="2">
        <v>0</v>
      </c>
      <c r="AB603" s="2">
        <v>0</v>
      </c>
      <c r="AC603" s="2">
        <v>0</v>
      </c>
      <c r="AD603" s="2">
        <v>1.91</v>
      </c>
      <c r="AE603" s="2">
        <v>6.53</v>
      </c>
      <c r="AF603" s="2">
        <v>66</v>
      </c>
      <c r="AG603" s="2">
        <v>12.92</v>
      </c>
      <c r="AH603" s="4">
        <f t="shared" si="9"/>
        <v>174.79</v>
      </c>
    </row>
    <row r="604" spans="1:34" x14ac:dyDescent="0.2">
      <c r="A604" s="3">
        <v>26298</v>
      </c>
      <c r="B604" s="2">
        <v>0.39</v>
      </c>
      <c r="C604" s="2">
        <v>20.73</v>
      </c>
      <c r="D604" s="2">
        <v>11.98</v>
      </c>
      <c r="E604" s="2">
        <v>21.1</v>
      </c>
      <c r="F604" s="2">
        <v>35.07</v>
      </c>
      <c r="G604" s="2">
        <v>55.26</v>
      </c>
      <c r="H604" s="2">
        <v>19.649999999999999</v>
      </c>
      <c r="I604" s="2">
        <v>45.38</v>
      </c>
      <c r="J604" s="2">
        <v>34.590000000000003</v>
      </c>
      <c r="K604" s="2">
        <v>31.96</v>
      </c>
      <c r="L604" s="2">
        <v>30.51</v>
      </c>
      <c r="M604" s="2">
        <v>26.52</v>
      </c>
      <c r="N604" s="2">
        <v>36.67</v>
      </c>
      <c r="O604" s="2">
        <v>15.02</v>
      </c>
      <c r="P604" s="2">
        <v>61.51</v>
      </c>
      <c r="Q604" s="2">
        <v>-1.5</v>
      </c>
      <c r="R604" s="2">
        <v>6.04</v>
      </c>
      <c r="S604" s="2">
        <v>37.299999999999997</v>
      </c>
      <c r="T604" s="2">
        <v>13.04</v>
      </c>
      <c r="U604" s="2">
        <v>5.93</v>
      </c>
      <c r="V604" s="2">
        <v>23.84</v>
      </c>
      <c r="W604" s="2">
        <v>11.73</v>
      </c>
      <c r="X604" s="2">
        <v>10.09</v>
      </c>
      <c r="Y604" s="2">
        <v>9.8699999999999992</v>
      </c>
      <c r="Z604" s="2">
        <v>0.1</v>
      </c>
      <c r="AA604" s="2">
        <v>2.0099999999999998</v>
      </c>
      <c r="AB604" s="2">
        <v>1.66</v>
      </c>
      <c r="AC604" s="2">
        <v>15.43</v>
      </c>
      <c r="AD604" s="2">
        <v>2</v>
      </c>
      <c r="AE604" s="2">
        <v>30.67</v>
      </c>
      <c r="AF604" s="2">
        <v>60.63</v>
      </c>
      <c r="AG604" s="2">
        <v>11.2</v>
      </c>
      <c r="AH604" s="4">
        <f t="shared" si="9"/>
        <v>530.99</v>
      </c>
    </row>
    <row r="605" spans="1:34" x14ac:dyDescent="0.2">
      <c r="A605" s="3">
        <v>26329</v>
      </c>
      <c r="B605" s="2">
        <v>-1.25</v>
      </c>
      <c r="C605" s="2">
        <v>15.69</v>
      </c>
      <c r="D605" s="2">
        <v>-6.7</v>
      </c>
      <c r="E605" s="2">
        <v>-12.22</v>
      </c>
      <c r="F605" s="2">
        <v>-15.93</v>
      </c>
      <c r="G605" s="2">
        <v>8.99</v>
      </c>
      <c r="H605" s="2">
        <v>7.47</v>
      </c>
      <c r="I605" s="2">
        <v>38.81</v>
      </c>
      <c r="J605" s="2">
        <v>1.92</v>
      </c>
      <c r="K605" s="2">
        <v>-6.34</v>
      </c>
      <c r="L605" s="2">
        <v>1.41</v>
      </c>
      <c r="M605" s="2">
        <v>-5.68</v>
      </c>
      <c r="N605" s="2">
        <v>12.49</v>
      </c>
      <c r="O605" s="2">
        <v>16.25</v>
      </c>
      <c r="P605" s="2">
        <v>28.57</v>
      </c>
      <c r="Q605" s="2">
        <v>-0.52</v>
      </c>
      <c r="R605" s="2">
        <v>5.7</v>
      </c>
      <c r="S605" s="2">
        <v>-4.5</v>
      </c>
      <c r="T605" s="2">
        <v>12.99</v>
      </c>
      <c r="U605" s="2">
        <v>2.33</v>
      </c>
      <c r="V605" s="2">
        <v>16.77</v>
      </c>
      <c r="W605" s="2">
        <v>4.26</v>
      </c>
      <c r="X605" s="2">
        <v>6.72</v>
      </c>
      <c r="Y605" s="2">
        <v>5.31</v>
      </c>
      <c r="Z605" s="2">
        <v>0</v>
      </c>
      <c r="AA605" s="2">
        <v>0</v>
      </c>
      <c r="AB605" s="2">
        <v>0</v>
      </c>
      <c r="AC605" s="2">
        <v>0</v>
      </c>
      <c r="AD605" s="2">
        <v>1.85</v>
      </c>
      <c r="AE605" s="2">
        <v>11.28</v>
      </c>
      <c r="AF605" s="2">
        <v>75.3</v>
      </c>
      <c r="AG605" s="2">
        <v>9.8800000000000008</v>
      </c>
      <c r="AH605" s="4">
        <f t="shared" si="9"/>
        <v>116.25</v>
      </c>
    </row>
    <row r="606" spans="1:34" x14ac:dyDescent="0.2">
      <c r="A606" s="3">
        <v>26358</v>
      </c>
      <c r="B606" s="2">
        <v>0.42</v>
      </c>
      <c r="C606" s="2">
        <v>14.91</v>
      </c>
      <c r="D606" s="2">
        <v>-6.07</v>
      </c>
      <c r="E606" s="2">
        <v>-7.03</v>
      </c>
      <c r="F606" s="2">
        <v>4.46</v>
      </c>
      <c r="G606" s="2">
        <v>20.65</v>
      </c>
      <c r="H606" s="2">
        <v>11.51</v>
      </c>
      <c r="I606" s="2">
        <v>38.42</v>
      </c>
      <c r="J606" s="2">
        <v>3.71</v>
      </c>
      <c r="K606" s="2">
        <v>-5.09</v>
      </c>
      <c r="L606" s="2">
        <v>-11.95</v>
      </c>
      <c r="M606" s="2">
        <v>-2.81</v>
      </c>
      <c r="N606" s="2">
        <v>20.75</v>
      </c>
      <c r="O606" s="2">
        <v>19.2</v>
      </c>
      <c r="P606" s="2">
        <v>32.93</v>
      </c>
      <c r="Q606" s="2">
        <v>-1.45</v>
      </c>
      <c r="R606" s="2">
        <v>7.31</v>
      </c>
      <c r="S606" s="2">
        <v>-0.61</v>
      </c>
      <c r="T606" s="2">
        <v>19.12</v>
      </c>
      <c r="U606" s="2">
        <v>3.22</v>
      </c>
      <c r="V606" s="2">
        <v>12.01</v>
      </c>
      <c r="W606" s="2">
        <v>0</v>
      </c>
      <c r="X606" s="2">
        <v>0.69</v>
      </c>
      <c r="Y606" s="2">
        <v>0.62</v>
      </c>
      <c r="Z606" s="2">
        <v>0</v>
      </c>
      <c r="AA606" s="2">
        <v>0</v>
      </c>
      <c r="AB606" s="2">
        <v>0</v>
      </c>
      <c r="AC606" s="2">
        <v>0</v>
      </c>
      <c r="AD606" s="2">
        <v>1.96</v>
      </c>
      <c r="AE606" s="2">
        <v>3.08</v>
      </c>
      <c r="AF606" s="2">
        <v>62.77</v>
      </c>
      <c r="AG606" s="2">
        <v>10.08</v>
      </c>
      <c r="AH606" s="4">
        <f t="shared" si="9"/>
        <v>173.60999999999999</v>
      </c>
    </row>
    <row r="607" spans="1:34" x14ac:dyDescent="0.2">
      <c r="A607" s="3">
        <v>26389</v>
      </c>
      <c r="B607" s="2">
        <v>4.6399999999999997</v>
      </c>
      <c r="C607" s="2">
        <v>18.75</v>
      </c>
      <c r="D607" s="2">
        <v>4.09</v>
      </c>
      <c r="E607" s="2">
        <v>14.06</v>
      </c>
      <c r="F607" s="2">
        <v>-8.9600000000000009</v>
      </c>
      <c r="G607" s="2">
        <v>6.24</v>
      </c>
      <c r="H607" s="2">
        <v>14.18</v>
      </c>
      <c r="I607" s="2">
        <v>42.4</v>
      </c>
      <c r="J607" s="2">
        <v>4.47</v>
      </c>
      <c r="K607" s="2">
        <v>20.75</v>
      </c>
      <c r="L607" s="2">
        <v>-10.67</v>
      </c>
      <c r="M607" s="2">
        <v>6.61</v>
      </c>
      <c r="N607" s="2">
        <v>49.29</v>
      </c>
      <c r="O607" s="2">
        <v>14.8</v>
      </c>
      <c r="P607" s="2">
        <v>74.55</v>
      </c>
      <c r="Q607" s="2">
        <v>-3.94</v>
      </c>
      <c r="R607" s="2">
        <v>5.3</v>
      </c>
      <c r="S607" s="2">
        <v>10.31</v>
      </c>
      <c r="T607" s="2">
        <v>32.270000000000003</v>
      </c>
      <c r="U607" s="2">
        <v>-0.95</v>
      </c>
      <c r="V607" s="2">
        <v>19.8</v>
      </c>
      <c r="W607" s="2">
        <v>0</v>
      </c>
      <c r="X607" s="2">
        <v>1.1100000000000001</v>
      </c>
      <c r="Y607" s="2">
        <v>0.06</v>
      </c>
      <c r="Z607" s="2">
        <v>0</v>
      </c>
      <c r="AA607" s="2">
        <v>0</v>
      </c>
      <c r="AB607" s="2">
        <v>0</v>
      </c>
      <c r="AC607" s="2">
        <v>0</v>
      </c>
      <c r="AD607" s="2">
        <v>3.56</v>
      </c>
      <c r="AE607" s="2">
        <v>0.65</v>
      </c>
      <c r="AF607" s="2">
        <v>74.069999999999993</v>
      </c>
      <c r="AG607" s="2">
        <v>10.69</v>
      </c>
      <c r="AH607" s="4">
        <f t="shared" si="9"/>
        <v>317.99</v>
      </c>
    </row>
    <row r="608" spans="1:34" x14ac:dyDescent="0.2">
      <c r="A608" s="3">
        <v>26419</v>
      </c>
      <c r="B608" s="2">
        <v>-0.01</v>
      </c>
      <c r="C608" s="2">
        <v>14.85</v>
      </c>
      <c r="D608" s="2">
        <v>-11.62</v>
      </c>
      <c r="E608" s="2">
        <v>-6.82</v>
      </c>
      <c r="F608" s="2">
        <v>7.46</v>
      </c>
      <c r="G608" s="2">
        <v>-1.04</v>
      </c>
      <c r="H608" s="2">
        <v>2.91</v>
      </c>
      <c r="I608" s="2">
        <v>42.39</v>
      </c>
      <c r="J608" s="2">
        <v>-5.09</v>
      </c>
      <c r="K608" s="2">
        <v>-16.670000000000002</v>
      </c>
      <c r="L608" s="2">
        <v>-10.83</v>
      </c>
      <c r="M608" s="2">
        <v>-0.4</v>
      </c>
      <c r="N608" s="2">
        <v>17.46</v>
      </c>
      <c r="O608" s="2">
        <v>11.41</v>
      </c>
      <c r="P608" s="2">
        <v>43.5</v>
      </c>
      <c r="Q608" s="2">
        <v>-5.58</v>
      </c>
      <c r="R608" s="2">
        <v>1</v>
      </c>
      <c r="S608" s="2">
        <v>10.5</v>
      </c>
      <c r="T608" s="2">
        <v>23.22</v>
      </c>
      <c r="U608" s="2">
        <v>7.19</v>
      </c>
      <c r="V608" s="2">
        <v>18.97</v>
      </c>
      <c r="W608" s="2">
        <v>0</v>
      </c>
      <c r="X608" s="2">
        <v>1.31</v>
      </c>
      <c r="Y608" s="2">
        <v>0.51</v>
      </c>
      <c r="Z608" s="2">
        <v>0.14000000000000001</v>
      </c>
      <c r="AA608" s="2">
        <v>0</v>
      </c>
      <c r="AB608" s="2">
        <v>0</v>
      </c>
      <c r="AC608" s="2">
        <v>0</v>
      </c>
      <c r="AD608" s="2">
        <v>4.1100000000000003</v>
      </c>
      <c r="AE608" s="2">
        <v>4.75</v>
      </c>
      <c r="AF608" s="2">
        <v>91.65</v>
      </c>
      <c r="AG608" s="2">
        <v>14.64</v>
      </c>
      <c r="AH608" s="4">
        <f t="shared" si="9"/>
        <v>142.80000000000001</v>
      </c>
    </row>
    <row r="609" spans="1:34" x14ac:dyDescent="0.2">
      <c r="A609" s="3">
        <v>26450</v>
      </c>
      <c r="B609" s="2">
        <v>-0.75</v>
      </c>
      <c r="C609" s="2">
        <v>15.33</v>
      </c>
      <c r="D609" s="2">
        <v>-5.43</v>
      </c>
      <c r="E609" s="2">
        <v>-14.46</v>
      </c>
      <c r="F609" s="2">
        <v>-4.0199999999999996</v>
      </c>
      <c r="G609" s="2">
        <v>9.0500000000000007</v>
      </c>
      <c r="H609" s="2">
        <v>3.9</v>
      </c>
      <c r="I609" s="2">
        <v>31.28</v>
      </c>
      <c r="J609" s="2">
        <v>-15.09</v>
      </c>
      <c r="K609" s="2">
        <v>-3.14</v>
      </c>
      <c r="L609" s="2">
        <v>-2.34</v>
      </c>
      <c r="M609" s="2">
        <v>1.79</v>
      </c>
      <c r="N609" s="2">
        <v>37.46</v>
      </c>
      <c r="O609" s="2">
        <v>13.99</v>
      </c>
      <c r="P609" s="2">
        <v>46.13</v>
      </c>
      <c r="Q609" s="2">
        <v>-9.74</v>
      </c>
      <c r="R609" s="2">
        <v>2.04</v>
      </c>
      <c r="S609" s="2">
        <v>32.549999999999997</v>
      </c>
      <c r="T609" s="2">
        <v>38.07</v>
      </c>
      <c r="U609" s="2">
        <v>9.85</v>
      </c>
      <c r="V609" s="2">
        <v>32.32</v>
      </c>
      <c r="W609" s="2">
        <v>4.88</v>
      </c>
      <c r="X609" s="2">
        <v>3.79</v>
      </c>
      <c r="Y609" s="2">
        <v>2.33</v>
      </c>
      <c r="Z609" s="2">
        <v>0</v>
      </c>
      <c r="AA609" s="2">
        <v>0</v>
      </c>
      <c r="AB609" s="2">
        <v>0</v>
      </c>
      <c r="AC609" s="2">
        <v>0</v>
      </c>
      <c r="AD609" s="2">
        <v>5.26</v>
      </c>
      <c r="AE609" s="2">
        <v>0</v>
      </c>
      <c r="AF609" s="2">
        <v>103.51</v>
      </c>
      <c r="AG609" s="2">
        <v>17.690000000000001</v>
      </c>
      <c r="AH609" s="4">
        <f t="shared" si="9"/>
        <v>218.79</v>
      </c>
    </row>
    <row r="610" spans="1:34" x14ac:dyDescent="0.2">
      <c r="A610" s="3">
        <v>26480</v>
      </c>
      <c r="B610" s="2">
        <v>-0.97</v>
      </c>
      <c r="C610" s="2">
        <v>15.45</v>
      </c>
      <c r="D610" s="2">
        <v>-11.19</v>
      </c>
      <c r="E610" s="2">
        <v>-19.190000000000001</v>
      </c>
      <c r="F610" s="2">
        <v>13.9</v>
      </c>
      <c r="G610" s="2">
        <v>18.79</v>
      </c>
      <c r="H610" s="2">
        <v>9.59</v>
      </c>
      <c r="I610" s="2">
        <v>34.130000000000003</v>
      </c>
      <c r="J610" s="2">
        <v>-10.39</v>
      </c>
      <c r="K610" s="2">
        <v>7.47</v>
      </c>
      <c r="L610" s="2">
        <v>5.4</v>
      </c>
      <c r="M610" s="2">
        <v>9.77</v>
      </c>
      <c r="N610" s="2">
        <v>48.11</v>
      </c>
      <c r="O610" s="2">
        <v>32.450000000000003</v>
      </c>
      <c r="P610" s="2">
        <v>126.14</v>
      </c>
      <c r="Q610" s="2">
        <v>-2.87</v>
      </c>
      <c r="R610" s="2">
        <v>4.0999999999999996</v>
      </c>
      <c r="S610" s="2">
        <v>78.63</v>
      </c>
      <c r="T610" s="2">
        <v>76.13</v>
      </c>
      <c r="U610" s="2">
        <v>14.22</v>
      </c>
      <c r="V610" s="2">
        <v>61.44</v>
      </c>
      <c r="W610" s="2">
        <v>18.62</v>
      </c>
      <c r="X610" s="2">
        <v>8.74</v>
      </c>
      <c r="Y610" s="2">
        <v>7.93</v>
      </c>
      <c r="Z610" s="2">
        <v>1.34</v>
      </c>
      <c r="AA610" s="2">
        <v>2.2599999999999998</v>
      </c>
      <c r="AB610" s="2">
        <v>0.05</v>
      </c>
      <c r="AC610" s="2">
        <v>22.88</v>
      </c>
      <c r="AD610" s="2">
        <v>8.08</v>
      </c>
      <c r="AE610" s="2">
        <v>1.31</v>
      </c>
      <c r="AF610" s="2">
        <v>113.28</v>
      </c>
      <c r="AG610" s="2">
        <v>22.83</v>
      </c>
      <c r="AH610" s="4">
        <f t="shared" si="9"/>
        <v>511.11</v>
      </c>
    </row>
    <row r="611" spans="1:34" x14ac:dyDescent="0.2">
      <c r="A611" s="3">
        <v>26511</v>
      </c>
      <c r="B611" s="2">
        <v>-1.57</v>
      </c>
      <c r="C611" s="2">
        <v>18.059999999999999</v>
      </c>
      <c r="D611" s="2">
        <v>-10.199999999999999</v>
      </c>
      <c r="E611" s="2">
        <v>-11.67</v>
      </c>
      <c r="F611" s="2">
        <v>12.11</v>
      </c>
      <c r="G611" s="2">
        <v>27.9</v>
      </c>
      <c r="H611" s="2">
        <v>11.55</v>
      </c>
      <c r="I611" s="2">
        <v>38.44</v>
      </c>
      <c r="J611" s="2">
        <v>-10.69</v>
      </c>
      <c r="K611" s="2">
        <v>-5.19</v>
      </c>
      <c r="L611" s="2">
        <v>8.69</v>
      </c>
      <c r="M611" s="2">
        <v>13.51</v>
      </c>
      <c r="N611" s="2">
        <v>45.46</v>
      </c>
      <c r="O611" s="2">
        <v>41.43</v>
      </c>
      <c r="P611" s="2">
        <v>143.22</v>
      </c>
      <c r="Q611" s="2">
        <v>3.14</v>
      </c>
      <c r="R611" s="2">
        <v>7.21</v>
      </c>
      <c r="S611" s="2">
        <v>86.33</v>
      </c>
      <c r="T611" s="2">
        <v>68.739999999999995</v>
      </c>
      <c r="U611" s="2">
        <v>24.38</v>
      </c>
      <c r="V611" s="2">
        <v>52.8</v>
      </c>
      <c r="W611" s="2">
        <v>30.39</v>
      </c>
      <c r="X611" s="2">
        <v>13.56</v>
      </c>
      <c r="Y611" s="2">
        <v>13.15</v>
      </c>
      <c r="Z611" s="2">
        <v>0</v>
      </c>
      <c r="AA611" s="2">
        <v>0</v>
      </c>
      <c r="AB611" s="2">
        <v>0.16</v>
      </c>
      <c r="AC611" s="2">
        <v>0</v>
      </c>
      <c r="AD611" s="2">
        <v>7.59</v>
      </c>
      <c r="AE611" s="2">
        <v>0</v>
      </c>
      <c r="AF611" s="2">
        <v>123.36</v>
      </c>
      <c r="AG611" s="2">
        <v>24.8</v>
      </c>
      <c r="AH611" s="4">
        <f t="shared" si="9"/>
        <v>563.65</v>
      </c>
    </row>
    <row r="612" spans="1:34" x14ac:dyDescent="0.2">
      <c r="A612" s="3">
        <v>26542</v>
      </c>
      <c r="B612" s="2">
        <v>-3.16</v>
      </c>
      <c r="C612" s="2">
        <v>16.690000000000001</v>
      </c>
      <c r="D612" s="2">
        <v>-13.92</v>
      </c>
      <c r="E612" s="2">
        <v>-20.329999999999998</v>
      </c>
      <c r="F612" s="2">
        <v>15.64</v>
      </c>
      <c r="G612" s="2">
        <v>33.06</v>
      </c>
      <c r="H612" s="2">
        <v>10.18</v>
      </c>
      <c r="I612" s="2">
        <v>35.979999999999997</v>
      </c>
      <c r="J612" s="2">
        <v>-5.59</v>
      </c>
      <c r="K612" s="2">
        <v>-6.36</v>
      </c>
      <c r="L612" s="2">
        <v>8.6300000000000008</v>
      </c>
      <c r="M612" s="2">
        <v>11.55</v>
      </c>
      <c r="N612" s="2">
        <v>38.840000000000003</v>
      </c>
      <c r="O612" s="2">
        <v>41.62</v>
      </c>
      <c r="P612" s="2">
        <v>120.13</v>
      </c>
      <c r="Q612" s="2">
        <v>1.5</v>
      </c>
      <c r="R612" s="2">
        <v>3.36</v>
      </c>
      <c r="S612" s="2">
        <v>71.06</v>
      </c>
      <c r="T612" s="2">
        <v>53.22</v>
      </c>
      <c r="U612" s="2">
        <v>19.97</v>
      </c>
      <c r="V612" s="2">
        <v>45.67</v>
      </c>
      <c r="W612" s="2">
        <v>31.47</v>
      </c>
      <c r="X612" s="2">
        <v>15.81</v>
      </c>
      <c r="Y612" s="2">
        <v>15.5</v>
      </c>
      <c r="Z612" s="2">
        <v>0.62</v>
      </c>
      <c r="AA612" s="2">
        <v>0.52</v>
      </c>
      <c r="AB612" s="2">
        <v>0.04</v>
      </c>
      <c r="AC612" s="2">
        <v>14.89</v>
      </c>
      <c r="AD612" s="2">
        <v>5.53</v>
      </c>
      <c r="AE612" s="2">
        <v>0</v>
      </c>
      <c r="AF612" s="2">
        <v>125.46</v>
      </c>
      <c r="AG612" s="2">
        <v>23.65</v>
      </c>
      <c r="AH612" s="4">
        <f t="shared" si="9"/>
        <v>477.74000000000007</v>
      </c>
    </row>
    <row r="613" spans="1:34" x14ac:dyDescent="0.2">
      <c r="A613" s="3">
        <v>26572</v>
      </c>
      <c r="B613" s="2">
        <v>-4.7</v>
      </c>
      <c r="C613" s="2">
        <v>17.149999999999999</v>
      </c>
      <c r="D613" s="2">
        <v>-11.42</v>
      </c>
      <c r="E613" s="2">
        <v>-19.96</v>
      </c>
      <c r="F613" s="2">
        <v>4.03</v>
      </c>
      <c r="G613" s="2">
        <v>16.64</v>
      </c>
      <c r="H613" s="2">
        <v>13.79</v>
      </c>
      <c r="I613" s="2">
        <v>46.38</v>
      </c>
      <c r="J613" s="2">
        <v>13.07</v>
      </c>
      <c r="K613" s="2">
        <v>2.16</v>
      </c>
      <c r="L613" s="2">
        <v>6.49</v>
      </c>
      <c r="M613" s="2">
        <v>14.38</v>
      </c>
      <c r="N613" s="2">
        <v>41.43</v>
      </c>
      <c r="O613" s="2">
        <v>18.57</v>
      </c>
      <c r="P613" s="2">
        <v>39.97</v>
      </c>
      <c r="Q613" s="2">
        <v>3.24</v>
      </c>
      <c r="R613" s="2">
        <v>11.57</v>
      </c>
      <c r="S613" s="2">
        <v>10.11</v>
      </c>
      <c r="T613" s="2">
        <v>15.77</v>
      </c>
      <c r="U613" s="2">
        <v>5.96</v>
      </c>
      <c r="V613" s="2">
        <v>15.95</v>
      </c>
      <c r="W613" s="2">
        <v>26.1</v>
      </c>
      <c r="X613" s="2">
        <v>15.12</v>
      </c>
      <c r="Y613" s="2">
        <v>14.63</v>
      </c>
      <c r="Z613" s="2">
        <v>0</v>
      </c>
      <c r="AA613" s="2">
        <v>0</v>
      </c>
      <c r="AB613" s="2">
        <v>0</v>
      </c>
      <c r="AC613" s="2">
        <v>0.81</v>
      </c>
      <c r="AD613" s="2">
        <v>3.99</v>
      </c>
      <c r="AE613" s="2">
        <v>5.59</v>
      </c>
      <c r="AF613" s="2">
        <v>116.86</v>
      </c>
      <c r="AG613" s="2">
        <v>20.170000000000002</v>
      </c>
      <c r="AH613" s="4">
        <f t="shared" si="9"/>
        <v>260.58</v>
      </c>
    </row>
    <row r="614" spans="1:34" x14ac:dyDescent="0.2">
      <c r="A614" s="3">
        <v>26603</v>
      </c>
      <c r="B614" s="2">
        <v>-3.36</v>
      </c>
      <c r="C614" s="2">
        <v>19.55</v>
      </c>
      <c r="D614" s="2">
        <v>-2.06</v>
      </c>
      <c r="E614" s="2">
        <v>-3.24</v>
      </c>
      <c r="F614" s="2">
        <v>2.64</v>
      </c>
      <c r="G614" s="2">
        <v>22.4</v>
      </c>
      <c r="H614" s="2">
        <v>14.2</v>
      </c>
      <c r="I614" s="2">
        <v>39.229999999999997</v>
      </c>
      <c r="J614" s="2">
        <v>9.35</v>
      </c>
      <c r="K614" s="2">
        <v>-11.79</v>
      </c>
      <c r="L614" s="2">
        <v>14.44</v>
      </c>
      <c r="M614" s="2">
        <v>4.2699999999999996</v>
      </c>
      <c r="N614" s="2">
        <v>25.8</v>
      </c>
      <c r="O614" s="2">
        <v>20.28</v>
      </c>
      <c r="P614" s="2">
        <v>37.700000000000003</v>
      </c>
      <c r="Q614" s="2">
        <v>0.63</v>
      </c>
      <c r="R614" s="2">
        <v>7.73</v>
      </c>
      <c r="S614" s="2">
        <v>-1.86</v>
      </c>
      <c r="T614" s="2">
        <v>19.5</v>
      </c>
      <c r="U614" s="2">
        <v>1.68</v>
      </c>
      <c r="V614" s="2">
        <v>14.51</v>
      </c>
      <c r="W614" s="2">
        <v>22.19</v>
      </c>
      <c r="X614" s="2">
        <v>14.12</v>
      </c>
      <c r="Y614" s="2">
        <v>13.61</v>
      </c>
      <c r="Z614" s="2">
        <v>6.03</v>
      </c>
      <c r="AA614" s="2">
        <v>6.6</v>
      </c>
      <c r="AB614" s="2">
        <v>0.42</v>
      </c>
      <c r="AC614" s="2">
        <v>3.66</v>
      </c>
      <c r="AD614" s="2">
        <v>3.5</v>
      </c>
      <c r="AE614" s="2">
        <v>20.420000000000002</v>
      </c>
      <c r="AF614" s="2">
        <v>105.99</v>
      </c>
      <c r="AG614" s="2">
        <v>16.420000000000002</v>
      </c>
      <c r="AH614" s="4">
        <f t="shared" si="9"/>
        <v>231.59999999999994</v>
      </c>
    </row>
    <row r="615" spans="1:34" x14ac:dyDescent="0.2">
      <c r="A615" s="3">
        <v>26633</v>
      </c>
      <c r="B615" s="2">
        <v>1.05</v>
      </c>
      <c r="C615" s="2">
        <v>24.63</v>
      </c>
      <c r="D615" s="2">
        <v>26.09</v>
      </c>
      <c r="E615" s="2">
        <v>59.41</v>
      </c>
      <c r="F615" s="2">
        <v>30.07</v>
      </c>
      <c r="G615" s="2">
        <v>87.35</v>
      </c>
      <c r="H615" s="2">
        <v>24.84</v>
      </c>
      <c r="I615" s="2">
        <v>43.7</v>
      </c>
      <c r="J615" s="2">
        <v>49.41</v>
      </c>
      <c r="K615" s="2">
        <v>63.47</v>
      </c>
      <c r="L615" s="2">
        <v>28.84</v>
      </c>
      <c r="M615" s="2">
        <v>35.869999999999997</v>
      </c>
      <c r="N615" s="2">
        <v>60.33</v>
      </c>
      <c r="O615" s="2">
        <v>14.77</v>
      </c>
      <c r="P615" s="2">
        <v>73.010000000000005</v>
      </c>
      <c r="Q615" s="2">
        <v>-2.78</v>
      </c>
      <c r="R615" s="2">
        <v>6.03</v>
      </c>
      <c r="S615" s="2">
        <v>35</v>
      </c>
      <c r="T615" s="2">
        <v>14.02</v>
      </c>
      <c r="U615" s="2">
        <v>3.67</v>
      </c>
      <c r="V615" s="2">
        <v>19.64</v>
      </c>
      <c r="W615" s="2">
        <v>15.43</v>
      </c>
      <c r="X615" s="2">
        <v>9.15</v>
      </c>
      <c r="Y615" s="2">
        <v>7.66</v>
      </c>
      <c r="Z615" s="2">
        <v>2.39</v>
      </c>
      <c r="AA615" s="2">
        <v>9.4600000000000009</v>
      </c>
      <c r="AB615" s="2">
        <v>2.46</v>
      </c>
      <c r="AC615" s="2">
        <v>9.34</v>
      </c>
      <c r="AD615" s="2">
        <v>2.4700000000000002</v>
      </c>
      <c r="AE615" s="2">
        <v>51.09</v>
      </c>
      <c r="AF615" s="2">
        <v>69.540000000000006</v>
      </c>
      <c r="AG615" s="2">
        <v>12.92</v>
      </c>
      <c r="AH615" s="4">
        <f t="shared" si="9"/>
        <v>698.41999999999985</v>
      </c>
    </row>
    <row r="616" spans="1:34" x14ac:dyDescent="0.2">
      <c r="A616" s="3">
        <v>26664</v>
      </c>
      <c r="B616" s="2">
        <v>1.01</v>
      </c>
      <c r="C616" s="2">
        <v>22.17</v>
      </c>
      <c r="D616" s="2">
        <v>7.16</v>
      </c>
      <c r="E616" s="2">
        <v>16.600000000000001</v>
      </c>
      <c r="F616" s="2">
        <v>13.41</v>
      </c>
      <c r="G616" s="2">
        <v>35.32</v>
      </c>
      <c r="H616" s="2">
        <v>12.95</v>
      </c>
      <c r="I616" s="2">
        <v>38.590000000000003</v>
      </c>
      <c r="J616" s="2">
        <v>10.52</v>
      </c>
      <c r="K616" s="2">
        <v>-26.86</v>
      </c>
      <c r="L616" s="2">
        <v>13.16</v>
      </c>
      <c r="M616" s="2">
        <v>-3.75</v>
      </c>
      <c r="N616" s="2">
        <v>12.07</v>
      </c>
      <c r="O616" s="2">
        <v>13.44</v>
      </c>
      <c r="P616" s="2">
        <v>35.18</v>
      </c>
      <c r="Q616" s="2">
        <v>-1.4</v>
      </c>
      <c r="R616" s="2">
        <v>7.49</v>
      </c>
      <c r="S616" s="2">
        <v>11</v>
      </c>
      <c r="T616" s="2">
        <v>6.65</v>
      </c>
      <c r="U616" s="2">
        <v>4.5599999999999996</v>
      </c>
      <c r="V616" s="2">
        <v>20.55</v>
      </c>
      <c r="W616" s="2">
        <v>11.73</v>
      </c>
      <c r="X616" s="2">
        <v>7.18</v>
      </c>
      <c r="Y616" s="2">
        <v>6.91</v>
      </c>
      <c r="Z616" s="2">
        <v>0.43</v>
      </c>
      <c r="AA616" s="2">
        <v>0</v>
      </c>
      <c r="AB616" s="2">
        <v>0.88</v>
      </c>
      <c r="AC616" s="2">
        <v>6.09</v>
      </c>
      <c r="AD616" s="2">
        <v>2.5099999999999998</v>
      </c>
      <c r="AE616" s="2">
        <v>11</v>
      </c>
      <c r="AF616" s="2">
        <v>63.89</v>
      </c>
      <c r="AG616" s="2">
        <v>11.2</v>
      </c>
      <c r="AH616" s="4">
        <f t="shared" si="9"/>
        <v>249.82000000000008</v>
      </c>
    </row>
    <row r="617" spans="1:34" x14ac:dyDescent="0.2">
      <c r="A617" s="3">
        <v>26695</v>
      </c>
      <c r="B617" s="2">
        <v>6.68</v>
      </c>
      <c r="C617" s="2">
        <v>42.24</v>
      </c>
      <c r="D617" s="2">
        <v>78.63</v>
      </c>
      <c r="E617" s="2">
        <v>204.99</v>
      </c>
      <c r="F617" s="2">
        <v>204.23</v>
      </c>
      <c r="G617" s="2">
        <v>255.27</v>
      </c>
      <c r="H617" s="2">
        <v>41.26</v>
      </c>
      <c r="I617" s="2">
        <v>56.21</v>
      </c>
      <c r="J617" s="2">
        <v>113.72</v>
      </c>
      <c r="K617" s="2">
        <v>58.08</v>
      </c>
      <c r="L617" s="2">
        <v>36.119999999999997</v>
      </c>
      <c r="M617" s="2">
        <v>20.12</v>
      </c>
      <c r="N617" s="2">
        <v>62.55</v>
      </c>
      <c r="O617" s="2">
        <v>13.93</v>
      </c>
      <c r="P617" s="2">
        <v>121.11</v>
      </c>
      <c r="Q617" s="2">
        <v>-1.48</v>
      </c>
      <c r="R617" s="2">
        <v>13.4</v>
      </c>
      <c r="S617" s="2">
        <v>86.93</v>
      </c>
      <c r="T617" s="2">
        <v>20.73</v>
      </c>
      <c r="U617" s="2">
        <v>6.13</v>
      </c>
      <c r="V617" s="2">
        <v>36.619999999999997</v>
      </c>
      <c r="W617" s="2">
        <v>4.26</v>
      </c>
      <c r="X617" s="2">
        <v>9.99</v>
      </c>
      <c r="Y617" s="2">
        <v>8.73</v>
      </c>
      <c r="Z617" s="2">
        <v>7.99</v>
      </c>
      <c r="AA617" s="2">
        <v>1</v>
      </c>
      <c r="AB617" s="2">
        <v>5.71</v>
      </c>
      <c r="AC617" s="2">
        <v>3.66</v>
      </c>
      <c r="AD617" s="2">
        <v>2.39</v>
      </c>
      <c r="AE617" s="2">
        <v>47.73</v>
      </c>
      <c r="AF617" s="2">
        <v>69.56</v>
      </c>
      <c r="AG617" s="2">
        <v>9.8800000000000008</v>
      </c>
      <c r="AH617" s="4">
        <f t="shared" si="9"/>
        <v>1477.4699999999998</v>
      </c>
    </row>
    <row r="618" spans="1:34" x14ac:dyDescent="0.2">
      <c r="A618" s="3">
        <v>26723</v>
      </c>
      <c r="B618" s="2">
        <v>8.69</v>
      </c>
      <c r="C618" s="2">
        <v>48.94</v>
      </c>
      <c r="D618" s="2">
        <v>42.75</v>
      </c>
      <c r="E618" s="2">
        <v>58.4</v>
      </c>
      <c r="F618" s="2">
        <v>40.64</v>
      </c>
      <c r="G618" s="2">
        <v>110.18</v>
      </c>
      <c r="H618" s="2">
        <v>33.200000000000003</v>
      </c>
      <c r="I618" s="2">
        <v>58.09</v>
      </c>
      <c r="J618" s="2">
        <v>76.84</v>
      </c>
      <c r="K618" s="2">
        <v>72.47</v>
      </c>
      <c r="L618" s="2">
        <v>26.55</v>
      </c>
      <c r="M618" s="2">
        <v>31.57</v>
      </c>
      <c r="N618" s="2">
        <v>103.12</v>
      </c>
      <c r="O618" s="2">
        <v>12.46</v>
      </c>
      <c r="P618" s="2">
        <v>94.63</v>
      </c>
      <c r="Q618" s="2">
        <v>2.4</v>
      </c>
      <c r="R618" s="2">
        <v>18.41</v>
      </c>
      <c r="S618" s="2">
        <v>68.3</v>
      </c>
      <c r="T618" s="2">
        <v>22.9</v>
      </c>
      <c r="U618" s="2">
        <v>6.41</v>
      </c>
      <c r="V618" s="2">
        <v>21.45</v>
      </c>
      <c r="W618" s="2">
        <v>0</v>
      </c>
      <c r="X618" s="2">
        <v>3.45</v>
      </c>
      <c r="Y618" s="2">
        <v>3.59</v>
      </c>
      <c r="Z618" s="2">
        <v>14.26</v>
      </c>
      <c r="AA618" s="2">
        <v>8.32</v>
      </c>
      <c r="AB618" s="2">
        <v>3.24</v>
      </c>
      <c r="AC618" s="2">
        <v>13.13</v>
      </c>
      <c r="AD618" s="2">
        <v>2.5099999999999998</v>
      </c>
      <c r="AE618" s="2">
        <v>55.65</v>
      </c>
      <c r="AF618" s="2">
        <v>57.98</v>
      </c>
      <c r="AG618" s="2">
        <v>10.08</v>
      </c>
      <c r="AH618" s="4">
        <f t="shared" si="9"/>
        <v>958.4</v>
      </c>
    </row>
    <row r="619" spans="1:34" x14ac:dyDescent="0.2">
      <c r="A619" s="3">
        <v>26754</v>
      </c>
      <c r="B619" s="2">
        <v>8.2899999999999991</v>
      </c>
      <c r="C619" s="2">
        <v>40.11</v>
      </c>
      <c r="D619" s="2">
        <v>-17.63</v>
      </c>
      <c r="E619" s="2">
        <v>-59.26</v>
      </c>
      <c r="F619" s="2">
        <v>-15.74</v>
      </c>
      <c r="G619" s="2">
        <v>2.69</v>
      </c>
      <c r="H619" s="2">
        <v>8.8000000000000007</v>
      </c>
      <c r="I619" s="2">
        <v>52.95</v>
      </c>
      <c r="J619" s="2">
        <v>11.83</v>
      </c>
      <c r="K619" s="2">
        <v>-17.760000000000002</v>
      </c>
      <c r="L619" s="2">
        <v>12.24</v>
      </c>
      <c r="M619" s="2">
        <v>-2.4900000000000002</v>
      </c>
      <c r="N619" s="2">
        <v>41.62</v>
      </c>
      <c r="O619" s="2">
        <v>14.13</v>
      </c>
      <c r="P619" s="2">
        <v>80.7</v>
      </c>
      <c r="Q619" s="2">
        <v>9.98</v>
      </c>
      <c r="R619" s="2">
        <v>20.59</v>
      </c>
      <c r="S619" s="2">
        <v>74.98</v>
      </c>
      <c r="T619" s="2">
        <v>27.62</v>
      </c>
      <c r="U619" s="2">
        <v>6.59</v>
      </c>
      <c r="V619" s="2">
        <v>36.880000000000003</v>
      </c>
      <c r="W619" s="2">
        <v>0</v>
      </c>
      <c r="X619" s="2">
        <v>4.3600000000000003</v>
      </c>
      <c r="Y619" s="2">
        <v>3.46</v>
      </c>
      <c r="Z619" s="2">
        <v>7.18</v>
      </c>
      <c r="AA619" s="2">
        <v>5.16</v>
      </c>
      <c r="AB619" s="2">
        <v>0.88</v>
      </c>
      <c r="AC619" s="2">
        <v>16.11</v>
      </c>
      <c r="AD619" s="2">
        <v>4.3600000000000003</v>
      </c>
      <c r="AE619" s="2">
        <v>25.64</v>
      </c>
      <c r="AF619" s="2">
        <v>68.42</v>
      </c>
      <c r="AG619" s="2">
        <v>10.69</v>
      </c>
      <c r="AH619" s="4">
        <f t="shared" si="9"/>
        <v>337.12</v>
      </c>
    </row>
    <row r="620" spans="1:34" x14ac:dyDescent="0.2">
      <c r="A620" s="3">
        <v>26784</v>
      </c>
      <c r="B620" s="2">
        <v>0.62</v>
      </c>
      <c r="C620" s="2">
        <v>31.68</v>
      </c>
      <c r="D620" s="2">
        <v>-22.08</v>
      </c>
      <c r="E620" s="2">
        <v>-81.3</v>
      </c>
      <c r="F620" s="2">
        <v>-49.56</v>
      </c>
      <c r="G620" s="2">
        <v>-85.14</v>
      </c>
      <c r="H620" s="2">
        <v>-5.52</v>
      </c>
      <c r="I620" s="2">
        <v>46.36</v>
      </c>
      <c r="J620" s="2">
        <v>-25.38</v>
      </c>
      <c r="K620" s="2">
        <v>-14.84</v>
      </c>
      <c r="L620" s="2">
        <v>-14.46</v>
      </c>
      <c r="M620" s="2">
        <v>-5.63</v>
      </c>
      <c r="N620" s="2">
        <v>61.74</v>
      </c>
      <c r="O620" s="2">
        <v>20.07</v>
      </c>
      <c r="P620" s="2">
        <v>27.63</v>
      </c>
      <c r="Q620" s="2">
        <v>16.62</v>
      </c>
      <c r="R620" s="2">
        <v>18.41</v>
      </c>
      <c r="S620" s="2">
        <v>20.6</v>
      </c>
      <c r="T620" s="2">
        <v>24.21</v>
      </c>
      <c r="U620" s="2">
        <v>3.79</v>
      </c>
      <c r="V620" s="2">
        <v>29.92</v>
      </c>
      <c r="W620" s="2">
        <v>0</v>
      </c>
      <c r="X620" s="2">
        <v>5.32</v>
      </c>
      <c r="Y620" s="2">
        <v>4.72</v>
      </c>
      <c r="Z620" s="2">
        <v>0</v>
      </c>
      <c r="AA620" s="2">
        <v>0</v>
      </c>
      <c r="AB620" s="2">
        <v>0</v>
      </c>
      <c r="AC620" s="2">
        <v>0.95</v>
      </c>
      <c r="AD620" s="2">
        <v>4.88</v>
      </c>
      <c r="AE620" s="2">
        <v>0.47</v>
      </c>
      <c r="AF620" s="2">
        <v>84.67</v>
      </c>
      <c r="AG620" s="2">
        <v>14.64</v>
      </c>
      <c r="AH620" s="4">
        <f t="shared" si="9"/>
        <v>-2.259999999999998</v>
      </c>
    </row>
    <row r="621" spans="1:34" x14ac:dyDescent="0.2">
      <c r="A621" s="3">
        <v>26815</v>
      </c>
      <c r="B621" s="2">
        <v>3.27</v>
      </c>
      <c r="C621" s="2">
        <v>30.67</v>
      </c>
      <c r="D621" s="2">
        <v>-13.62</v>
      </c>
      <c r="E621" s="2">
        <v>-41.29</v>
      </c>
      <c r="F621" s="2">
        <v>-17.18</v>
      </c>
      <c r="G621" s="2">
        <v>-27.09</v>
      </c>
      <c r="H621" s="2">
        <v>2.68</v>
      </c>
      <c r="I621" s="2">
        <v>34.6</v>
      </c>
      <c r="J621" s="2">
        <v>-17.21</v>
      </c>
      <c r="K621" s="2">
        <v>-29.17</v>
      </c>
      <c r="L621" s="2">
        <v>2.2000000000000002</v>
      </c>
      <c r="M621" s="2">
        <v>1.61</v>
      </c>
      <c r="N621" s="2">
        <v>16.25</v>
      </c>
      <c r="O621" s="2">
        <v>15.91</v>
      </c>
      <c r="P621" s="2">
        <v>61.45</v>
      </c>
      <c r="Q621" s="2">
        <v>8.6999999999999993</v>
      </c>
      <c r="R621" s="2">
        <v>14.34</v>
      </c>
      <c r="S621" s="2">
        <v>17.2</v>
      </c>
      <c r="T621" s="2">
        <v>54.02</v>
      </c>
      <c r="U621" s="2">
        <v>5.15</v>
      </c>
      <c r="V621" s="2">
        <v>39.1</v>
      </c>
      <c r="W621" s="2">
        <v>4.88</v>
      </c>
      <c r="X621" s="2">
        <v>8.34</v>
      </c>
      <c r="Y621" s="2">
        <v>7.08</v>
      </c>
      <c r="Z621" s="2">
        <v>0</v>
      </c>
      <c r="AA621" s="2">
        <v>0</v>
      </c>
      <c r="AB621" s="2">
        <v>0.6</v>
      </c>
      <c r="AC621" s="2">
        <v>0.68</v>
      </c>
      <c r="AD621" s="2">
        <v>6.74</v>
      </c>
      <c r="AE621" s="2">
        <v>0.09</v>
      </c>
      <c r="AF621" s="2">
        <v>95.62</v>
      </c>
      <c r="AG621" s="2">
        <v>17.690000000000001</v>
      </c>
      <c r="AH621" s="4">
        <f t="shared" si="9"/>
        <v>161.59</v>
      </c>
    </row>
    <row r="622" spans="1:34" x14ac:dyDescent="0.2">
      <c r="A622" s="3">
        <v>26845</v>
      </c>
      <c r="B622" s="2">
        <v>2.59</v>
      </c>
      <c r="C622" s="2">
        <v>29.03</v>
      </c>
      <c r="D622" s="2">
        <v>-13.97</v>
      </c>
      <c r="E622" s="2">
        <v>-41.52</v>
      </c>
      <c r="F622" s="2">
        <v>-9.4</v>
      </c>
      <c r="G622" s="2">
        <v>-15.97</v>
      </c>
      <c r="H622" s="2">
        <v>6.47</v>
      </c>
      <c r="I622" s="2">
        <v>37.119999999999997</v>
      </c>
      <c r="J622" s="2">
        <v>-23.24</v>
      </c>
      <c r="K622" s="2">
        <v>1.79</v>
      </c>
      <c r="L622" s="2">
        <v>2.98</v>
      </c>
      <c r="M622" s="2">
        <v>11.91</v>
      </c>
      <c r="N622" s="2">
        <v>35.92</v>
      </c>
      <c r="O622" s="2">
        <v>28.59</v>
      </c>
      <c r="P622" s="2">
        <v>123.15</v>
      </c>
      <c r="Q622" s="2">
        <v>14.03</v>
      </c>
      <c r="R622" s="2">
        <v>17.47</v>
      </c>
      <c r="S622" s="2">
        <v>33.53</v>
      </c>
      <c r="T622" s="2">
        <v>105.09</v>
      </c>
      <c r="U622" s="2">
        <v>5.73</v>
      </c>
      <c r="V622" s="2">
        <v>51.26</v>
      </c>
      <c r="W622" s="2">
        <v>18.62</v>
      </c>
      <c r="X622" s="2">
        <v>13.72</v>
      </c>
      <c r="Y622" s="2">
        <v>13.17</v>
      </c>
      <c r="Z622" s="2">
        <v>0</v>
      </c>
      <c r="AA622" s="2">
        <v>0</v>
      </c>
      <c r="AB622" s="2">
        <v>0</v>
      </c>
      <c r="AC622" s="2">
        <v>0</v>
      </c>
      <c r="AD622" s="2">
        <v>10.06</v>
      </c>
      <c r="AE622" s="2">
        <v>0</v>
      </c>
      <c r="AF622" s="2">
        <v>104.64</v>
      </c>
      <c r="AG622" s="2">
        <v>22.83</v>
      </c>
      <c r="AH622" s="4">
        <f t="shared" si="9"/>
        <v>402.56</v>
      </c>
    </row>
    <row r="623" spans="1:34" x14ac:dyDescent="0.2">
      <c r="A623" s="3">
        <v>26876</v>
      </c>
      <c r="B623" s="2">
        <v>2.59</v>
      </c>
      <c r="C623" s="2">
        <v>26.98</v>
      </c>
      <c r="D623" s="2">
        <v>-5.94</v>
      </c>
      <c r="E623" s="2">
        <v>-18.36</v>
      </c>
      <c r="F623" s="2">
        <v>7.59</v>
      </c>
      <c r="G623" s="2">
        <v>15.76</v>
      </c>
      <c r="H623" s="2">
        <v>13.51</v>
      </c>
      <c r="I623" s="2">
        <v>40.770000000000003</v>
      </c>
      <c r="J623" s="2">
        <v>-21.49</v>
      </c>
      <c r="K623" s="2">
        <v>-5.37</v>
      </c>
      <c r="L623" s="2">
        <v>-13.42</v>
      </c>
      <c r="M623" s="2">
        <v>13.44</v>
      </c>
      <c r="N623" s="2">
        <v>33.49</v>
      </c>
      <c r="O623" s="2">
        <v>35.04</v>
      </c>
      <c r="P623" s="2">
        <v>132.32</v>
      </c>
      <c r="Q623" s="2">
        <v>13.91</v>
      </c>
      <c r="R623" s="2">
        <v>25.03</v>
      </c>
      <c r="S623" s="2">
        <v>49.98</v>
      </c>
      <c r="T623" s="2">
        <v>86.76</v>
      </c>
      <c r="U623" s="2">
        <v>14.75</v>
      </c>
      <c r="V623" s="2">
        <v>57.07</v>
      </c>
      <c r="W623" s="2">
        <v>30.39</v>
      </c>
      <c r="X623" s="2">
        <v>18.98</v>
      </c>
      <c r="Y623" s="2">
        <v>18.79</v>
      </c>
      <c r="Z623" s="2">
        <v>0</v>
      </c>
      <c r="AA623" s="2">
        <v>0</v>
      </c>
      <c r="AB623" s="2">
        <v>0.08</v>
      </c>
      <c r="AC623" s="2">
        <v>0</v>
      </c>
      <c r="AD623" s="2">
        <v>7.25</v>
      </c>
      <c r="AE623" s="2">
        <v>0</v>
      </c>
      <c r="AF623" s="2">
        <v>113.96</v>
      </c>
      <c r="AG623" s="2">
        <v>24.8</v>
      </c>
      <c r="AH623" s="4">
        <f t="shared" si="9"/>
        <v>504.41</v>
      </c>
    </row>
    <row r="624" spans="1:34" x14ac:dyDescent="0.2">
      <c r="A624" s="3">
        <v>26907</v>
      </c>
      <c r="B624" s="2">
        <v>1.36</v>
      </c>
      <c r="C624" s="2">
        <v>26.4</v>
      </c>
      <c r="D624" s="2">
        <v>-10.26</v>
      </c>
      <c r="E624" s="2">
        <v>-15.41</v>
      </c>
      <c r="F624" s="2">
        <v>11.44</v>
      </c>
      <c r="G624" s="2">
        <v>24.86</v>
      </c>
      <c r="H624" s="2">
        <v>15.21</v>
      </c>
      <c r="I624" s="2">
        <v>43.71</v>
      </c>
      <c r="J624" s="2">
        <v>-6.27</v>
      </c>
      <c r="K624" s="2">
        <v>-3.07</v>
      </c>
      <c r="L624" s="2">
        <v>-3.46</v>
      </c>
      <c r="M624" s="2">
        <v>11.98</v>
      </c>
      <c r="N624" s="2">
        <v>33.78</v>
      </c>
      <c r="O624" s="2">
        <v>33.18</v>
      </c>
      <c r="P624" s="2">
        <v>87.56</v>
      </c>
      <c r="Q624" s="2">
        <v>9.4700000000000006</v>
      </c>
      <c r="R624" s="2">
        <v>25.36</v>
      </c>
      <c r="S624" s="2">
        <v>34.75</v>
      </c>
      <c r="T624" s="2">
        <v>74.59</v>
      </c>
      <c r="U624" s="2">
        <v>16.350000000000001</v>
      </c>
      <c r="V624" s="2">
        <v>48.25</v>
      </c>
      <c r="W624" s="2">
        <v>31.47</v>
      </c>
      <c r="X624" s="2">
        <v>21.3</v>
      </c>
      <c r="Y624" s="2">
        <v>21.25</v>
      </c>
      <c r="Z624" s="2">
        <v>0.38</v>
      </c>
      <c r="AA624" s="2">
        <v>4.53</v>
      </c>
      <c r="AB624" s="2">
        <v>0.76</v>
      </c>
      <c r="AC624" s="2">
        <v>2.17</v>
      </c>
      <c r="AD624" s="2">
        <v>5.56</v>
      </c>
      <c r="AE624" s="2">
        <v>0</v>
      </c>
      <c r="AF624" s="2">
        <v>115.89</v>
      </c>
      <c r="AG624" s="2">
        <v>23.65</v>
      </c>
      <c r="AH624" s="4">
        <f t="shared" si="9"/>
        <v>459.78000000000009</v>
      </c>
    </row>
    <row r="625" spans="1:34" x14ac:dyDescent="0.2">
      <c r="A625" s="3">
        <v>26937</v>
      </c>
      <c r="B625" s="2">
        <v>-0.11</v>
      </c>
      <c r="C625" s="2">
        <v>25.55</v>
      </c>
      <c r="D625" s="2">
        <v>-6.86</v>
      </c>
      <c r="E625" s="2">
        <v>-17.399999999999999</v>
      </c>
      <c r="F625" s="2">
        <v>1.05</v>
      </c>
      <c r="G625" s="2">
        <v>14.54</v>
      </c>
      <c r="H625" s="2">
        <v>18.89</v>
      </c>
      <c r="I625" s="2">
        <v>54.39</v>
      </c>
      <c r="J625" s="2">
        <v>7.31</v>
      </c>
      <c r="K625" s="2">
        <v>-5.39</v>
      </c>
      <c r="L625" s="2">
        <v>-2.36</v>
      </c>
      <c r="M625" s="2">
        <v>7.96</v>
      </c>
      <c r="N625" s="2">
        <v>41.67</v>
      </c>
      <c r="O625" s="2">
        <v>17.260000000000002</v>
      </c>
      <c r="P625" s="2">
        <v>31.07</v>
      </c>
      <c r="Q625" s="2">
        <v>9.16</v>
      </c>
      <c r="R625" s="2">
        <v>22.74</v>
      </c>
      <c r="S625" s="2">
        <v>9.56</v>
      </c>
      <c r="T625" s="2">
        <v>17.760000000000002</v>
      </c>
      <c r="U625" s="2">
        <v>11.43</v>
      </c>
      <c r="V625" s="2">
        <v>24.88</v>
      </c>
      <c r="W625" s="2">
        <v>26.1</v>
      </c>
      <c r="X625" s="2">
        <v>20.22</v>
      </c>
      <c r="Y625" s="2">
        <v>19.96</v>
      </c>
      <c r="Z625" s="2">
        <v>0</v>
      </c>
      <c r="AA625" s="2">
        <v>0</v>
      </c>
      <c r="AB625" s="2">
        <v>0</v>
      </c>
      <c r="AC625" s="2">
        <v>0</v>
      </c>
      <c r="AD625" s="2">
        <v>5.51</v>
      </c>
      <c r="AE625" s="2">
        <v>0.37</v>
      </c>
      <c r="AF625" s="2">
        <v>107.95</v>
      </c>
      <c r="AG625" s="2">
        <v>20.170000000000002</v>
      </c>
      <c r="AH625" s="4">
        <f t="shared" si="9"/>
        <v>283.09999999999997</v>
      </c>
    </row>
    <row r="626" spans="1:34" x14ac:dyDescent="0.2">
      <c r="A626" s="3">
        <v>26968</v>
      </c>
      <c r="B626" s="2">
        <v>0.76</v>
      </c>
      <c r="C626" s="2">
        <v>21.91</v>
      </c>
      <c r="D626" s="2">
        <v>0.85</v>
      </c>
      <c r="E626" s="2">
        <v>-17.79</v>
      </c>
      <c r="F626" s="2">
        <v>0.31</v>
      </c>
      <c r="G626" s="2">
        <v>14.67</v>
      </c>
      <c r="H626" s="2">
        <v>15.73</v>
      </c>
      <c r="I626" s="2">
        <v>49.07</v>
      </c>
      <c r="J626" s="2">
        <v>14.98</v>
      </c>
      <c r="K626" s="2">
        <v>5.25</v>
      </c>
      <c r="L626" s="2">
        <v>12.44</v>
      </c>
      <c r="M626" s="2">
        <v>20.14</v>
      </c>
      <c r="N626" s="2">
        <v>31.14</v>
      </c>
      <c r="O626" s="2">
        <v>19.989999999999998</v>
      </c>
      <c r="P626" s="2">
        <v>34.409999999999997</v>
      </c>
      <c r="Q626" s="2">
        <v>2.94</v>
      </c>
      <c r="R626" s="2">
        <v>11.91</v>
      </c>
      <c r="S626" s="2">
        <v>3.39</v>
      </c>
      <c r="T626" s="2">
        <v>19.559999999999999</v>
      </c>
      <c r="U626" s="2">
        <v>7.2</v>
      </c>
      <c r="V626" s="2">
        <v>20.54</v>
      </c>
      <c r="W626" s="2">
        <v>22.19</v>
      </c>
      <c r="X626" s="2">
        <v>18.739999999999998</v>
      </c>
      <c r="Y626" s="2">
        <v>18.45</v>
      </c>
      <c r="Z626" s="2">
        <v>2.87</v>
      </c>
      <c r="AA626" s="2">
        <v>0</v>
      </c>
      <c r="AB626" s="2">
        <v>0</v>
      </c>
      <c r="AC626" s="2">
        <v>0</v>
      </c>
      <c r="AD626" s="2">
        <v>2.71</v>
      </c>
      <c r="AE626" s="2">
        <v>20.7</v>
      </c>
      <c r="AF626" s="2">
        <v>97.91</v>
      </c>
      <c r="AG626" s="2">
        <v>16.420000000000002</v>
      </c>
      <c r="AH626" s="4">
        <f t="shared" si="9"/>
        <v>289.39999999999998</v>
      </c>
    </row>
    <row r="627" spans="1:34" x14ac:dyDescent="0.2">
      <c r="A627" s="3">
        <v>26998</v>
      </c>
      <c r="B627" s="2">
        <v>12.51</v>
      </c>
      <c r="C627" s="2">
        <v>38.659999999999997</v>
      </c>
      <c r="D627" s="2">
        <v>54.88</v>
      </c>
      <c r="E627" s="2">
        <v>186.38</v>
      </c>
      <c r="F627" s="2">
        <v>165.97</v>
      </c>
      <c r="G627" s="2">
        <v>167.29</v>
      </c>
      <c r="H627" s="2">
        <v>55.17</v>
      </c>
      <c r="I627" s="2">
        <v>64.58</v>
      </c>
      <c r="J627" s="2">
        <v>54.64</v>
      </c>
      <c r="K627" s="2">
        <v>9.17</v>
      </c>
      <c r="L627" s="2">
        <v>6.81</v>
      </c>
      <c r="M627" s="2">
        <v>6.47</v>
      </c>
      <c r="N627" s="2">
        <v>29.66</v>
      </c>
      <c r="O627" s="2">
        <v>15.99</v>
      </c>
      <c r="P627" s="2">
        <v>38.450000000000003</v>
      </c>
      <c r="Q627" s="2">
        <v>1.72</v>
      </c>
      <c r="R627" s="2">
        <v>9.7899999999999991</v>
      </c>
      <c r="S627" s="2">
        <v>16.86</v>
      </c>
      <c r="T627" s="2">
        <v>15.38</v>
      </c>
      <c r="U627" s="2">
        <v>7</v>
      </c>
      <c r="V627" s="2">
        <v>20.03</v>
      </c>
      <c r="W627" s="2">
        <v>15.43</v>
      </c>
      <c r="X627" s="2">
        <v>12.27</v>
      </c>
      <c r="Y627" s="2">
        <v>10.96</v>
      </c>
      <c r="Z627" s="2">
        <v>0.28999999999999998</v>
      </c>
      <c r="AA627" s="2">
        <v>1.43</v>
      </c>
      <c r="AB627" s="2">
        <v>2.41</v>
      </c>
      <c r="AC627" s="2">
        <v>7.58</v>
      </c>
      <c r="AD627" s="2">
        <v>1.61</v>
      </c>
      <c r="AE627" s="2">
        <v>26.01</v>
      </c>
      <c r="AF627" s="2">
        <v>64.239999999999995</v>
      </c>
      <c r="AG627" s="2">
        <v>12.92</v>
      </c>
      <c r="AH627" s="4">
        <f t="shared" si="9"/>
        <v>977.40999999999985</v>
      </c>
    </row>
    <row r="628" spans="1:34" x14ac:dyDescent="0.2">
      <c r="A628" s="3">
        <v>27029</v>
      </c>
      <c r="B628" s="2">
        <v>14.01</v>
      </c>
      <c r="C628" s="2">
        <v>36.619999999999997</v>
      </c>
      <c r="D628" s="2">
        <v>26.02</v>
      </c>
      <c r="E628" s="2">
        <v>85.6</v>
      </c>
      <c r="F628" s="2">
        <v>50.24</v>
      </c>
      <c r="G628" s="2">
        <v>84.18</v>
      </c>
      <c r="H628" s="2">
        <v>29.92</v>
      </c>
      <c r="I628" s="2">
        <v>57.33</v>
      </c>
      <c r="J628" s="2">
        <v>49.93</v>
      </c>
      <c r="K628" s="2">
        <v>32.549999999999997</v>
      </c>
      <c r="L628" s="2">
        <v>38.18</v>
      </c>
      <c r="M628" s="2">
        <v>19.7</v>
      </c>
      <c r="N628" s="2">
        <v>39.99</v>
      </c>
      <c r="O628" s="2">
        <v>18.3</v>
      </c>
      <c r="P628" s="2">
        <v>36.270000000000003</v>
      </c>
      <c r="Q628" s="2">
        <v>0.27</v>
      </c>
      <c r="R628" s="2">
        <v>10.75</v>
      </c>
      <c r="S628" s="2">
        <v>17.73</v>
      </c>
      <c r="T628" s="2">
        <v>5.35</v>
      </c>
      <c r="U628" s="2">
        <v>7.35</v>
      </c>
      <c r="V628" s="2">
        <v>21.57</v>
      </c>
      <c r="W628" s="2">
        <v>11.73</v>
      </c>
      <c r="X628" s="2">
        <v>5</v>
      </c>
      <c r="Y628" s="2">
        <v>9.9499999999999993</v>
      </c>
      <c r="Z628" s="2">
        <v>0</v>
      </c>
      <c r="AA628" s="2">
        <v>0</v>
      </c>
      <c r="AB628" s="2">
        <v>0.17</v>
      </c>
      <c r="AC628" s="2">
        <v>1.08</v>
      </c>
      <c r="AD628" s="2">
        <v>1.61</v>
      </c>
      <c r="AE628" s="2">
        <v>24.89</v>
      </c>
      <c r="AF628" s="2">
        <v>59.02</v>
      </c>
      <c r="AG628" s="2">
        <v>11.2</v>
      </c>
      <c r="AH628" s="4">
        <f t="shared" si="9"/>
        <v>681.86000000000013</v>
      </c>
    </row>
    <row r="629" spans="1:34" x14ac:dyDescent="0.2">
      <c r="A629" s="3">
        <v>27060</v>
      </c>
      <c r="B629" s="2">
        <v>19.46</v>
      </c>
      <c r="C629" s="2">
        <v>52.65</v>
      </c>
      <c r="D629" s="2">
        <v>39.630000000000003</v>
      </c>
      <c r="E629" s="2">
        <v>171.65</v>
      </c>
      <c r="F629" s="2">
        <v>203.6</v>
      </c>
      <c r="G629" s="2">
        <v>170.18</v>
      </c>
      <c r="H629" s="2">
        <v>27.35</v>
      </c>
      <c r="I629" s="2">
        <v>56.97</v>
      </c>
      <c r="J629" s="2">
        <v>51.37</v>
      </c>
      <c r="K629" s="2">
        <v>34.76</v>
      </c>
      <c r="L629" s="2">
        <v>35.19</v>
      </c>
      <c r="M629" s="2">
        <v>17.93</v>
      </c>
      <c r="N629" s="2">
        <v>61.86</v>
      </c>
      <c r="O629" s="2">
        <v>14.29</v>
      </c>
      <c r="P629" s="2">
        <v>79.47</v>
      </c>
      <c r="Q629" s="2">
        <v>3.38</v>
      </c>
      <c r="R629" s="2">
        <v>8.0500000000000007</v>
      </c>
      <c r="S629" s="2">
        <v>55.33</v>
      </c>
      <c r="T629" s="2">
        <v>25.01</v>
      </c>
      <c r="U629" s="2">
        <v>7.17</v>
      </c>
      <c r="V629" s="2">
        <v>22.02</v>
      </c>
      <c r="W629" s="2">
        <v>4.26</v>
      </c>
      <c r="X629" s="2">
        <v>0</v>
      </c>
      <c r="Y629" s="2">
        <v>0</v>
      </c>
      <c r="Z629" s="2">
        <v>15.12</v>
      </c>
      <c r="AA629" s="2">
        <v>34.119999999999997</v>
      </c>
      <c r="AB629" s="2">
        <v>4.45</v>
      </c>
      <c r="AC629" s="2">
        <v>16.649999999999999</v>
      </c>
      <c r="AD629" s="2">
        <v>1.64</v>
      </c>
      <c r="AE629" s="2">
        <v>23.4</v>
      </c>
      <c r="AF629" s="2">
        <v>37.49</v>
      </c>
      <c r="AG629" s="2">
        <v>9.8800000000000008</v>
      </c>
      <c r="AH629" s="4">
        <f t="shared" si="9"/>
        <v>1157.3200000000002</v>
      </c>
    </row>
    <row r="630" spans="1:34" x14ac:dyDescent="0.2">
      <c r="A630" s="3">
        <v>27088</v>
      </c>
      <c r="B630" s="2">
        <v>9.36</v>
      </c>
      <c r="C630" s="2">
        <v>25.02</v>
      </c>
      <c r="D630" s="2">
        <v>-38.39</v>
      </c>
      <c r="E630" s="2">
        <v>-144.13999999999999</v>
      </c>
      <c r="F630" s="2">
        <v>-137.63999999999999</v>
      </c>
      <c r="G630" s="2">
        <v>-85.06</v>
      </c>
      <c r="H630" s="2">
        <v>4.46</v>
      </c>
      <c r="I630" s="2">
        <v>43.45</v>
      </c>
      <c r="J630" s="2">
        <v>-20.82</v>
      </c>
      <c r="K630" s="2">
        <v>-22.05</v>
      </c>
      <c r="L630" s="2">
        <v>-10.27</v>
      </c>
      <c r="M630" s="2">
        <v>-11.15</v>
      </c>
      <c r="N630" s="2">
        <v>23.55</v>
      </c>
      <c r="O630" s="2">
        <v>17.829999999999998</v>
      </c>
      <c r="P630" s="2">
        <v>12.69</v>
      </c>
      <c r="Q630" s="2">
        <v>7.15</v>
      </c>
      <c r="R630" s="2">
        <v>15.21</v>
      </c>
      <c r="S630" s="2">
        <v>0.9</v>
      </c>
      <c r="T630" s="2">
        <v>14.73</v>
      </c>
      <c r="U630" s="2">
        <v>11.19</v>
      </c>
      <c r="V630" s="2">
        <v>24.85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1.9</v>
      </c>
      <c r="AE630" s="2">
        <v>7.64</v>
      </c>
      <c r="AF630" s="2">
        <v>31.25</v>
      </c>
      <c r="AG630" s="2">
        <v>10.08</v>
      </c>
      <c r="AH630" s="4">
        <f t="shared" si="9"/>
        <v>-259.13</v>
      </c>
    </row>
    <row r="631" spans="1:34" x14ac:dyDescent="0.2">
      <c r="A631" s="3">
        <v>27119</v>
      </c>
      <c r="B631" s="2">
        <v>16.73</v>
      </c>
      <c r="C631" s="2">
        <v>41.79</v>
      </c>
      <c r="D631" s="2">
        <v>25.98</v>
      </c>
      <c r="E631" s="2">
        <v>64.66</v>
      </c>
      <c r="F631" s="2">
        <v>85.83</v>
      </c>
      <c r="G631" s="2">
        <v>104.62</v>
      </c>
      <c r="H631" s="2">
        <v>42.73</v>
      </c>
      <c r="I631" s="2">
        <v>64.819999999999993</v>
      </c>
      <c r="J631" s="2">
        <v>34.479999999999997</v>
      </c>
      <c r="K631" s="2">
        <v>25.29</v>
      </c>
      <c r="L631" s="2">
        <v>7.79</v>
      </c>
      <c r="M631" s="2">
        <v>13.18</v>
      </c>
      <c r="N631" s="2">
        <v>63.79</v>
      </c>
      <c r="O631" s="2">
        <v>14.24</v>
      </c>
      <c r="P631" s="2">
        <v>83.19</v>
      </c>
      <c r="Q631" s="2">
        <v>6.4</v>
      </c>
      <c r="R631" s="2">
        <v>10.52</v>
      </c>
      <c r="S631" s="2">
        <v>20.45</v>
      </c>
      <c r="T631" s="2">
        <v>31.38</v>
      </c>
      <c r="U631" s="2">
        <v>5.6</v>
      </c>
      <c r="V631" s="2">
        <v>27.32</v>
      </c>
      <c r="W631" s="2">
        <v>0</v>
      </c>
      <c r="X631" s="2">
        <v>0</v>
      </c>
      <c r="Y631" s="2">
        <v>0</v>
      </c>
      <c r="Z631" s="2">
        <v>6.13</v>
      </c>
      <c r="AA631" s="2">
        <v>3.87</v>
      </c>
      <c r="AB631" s="2">
        <v>2.85</v>
      </c>
      <c r="AC631" s="2">
        <v>6.5</v>
      </c>
      <c r="AD631" s="2">
        <v>3.39</v>
      </c>
      <c r="AE631" s="2">
        <v>30.76</v>
      </c>
      <c r="AF631" s="2">
        <v>36.880000000000003</v>
      </c>
      <c r="AG631" s="2">
        <v>10.69</v>
      </c>
      <c r="AH631" s="4">
        <f t="shared" si="9"/>
        <v>790.79</v>
      </c>
    </row>
    <row r="632" spans="1:34" x14ac:dyDescent="0.2">
      <c r="A632" s="3">
        <v>27149</v>
      </c>
      <c r="B632" s="2">
        <v>17.579999999999998</v>
      </c>
      <c r="C632" s="2">
        <v>35.31</v>
      </c>
      <c r="D632" s="2">
        <v>-16.8</v>
      </c>
      <c r="E632" s="2">
        <v>-5.37</v>
      </c>
      <c r="F632" s="2">
        <v>71.55</v>
      </c>
      <c r="G632" s="2">
        <v>-37.799999999999997</v>
      </c>
      <c r="H632" s="2">
        <v>-1.39</v>
      </c>
      <c r="I632" s="2">
        <v>48.46</v>
      </c>
      <c r="J632" s="2">
        <v>10.62</v>
      </c>
      <c r="K632" s="2">
        <v>-4.38</v>
      </c>
      <c r="L632" s="2">
        <v>7.36</v>
      </c>
      <c r="M632" s="2">
        <v>-4.8899999999999997</v>
      </c>
      <c r="N632" s="2">
        <v>32.200000000000003</v>
      </c>
      <c r="O632" s="2">
        <v>16.600000000000001</v>
      </c>
      <c r="P632" s="2">
        <v>39.24</v>
      </c>
      <c r="Q632" s="2">
        <v>10.08</v>
      </c>
      <c r="R632" s="2">
        <v>6.32</v>
      </c>
      <c r="S632" s="2">
        <v>8.32</v>
      </c>
      <c r="T632" s="2">
        <v>19.09</v>
      </c>
      <c r="U632" s="2">
        <v>12.53</v>
      </c>
      <c r="V632" s="2">
        <v>29.15</v>
      </c>
      <c r="W632" s="2">
        <v>0</v>
      </c>
      <c r="X632" s="2">
        <v>0</v>
      </c>
      <c r="Y632" s="2">
        <v>0</v>
      </c>
      <c r="Z632" s="2">
        <v>0.67</v>
      </c>
      <c r="AA632" s="2">
        <v>0</v>
      </c>
      <c r="AB632" s="2">
        <v>0.81</v>
      </c>
      <c r="AC632" s="2">
        <v>0</v>
      </c>
      <c r="AD632" s="2">
        <v>4.1399999999999997</v>
      </c>
      <c r="AE632" s="2">
        <v>16.13</v>
      </c>
      <c r="AF632" s="2">
        <v>45.63</v>
      </c>
      <c r="AG632" s="2">
        <v>14.64</v>
      </c>
      <c r="AH632" s="4">
        <f t="shared" si="9"/>
        <v>293.77999999999997</v>
      </c>
    </row>
    <row r="633" spans="1:34" x14ac:dyDescent="0.2">
      <c r="A633" s="3">
        <v>27180</v>
      </c>
      <c r="B633" s="2">
        <v>5.15</v>
      </c>
      <c r="C633" s="2">
        <v>24.27</v>
      </c>
      <c r="D633" s="2">
        <v>-25.2</v>
      </c>
      <c r="E633" s="2">
        <v>-118.54</v>
      </c>
      <c r="F633" s="2">
        <v>-140.84</v>
      </c>
      <c r="G633" s="2">
        <v>-80.2</v>
      </c>
      <c r="H633" s="2">
        <v>-2.5499999999999998</v>
      </c>
      <c r="I633" s="2">
        <v>42.89</v>
      </c>
      <c r="J633" s="2">
        <v>-21.76</v>
      </c>
      <c r="K633" s="2">
        <v>-13.92</v>
      </c>
      <c r="L633" s="2">
        <v>0.01</v>
      </c>
      <c r="M633" s="2">
        <v>3.22</v>
      </c>
      <c r="N633" s="2">
        <v>24.88</v>
      </c>
      <c r="O633" s="2">
        <v>24.41</v>
      </c>
      <c r="P633" s="2">
        <v>77.39</v>
      </c>
      <c r="Q633" s="2">
        <v>7.2</v>
      </c>
      <c r="R633" s="2">
        <v>14.85</v>
      </c>
      <c r="S633" s="2">
        <v>12.25</v>
      </c>
      <c r="T633" s="2">
        <v>27.08</v>
      </c>
      <c r="U633" s="2">
        <v>10.29</v>
      </c>
      <c r="V633" s="2">
        <v>35.5</v>
      </c>
      <c r="W633" s="2">
        <v>4.88</v>
      </c>
      <c r="X633" s="2">
        <v>0</v>
      </c>
      <c r="Y633" s="2">
        <v>0</v>
      </c>
      <c r="Z633" s="2">
        <v>0.38</v>
      </c>
      <c r="AA633" s="2">
        <v>0</v>
      </c>
      <c r="AB633" s="2">
        <v>0.34</v>
      </c>
      <c r="AC633" s="2">
        <v>2.17</v>
      </c>
      <c r="AD633" s="2">
        <v>9.73</v>
      </c>
      <c r="AE633" s="2">
        <v>0</v>
      </c>
      <c r="AF633" s="2">
        <v>51.53</v>
      </c>
      <c r="AG633" s="2">
        <v>17.690000000000001</v>
      </c>
      <c r="AH633" s="4">
        <f t="shared" si="9"/>
        <v>-93.620000000000033</v>
      </c>
    </row>
    <row r="634" spans="1:34" x14ac:dyDescent="0.2">
      <c r="A634" s="3">
        <v>27210</v>
      </c>
      <c r="B634" s="2">
        <v>4.1500000000000004</v>
      </c>
      <c r="C634" s="2">
        <v>25.02</v>
      </c>
      <c r="D634" s="2">
        <v>-14.94</v>
      </c>
      <c r="E634" s="2">
        <v>-68.45</v>
      </c>
      <c r="F634" s="2">
        <v>-42.12</v>
      </c>
      <c r="G634" s="2">
        <v>-30.99</v>
      </c>
      <c r="H634" s="2">
        <v>2.98</v>
      </c>
      <c r="I634" s="2">
        <v>37.840000000000003</v>
      </c>
      <c r="J634" s="2">
        <v>-26.2</v>
      </c>
      <c r="K634" s="2">
        <v>2.13</v>
      </c>
      <c r="L634" s="2">
        <v>-3.25</v>
      </c>
      <c r="M634" s="2">
        <v>10.66</v>
      </c>
      <c r="N634" s="2">
        <v>31.32</v>
      </c>
      <c r="O634" s="2">
        <v>31.16</v>
      </c>
      <c r="P634" s="2">
        <v>138.75</v>
      </c>
      <c r="Q634" s="2">
        <v>14.02</v>
      </c>
      <c r="R634" s="2">
        <v>15.26</v>
      </c>
      <c r="S634" s="2">
        <v>40.24</v>
      </c>
      <c r="T634" s="2">
        <v>95.62</v>
      </c>
      <c r="U634" s="2">
        <v>10.199999999999999</v>
      </c>
      <c r="V634" s="2">
        <v>48.67</v>
      </c>
      <c r="W634" s="2">
        <v>18.62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12.35</v>
      </c>
      <c r="AE634" s="2">
        <v>0.75</v>
      </c>
      <c r="AF634" s="2">
        <v>56.4</v>
      </c>
      <c r="AG634" s="2">
        <v>22.83</v>
      </c>
      <c r="AH634" s="4">
        <f t="shared" si="9"/>
        <v>322.07000000000005</v>
      </c>
    </row>
    <row r="635" spans="1:34" x14ac:dyDescent="0.2">
      <c r="A635" s="3">
        <v>27241</v>
      </c>
      <c r="B635" s="2">
        <v>3.96</v>
      </c>
      <c r="C635" s="2">
        <v>27.36</v>
      </c>
      <c r="D635" s="2">
        <v>-9.8000000000000007</v>
      </c>
      <c r="E635" s="2">
        <v>-40.46</v>
      </c>
      <c r="F635" s="2">
        <v>-0.25</v>
      </c>
      <c r="G635" s="2">
        <v>4.42</v>
      </c>
      <c r="H635" s="2">
        <v>12.25</v>
      </c>
      <c r="I635" s="2">
        <v>47.19</v>
      </c>
      <c r="J635" s="2">
        <v>-27.18</v>
      </c>
      <c r="K635" s="2">
        <v>-2.46</v>
      </c>
      <c r="L635" s="2">
        <v>-22.37</v>
      </c>
      <c r="M635" s="2">
        <v>10.33</v>
      </c>
      <c r="N635" s="2">
        <v>37.85</v>
      </c>
      <c r="O635" s="2">
        <v>36</v>
      </c>
      <c r="P635" s="2">
        <v>106.82</v>
      </c>
      <c r="Q635" s="2">
        <v>13.59</v>
      </c>
      <c r="R635" s="2">
        <v>19.920000000000002</v>
      </c>
      <c r="S635" s="2">
        <v>49.46</v>
      </c>
      <c r="T635" s="2">
        <v>88.19</v>
      </c>
      <c r="U635" s="2">
        <v>24.13</v>
      </c>
      <c r="V635" s="2">
        <v>48.88</v>
      </c>
      <c r="W635" s="2">
        <v>30.39</v>
      </c>
      <c r="X635" s="2">
        <v>0</v>
      </c>
      <c r="Y635" s="2">
        <v>1.48</v>
      </c>
      <c r="Z635" s="2">
        <v>1.2</v>
      </c>
      <c r="AA635" s="2">
        <v>0.52</v>
      </c>
      <c r="AB635" s="2">
        <v>0.32</v>
      </c>
      <c r="AC635" s="2">
        <v>2.57</v>
      </c>
      <c r="AD635" s="2">
        <v>8.83</v>
      </c>
      <c r="AE635" s="2">
        <v>1.68</v>
      </c>
      <c r="AF635" s="2">
        <v>61.42</v>
      </c>
      <c r="AG635" s="2">
        <v>24.8</v>
      </c>
      <c r="AH635" s="4">
        <f t="shared" si="9"/>
        <v>427.83</v>
      </c>
    </row>
    <row r="636" spans="1:34" x14ac:dyDescent="0.2">
      <c r="A636" s="3">
        <v>27272</v>
      </c>
      <c r="B636" s="2">
        <v>2.25</v>
      </c>
      <c r="C636" s="2">
        <v>24.47</v>
      </c>
      <c r="D636" s="2">
        <v>-9.1</v>
      </c>
      <c r="E636" s="2">
        <v>-26.33</v>
      </c>
      <c r="F636" s="2">
        <v>-0.56000000000000005</v>
      </c>
      <c r="G636" s="2">
        <v>18.739999999999998</v>
      </c>
      <c r="H636" s="2">
        <v>14.88</v>
      </c>
      <c r="I636" s="2">
        <v>43.46</v>
      </c>
      <c r="J636" s="2">
        <v>-8.76</v>
      </c>
      <c r="K636" s="2">
        <v>-1.83</v>
      </c>
      <c r="L636" s="2">
        <v>-3.12</v>
      </c>
      <c r="M636" s="2">
        <v>14.49</v>
      </c>
      <c r="N636" s="2">
        <v>35.11</v>
      </c>
      <c r="O636" s="2">
        <v>34.479999999999997</v>
      </c>
      <c r="P636" s="2">
        <v>80.58</v>
      </c>
      <c r="Q636" s="2">
        <v>7.93</v>
      </c>
      <c r="R636" s="2">
        <v>22.61</v>
      </c>
      <c r="S636" s="2">
        <v>29.26</v>
      </c>
      <c r="T636" s="2">
        <v>73.709999999999994</v>
      </c>
      <c r="U636" s="2">
        <v>22.92</v>
      </c>
      <c r="V636" s="2">
        <v>49.29</v>
      </c>
      <c r="W636" s="2">
        <v>31.47</v>
      </c>
      <c r="X636" s="2">
        <v>0</v>
      </c>
      <c r="Y636" s="2">
        <v>3.64</v>
      </c>
      <c r="Z636" s="2">
        <v>1.1499999999999999</v>
      </c>
      <c r="AA636" s="2">
        <v>0</v>
      </c>
      <c r="AB636" s="2">
        <v>7.0000000000000007E-2</v>
      </c>
      <c r="AC636" s="2">
        <v>0</v>
      </c>
      <c r="AD636" s="2">
        <v>6.08</v>
      </c>
      <c r="AE636" s="2">
        <v>0</v>
      </c>
      <c r="AF636" s="2">
        <v>62.46</v>
      </c>
      <c r="AG636" s="2">
        <v>23.65</v>
      </c>
      <c r="AH636" s="4">
        <f t="shared" si="9"/>
        <v>424.48</v>
      </c>
    </row>
    <row r="637" spans="1:34" x14ac:dyDescent="0.2">
      <c r="A637" s="3">
        <v>27302</v>
      </c>
      <c r="B637" s="2">
        <v>0.53</v>
      </c>
      <c r="C637" s="2">
        <v>21</v>
      </c>
      <c r="D637" s="2">
        <v>-3.69</v>
      </c>
      <c r="E637" s="2">
        <v>-27.27</v>
      </c>
      <c r="F637" s="2">
        <v>-10.3</v>
      </c>
      <c r="G637" s="2">
        <v>8.4499999999999993</v>
      </c>
      <c r="H637" s="2">
        <v>16.239999999999998</v>
      </c>
      <c r="I637" s="2">
        <v>54.61</v>
      </c>
      <c r="J637" s="2">
        <v>8.26</v>
      </c>
      <c r="K637" s="2">
        <v>-2.02</v>
      </c>
      <c r="L637" s="2">
        <v>8.48</v>
      </c>
      <c r="M637" s="2">
        <v>19.27</v>
      </c>
      <c r="N637" s="2">
        <v>40.42</v>
      </c>
      <c r="O637" s="2">
        <v>20.2</v>
      </c>
      <c r="P637" s="2">
        <v>39.479999999999997</v>
      </c>
      <c r="Q637" s="2">
        <v>8.49</v>
      </c>
      <c r="R637" s="2">
        <v>20.52</v>
      </c>
      <c r="S637" s="2">
        <v>9.66</v>
      </c>
      <c r="T637" s="2">
        <v>15.64</v>
      </c>
      <c r="U637" s="2">
        <v>12.8</v>
      </c>
      <c r="V637" s="2">
        <v>26.35</v>
      </c>
      <c r="W637" s="2">
        <v>26.1</v>
      </c>
      <c r="X637" s="2">
        <v>0</v>
      </c>
      <c r="Y637" s="2">
        <v>3.56</v>
      </c>
      <c r="Z637" s="2">
        <v>0</v>
      </c>
      <c r="AA637" s="2">
        <v>6.96</v>
      </c>
      <c r="AB637" s="2">
        <v>0</v>
      </c>
      <c r="AC637" s="2">
        <v>0</v>
      </c>
      <c r="AD637" s="2">
        <v>3.99</v>
      </c>
      <c r="AE637" s="2">
        <v>0</v>
      </c>
      <c r="AF637" s="2">
        <v>58.18</v>
      </c>
      <c r="AG637" s="2">
        <v>20.170000000000002</v>
      </c>
      <c r="AH637" s="4">
        <f t="shared" si="9"/>
        <v>287.12000000000006</v>
      </c>
    </row>
    <row r="638" spans="1:34" x14ac:dyDescent="0.2">
      <c r="A638" s="3">
        <v>27333</v>
      </c>
      <c r="B638" s="2">
        <v>0.73</v>
      </c>
      <c r="C638" s="2">
        <v>19.29</v>
      </c>
      <c r="D638" s="2">
        <v>-1.93</v>
      </c>
      <c r="E638" s="2">
        <v>-18.86</v>
      </c>
      <c r="F638" s="2">
        <v>-15.39</v>
      </c>
      <c r="G638" s="2">
        <v>6.77</v>
      </c>
      <c r="H638" s="2">
        <v>14.02</v>
      </c>
      <c r="I638" s="2">
        <v>48.2</v>
      </c>
      <c r="J638" s="2">
        <v>13.64</v>
      </c>
      <c r="K638" s="2">
        <v>-5.45</v>
      </c>
      <c r="L638" s="2">
        <v>3.94</v>
      </c>
      <c r="M638" s="2">
        <v>8.77</v>
      </c>
      <c r="N638" s="2">
        <v>28.04</v>
      </c>
      <c r="O638" s="2">
        <v>21.02</v>
      </c>
      <c r="P638" s="2">
        <v>35.119999999999997</v>
      </c>
      <c r="Q638" s="2">
        <v>1.34</v>
      </c>
      <c r="R638" s="2">
        <v>9.3699999999999992</v>
      </c>
      <c r="S638" s="2">
        <v>13.25</v>
      </c>
      <c r="T638" s="2">
        <v>12.91</v>
      </c>
      <c r="U638" s="2">
        <v>5.49</v>
      </c>
      <c r="V638" s="2">
        <v>20.77</v>
      </c>
      <c r="W638" s="2">
        <v>22.19</v>
      </c>
      <c r="X638" s="2">
        <v>0</v>
      </c>
      <c r="Y638" s="2">
        <v>3.57</v>
      </c>
      <c r="Z638" s="2">
        <v>0</v>
      </c>
      <c r="AA638" s="2">
        <v>4.87</v>
      </c>
      <c r="AB638" s="2">
        <v>1.47</v>
      </c>
      <c r="AC638" s="2">
        <v>1.62</v>
      </c>
      <c r="AD638" s="2">
        <v>2.58</v>
      </c>
      <c r="AE638" s="2">
        <v>10.35</v>
      </c>
      <c r="AF638" s="2">
        <v>52.77</v>
      </c>
      <c r="AG638" s="2">
        <v>16.420000000000002</v>
      </c>
      <c r="AH638" s="4">
        <f t="shared" si="9"/>
        <v>221.04</v>
      </c>
    </row>
    <row r="639" spans="1:34" x14ac:dyDescent="0.2">
      <c r="A639" s="3">
        <v>27363</v>
      </c>
      <c r="B639" s="2">
        <v>2.4300000000000002</v>
      </c>
      <c r="C639" s="2">
        <v>16.170000000000002</v>
      </c>
      <c r="D639" s="2">
        <v>-1.19</v>
      </c>
      <c r="E639" s="2">
        <v>-10.93</v>
      </c>
      <c r="F639" s="2">
        <v>-4.8099999999999996</v>
      </c>
      <c r="G639" s="2">
        <v>8.3800000000000008</v>
      </c>
      <c r="H639" s="2">
        <v>14.66</v>
      </c>
      <c r="I639" s="2">
        <v>44.53</v>
      </c>
      <c r="J639" s="2">
        <v>11.62</v>
      </c>
      <c r="K639" s="2">
        <v>-1.87</v>
      </c>
      <c r="L639" s="2">
        <v>2.67</v>
      </c>
      <c r="M639" s="2">
        <v>-1</v>
      </c>
      <c r="N639" s="2">
        <v>20.43</v>
      </c>
      <c r="O639" s="2">
        <v>17.52</v>
      </c>
      <c r="P639" s="2">
        <v>33.119999999999997</v>
      </c>
      <c r="Q639" s="2">
        <v>2.15</v>
      </c>
      <c r="R639" s="2">
        <v>7.8</v>
      </c>
      <c r="S639" s="2">
        <v>-2.4700000000000002</v>
      </c>
      <c r="T639" s="2">
        <v>9.9700000000000006</v>
      </c>
      <c r="U639" s="2">
        <v>7.17</v>
      </c>
      <c r="V639" s="2">
        <v>18.64</v>
      </c>
      <c r="W639" s="2">
        <v>15.43</v>
      </c>
      <c r="X639" s="2">
        <v>0</v>
      </c>
      <c r="Y639" s="2">
        <v>1.1499999999999999</v>
      </c>
      <c r="Z639" s="2">
        <v>6.46</v>
      </c>
      <c r="AA639" s="2">
        <v>0</v>
      </c>
      <c r="AB639" s="2">
        <v>0.34</v>
      </c>
      <c r="AC639" s="2">
        <v>0</v>
      </c>
      <c r="AD639" s="2">
        <v>1.74</v>
      </c>
      <c r="AE639" s="2">
        <v>3.64</v>
      </c>
      <c r="AF639" s="2">
        <v>34.630000000000003</v>
      </c>
      <c r="AG639" s="2">
        <v>12.92</v>
      </c>
      <c r="AH639" s="4">
        <f t="shared" si="9"/>
        <v>194.99</v>
      </c>
    </row>
    <row r="640" spans="1:34" x14ac:dyDescent="0.2">
      <c r="A640" s="3">
        <v>27394</v>
      </c>
      <c r="B640" s="2">
        <v>2.2999999999999998</v>
      </c>
      <c r="C640" s="2">
        <v>23.98</v>
      </c>
      <c r="D640" s="2">
        <v>13.2</v>
      </c>
      <c r="E640" s="2">
        <v>15.31</v>
      </c>
      <c r="F640" s="2">
        <v>15.98</v>
      </c>
      <c r="G640" s="2">
        <v>29.99</v>
      </c>
      <c r="H640" s="2">
        <v>20.14</v>
      </c>
      <c r="I640" s="2">
        <v>44.99</v>
      </c>
      <c r="J640" s="2">
        <v>20.18</v>
      </c>
      <c r="K640" s="2">
        <v>22.3</v>
      </c>
      <c r="L640" s="2">
        <v>21.95</v>
      </c>
      <c r="M640" s="2">
        <v>17.329999999999998</v>
      </c>
      <c r="N640" s="2">
        <v>30.45</v>
      </c>
      <c r="O640" s="2">
        <v>18.46</v>
      </c>
      <c r="P640" s="2">
        <v>35.99</v>
      </c>
      <c r="Q640" s="2">
        <v>-0.26</v>
      </c>
      <c r="R640" s="2">
        <v>7.13</v>
      </c>
      <c r="S640" s="2">
        <v>5.58</v>
      </c>
      <c r="T640" s="2">
        <v>6.24</v>
      </c>
      <c r="U640" s="2">
        <v>7.35</v>
      </c>
      <c r="V640" s="2">
        <v>20.03</v>
      </c>
      <c r="W640" s="2">
        <v>11.73</v>
      </c>
      <c r="X640" s="2">
        <v>0</v>
      </c>
      <c r="Y640" s="2">
        <v>0.93</v>
      </c>
      <c r="Z640" s="2">
        <v>5.74</v>
      </c>
      <c r="AA640" s="2">
        <v>9.0299999999999994</v>
      </c>
      <c r="AB640" s="2">
        <v>1.35</v>
      </c>
      <c r="AC640" s="2">
        <v>8.5299999999999994</v>
      </c>
      <c r="AD640" s="2">
        <v>1.65</v>
      </c>
      <c r="AE640" s="2">
        <v>18.829999999999998</v>
      </c>
      <c r="AF640" s="2">
        <v>31.81</v>
      </c>
      <c r="AG640" s="2">
        <v>11.2</v>
      </c>
      <c r="AH640" s="4">
        <f t="shared" si="9"/>
        <v>378.62</v>
      </c>
    </row>
    <row r="641" spans="1:34" x14ac:dyDescent="0.2">
      <c r="A641" s="3">
        <v>27425</v>
      </c>
      <c r="B641" s="2">
        <v>-1.65</v>
      </c>
      <c r="C641" s="2">
        <v>14.54</v>
      </c>
      <c r="D641" s="2">
        <v>-9.6300000000000008</v>
      </c>
      <c r="E641" s="2">
        <v>-29.08</v>
      </c>
      <c r="F641" s="2">
        <v>-22.64</v>
      </c>
      <c r="G641" s="2">
        <v>-4.47</v>
      </c>
      <c r="H641" s="2">
        <v>3.45</v>
      </c>
      <c r="I641" s="2">
        <v>37.869999999999997</v>
      </c>
      <c r="J641" s="2">
        <v>3.97</v>
      </c>
      <c r="K641" s="2">
        <v>5.93</v>
      </c>
      <c r="L641" s="2">
        <v>-5.5</v>
      </c>
      <c r="M641" s="2">
        <v>5.95</v>
      </c>
      <c r="N641" s="2">
        <v>20.62</v>
      </c>
      <c r="O641" s="2">
        <v>19.59</v>
      </c>
      <c r="P641" s="2">
        <v>38.270000000000003</v>
      </c>
      <c r="Q641" s="2">
        <v>-0.14000000000000001</v>
      </c>
      <c r="R641" s="2">
        <v>9.11</v>
      </c>
      <c r="S641" s="2">
        <v>-1.1200000000000001</v>
      </c>
      <c r="T641" s="2">
        <v>12.46</v>
      </c>
      <c r="U641" s="2">
        <v>3.9</v>
      </c>
      <c r="V641" s="2">
        <v>16.68</v>
      </c>
      <c r="W641" s="2">
        <v>4.26</v>
      </c>
      <c r="X641" s="2">
        <v>0</v>
      </c>
      <c r="Y641" s="2">
        <v>0</v>
      </c>
      <c r="Z641" s="2">
        <v>0.56999999999999995</v>
      </c>
      <c r="AA641" s="2">
        <v>0.7</v>
      </c>
      <c r="AB641" s="2">
        <v>0.05</v>
      </c>
      <c r="AC641" s="2">
        <v>0</v>
      </c>
      <c r="AD641" s="2">
        <v>1.71</v>
      </c>
      <c r="AE641" s="2">
        <v>7.83</v>
      </c>
      <c r="AF641" s="2">
        <v>37.49</v>
      </c>
      <c r="AG641" s="2">
        <v>9.8800000000000008</v>
      </c>
      <c r="AH641" s="4">
        <f t="shared" si="9"/>
        <v>118.11000000000001</v>
      </c>
    </row>
    <row r="642" spans="1:34" x14ac:dyDescent="0.2">
      <c r="A642" s="3">
        <v>27453</v>
      </c>
      <c r="B642" s="2">
        <v>5.14</v>
      </c>
      <c r="C642" s="2">
        <v>30.74</v>
      </c>
      <c r="D642" s="2">
        <v>43.62</v>
      </c>
      <c r="E642" s="2">
        <v>110.98</v>
      </c>
      <c r="F642" s="2">
        <v>60.63</v>
      </c>
      <c r="G642" s="2">
        <v>132.88</v>
      </c>
      <c r="H642" s="2">
        <v>32.090000000000003</v>
      </c>
      <c r="I642" s="2">
        <v>49.53</v>
      </c>
      <c r="J642" s="2">
        <v>52.86</v>
      </c>
      <c r="K642" s="2">
        <v>49.9</v>
      </c>
      <c r="L642" s="2">
        <v>24.55</v>
      </c>
      <c r="M642" s="2">
        <v>10.56</v>
      </c>
      <c r="N642" s="2">
        <v>55.29</v>
      </c>
      <c r="O642" s="2">
        <v>18.47</v>
      </c>
      <c r="P642" s="2">
        <v>56.82</v>
      </c>
      <c r="Q642" s="2">
        <v>-1.1000000000000001</v>
      </c>
      <c r="R642" s="2">
        <v>8.74</v>
      </c>
      <c r="S642" s="2">
        <v>21.21</v>
      </c>
      <c r="T642" s="2">
        <v>16.47</v>
      </c>
      <c r="U642" s="2">
        <v>7.46</v>
      </c>
      <c r="V642" s="2">
        <v>16.649999999999999</v>
      </c>
      <c r="W642" s="2">
        <v>0</v>
      </c>
      <c r="X642" s="2">
        <v>0</v>
      </c>
      <c r="Y642" s="2">
        <v>0</v>
      </c>
      <c r="Z642" s="2">
        <v>3.4</v>
      </c>
      <c r="AA642" s="2">
        <v>0.14000000000000001</v>
      </c>
      <c r="AB642" s="2">
        <v>0.31</v>
      </c>
      <c r="AC642" s="2">
        <v>1.9</v>
      </c>
      <c r="AD642" s="2">
        <v>1.76</v>
      </c>
      <c r="AE642" s="2">
        <v>28.71</v>
      </c>
      <c r="AF642" s="2">
        <v>31.25</v>
      </c>
      <c r="AG642" s="2">
        <v>10.08</v>
      </c>
      <c r="AH642" s="4">
        <f t="shared" si="9"/>
        <v>803.49</v>
      </c>
    </row>
    <row r="643" spans="1:34" x14ac:dyDescent="0.2">
      <c r="A643" s="3">
        <v>27484</v>
      </c>
      <c r="B643" s="2">
        <v>14.29</v>
      </c>
      <c r="C643" s="2">
        <v>40.93</v>
      </c>
      <c r="D643" s="2">
        <v>33.130000000000003</v>
      </c>
      <c r="E643" s="2">
        <v>105.21</v>
      </c>
      <c r="F643" s="2">
        <v>54.31</v>
      </c>
      <c r="G643" s="2">
        <v>126.86</v>
      </c>
      <c r="H643" s="2">
        <v>28.64</v>
      </c>
      <c r="I643" s="2">
        <v>54.03</v>
      </c>
      <c r="J643" s="2">
        <v>39.67</v>
      </c>
      <c r="K643" s="2">
        <v>26.15</v>
      </c>
      <c r="L643" s="2">
        <v>12.38</v>
      </c>
      <c r="M643" s="2">
        <v>14.06</v>
      </c>
      <c r="N643" s="2">
        <v>45.62</v>
      </c>
      <c r="O643" s="2">
        <v>15</v>
      </c>
      <c r="P643" s="2">
        <v>89.51</v>
      </c>
      <c r="Q643" s="2">
        <v>1.79</v>
      </c>
      <c r="R643" s="2">
        <v>4.21</v>
      </c>
      <c r="S643" s="2">
        <v>17.62</v>
      </c>
      <c r="T643" s="2">
        <v>29.81</v>
      </c>
      <c r="U643" s="2">
        <v>5.53</v>
      </c>
      <c r="V643" s="2">
        <v>25.27</v>
      </c>
      <c r="W643" s="2">
        <v>0</v>
      </c>
      <c r="X643" s="2">
        <v>0</v>
      </c>
      <c r="Y643" s="2">
        <v>0</v>
      </c>
      <c r="Z643" s="2">
        <v>5.55</v>
      </c>
      <c r="AA643" s="2">
        <v>2.72</v>
      </c>
      <c r="AB643" s="2">
        <v>1.26</v>
      </c>
      <c r="AC643" s="2">
        <v>2.44</v>
      </c>
      <c r="AD643" s="2">
        <v>3.54</v>
      </c>
      <c r="AE643" s="2">
        <v>42.04</v>
      </c>
      <c r="AF643" s="2">
        <v>36.880000000000003</v>
      </c>
      <c r="AG643" s="2">
        <v>10.69</v>
      </c>
      <c r="AH643" s="4">
        <f t="shared" ref="AH643:AH706" si="10">SUM(B643:V643)</f>
        <v>784.01999999999987</v>
      </c>
    </row>
    <row r="644" spans="1:34" x14ac:dyDescent="0.2">
      <c r="A644" s="3">
        <v>27514</v>
      </c>
      <c r="B644" s="2">
        <v>6.49</v>
      </c>
      <c r="C644" s="2">
        <v>21.98</v>
      </c>
      <c r="D644" s="2">
        <v>-31.08</v>
      </c>
      <c r="E644" s="2">
        <v>-90.09</v>
      </c>
      <c r="F644" s="2">
        <v>-17.25</v>
      </c>
      <c r="G644" s="2">
        <v>-68.41</v>
      </c>
      <c r="H644" s="2">
        <v>2.11</v>
      </c>
      <c r="I644" s="2">
        <v>42.44</v>
      </c>
      <c r="J644" s="2">
        <v>-16.54</v>
      </c>
      <c r="K644" s="2">
        <v>-28.67</v>
      </c>
      <c r="L644" s="2">
        <v>-20.03</v>
      </c>
      <c r="M644" s="2">
        <v>-12.89</v>
      </c>
      <c r="N644" s="2">
        <v>20.8</v>
      </c>
      <c r="O644" s="2">
        <v>18.39</v>
      </c>
      <c r="P644" s="2">
        <v>39.28</v>
      </c>
      <c r="Q644" s="2">
        <v>1.67</v>
      </c>
      <c r="R644" s="2">
        <v>13.84</v>
      </c>
      <c r="S644" s="2">
        <v>6.59</v>
      </c>
      <c r="T644" s="2">
        <v>17.2</v>
      </c>
      <c r="U644" s="2">
        <v>12.14</v>
      </c>
      <c r="V644" s="2">
        <v>17.79</v>
      </c>
      <c r="W644" s="2">
        <v>0</v>
      </c>
      <c r="X644" s="2">
        <v>0</v>
      </c>
      <c r="Y644" s="2">
        <v>0</v>
      </c>
      <c r="Z644" s="2">
        <v>3.68</v>
      </c>
      <c r="AA644" s="2">
        <v>8.6</v>
      </c>
      <c r="AB644" s="2">
        <v>0.11</v>
      </c>
      <c r="AC644" s="2">
        <v>4.33</v>
      </c>
      <c r="AD644" s="2">
        <v>4.1500000000000004</v>
      </c>
      <c r="AE644" s="2">
        <v>12.31</v>
      </c>
      <c r="AF644" s="2">
        <v>45.63</v>
      </c>
      <c r="AG644" s="2">
        <v>14.64</v>
      </c>
      <c r="AH644" s="4">
        <f t="shared" si="10"/>
        <v>-64.240000000000009</v>
      </c>
    </row>
    <row r="645" spans="1:34" x14ac:dyDescent="0.2">
      <c r="A645" s="3">
        <v>27545</v>
      </c>
      <c r="B645" s="2">
        <v>6.26</v>
      </c>
      <c r="C645" s="2">
        <v>26.14</v>
      </c>
      <c r="D645" s="2">
        <v>-13.18</v>
      </c>
      <c r="E645" s="2">
        <v>-20.66</v>
      </c>
      <c r="F645" s="2">
        <v>18.53</v>
      </c>
      <c r="G645" s="2">
        <v>-20.399999999999999</v>
      </c>
      <c r="H645" s="2">
        <v>10.53</v>
      </c>
      <c r="I645" s="2">
        <v>39.94</v>
      </c>
      <c r="J645" s="2">
        <v>-8.4</v>
      </c>
      <c r="K645" s="2">
        <v>-12.58</v>
      </c>
      <c r="L645" s="2">
        <v>16.100000000000001</v>
      </c>
      <c r="M645" s="2">
        <v>-0.18</v>
      </c>
      <c r="N645" s="2">
        <v>31.24</v>
      </c>
      <c r="O645" s="2">
        <v>18.02</v>
      </c>
      <c r="P645" s="2">
        <v>58.91</v>
      </c>
      <c r="Q645" s="2">
        <v>-0.78</v>
      </c>
      <c r="R645" s="2">
        <v>14.29</v>
      </c>
      <c r="S645" s="2">
        <v>10.07</v>
      </c>
      <c r="T645" s="2">
        <v>29.62</v>
      </c>
      <c r="U645" s="2">
        <v>8.52</v>
      </c>
      <c r="V645" s="2">
        <v>32.82</v>
      </c>
      <c r="W645" s="2">
        <v>4.88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7.49</v>
      </c>
      <c r="AE645" s="2">
        <v>0.09</v>
      </c>
      <c r="AF645" s="2">
        <v>51.53</v>
      </c>
      <c r="AG645" s="2">
        <v>17.690000000000001</v>
      </c>
      <c r="AH645" s="4">
        <f t="shared" si="10"/>
        <v>244.80999999999997</v>
      </c>
    </row>
    <row r="646" spans="1:34" x14ac:dyDescent="0.2">
      <c r="A646" s="3">
        <v>27575</v>
      </c>
      <c r="B646" s="2">
        <v>4.0599999999999996</v>
      </c>
      <c r="C646" s="2">
        <v>23.51</v>
      </c>
      <c r="D646" s="2">
        <v>-10.36</v>
      </c>
      <c r="E646" s="2">
        <v>-40.770000000000003</v>
      </c>
      <c r="F646" s="2">
        <v>-4.92</v>
      </c>
      <c r="G646" s="2">
        <v>-10.26</v>
      </c>
      <c r="H646" s="2">
        <v>9.0299999999999994</v>
      </c>
      <c r="I646" s="2">
        <v>38.479999999999997</v>
      </c>
      <c r="J646" s="2">
        <v>-10.37</v>
      </c>
      <c r="K646" s="2">
        <v>7.64</v>
      </c>
      <c r="L646" s="2">
        <v>17.55</v>
      </c>
      <c r="M646" s="2">
        <v>12.2</v>
      </c>
      <c r="N646" s="2">
        <v>31.47</v>
      </c>
      <c r="O646" s="2">
        <v>29.44</v>
      </c>
      <c r="P646" s="2">
        <v>119.31</v>
      </c>
      <c r="Q646" s="2">
        <v>9.24</v>
      </c>
      <c r="R646" s="2">
        <v>14.32</v>
      </c>
      <c r="S646" s="2">
        <v>30.28</v>
      </c>
      <c r="T646" s="2">
        <v>87.46</v>
      </c>
      <c r="U646" s="2">
        <v>10.76</v>
      </c>
      <c r="V646" s="2">
        <v>58.16</v>
      </c>
      <c r="W646" s="2">
        <v>18.62</v>
      </c>
      <c r="X646" s="2">
        <v>0</v>
      </c>
      <c r="Y646" s="2">
        <v>0</v>
      </c>
      <c r="Z646" s="2">
        <v>0</v>
      </c>
      <c r="AA646" s="2">
        <v>0</v>
      </c>
      <c r="AB646" s="2">
        <v>0.27</v>
      </c>
      <c r="AC646" s="2">
        <v>0</v>
      </c>
      <c r="AD646" s="2">
        <v>10.83</v>
      </c>
      <c r="AE646" s="2">
        <v>0.37</v>
      </c>
      <c r="AF646" s="2">
        <v>56.4</v>
      </c>
      <c r="AG646" s="2">
        <v>22.83</v>
      </c>
      <c r="AH646" s="4">
        <f t="shared" si="10"/>
        <v>426.23</v>
      </c>
    </row>
    <row r="647" spans="1:34" x14ac:dyDescent="0.2">
      <c r="A647" s="3">
        <v>27606</v>
      </c>
      <c r="B647" s="2">
        <v>2.4</v>
      </c>
      <c r="C647" s="2">
        <v>24.06</v>
      </c>
      <c r="D647" s="2">
        <v>-9.3800000000000008</v>
      </c>
      <c r="E647" s="2">
        <v>-33.29</v>
      </c>
      <c r="F647" s="2">
        <v>6.71</v>
      </c>
      <c r="G647" s="2">
        <v>7.99</v>
      </c>
      <c r="H647" s="2">
        <v>9.74</v>
      </c>
      <c r="I647" s="2">
        <v>40.22</v>
      </c>
      <c r="J647" s="2">
        <v>-33.21</v>
      </c>
      <c r="K647" s="2">
        <v>-10.78</v>
      </c>
      <c r="L647" s="2">
        <v>-26.38</v>
      </c>
      <c r="M647" s="2">
        <v>4.45</v>
      </c>
      <c r="N647" s="2">
        <v>27.38</v>
      </c>
      <c r="O647" s="2">
        <v>36.33</v>
      </c>
      <c r="P647" s="2">
        <v>95.82</v>
      </c>
      <c r="Q647" s="2">
        <v>8.23</v>
      </c>
      <c r="R647" s="2">
        <v>13.93</v>
      </c>
      <c r="S647" s="2">
        <v>43.7</v>
      </c>
      <c r="T647" s="2">
        <v>84.34</v>
      </c>
      <c r="U647" s="2">
        <v>25.19</v>
      </c>
      <c r="V647" s="2">
        <v>53.28</v>
      </c>
      <c r="W647" s="2">
        <v>30.39</v>
      </c>
      <c r="X647" s="2">
        <v>0</v>
      </c>
      <c r="Y647" s="2">
        <v>1.84</v>
      </c>
      <c r="Z647" s="2">
        <v>0</v>
      </c>
      <c r="AA647" s="2">
        <v>0.52</v>
      </c>
      <c r="AB647" s="2">
        <v>0.14000000000000001</v>
      </c>
      <c r="AC647" s="2">
        <v>0</v>
      </c>
      <c r="AD647" s="2">
        <v>8.1</v>
      </c>
      <c r="AE647" s="2">
        <v>1.4</v>
      </c>
      <c r="AF647" s="2">
        <v>61.42</v>
      </c>
      <c r="AG647" s="2">
        <v>24.8</v>
      </c>
      <c r="AH647" s="4">
        <f t="shared" si="10"/>
        <v>370.73</v>
      </c>
    </row>
    <row r="648" spans="1:34" x14ac:dyDescent="0.2">
      <c r="A648" s="3">
        <v>27637</v>
      </c>
      <c r="B648" s="2">
        <v>1.6</v>
      </c>
      <c r="C648" s="2">
        <v>25.31</v>
      </c>
      <c r="D648" s="2">
        <v>-8.7200000000000006</v>
      </c>
      <c r="E648" s="2">
        <v>-18.829999999999998</v>
      </c>
      <c r="F648" s="2">
        <v>11.86</v>
      </c>
      <c r="G648" s="2">
        <v>25.58</v>
      </c>
      <c r="H648" s="2">
        <v>14.33</v>
      </c>
      <c r="I648" s="2">
        <v>46.92</v>
      </c>
      <c r="J648" s="2">
        <v>-8.06</v>
      </c>
      <c r="K648" s="2">
        <v>-3.37</v>
      </c>
      <c r="L648" s="2">
        <v>-13.88</v>
      </c>
      <c r="M648" s="2">
        <v>9.19</v>
      </c>
      <c r="N648" s="2">
        <v>30.53</v>
      </c>
      <c r="O648" s="2">
        <v>37.9</v>
      </c>
      <c r="P648" s="2">
        <v>91.9</v>
      </c>
      <c r="Q648" s="2">
        <v>3.48</v>
      </c>
      <c r="R648" s="2">
        <v>17.82</v>
      </c>
      <c r="S648" s="2">
        <v>34.86</v>
      </c>
      <c r="T648" s="2">
        <v>60.94</v>
      </c>
      <c r="U648" s="2">
        <v>24.77</v>
      </c>
      <c r="V648" s="2">
        <v>47.78</v>
      </c>
      <c r="W648" s="2">
        <v>31.47</v>
      </c>
      <c r="X648" s="2">
        <v>0</v>
      </c>
      <c r="Y648" s="2">
        <v>4.0199999999999996</v>
      </c>
      <c r="Z648" s="2">
        <v>0</v>
      </c>
      <c r="AA648" s="2">
        <v>0</v>
      </c>
      <c r="AB648" s="2">
        <v>0</v>
      </c>
      <c r="AC648" s="2">
        <v>0</v>
      </c>
      <c r="AD648" s="2">
        <v>5.84</v>
      </c>
      <c r="AE648" s="2">
        <v>6.34</v>
      </c>
      <c r="AF648" s="2">
        <v>62.46</v>
      </c>
      <c r="AG648" s="2">
        <v>23.65</v>
      </c>
      <c r="AH648" s="4">
        <f t="shared" si="10"/>
        <v>431.90999999999997</v>
      </c>
    </row>
    <row r="649" spans="1:34" x14ac:dyDescent="0.2">
      <c r="A649" s="3">
        <v>27667</v>
      </c>
      <c r="B649" s="2">
        <v>-1.47</v>
      </c>
      <c r="C649" s="2">
        <v>19.899999999999999</v>
      </c>
      <c r="D649" s="2">
        <v>-6.44</v>
      </c>
      <c r="E649" s="2">
        <v>-25.81</v>
      </c>
      <c r="F649" s="2">
        <v>-1.46</v>
      </c>
      <c r="G649" s="2">
        <v>11.82</v>
      </c>
      <c r="H649" s="2">
        <v>16</v>
      </c>
      <c r="I649" s="2">
        <v>51.6</v>
      </c>
      <c r="J649" s="2">
        <v>8.99</v>
      </c>
      <c r="K649" s="2">
        <v>4.91</v>
      </c>
      <c r="L649" s="2">
        <v>1.9</v>
      </c>
      <c r="M649" s="2">
        <v>18.100000000000001</v>
      </c>
      <c r="N649" s="2">
        <v>36.909999999999997</v>
      </c>
      <c r="O649" s="2">
        <v>23.77</v>
      </c>
      <c r="P649" s="2">
        <v>46.98</v>
      </c>
      <c r="Q649" s="2">
        <v>6.16</v>
      </c>
      <c r="R649" s="2">
        <v>17.510000000000002</v>
      </c>
      <c r="S649" s="2">
        <v>6.27</v>
      </c>
      <c r="T649" s="2">
        <v>14.5</v>
      </c>
      <c r="U649" s="2">
        <v>10.58</v>
      </c>
      <c r="V649" s="2">
        <v>17</v>
      </c>
      <c r="W649" s="2">
        <v>26.1</v>
      </c>
      <c r="X649" s="2">
        <v>0</v>
      </c>
      <c r="Y649" s="2">
        <v>3.9</v>
      </c>
      <c r="Z649" s="2">
        <v>1.1499999999999999</v>
      </c>
      <c r="AA649" s="2">
        <v>0.14000000000000001</v>
      </c>
      <c r="AB649" s="2">
        <v>1.44</v>
      </c>
      <c r="AC649" s="2">
        <v>5.42</v>
      </c>
      <c r="AD649" s="2">
        <v>3.95</v>
      </c>
      <c r="AE649" s="2">
        <v>0.09</v>
      </c>
      <c r="AF649" s="2">
        <v>58.18</v>
      </c>
      <c r="AG649" s="2">
        <v>20.170000000000002</v>
      </c>
      <c r="AH649" s="4">
        <f t="shared" si="10"/>
        <v>277.71999999999997</v>
      </c>
    </row>
    <row r="650" spans="1:34" x14ac:dyDescent="0.2">
      <c r="A650" s="3">
        <v>27698</v>
      </c>
      <c r="B650" s="2">
        <v>1.7</v>
      </c>
      <c r="C650" s="2">
        <v>19.63</v>
      </c>
      <c r="D650" s="2">
        <v>1.1200000000000001</v>
      </c>
      <c r="E650" s="2">
        <v>0.77</v>
      </c>
      <c r="F650" s="2">
        <v>-4.2</v>
      </c>
      <c r="G650" s="2">
        <v>20.239999999999998</v>
      </c>
      <c r="H650" s="2">
        <v>16.04</v>
      </c>
      <c r="I650" s="2">
        <v>45.64</v>
      </c>
      <c r="J650" s="2">
        <v>21.19</v>
      </c>
      <c r="K650" s="2">
        <v>7.26</v>
      </c>
      <c r="L650" s="2">
        <v>27.43</v>
      </c>
      <c r="M650" s="2">
        <v>15.93</v>
      </c>
      <c r="N650" s="2">
        <v>26.71</v>
      </c>
      <c r="O650" s="2">
        <v>19.03</v>
      </c>
      <c r="P650" s="2">
        <v>35.76</v>
      </c>
      <c r="Q650" s="2">
        <v>0.42</v>
      </c>
      <c r="R650" s="2">
        <v>6.8</v>
      </c>
      <c r="S650" s="2">
        <v>0.47</v>
      </c>
      <c r="T650" s="2">
        <v>24.25</v>
      </c>
      <c r="U650" s="2">
        <v>3.92</v>
      </c>
      <c r="V650" s="2">
        <v>12.89</v>
      </c>
      <c r="W650" s="2">
        <v>22.19</v>
      </c>
      <c r="X650" s="2">
        <v>0</v>
      </c>
      <c r="Y650" s="2">
        <v>3.89</v>
      </c>
      <c r="Z650" s="2">
        <v>0</v>
      </c>
      <c r="AA650" s="2">
        <v>0</v>
      </c>
      <c r="AB650" s="2">
        <v>0</v>
      </c>
      <c r="AC650" s="2">
        <v>0</v>
      </c>
      <c r="AD650" s="2">
        <v>2.76</v>
      </c>
      <c r="AE650" s="2">
        <v>12.12</v>
      </c>
      <c r="AF650" s="2">
        <v>52.77</v>
      </c>
      <c r="AG650" s="2">
        <v>16.420000000000002</v>
      </c>
      <c r="AH650" s="4">
        <f t="shared" si="10"/>
        <v>303</v>
      </c>
    </row>
    <row r="651" spans="1:34" x14ac:dyDescent="0.2">
      <c r="A651" s="3">
        <v>27728</v>
      </c>
      <c r="B651" s="2">
        <v>2.33</v>
      </c>
      <c r="C651" s="2">
        <v>16.48</v>
      </c>
      <c r="D651" s="2">
        <v>-3.12</v>
      </c>
      <c r="E651" s="2">
        <v>-3.96</v>
      </c>
      <c r="F651" s="2">
        <v>4.87</v>
      </c>
      <c r="G651" s="2">
        <v>9.1999999999999993</v>
      </c>
      <c r="H651" s="2">
        <v>15.53</v>
      </c>
      <c r="I651" s="2">
        <v>41.12</v>
      </c>
      <c r="J651" s="2">
        <v>7.46</v>
      </c>
      <c r="K651" s="2">
        <v>-6.78</v>
      </c>
      <c r="L651" s="2">
        <v>-3.26</v>
      </c>
      <c r="M651" s="2">
        <v>-4.6500000000000004</v>
      </c>
      <c r="N651" s="2">
        <v>18.54</v>
      </c>
      <c r="O651" s="2">
        <v>18.77</v>
      </c>
      <c r="P651" s="2">
        <v>31.96</v>
      </c>
      <c r="Q651" s="2">
        <v>1.73</v>
      </c>
      <c r="R651" s="2">
        <v>6.46</v>
      </c>
      <c r="S651" s="2">
        <v>-1.22</v>
      </c>
      <c r="T651" s="2">
        <v>13.39</v>
      </c>
      <c r="U651" s="2">
        <v>5.71</v>
      </c>
      <c r="V651" s="2">
        <v>13.67</v>
      </c>
      <c r="W651" s="2">
        <v>15.43</v>
      </c>
      <c r="X651" s="2">
        <v>0</v>
      </c>
      <c r="Y651" s="2">
        <v>1.4</v>
      </c>
      <c r="Z651" s="2">
        <v>0.56999999999999995</v>
      </c>
      <c r="AA651" s="2">
        <v>1.29</v>
      </c>
      <c r="AB651" s="2">
        <v>0</v>
      </c>
      <c r="AC651" s="2">
        <v>0</v>
      </c>
      <c r="AD651" s="2">
        <v>1.63</v>
      </c>
      <c r="AE651" s="2">
        <v>1.4</v>
      </c>
      <c r="AF651" s="2">
        <v>34.630000000000003</v>
      </c>
      <c r="AG651" s="2">
        <v>12.92</v>
      </c>
      <c r="AH651" s="4">
        <f t="shared" si="10"/>
        <v>184.22999999999996</v>
      </c>
    </row>
    <row r="652" spans="1:34" x14ac:dyDescent="0.2">
      <c r="A652" s="3">
        <v>27759</v>
      </c>
      <c r="B652" s="2">
        <v>2.17</v>
      </c>
      <c r="C652" s="2">
        <v>15.69</v>
      </c>
      <c r="D652" s="2">
        <v>-2.8</v>
      </c>
      <c r="E652" s="2">
        <v>-0.26</v>
      </c>
      <c r="F652" s="2">
        <v>12.45</v>
      </c>
      <c r="G652" s="2">
        <v>11.2</v>
      </c>
      <c r="H652" s="2">
        <v>13.91</v>
      </c>
      <c r="I652" s="2">
        <v>38.61</v>
      </c>
      <c r="J652" s="2">
        <v>8</v>
      </c>
      <c r="K652" s="2">
        <v>-0.84</v>
      </c>
      <c r="L652" s="2">
        <v>-0.4</v>
      </c>
      <c r="M652" s="2">
        <v>1.59</v>
      </c>
      <c r="N652" s="2">
        <v>18.54</v>
      </c>
      <c r="O652" s="2">
        <v>23.36</v>
      </c>
      <c r="P652" s="2">
        <v>29.35</v>
      </c>
      <c r="Q652" s="2">
        <v>0.62</v>
      </c>
      <c r="R652" s="2">
        <v>7.33</v>
      </c>
      <c r="S652" s="2">
        <v>-4.2</v>
      </c>
      <c r="T652" s="2">
        <v>14.52</v>
      </c>
      <c r="U652" s="2">
        <v>5.38</v>
      </c>
      <c r="V652" s="2">
        <v>14.63</v>
      </c>
      <c r="W652" s="2">
        <v>11.73</v>
      </c>
      <c r="X652" s="2">
        <v>0</v>
      </c>
      <c r="Y652" s="2">
        <v>1.17</v>
      </c>
      <c r="Z652" s="2">
        <v>0</v>
      </c>
      <c r="AA652" s="2">
        <v>0.43</v>
      </c>
      <c r="AB652" s="2">
        <v>0.41</v>
      </c>
      <c r="AC652" s="2">
        <v>2.17</v>
      </c>
      <c r="AD652" s="2">
        <v>1.63</v>
      </c>
      <c r="AE652" s="2">
        <v>2.42</v>
      </c>
      <c r="AF652" s="2">
        <v>31.81</v>
      </c>
      <c r="AG652" s="2">
        <v>11.2</v>
      </c>
      <c r="AH652" s="4">
        <f t="shared" si="10"/>
        <v>208.85</v>
      </c>
    </row>
    <row r="653" spans="1:34" x14ac:dyDescent="0.2">
      <c r="A653" s="3">
        <v>27790</v>
      </c>
      <c r="B653" s="2">
        <v>-1.81</v>
      </c>
      <c r="C653" s="2">
        <v>11.19</v>
      </c>
      <c r="D653" s="2">
        <v>-10.64</v>
      </c>
      <c r="E653" s="2">
        <v>-34.97</v>
      </c>
      <c r="F653" s="2">
        <v>-31.15</v>
      </c>
      <c r="G653" s="2">
        <v>-3.4</v>
      </c>
      <c r="H653" s="2">
        <v>0.13</v>
      </c>
      <c r="I653" s="2">
        <v>33.54</v>
      </c>
      <c r="J653" s="2">
        <v>1.4</v>
      </c>
      <c r="K653" s="2">
        <v>2.63</v>
      </c>
      <c r="L653" s="2">
        <v>-7.44</v>
      </c>
      <c r="M653" s="2">
        <v>0.32</v>
      </c>
      <c r="N653" s="2">
        <v>21.67</v>
      </c>
      <c r="O653" s="2">
        <v>16.68</v>
      </c>
      <c r="P653" s="2">
        <v>48.17</v>
      </c>
      <c r="Q653" s="2">
        <v>0.36</v>
      </c>
      <c r="R653" s="2">
        <v>6.64</v>
      </c>
      <c r="S653" s="2">
        <v>2.72</v>
      </c>
      <c r="T653" s="2">
        <v>27.68</v>
      </c>
      <c r="U653" s="2">
        <v>4.1500000000000004</v>
      </c>
      <c r="V653" s="2">
        <v>20.239999999999998</v>
      </c>
      <c r="W653" s="2">
        <v>4.26</v>
      </c>
      <c r="X653" s="2">
        <v>0</v>
      </c>
      <c r="Y653" s="2">
        <v>0</v>
      </c>
      <c r="Z653" s="2">
        <v>0</v>
      </c>
      <c r="AA653" s="2">
        <v>0.17</v>
      </c>
      <c r="AB653" s="2">
        <v>0</v>
      </c>
      <c r="AC653" s="2">
        <v>0</v>
      </c>
      <c r="AD653" s="2">
        <v>1.55</v>
      </c>
      <c r="AE653" s="2">
        <v>2.98</v>
      </c>
      <c r="AF653" s="2">
        <v>67.83</v>
      </c>
      <c r="AG653" s="2">
        <v>9.8800000000000008</v>
      </c>
      <c r="AH653" s="4">
        <f t="shared" si="10"/>
        <v>108.11</v>
      </c>
    </row>
    <row r="654" spans="1:34" x14ac:dyDescent="0.2">
      <c r="A654" s="3">
        <v>27819</v>
      </c>
      <c r="B654" s="2">
        <v>-0.72</v>
      </c>
      <c r="C654" s="2">
        <v>13.81</v>
      </c>
      <c r="D654" s="2">
        <v>-2.27</v>
      </c>
      <c r="E654" s="2">
        <v>-0.62</v>
      </c>
      <c r="F654" s="2">
        <v>-3.72</v>
      </c>
      <c r="G654" s="2">
        <v>6.27</v>
      </c>
      <c r="H654" s="2">
        <v>7.64</v>
      </c>
      <c r="I654" s="2">
        <v>36.67</v>
      </c>
      <c r="J654" s="2">
        <v>6.88</v>
      </c>
      <c r="K654" s="2">
        <v>20.260000000000002</v>
      </c>
      <c r="L654" s="2">
        <v>-14.96</v>
      </c>
      <c r="M654" s="2">
        <v>1.98</v>
      </c>
      <c r="N654" s="2">
        <v>42.06</v>
      </c>
      <c r="O654" s="2">
        <v>18.170000000000002</v>
      </c>
      <c r="P654" s="2">
        <v>100.8</v>
      </c>
      <c r="Q654" s="2">
        <v>-3.9</v>
      </c>
      <c r="R654" s="2">
        <v>6.32</v>
      </c>
      <c r="S654" s="2">
        <v>29.45</v>
      </c>
      <c r="T654" s="2">
        <v>30.4</v>
      </c>
      <c r="U654" s="2">
        <v>5.6</v>
      </c>
      <c r="V654" s="2">
        <v>7.91</v>
      </c>
      <c r="W654" s="2">
        <v>0</v>
      </c>
      <c r="X654" s="2">
        <v>0</v>
      </c>
      <c r="Y654" s="2">
        <v>0</v>
      </c>
      <c r="Z654" s="2">
        <v>8.52</v>
      </c>
      <c r="AA654" s="2">
        <v>29.11</v>
      </c>
      <c r="AB654" s="2">
        <v>9.1999999999999993</v>
      </c>
      <c r="AC654" s="2">
        <v>17.73</v>
      </c>
      <c r="AD654" s="2">
        <v>1.8</v>
      </c>
      <c r="AE654" s="2">
        <v>11.75</v>
      </c>
      <c r="AF654" s="2">
        <v>56.54</v>
      </c>
      <c r="AG654" s="2">
        <v>10.08</v>
      </c>
      <c r="AH654" s="4">
        <f t="shared" si="10"/>
        <v>308.03000000000003</v>
      </c>
    </row>
    <row r="655" spans="1:34" x14ac:dyDescent="0.2">
      <c r="A655" s="3">
        <v>27850</v>
      </c>
      <c r="B655" s="2">
        <v>-1.03</v>
      </c>
      <c r="C655" s="2">
        <v>10.57</v>
      </c>
      <c r="D655" s="2">
        <v>-0.2</v>
      </c>
      <c r="E655" s="2">
        <v>18.43</v>
      </c>
      <c r="F655" s="2">
        <v>-1.98</v>
      </c>
      <c r="G655" s="2">
        <v>20</v>
      </c>
      <c r="H655" s="2">
        <v>2.42</v>
      </c>
      <c r="I655" s="2">
        <v>24.39</v>
      </c>
      <c r="J655" s="2">
        <v>11.56</v>
      </c>
      <c r="K655" s="2">
        <v>5.82</v>
      </c>
      <c r="L655" s="2">
        <v>-3.93</v>
      </c>
      <c r="M655" s="2">
        <v>4.46</v>
      </c>
      <c r="N655" s="2">
        <v>21.27</v>
      </c>
      <c r="O655" s="2">
        <v>15.49</v>
      </c>
      <c r="P655" s="2">
        <v>50.15</v>
      </c>
      <c r="Q655" s="2">
        <v>-4.1100000000000003</v>
      </c>
      <c r="R655" s="2">
        <v>2.69</v>
      </c>
      <c r="S655" s="2">
        <v>1.66</v>
      </c>
      <c r="T655" s="2">
        <v>27.93</v>
      </c>
      <c r="U655" s="2">
        <v>1.3</v>
      </c>
      <c r="V655" s="2">
        <v>18.600000000000001</v>
      </c>
      <c r="W655" s="2">
        <v>0</v>
      </c>
      <c r="X655" s="2">
        <v>0</v>
      </c>
      <c r="Y655" s="2">
        <v>0</v>
      </c>
      <c r="Z655" s="2">
        <v>2.87</v>
      </c>
      <c r="AA655" s="2">
        <v>0</v>
      </c>
      <c r="AB655" s="2">
        <v>1.69</v>
      </c>
      <c r="AC655" s="2">
        <v>3.79</v>
      </c>
      <c r="AD655" s="2">
        <v>3.38</v>
      </c>
      <c r="AE655" s="2">
        <v>8.86</v>
      </c>
      <c r="AF655" s="2">
        <v>66.73</v>
      </c>
      <c r="AG655" s="2">
        <v>10.69</v>
      </c>
      <c r="AH655" s="4">
        <f t="shared" si="10"/>
        <v>225.48999999999998</v>
      </c>
    </row>
    <row r="656" spans="1:34" x14ac:dyDescent="0.2">
      <c r="A656" s="3">
        <v>27880</v>
      </c>
      <c r="B656" s="2">
        <v>-0.43</v>
      </c>
      <c r="C656" s="2">
        <v>9.8800000000000008</v>
      </c>
      <c r="D656" s="2">
        <v>3.76</v>
      </c>
      <c r="E656" s="2">
        <v>12.09</v>
      </c>
      <c r="F656" s="2">
        <v>25.85</v>
      </c>
      <c r="G656" s="2">
        <v>9.24</v>
      </c>
      <c r="H656" s="2">
        <v>11.73</v>
      </c>
      <c r="I656" s="2">
        <v>28.74</v>
      </c>
      <c r="J656" s="2">
        <v>-2.48</v>
      </c>
      <c r="K656" s="2">
        <v>-19.38</v>
      </c>
      <c r="L656" s="2">
        <v>-10.27</v>
      </c>
      <c r="M656" s="2">
        <v>-6.13</v>
      </c>
      <c r="N656" s="2">
        <v>9.64</v>
      </c>
      <c r="O656" s="2">
        <v>18.95</v>
      </c>
      <c r="P656" s="2">
        <v>29.96</v>
      </c>
      <c r="Q656" s="2">
        <v>2.21</v>
      </c>
      <c r="R656" s="2">
        <v>7.11</v>
      </c>
      <c r="S656" s="2">
        <v>9.6999999999999993</v>
      </c>
      <c r="T656" s="2">
        <v>14.65</v>
      </c>
      <c r="U656" s="2">
        <v>9.1199999999999992</v>
      </c>
      <c r="V656" s="2">
        <v>15.13</v>
      </c>
      <c r="W656" s="2">
        <v>0</v>
      </c>
      <c r="X656" s="2">
        <v>0</v>
      </c>
      <c r="Y656" s="2">
        <v>0</v>
      </c>
      <c r="Z656" s="2">
        <v>0.28999999999999998</v>
      </c>
      <c r="AA656" s="2">
        <v>1.43</v>
      </c>
      <c r="AB656" s="2">
        <v>1.32</v>
      </c>
      <c r="AC656" s="2">
        <v>1.76</v>
      </c>
      <c r="AD656" s="2">
        <v>3.71</v>
      </c>
      <c r="AE656" s="2">
        <v>5.78</v>
      </c>
      <c r="AF656" s="2">
        <v>82.57</v>
      </c>
      <c r="AG656" s="2">
        <v>14.64</v>
      </c>
      <c r="AH656" s="4">
        <f t="shared" si="10"/>
        <v>179.07</v>
      </c>
    </row>
    <row r="657" spans="1:34" x14ac:dyDescent="0.2">
      <c r="A657" s="3">
        <v>27911</v>
      </c>
      <c r="B657" s="2">
        <v>-2.23</v>
      </c>
      <c r="C657" s="2">
        <v>12.52</v>
      </c>
      <c r="D657" s="2">
        <v>-1.33</v>
      </c>
      <c r="E657" s="2">
        <v>7.83</v>
      </c>
      <c r="F657" s="2">
        <v>-7.08</v>
      </c>
      <c r="G657" s="2">
        <v>15.32</v>
      </c>
      <c r="H657" s="2">
        <v>10.119999999999999</v>
      </c>
      <c r="I657" s="2">
        <v>32.71</v>
      </c>
      <c r="J657" s="2">
        <v>-12.13</v>
      </c>
      <c r="K657" s="2">
        <v>-9.69</v>
      </c>
      <c r="L657" s="2">
        <v>-1.75</v>
      </c>
      <c r="M657" s="2">
        <v>-1.24</v>
      </c>
      <c r="N657" s="2">
        <v>31.56</v>
      </c>
      <c r="O657" s="2">
        <v>20.88</v>
      </c>
      <c r="P657" s="2">
        <v>30.05</v>
      </c>
      <c r="Q657" s="2">
        <v>-9.2100000000000009</v>
      </c>
      <c r="R657" s="2">
        <v>8.73</v>
      </c>
      <c r="S657" s="2">
        <v>28.67</v>
      </c>
      <c r="T657" s="2">
        <v>27.45</v>
      </c>
      <c r="U657" s="2">
        <v>8.25</v>
      </c>
      <c r="V657" s="2">
        <v>20.11</v>
      </c>
      <c r="W657" s="2">
        <v>4.88</v>
      </c>
      <c r="X657" s="2">
        <v>0</v>
      </c>
      <c r="Y657" s="2">
        <v>0</v>
      </c>
      <c r="Z657" s="2">
        <v>0.56999999999999995</v>
      </c>
      <c r="AA657" s="2">
        <v>7.17</v>
      </c>
      <c r="AB657" s="2">
        <v>2.81</v>
      </c>
      <c r="AC657" s="2">
        <v>0</v>
      </c>
      <c r="AD657" s="2">
        <v>5.89</v>
      </c>
      <c r="AE657" s="2">
        <v>0</v>
      </c>
      <c r="AF657" s="2">
        <v>93.24</v>
      </c>
      <c r="AG657" s="2">
        <v>17.690000000000001</v>
      </c>
      <c r="AH657" s="4">
        <f t="shared" si="10"/>
        <v>209.53999999999996</v>
      </c>
    </row>
    <row r="658" spans="1:34" x14ac:dyDescent="0.2">
      <c r="A658" s="3">
        <v>27941</v>
      </c>
      <c r="B658" s="2">
        <v>-2.68</v>
      </c>
      <c r="C658" s="2">
        <v>15.52</v>
      </c>
      <c r="D658" s="2">
        <v>-7.83</v>
      </c>
      <c r="E658" s="2">
        <v>2.0099999999999998</v>
      </c>
      <c r="F658" s="2">
        <v>17.760000000000002</v>
      </c>
      <c r="G658" s="2">
        <v>20.010000000000002</v>
      </c>
      <c r="H658" s="2">
        <v>14.48</v>
      </c>
      <c r="I658" s="2">
        <v>32.06</v>
      </c>
      <c r="J658" s="2">
        <v>-10.23</v>
      </c>
      <c r="K658" s="2">
        <v>4.12</v>
      </c>
      <c r="L658" s="2">
        <v>7.99</v>
      </c>
      <c r="M658" s="2">
        <v>8.09</v>
      </c>
      <c r="N658" s="2">
        <v>42.32</v>
      </c>
      <c r="O658" s="2">
        <v>26.23</v>
      </c>
      <c r="P658" s="2">
        <v>107.14</v>
      </c>
      <c r="Q658" s="2">
        <v>-6.14</v>
      </c>
      <c r="R658" s="2">
        <v>7.71</v>
      </c>
      <c r="S658" s="2">
        <v>60.11</v>
      </c>
      <c r="T658" s="2">
        <v>63.29</v>
      </c>
      <c r="U658" s="2">
        <v>18.22</v>
      </c>
      <c r="V658" s="2">
        <v>54.3</v>
      </c>
      <c r="W658" s="2">
        <v>18.62</v>
      </c>
      <c r="X658" s="2">
        <v>0</v>
      </c>
      <c r="Y658" s="2">
        <v>0</v>
      </c>
      <c r="Z658" s="2">
        <v>0</v>
      </c>
      <c r="AA658" s="2">
        <v>0</v>
      </c>
      <c r="AB658" s="2">
        <v>0.54</v>
      </c>
      <c r="AC658" s="2">
        <v>0</v>
      </c>
      <c r="AD658" s="2">
        <v>9.2100000000000009</v>
      </c>
      <c r="AE658" s="2">
        <v>0.65</v>
      </c>
      <c r="AF658" s="2">
        <v>102.05</v>
      </c>
      <c r="AG658" s="2">
        <v>22.83</v>
      </c>
      <c r="AH658" s="4">
        <f t="shared" si="10"/>
        <v>474.48000000000008</v>
      </c>
    </row>
    <row r="659" spans="1:34" x14ac:dyDescent="0.2">
      <c r="A659" s="3">
        <v>27972</v>
      </c>
      <c r="B659" s="2">
        <v>-3.01</v>
      </c>
      <c r="C659" s="2">
        <v>17.420000000000002</v>
      </c>
      <c r="D659" s="2">
        <v>-10.33</v>
      </c>
      <c r="E659" s="2">
        <v>10.71</v>
      </c>
      <c r="F659" s="2">
        <v>25.28</v>
      </c>
      <c r="G659" s="2">
        <v>26.13</v>
      </c>
      <c r="H659" s="2">
        <v>17.12</v>
      </c>
      <c r="I659" s="2">
        <v>34.85</v>
      </c>
      <c r="J659" s="2">
        <v>-10.49</v>
      </c>
      <c r="K659" s="2">
        <v>0.98</v>
      </c>
      <c r="L659" s="2">
        <v>14.89</v>
      </c>
      <c r="M659" s="2">
        <v>11.9</v>
      </c>
      <c r="N659" s="2">
        <v>39.69</v>
      </c>
      <c r="O659" s="2">
        <v>34.950000000000003</v>
      </c>
      <c r="P659" s="2">
        <v>120.32</v>
      </c>
      <c r="Q659" s="2">
        <v>-1.34</v>
      </c>
      <c r="R659" s="2">
        <v>4.45</v>
      </c>
      <c r="S659" s="2">
        <v>74.97</v>
      </c>
      <c r="T659" s="2">
        <v>57.11</v>
      </c>
      <c r="U659" s="2">
        <v>28.25</v>
      </c>
      <c r="V659" s="2">
        <v>49.62</v>
      </c>
      <c r="W659" s="2">
        <v>30.39</v>
      </c>
      <c r="X659" s="2">
        <v>0</v>
      </c>
      <c r="Y659" s="2">
        <v>2.08</v>
      </c>
      <c r="Z659" s="2">
        <v>0</v>
      </c>
      <c r="AA659" s="2">
        <v>6.44</v>
      </c>
      <c r="AB659" s="2">
        <v>4.04</v>
      </c>
      <c r="AC659" s="2">
        <v>1.62</v>
      </c>
      <c r="AD659" s="2">
        <v>7.22</v>
      </c>
      <c r="AE659" s="2">
        <v>0</v>
      </c>
      <c r="AF659" s="2">
        <v>111.13</v>
      </c>
      <c r="AG659" s="2">
        <v>24.8</v>
      </c>
      <c r="AH659" s="4">
        <f t="shared" si="10"/>
        <v>543.47</v>
      </c>
    </row>
    <row r="660" spans="1:34" x14ac:dyDescent="0.2">
      <c r="A660" s="3">
        <v>28003</v>
      </c>
      <c r="B660" s="2">
        <v>-2.95</v>
      </c>
      <c r="C660" s="2">
        <v>19.690000000000001</v>
      </c>
      <c r="D660" s="2">
        <v>-7.19</v>
      </c>
      <c r="E660" s="2">
        <v>0.2</v>
      </c>
      <c r="F660" s="2">
        <v>7.17</v>
      </c>
      <c r="G660" s="2">
        <v>24.8</v>
      </c>
      <c r="H660" s="2">
        <v>15.61</v>
      </c>
      <c r="I660" s="2">
        <v>40.47</v>
      </c>
      <c r="J660" s="2">
        <v>0.52</v>
      </c>
      <c r="K660" s="2">
        <v>-3.21</v>
      </c>
      <c r="L660" s="2">
        <v>11.86</v>
      </c>
      <c r="M660" s="2">
        <v>9.5500000000000007</v>
      </c>
      <c r="N660" s="2">
        <v>38.89</v>
      </c>
      <c r="O660" s="2">
        <v>31.04</v>
      </c>
      <c r="P660" s="2">
        <v>118.32</v>
      </c>
      <c r="Q660" s="2">
        <v>-0.63</v>
      </c>
      <c r="R660" s="2">
        <v>4.59</v>
      </c>
      <c r="S660" s="2">
        <v>68.48</v>
      </c>
      <c r="T660" s="2">
        <v>55.2</v>
      </c>
      <c r="U660" s="2">
        <v>21.72</v>
      </c>
      <c r="V660" s="2">
        <v>41.95</v>
      </c>
      <c r="W660" s="2">
        <v>31.47</v>
      </c>
      <c r="X660" s="2">
        <v>0</v>
      </c>
      <c r="Y660" s="2">
        <v>4.25</v>
      </c>
      <c r="Z660" s="2">
        <v>0</v>
      </c>
      <c r="AA660" s="2">
        <v>0</v>
      </c>
      <c r="AB660" s="2">
        <v>0.04</v>
      </c>
      <c r="AC660" s="2">
        <v>0</v>
      </c>
      <c r="AD660" s="2">
        <v>4.8099999999999996</v>
      </c>
      <c r="AE660" s="2">
        <v>6.62</v>
      </c>
      <c r="AF660" s="2">
        <v>113.02</v>
      </c>
      <c r="AG660" s="2">
        <v>23.65</v>
      </c>
      <c r="AH660" s="4">
        <f t="shared" si="10"/>
        <v>496.08</v>
      </c>
    </row>
    <row r="661" spans="1:34" x14ac:dyDescent="0.2">
      <c r="A661" s="3">
        <v>28033</v>
      </c>
      <c r="B661" s="2">
        <v>-7.13</v>
      </c>
      <c r="C661" s="2">
        <v>16.489999999999998</v>
      </c>
      <c r="D661" s="2">
        <v>-11.69</v>
      </c>
      <c r="E661" s="2">
        <v>-30.19</v>
      </c>
      <c r="F661" s="2">
        <v>12.73</v>
      </c>
      <c r="G661" s="2">
        <v>10.29</v>
      </c>
      <c r="H661" s="2">
        <v>14.18</v>
      </c>
      <c r="I661" s="2">
        <v>41.8</v>
      </c>
      <c r="J661" s="2">
        <v>9.3000000000000007</v>
      </c>
      <c r="K661" s="2">
        <v>2.2200000000000002</v>
      </c>
      <c r="L661" s="2">
        <v>8.3000000000000007</v>
      </c>
      <c r="M661" s="2">
        <v>6.3</v>
      </c>
      <c r="N661" s="2">
        <v>37.07</v>
      </c>
      <c r="O661" s="2">
        <v>20.100000000000001</v>
      </c>
      <c r="P661" s="2">
        <v>67.78</v>
      </c>
      <c r="Q661" s="2">
        <v>-0.28000000000000003</v>
      </c>
      <c r="R661" s="2">
        <v>9.58</v>
      </c>
      <c r="S661" s="2">
        <v>15.66</v>
      </c>
      <c r="T661" s="2">
        <v>38.79</v>
      </c>
      <c r="U661" s="2">
        <v>3.79</v>
      </c>
      <c r="V661" s="2">
        <v>17.09</v>
      </c>
      <c r="W661" s="2">
        <v>26.1</v>
      </c>
      <c r="X661" s="2">
        <v>0</v>
      </c>
      <c r="Y661" s="2">
        <v>4.13</v>
      </c>
      <c r="Z661" s="2">
        <v>10.15</v>
      </c>
      <c r="AA661" s="2">
        <v>60.65</v>
      </c>
      <c r="AB661" s="2">
        <v>8.92</v>
      </c>
      <c r="AC661" s="2">
        <v>22.61</v>
      </c>
      <c r="AD661" s="2">
        <v>3.89</v>
      </c>
      <c r="AE661" s="2">
        <v>9.6</v>
      </c>
      <c r="AF661" s="2">
        <v>105.27</v>
      </c>
      <c r="AG661" s="2">
        <v>20.170000000000002</v>
      </c>
      <c r="AH661" s="4">
        <f t="shared" si="10"/>
        <v>282.18</v>
      </c>
    </row>
    <row r="662" spans="1:34" x14ac:dyDescent="0.2">
      <c r="A662" s="3">
        <v>28064</v>
      </c>
      <c r="B662" s="2">
        <v>-8.99</v>
      </c>
      <c r="C662" s="2">
        <v>12.75</v>
      </c>
      <c r="D662" s="2">
        <v>-19.98</v>
      </c>
      <c r="E662" s="2">
        <v>-31.73</v>
      </c>
      <c r="F662" s="2">
        <v>-8.81</v>
      </c>
      <c r="G662" s="2">
        <v>6.87</v>
      </c>
      <c r="H662" s="2">
        <v>10.7</v>
      </c>
      <c r="I662" s="2">
        <v>28.32</v>
      </c>
      <c r="J662" s="2">
        <v>5.72</v>
      </c>
      <c r="K662" s="2">
        <v>-7.48</v>
      </c>
      <c r="L662" s="2">
        <v>3.88</v>
      </c>
      <c r="M662" s="2">
        <v>-1.1599999999999999</v>
      </c>
      <c r="N662" s="2">
        <v>19.27</v>
      </c>
      <c r="O662" s="2">
        <v>13.46</v>
      </c>
      <c r="P662" s="2">
        <v>49.47</v>
      </c>
      <c r="Q662" s="2">
        <v>-3.31</v>
      </c>
      <c r="R662" s="2">
        <v>5.54</v>
      </c>
      <c r="S662" s="2">
        <v>-1.26</v>
      </c>
      <c r="T662" s="2">
        <v>12.69</v>
      </c>
      <c r="U662" s="2">
        <v>2.52</v>
      </c>
      <c r="V662" s="2">
        <v>18.96</v>
      </c>
      <c r="W662" s="2">
        <v>22.19</v>
      </c>
      <c r="X662" s="2">
        <v>0</v>
      </c>
      <c r="Y662" s="2">
        <v>4.0999999999999996</v>
      </c>
      <c r="Z662" s="2">
        <v>1.05</v>
      </c>
      <c r="AA662" s="2">
        <v>19.489999999999998</v>
      </c>
      <c r="AB662" s="2">
        <v>0</v>
      </c>
      <c r="AC662" s="2">
        <v>4.74</v>
      </c>
      <c r="AD662" s="2">
        <v>3.31</v>
      </c>
      <c r="AE662" s="2">
        <v>5.03</v>
      </c>
      <c r="AF662" s="2">
        <v>95.48</v>
      </c>
      <c r="AG662" s="2">
        <v>16.420000000000002</v>
      </c>
      <c r="AH662" s="4">
        <f t="shared" si="10"/>
        <v>107.42999999999998</v>
      </c>
    </row>
    <row r="663" spans="1:34" x14ac:dyDescent="0.2">
      <c r="A663" s="3">
        <v>28094</v>
      </c>
      <c r="B663" s="2">
        <v>-6.68</v>
      </c>
      <c r="C663" s="2">
        <v>11.72</v>
      </c>
      <c r="D663" s="2">
        <v>-5.42</v>
      </c>
      <c r="E663" s="2">
        <v>-13.63</v>
      </c>
      <c r="F663" s="2">
        <v>-2.71</v>
      </c>
      <c r="G663" s="2">
        <v>8.81</v>
      </c>
      <c r="H663" s="2">
        <v>8.67</v>
      </c>
      <c r="I663" s="2">
        <v>34.92</v>
      </c>
      <c r="J663" s="2">
        <v>8.19</v>
      </c>
      <c r="K663" s="2">
        <v>-6.44</v>
      </c>
      <c r="L663" s="2">
        <v>2.52</v>
      </c>
      <c r="M663" s="2">
        <v>-0.81</v>
      </c>
      <c r="N663" s="2">
        <v>16.25</v>
      </c>
      <c r="O663" s="2">
        <v>15.94</v>
      </c>
      <c r="P663" s="2">
        <v>33.5</v>
      </c>
      <c r="Q663" s="2">
        <v>-0.67</v>
      </c>
      <c r="R663" s="2">
        <v>6.34</v>
      </c>
      <c r="S663" s="2">
        <v>-5.88</v>
      </c>
      <c r="T663" s="2">
        <v>15.1</v>
      </c>
      <c r="U663" s="2">
        <v>1.94</v>
      </c>
      <c r="V663" s="2">
        <v>13.96</v>
      </c>
      <c r="W663" s="2">
        <v>15.43</v>
      </c>
      <c r="X663" s="2">
        <v>0</v>
      </c>
      <c r="Y663" s="2">
        <v>1.46</v>
      </c>
      <c r="Z663" s="2">
        <v>0.81</v>
      </c>
      <c r="AA663" s="2">
        <v>3.87</v>
      </c>
      <c r="AB663" s="2">
        <v>0</v>
      </c>
      <c r="AC663" s="2">
        <v>2.44</v>
      </c>
      <c r="AD663" s="2">
        <v>2.02</v>
      </c>
      <c r="AE663" s="2">
        <v>8.67</v>
      </c>
      <c r="AF663" s="2">
        <v>62.65</v>
      </c>
      <c r="AG663" s="2">
        <v>12.92</v>
      </c>
      <c r="AH663" s="4">
        <f t="shared" si="10"/>
        <v>135.62</v>
      </c>
    </row>
    <row r="664" spans="1:34" x14ac:dyDescent="0.2">
      <c r="A664" s="3">
        <v>28125</v>
      </c>
      <c r="B664" s="2">
        <v>-5.84</v>
      </c>
      <c r="C664" s="2">
        <v>10.58</v>
      </c>
      <c r="D664" s="2">
        <v>-5.22</v>
      </c>
      <c r="E664" s="2">
        <v>-8.51</v>
      </c>
      <c r="F664" s="2">
        <v>-3.02</v>
      </c>
      <c r="G664" s="2">
        <v>8.5500000000000007</v>
      </c>
      <c r="H664" s="2">
        <v>7.82</v>
      </c>
      <c r="I664" s="2">
        <v>33.74</v>
      </c>
      <c r="J664" s="2">
        <v>6.8</v>
      </c>
      <c r="K664" s="2">
        <v>3.69</v>
      </c>
      <c r="L664" s="2">
        <v>1.42</v>
      </c>
      <c r="M664" s="2">
        <v>-1.96</v>
      </c>
      <c r="N664" s="2">
        <v>21.71</v>
      </c>
      <c r="O664" s="2">
        <v>17.57</v>
      </c>
      <c r="P664" s="2">
        <v>38.86</v>
      </c>
      <c r="Q664" s="2">
        <v>-0.77</v>
      </c>
      <c r="R664" s="2">
        <v>6.37</v>
      </c>
      <c r="S664" s="2">
        <v>-6.81</v>
      </c>
      <c r="T664" s="2">
        <v>13.56</v>
      </c>
      <c r="U664" s="2">
        <v>2.25</v>
      </c>
      <c r="V664" s="2">
        <v>15.08</v>
      </c>
      <c r="W664" s="2">
        <v>11.73</v>
      </c>
      <c r="X664" s="2">
        <v>0</v>
      </c>
      <c r="Y664" s="2">
        <v>1.22</v>
      </c>
      <c r="Z664" s="2">
        <v>0.19</v>
      </c>
      <c r="AA664" s="2">
        <v>1.72</v>
      </c>
      <c r="AB664" s="2">
        <v>0.04</v>
      </c>
      <c r="AC664" s="2">
        <v>0.68</v>
      </c>
      <c r="AD664" s="2">
        <v>1.88</v>
      </c>
      <c r="AE664" s="2">
        <v>7.46</v>
      </c>
      <c r="AF664" s="2">
        <v>57.56</v>
      </c>
      <c r="AG664" s="2">
        <v>11.2</v>
      </c>
      <c r="AH664" s="4">
        <f t="shared" si="10"/>
        <v>155.87000000000003</v>
      </c>
    </row>
    <row r="665" spans="1:34" x14ac:dyDescent="0.2">
      <c r="A665" s="3">
        <v>28156</v>
      </c>
      <c r="B665" s="2">
        <v>-3.66</v>
      </c>
      <c r="C665" s="2">
        <v>12.98</v>
      </c>
      <c r="D665" s="2">
        <v>4.6500000000000004</v>
      </c>
      <c r="E665" s="2">
        <v>22.98</v>
      </c>
      <c r="F665" s="2">
        <v>5.12</v>
      </c>
      <c r="G665" s="2">
        <v>16.47</v>
      </c>
      <c r="H665" s="2">
        <v>11.68</v>
      </c>
      <c r="I665" s="2">
        <v>34.799999999999997</v>
      </c>
      <c r="J665" s="2">
        <v>7.24</v>
      </c>
      <c r="K665" s="2">
        <v>4.41</v>
      </c>
      <c r="L665" s="2">
        <v>-1.41</v>
      </c>
      <c r="M665" s="2">
        <v>-0.94</v>
      </c>
      <c r="N665" s="2">
        <v>21.5</v>
      </c>
      <c r="O665" s="2">
        <v>10.5</v>
      </c>
      <c r="P665" s="2">
        <v>42.8</v>
      </c>
      <c r="Q665" s="2">
        <v>-1.68</v>
      </c>
      <c r="R665" s="2">
        <v>5.55</v>
      </c>
      <c r="S665" s="2">
        <v>-4.0199999999999996</v>
      </c>
      <c r="T665" s="2">
        <v>11.5</v>
      </c>
      <c r="U665" s="2">
        <v>2.46</v>
      </c>
      <c r="V665" s="2">
        <v>14.65</v>
      </c>
      <c r="W665" s="2">
        <v>4.26</v>
      </c>
      <c r="X665" s="2">
        <v>0</v>
      </c>
      <c r="Y665" s="2">
        <v>0</v>
      </c>
      <c r="Z665" s="2">
        <v>13.97</v>
      </c>
      <c r="AA665" s="2">
        <v>8.89</v>
      </c>
      <c r="AB665" s="2">
        <v>2.13</v>
      </c>
      <c r="AC665" s="2">
        <v>13.4</v>
      </c>
      <c r="AD665" s="2">
        <v>1.82</v>
      </c>
      <c r="AE665" s="2">
        <v>7.08</v>
      </c>
      <c r="AF665" s="2">
        <v>68.23</v>
      </c>
      <c r="AG665" s="2">
        <v>9.8800000000000008</v>
      </c>
      <c r="AH665" s="4">
        <f t="shared" si="10"/>
        <v>217.58</v>
      </c>
    </row>
    <row r="666" spans="1:34" x14ac:dyDescent="0.2">
      <c r="A666" s="3">
        <v>28184</v>
      </c>
      <c r="B666" s="2">
        <v>-4.7300000000000004</v>
      </c>
      <c r="C666" s="2">
        <v>9.27</v>
      </c>
      <c r="D666" s="2">
        <v>-6.59</v>
      </c>
      <c r="E666" s="2">
        <v>-6.55</v>
      </c>
      <c r="F666" s="2">
        <v>-3.16</v>
      </c>
      <c r="G666" s="2">
        <v>7.41</v>
      </c>
      <c r="H666" s="2">
        <v>6.62</v>
      </c>
      <c r="I666" s="2">
        <v>33.82</v>
      </c>
      <c r="J666" s="2">
        <v>4.82</v>
      </c>
      <c r="K666" s="2">
        <v>-7.18</v>
      </c>
      <c r="L666" s="2">
        <v>-2.5099999999999998</v>
      </c>
      <c r="M666" s="2">
        <v>-4.26</v>
      </c>
      <c r="N666" s="2">
        <v>12.61</v>
      </c>
      <c r="O666" s="2">
        <v>14.63</v>
      </c>
      <c r="P666" s="2">
        <v>28.78</v>
      </c>
      <c r="Q666" s="2">
        <v>0.24</v>
      </c>
      <c r="R666" s="2">
        <v>5.93</v>
      </c>
      <c r="S666" s="2">
        <v>2.5</v>
      </c>
      <c r="T666" s="2">
        <v>17.260000000000002</v>
      </c>
      <c r="U666" s="2">
        <v>0.94</v>
      </c>
      <c r="V666" s="2">
        <v>11.27</v>
      </c>
      <c r="W666" s="2">
        <v>0</v>
      </c>
      <c r="X666" s="2">
        <v>0</v>
      </c>
      <c r="Y666" s="2">
        <v>0</v>
      </c>
      <c r="Z666" s="2">
        <v>0.1</v>
      </c>
      <c r="AA666" s="2">
        <v>0.43</v>
      </c>
      <c r="AB666" s="2">
        <v>1.51</v>
      </c>
      <c r="AC666" s="2">
        <v>0.27</v>
      </c>
      <c r="AD666" s="2">
        <v>2.0699999999999998</v>
      </c>
      <c r="AE666" s="2">
        <v>5.13</v>
      </c>
      <c r="AF666" s="2">
        <v>56.88</v>
      </c>
      <c r="AG666" s="2">
        <v>10.08</v>
      </c>
      <c r="AH666" s="4">
        <f t="shared" si="10"/>
        <v>121.12</v>
      </c>
    </row>
    <row r="667" spans="1:34" x14ac:dyDescent="0.2">
      <c r="A667" s="3">
        <v>28215</v>
      </c>
      <c r="B667" s="2">
        <v>-3.86</v>
      </c>
      <c r="C667" s="2">
        <v>9.98</v>
      </c>
      <c r="D667" s="2">
        <v>-6.93</v>
      </c>
      <c r="E667" s="2">
        <v>-2.2000000000000002</v>
      </c>
      <c r="F667" s="2">
        <v>4.32</v>
      </c>
      <c r="G667" s="2">
        <v>18.66</v>
      </c>
      <c r="H667" s="2">
        <v>7.99</v>
      </c>
      <c r="I667" s="2">
        <v>30.68</v>
      </c>
      <c r="J667" s="2">
        <v>1.1399999999999999</v>
      </c>
      <c r="K667" s="2">
        <v>34.729999999999997</v>
      </c>
      <c r="L667" s="2">
        <v>8.56</v>
      </c>
      <c r="M667" s="2">
        <v>4.3899999999999997</v>
      </c>
      <c r="N667" s="2">
        <v>43.35</v>
      </c>
      <c r="O667" s="2">
        <v>16.079999999999998</v>
      </c>
      <c r="P667" s="2">
        <v>76.97</v>
      </c>
      <c r="Q667" s="2">
        <v>-6.27</v>
      </c>
      <c r="R667" s="2">
        <v>0.35</v>
      </c>
      <c r="S667" s="2">
        <v>16.59</v>
      </c>
      <c r="T667" s="2">
        <v>31.65</v>
      </c>
      <c r="U667" s="2">
        <v>-1.66</v>
      </c>
      <c r="V667" s="2">
        <v>14.46</v>
      </c>
      <c r="W667" s="2">
        <v>0</v>
      </c>
      <c r="X667" s="2">
        <v>0</v>
      </c>
      <c r="Y667" s="2">
        <v>0</v>
      </c>
      <c r="Z667" s="2">
        <v>1.91</v>
      </c>
      <c r="AA667" s="2">
        <v>1.29</v>
      </c>
      <c r="AB667" s="2">
        <v>0.27</v>
      </c>
      <c r="AC667" s="2">
        <v>6.77</v>
      </c>
      <c r="AD667" s="2">
        <v>3.6</v>
      </c>
      <c r="AE667" s="2">
        <v>17.899999999999999</v>
      </c>
      <c r="AF667" s="2">
        <v>67.12</v>
      </c>
      <c r="AG667" s="2">
        <v>10.69</v>
      </c>
      <c r="AH667" s="4">
        <f t="shared" si="10"/>
        <v>298.9799999999999</v>
      </c>
    </row>
    <row r="668" spans="1:34" x14ac:dyDescent="0.2">
      <c r="A668" s="3">
        <v>28245</v>
      </c>
      <c r="B668" s="2">
        <v>-4.55</v>
      </c>
      <c r="C668" s="2">
        <v>11.95</v>
      </c>
      <c r="D668" s="2">
        <v>1.67</v>
      </c>
      <c r="E668" s="2">
        <v>8.81</v>
      </c>
      <c r="F668" s="2">
        <v>39.619999999999997</v>
      </c>
      <c r="G668" s="2">
        <v>15.81</v>
      </c>
      <c r="H668" s="2">
        <v>16.510000000000002</v>
      </c>
      <c r="I668" s="2">
        <v>25.13</v>
      </c>
      <c r="J668" s="2">
        <v>-3.79</v>
      </c>
      <c r="K668" s="2">
        <v>-5.17</v>
      </c>
      <c r="L668" s="2">
        <v>9.06</v>
      </c>
      <c r="M668" s="2">
        <v>1.64</v>
      </c>
      <c r="N668" s="2">
        <v>6.93</v>
      </c>
      <c r="O668" s="2">
        <v>10.69</v>
      </c>
      <c r="P668" s="2">
        <v>33.090000000000003</v>
      </c>
      <c r="Q668" s="2">
        <v>-0.36</v>
      </c>
      <c r="R668" s="2">
        <v>7.93</v>
      </c>
      <c r="S668" s="2">
        <v>22.1</v>
      </c>
      <c r="T668" s="2">
        <v>18.34</v>
      </c>
      <c r="U668" s="2">
        <v>11.14</v>
      </c>
      <c r="V668" s="2">
        <v>15.53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0.14000000000000001</v>
      </c>
      <c r="AD668" s="2">
        <v>4</v>
      </c>
      <c r="AE668" s="2">
        <v>0.28000000000000003</v>
      </c>
      <c r="AF668" s="2">
        <v>83.05</v>
      </c>
      <c r="AG668" s="2">
        <v>14.64</v>
      </c>
      <c r="AH668" s="4">
        <f t="shared" si="10"/>
        <v>242.08</v>
      </c>
    </row>
    <row r="669" spans="1:34" x14ac:dyDescent="0.2">
      <c r="A669" s="3">
        <v>28276</v>
      </c>
      <c r="B669" s="2">
        <v>-2.79</v>
      </c>
      <c r="C669" s="2">
        <v>15.33</v>
      </c>
      <c r="D669" s="2">
        <v>-5.89</v>
      </c>
      <c r="E669" s="2">
        <v>12.49</v>
      </c>
      <c r="F669" s="2">
        <v>5.07</v>
      </c>
      <c r="G669" s="2">
        <v>28.12</v>
      </c>
      <c r="H669" s="2">
        <v>13.83</v>
      </c>
      <c r="I669" s="2">
        <v>23.19</v>
      </c>
      <c r="J669" s="2">
        <v>-8.2200000000000006</v>
      </c>
      <c r="K669" s="2">
        <v>9.93</v>
      </c>
      <c r="L669" s="2">
        <v>3.38</v>
      </c>
      <c r="M669" s="2">
        <v>-0.47</v>
      </c>
      <c r="N669" s="2">
        <v>29.46</v>
      </c>
      <c r="O669" s="2">
        <v>19.899999999999999</v>
      </c>
      <c r="P669" s="2">
        <v>52.94</v>
      </c>
      <c r="Q669" s="2">
        <v>-7.67</v>
      </c>
      <c r="R669" s="2">
        <v>0.31</v>
      </c>
      <c r="S669" s="2">
        <v>31.95</v>
      </c>
      <c r="T669" s="2">
        <v>24.46</v>
      </c>
      <c r="U669" s="2">
        <v>15.35</v>
      </c>
      <c r="V669" s="2">
        <v>21.61</v>
      </c>
      <c r="W669" s="2">
        <v>4.88</v>
      </c>
      <c r="X669" s="2">
        <v>0</v>
      </c>
      <c r="Y669" s="2">
        <v>0</v>
      </c>
      <c r="Z669" s="2">
        <v>7.94</v>
      </c>
      <c r="AA669" s="2">
        <v>1.1499999999999999</v>
      </c>
      <c r="AB669" s="2">
        <v>4.67</v>
      </c>
      <c r="AC669" s="2">
        <v>8.66</v>
      </c>
      <c r="AD669" s="2">
        <v>5.93</v>
      </c>
      <c r="AE669" s="2">
        <v>15.85</v>
      </c>
      <c r="AF669" s="2">
        <v>93.8</v>
      </c>
      <c r="AG669" s="2">
        <v>17.690000000000001</v>
      </c>
      <c r="AH669" s="4">
        <f t="shared" si="10"/>
        <v>282.28000000000003</v>
      </c>
    </row>
    <row r="670" spans="1:34" x14ac:dyDescent="0.2">
      <c r="A670" s="3">
        <v>28306</v>
      </c>
      <c r="B670" s="2">
        <v>-5.32</v>
      </c>
      <c r="C670" s="2">
        <v>13.8</v>
      </c>
      <c r="D670" s="2">
        <v>-10.029999999999999</v>
      </c>
      <c r="E670" s="2">
        <v>8.56</v>
      </c>
      <c r="F670" s="2">
        <v>23.23</v>
      </c>
      <c r="G670" s="2">
        <v>28.79</v>
      </c>
      <c r="H670" s="2">
        <v>15.95</v>
      </c>
      <c r="I670" s="2">
        <v>27.68</v>
      </c>
      <c r="J670" s="2">
        <v>-12.58</v>
      </c>
      <c r="K670" s="2">
        <v>41.3</v>
      </c>
      <c r="L670" s="2">
        <v>10.27</v>
      </c>
      <c r="M670" s="2">
        <v>6.94</v>
      </c>
      <c r="N670" s="2">
        <v>47.88</v>
      </c>
      <c r="O670" s="2">
        <v>39.46</v>
      </c>
      <c r="P670" s="2">
        <v>101.94</v>
      </c>
      <c r="Q670" s="2">
        <v>-10.85</v>
      </c>
      <c r="R670" s="2">
        <v>5.14</v>
      </c>
      <c r="S670" s="2">
        <v>79.94</v>
      </c>
      <c r="T670" s="2">
        <v>61.78</v>
      </c>
      <c r="U670" s="2">
        <v>19.02</v>
      </c>
      <c r="V670" s="2">
        <v>45.45</v>
      </c>
      <c r="W670" s="2">
        <v>18.62</v>
      </c>
      <c r="X670" s="2">
        <v>0</v>
      </c>
      <c r="Y670" s="2">
        <v>0</v>
      </c>
      <c r="Z670" s="2">
        <v>1.2</v>
      </c>
      <c r="AA670" s="2">
        <v>0.43</v>
      </c>
      <c r="AB670" s="2">
        <v>3.02</v>
      </c>
      <c r="AC670" s="2">
        <v>0</v>
      </c>
      <c r="AD670" s="2">
        <v>5.5</v>
      </c>
      <c r="AE670" s="2">
        <v>0.09</v>
      </c>
      <c r="AF670" s="2">
        <v>102.65</v>
      </c>
      <c r="AG670" s="2">
        <v>22.83</v>
      </c>
      <c r="AH670" s="4">
        <f t="shared" si="10"/>
        <v>538.35</v>
      </c>
    </row>
    <row r="671" spans="1:34" x14ac:dyDescent="0.2">
      <c r="A671" s="3">
        <v>28337</v>
      </c>
      <c r="B671" s="2">
        <v>-5.05</v>
      </c>
      <c r="C671" s="2">
        <v>15.99</v>
      </c>
      <c r="D671" s="2">
        <v>-4.07</v>
      </c>
      <c r="E671" s="2">
        <v>28.91</v>
      </c>
      <c r="F671" s="2">
        <v>26.74</v>
      </c>
      <c r="G671" s="2">
        <v>42.53</v>
      </c>
      <c r="H671" s="2">
        <v>21.99</v>
      </c>
      <c r="I671" s="2">
        <v>29.56</v>
      </c>
      <c r="J671" s="2">
        <v>-13.01</v>
      </c>
      <c r="K671" s="2">
        <v>33.29</v>
      </c>
      <c r="L671" s="2">
        <v>14.55</v>
      </c>
      <c r="M671" s="2">
        <v>11.08</v>
      </c>
      <c r="N671" s="2">
        <v>49.98</v>
      </c>
      <c r="O671" s="2">
        <v>77.099999999999994</v>
      </c>
      <c r="P671" s="2">
        <v>156.58000000000001</v>
      </c>
      <c r="Q671" s="2">
        <v>-6.94</v>
      </c>
      <c r="R671" s="2">
        <v>8.85</v>
      </c>
      <c r="S671" s="2">
        <v>112.37</v>
      </c>
      <c r="T671" s="2">
        <v>56.2</v>
      </c>
      <c r="U671" s="2">
        <v>26.51</v>
      </c>
      <c r="V671" s="2">
        <v>54.18</v>
      </c>
      <c r="W671" s="2">
        <v>30.39</v>
      </c>
      <c r="X671" s="2">
        <v>0</v>
      </c>
      <c r="Y671" s="2">
        <v>3.8</v>
      </c>
      <c r="Z671" s="2">
        <v>0</v>
      </c>
      <c r="AA671" s="2">
        <v>0</v>
      </c>
      <c r="AB671" s="2">
        <v>0.57999999999999996</v>
      </c>
      <c r="AC671" s="2">
        <v>0</v>
      </c>
      <c r="AD671" s="2">
        <v>5.55</v>
      </c>
      <c r="AE671" s="2">
        <v>0.75</v>
      </c>
      <c r="AF671" s="2">
        <v>111.79</v>
      </c>
      <c r="AG671" s="2">
        <v>24.8</v>
      </c>
      <c r="AH671" s="4">
        <f t="shared" si="10"/>
        <v>737.34</v>
      </c>
    </row>
    <row r="672" spans="1:34" x14ac:dyDescent="0.2">
      <c r="A672" s="3">
        <v>28368</v>
      </c>
      <c r="B672" s="2">
        <v>-6.89</v>
      </c>
      <c r="C672" s="2">
        <v>14.58</v>
      </c>
      <c r="D672" s="2">
        <v>-5.45</v>
      </c>
      <c r="E672" s="2">
        <v>5.87</v>
      </c>
      <c r="F672" s="2">
        <v>19.84</v>
      </c>
      <c r="G672" s="2">
        <v>32.28</v>
      </c>
      <c r="H672" s="2">
        <v>16.05</v>
      </c>
      <c r="I672" s="2">
        <v>26.17</v>
      </c>
      <c r="J672" s="2">
        <v>-6.69</v>
      </c>
      <c r="K672" s="2">
        <v>22.15</v>
      </c>
      <c r="L672" s="2">
        <v>14.66</v>
      </c>
      <c r="M672" s="2">
        <v>10.17</v>
      </c>
      <c r="N672" s="2">
        <v>44.6</v>
      </c>
      <c r="O672" s="2">
        <v>100.1</v>
      </c>
      <c r="P672" s="2">
        <v>119.8</v>
      </c>
      <c r="Q672" s="2">
        <v>-3.96</v>
      </c>
      <c r="R672" s="2">
        <v>2.41</v>
      </c>
      <c r="S672" s="2">
        <v>80.05</v>
      </c>
      <c r="T672" s="2">
        <v>52.33</v>
      </c>
      <c r="U672" s="2">
        <v>19.100000000000001</v>
      </c>
      <c r="V672" s="2">
        <v>50.39</v>
      </c>
      <c r="W672" s="2">
        <v>31.47</v>
      </c>
      <c r="X672" s="2">
        <v>0</v>
      </c>
      <c r="Y672" s="2">
        <v>6</v>
      </c>
      <c r="Z672" s="2">
        <v>5.98</v>
      </c>
      <c r="AA672" s="2">
        <v>55.49</v>
      </c>
      <c r="AB672" s="2">
        <v>2.4500000000000002</v>
      </c>
      <c r="AC672" s="2">
        <v>21.93</v>
      </c>
      <c r="AD672" s="2">
        <v>4.82</v>
      </c>
      <c r="AE672" s="2">
        <v>0</v>
      </c>
      <c r="AF672" s="2">
        <v>113.69</v>
      </c>
      <c r="AG672" s="2">
        <v>23.65</v>
      </c>
      <c r="AH672" s="4">
        <f t="shared" si="10"/>
        <v>607.56000000000006</v>
      </c>
    </row>
    <row r="673" spans="1:34" x14ac:dyDescent="0.2">
      <c r="A673" s="3">
        <v>28398</v>
      </c>
      <c r="B673" s="2">
        <v>-7.61</v>
      </c>
      <c r="C673" s="2">
        <v>15.66</v>
      </c>
      <c r="D673" s="2">
        <v>-7.83</v>
      </c>
      <c r="E673" s="2">
        <v>-10.75</v>
      </c>
      <c r="F673" s="2">
        <v>9.1999999999999993</v>
      </c>
      <c r="G673" s="2">
        <v>12.6</v>
      </c>
      <c r="H673" s="2">
        <v>16.52</v>
      </c>
      <c r="I673" s="2">
        <v>32.9</v>
      </c>
      <c r="J673" s="2">
        <v>6.57</v>
      </c>
      <c r="K673" s="2">
        <v>-8.34</v>
      </c>
      <c r="L673" s="2">
        <v>11.79</v>
      </c>
      <c r="M673" s="2">
        <v>7.29</v>
      </c>
      <c r="N673" s="2">
        <v>31.23</v>
      </c>
      <c r="O673" s="2">
        <v>16.64</v>
      </c>
      <c r="P673" s="2">
        <v>28.57</v>
      </c>
      <c r="Q673" s="2">
        <v>0.15</v>
      </c>
      <c r="R673" s="2">
        <v>11.84</v>
      </c>
      <c r="S673" s="2">
        <v>-2.2799999999999998</v>
      </c>
      <c r="T673" s="2">
        <v>12.26</v>
      </c>
      <c r="U673" s="2">
        <v>2.52</v>
      </c>
      <c r="V673" s="2">
        <v>14.42</v>
      </c>
      <c r="W673" s="2">
        <v>26.1</v>
      </c>
      <c r="X673" s="2">
        <v>0</v>
      </c>
      <c r="Y673" s="2">
        <v>5.76</v>
      </c>
      <c r="Z673" s="2">
        <v>0</v>
      </c>
      <c r="AA673" s="2">
        <v>2.44</v>
      </c>
      <c r="AB673" s="2">
        <v>0</v>
      </c>
      <c r="AC673" s="2">
        <v>0</v>
      </c>
      <c r="AD673" s="2">
        <v>4.78</v>
      </c>
      <c r="AE673" s="2">
        <v>5.41</v>
      </c>
      <c r="AF673" s="2">
        <v>105.89</v>
      </c>
      <c r="AG673" s="2">
        <v>20.170000000000002</v>
      </c>
      <c r="AH673" s="4">
        <f t="shared" si="10"/>
        <v>193.35</v>
      </c>
    </row>
    <row r="674" spans="1:34" x14ac:dyDescent="0.2">
      <c r="A674" s="3">
        <v>28429</v>
      </c>
      <c r="B674" s="2">
        <v>-8.19</v>
      </c>
      <c r="C674" s="2">
        <v>13.01</v>
      </c>
      <c r="D674" s="2">
        <v>-9.89</v>
      </c>
      <c r="E674" s="2">
        <v>-18.98</v>
      </c>
      <c r="F674" s="2">
        <v>5.1100000000000003</v>
      </c>
      <c r="G674" s="2">
        <v>6.96</v>
      </c>
      <c r="H674" s="2">
        <v>11.23</v>
      </c>
      <c r="I674" s="2">
        <v>28.38</v>
      </c>
      <c r="J674" s="2">
        <v>3.07</v>
      </c>
      <c r="K674" s="2">
        <v>-4.55</v>
      </c>
      <c r="L674" s="2">
        <v>6.1</v>
      </c>
      <c r="M674" s="2">
        <v>3.82</v>
      </c>
      <c r="N674" s="2">
        <v>24.4</v>
      </c>
      <c r="O674" s="2">
        <v>16.079999999999998</v>
      </c>
      <c r="P674" s="2">
        <v>76.95</v>
      </c>
      <c r="Q674" s="2">
        <v>-5.27</v>
      </c>
      <c r="R674" s="2">
        <v>2.4500000000000002</v>
      </c>
      <c r="S674" s="2">
        <v>-3.25</v>
      </c>
      <c r="T674" s="2">
        <v>23.57</v>
      </c>
      <c r="U674" s="2">
        <v>-7.41</v>
      </c>
      <c r="V674" s="2">
        <v>25.01</v>
      </c>
      <c r="W674" s="2">
        <v>22.19</v>
      </c>
      <c r="X674" s="2">
        <v>0</v>
      </c>
      <c r="Y674" s="2">
        <v>5.57</v>
      </c>
      <c r="Z674" s="2">
        <v>0.14000000000000001</v>
      </c>
      <c r="AA674" s="2">
        <v>1.58</v>
      </c>
      <c r="AB674" s="2">
        <v>0.17</v>
      </c>
      <c r="AC674" s="2">
        <v>0</v>
      </c>
      <c r="AD674" s="2">
        <v>5.87</v>
      </c>
      <c r="AE674" s="2">
        <v>1.96</v>
      </c>
      <c r="AF674" s="2">
        <v>96.05</v>
      </c>
      <c r="AG674" s="2">
        <v>16.420000000000002</v>
      </c>
      <c r="AH674" s="4">
        <f t="shared" si="10"/>
        <v>188.59999999999997</v>
      </c>
    </row>
    <row r="675" spans="1:34" x14ac:dyDescent="0.2">
      <c r="A675" s="3">
        <v>28459</v>
      </c>
      <c r="B675" s="2">
        <v>-5.99</v>
      </c>
      <c r="C675" s="2">
        <v>14.61</v>
      </c>
      <c r="D675" s="2">
        <v>0.96</v>
      </c>
      <c r="E675" s="2">
        <v>13.06</v>
      </c>
      <c r="F675" s="2">
        <v>15.17</v>
      </c>
      <c r="G675" s="2">
        <v>29.35</v>
      </c>
      <c r="H675" s="2">
        <v>15.2</v>
      </c>
      <c r="I675" s="2">
        <v>32.520000000000003</v>
      </c>
      <c r="J675" s="2">
        <v>14.27</v>
      </c>
      <c r="K675" s="2">
        <v>-0.41</v>
      </c>
      <c r="L675" s="2">
        <v>3.8</v>
      </c>
      <c r="M675" s="2">
        <v>6.9</v>
      </c>
      <c r="N675" s="2">
        <v>19.28</v>
      </c>
      <c r="O675" s="2">
        <v>14.67</v>
      </c>
      <c r="P675" s="2">
        <v>31.71</v>
      </c>
      <c r="Q675" s="2">
        <v>-1.37</v>
      </c>
      <c r="R675" s="2">
        <v>5.38</v>
      </c>
      <c r="S675" s="2">
        <v>-5.37</v>
      </c>
      <c r="T675" s="2">
        <v>12.78</v>
      </c>
      <c r="U675" s="2">
        <v>-0.46</v>
      </c>
      <c r="V675" s="2">
        <v>12.95</v>
      </c>
      <c r="W675" s="2">
        <v>15.43</v>
      </c>
      <c r="X675" s="2">
        <v>0</v>
      </c>
      <c r="Y675" s="2">
        <v>2.46</v>
      </c>
      <c r="Z675" s="2">
        <v>15.41</v>
      </c>
      <c r="AA675" s="2">
        <v>0</v>
      </c>
      <c r="AB675" s="2">
        <v>0</v>
      </c>
      <c r="AC675" s="2">
        <v>0.41</v>
      </c>
      <c r="AD675" s="2">
        <v>3.57</v>
      </c>
      <c r="AE675" s="2">
        <v>7.27</v>
      </c>
      <c r="AF675" s="2">
        <v>63.02</v>
      </c>
      <c r="AG675" s="2">
        <v>12.92</v>
      </c>
      <c r="AH675" s="4">
        <f t="shared" si="10"/>
        <v>229.01</v>
      </c>
    </row>
    <row r="676" spans="1:34" x14ac:dyDescent="0.2">
      <c r="A676" s="3">
        <v>28490</v>
      </c>
      <c r="B676" s="2">
        <v>-4.2699999999999996</v>
      </c>
      <c r="C676" s="2">
        <v>23.79</v>
      </c>
      <c r="D676" s="2">
        <v>25.75</v>
      </c>
      <c r="E676" s="2">
        <v>61.14</v>
      </c>
      <c r="F676" s="2">
        <v>33.68</v>
      </c>
      <c r="G676" s="2">
        <v>52.79</v>
      </c>
      <c r="H676" s="2">
        <v>20.079999999999998</v>
      </c>
      <c r="I676" s="2">
        <v>36.520000000000003</v>
      </c>
      <c r="J676" s="2">
        <v>28.35</v>
      </c>
      <c r="K676" s="2">
        <v>30.03</v>
      </c>
      <c r="L676" s="2">
        <v>15.12</v>
      </c>
      <c r="M676" s="2">
        <v>19.940000000000001</v>
      </c>
      <c r="N676" s="2">
        <v>40.28</v>
      </c>
      <c r="O676" s="2">
        <v>15.26</v>
      </c>
      <c r="P676" s="2">
        <v>106.84</v>
      </c>
      <c r="Q676" s="2">
        <v>-3.89</v>
      </c>
      <c r="R676" s="2">
        <v>5.87</v>
      </c>
      <c r="S676" s="2">
        <v>49.63</v>
      </c>
      <c r="T676" s="2">
        <v>39.72</v>
      </c>
      <c r="U676" s="2">
        <v>0.01</v>
      </c>
      <c r="V676" s="2">
        <v>18.809999999999999</v>
      </c>
      <c r="W676" s="2">
        <v>11.73</v>
      </c>
      <c r="X676" s="2">
        <v>0</v>
      </c>
      <c r="Y676" s="2">
        <v>2.14</v>
      </c>
      <c r="Z676" s="2">
        <v>0</v>
      </c>
      <c r="AA676" s="2">
        <v>12.19</v>
      </c>
      <c r="AB676" s="2">
        <v>6.2</v>
      </c>
      <c r="AC676" s="2">
        <v>26.26</v>
      </c>
      <c r="AD676" s="2">
        <v>3.16</v>
      </c>
      <c r="AE676" s="2">
        <v>21.81</v>
      </c>
      <c r="AF676" s="2">
        <v>57.9</v>
      </c>
      <c r="AG676" s="2">
        <v>11.2</v>
      </c>
      <c r="AH676" s="4">
        <f t="shared" si="10"/>
        <v>615.45000000000005</v>
      </c>
    </row>
    <row r="677" spans="1:34" x14ac:dyDescent="0.2">
      <c r="A677" s="3">
        <v>28521</v>
      </c>
      <c r="B677" s="2">
        <v>-0.38</v>
      </c>
      <c r="C677" s="2">
        <v>43.56</v>
      </c>
      <c r="D677" s="2">
        <v>87.96</v>
      </c>
      <c r="E677" s="2">
        <v>221.67</v>
      </c>
      <c r="F677" s="2">
        <v>145.66999999999999</v>
      </c>
      <c r="G677" s="2">
        <v>267.91000000000003</v>
      </c>
      <c r="H677" s="2">
        <v>36.92</v>
      </c>
      <c r="I677" s="2">
        <v>43.74</v>
      </c>
      <c r="J677" s="2">
        <v>86.07</v>
      </c>
      <c r="K677" s="2">
        <v>47.73</v>
      </c>
      <c r="L677" s="2">
        <v>50.39</v>
      </c>
      <c r="M677" s="2">
        <v>33.78</v>
      </c>
      <c r="N677" s="2">
        <v>48.92</v>
      </c>
      <c r="O677" s="2">
        <v>13.16</v>
      </c>
      <c r="P677" s="2">
        <v>71.81</v>
      </c>
      <c r="Q677" s="2">
        <v>-3.41</v>
      </c>
      <c r="R677" s="2">
        <v>9.0500000000000007</v>
      </c>
      <c r="S677" s="2">
        <v>42.37</v>
      </c>
      <c r="T677" s="2">
        <v>10.15</v>
      </c>
      <c r="U677" s="2">
        <v>1.8</v>
      </c>
      <c r="V677" s="2">
        <v>28.24</v>
      </c>
      <c r="W677" s="2">
        <v>4.26</v>
      </c>
      <c r="X677" s="2">
        <v>7.83</v>
      </c>
      <c r="Y677" s="2">
        <v>12.68</v>
      </c>
      <c r="Z677" s="2">
        <v>10.91</v>
      </c>
      <c r="AA677" s="2">
        <v>49.18</v>
      </c>
      <c r="AB677" s="2">
        <v>5.58</v>
      </c>
      <c r="AC677" s="2">
        <v>23.56</v>
      </c>
      <c r="AD677" s="2">
        <v>3.09</v>
      </c>
      <c r="AE677" s="2">
        <v>65.91</v>
      </c>
      <c r="AF677" s="2">
        <v>61.41</v>
      </c>
      <c r="AG677" s="2">
        <v>9.8800000000000008</v>
      </c>
      <c r="AH677" s="4">
        <f t="shared" si="10"/>
        <v>1287.1099999999999</v>
      </c>
    </row>
    <row r="678" spans="1:34" x14ac:dyDescent="0.2">
      <c r="A678" s="3">
        <v>28549</v>
      </c>
      <c r="B678" s="2">
        <v>3.96</v>
      </c>
      <c r="C678" s="2">
        <v>38.450000000000003</v>
      </c>
      <c r="D678" s="2">
        <v>19.03</v>
      </c>
      <c r="E678" s="2">
        <v>8.2899999999999991</v>
      </c>
      <c r="F678" s="2">
        <v>10.39</v>
      </c>
      <c r="G678" s="2">
        <v>89.97</v>
      </c>
      <c r="H678" s="2">
        <v>15.59</v>
      </c>
      <c r="I678" s="2">
        <v>38.049999999999997</v>
      </c>
      <c r="J678" s="2">
        <v>40.520000000000003</v>
      </c>
      <c r="K678" s="2">
        <v>64.760000000000005</v>
      </c>
      <c r="L678" s="2">
        <v>57.7</v>
      </c>
      <c r="M678" s="2">
        <v>28.18</v>
      </c>
      <c r="N678" s="2">
        <v>90.06</v>
      </c>
      <c r="O678" s="2">
        <v>15.22</v>
      </c>
      <c r="P678" s="2">
        <v>205.54</v>
      </c>
      <c r="Q678" s="2">
        <v>2.59</v>
      </c>
      <c r="R678" s="2">
        <v>14.57</v>
      </c>
      <c r="S678" s="2">
        <v>120.7</v>
      </c>
      <c r="T678" s="2">
        <v>152.25</v>
      </c>
      <c r="U678" s="2">
        <v>5.34</v>
      </c>
      <c r="V678" s="2">
        <v>79.62</v>
      </c>
      <c r="W678" s="2">
        <v>0</v>
      </c>
      <c r="X678" s="2">
        <v>6.67</v>
      </c>
      <c r="Y678" s="2">
        <v>6.98</v>
      </c>
      <c r="Z678" s="2">
        <v>16.89</v>
      </c>
      <c r="AA678" s="2">
        <v>5.3</v>
      </c>
      <c r="AB678" s="2">
        <v>6.75</v>
      </c>
      <c r="AC678" s="2">
        <v>26.94</v>
      </c>
      <c r="AD678" s="2">
        <v>3.19</v>
      </c>
      <c r="AE678" s="2">
        <v>27.5</v>
      </c>
      <c r="AF678" s="2">
        <v>51.19</v>
      </c>
      <c r="AG678" s="2">
        <v>10.08</v>
      </c>
      <c r="AH678" s="4">
        <f t="shared" si="10"/>
        <v>1100.7800000000002</v>
      </c>
    </row>
    <row r="679" spans="1:34" x14ac:dyDescent="0.2">
      <c r="A679" s="3">
        <v>28580</v>
      </c>
      <c r="B679" s="2">
        <v>12.49</v>
      </c>
      <c r="C679" s="2">
        <v>46.72</v>
      </c>
      <c r="D679" s="2">
        <v>17.78</v>
      </c>
      <c r="E679" s="2">
        <v>87.13</v>
      </c>
      <c r="F679" s="2">
        <v>128.46</v>
      </c>
      <c r="G679" s="2">
        <v>89.26</v>
      </c>
      <c r="H679" s="2">
        <v>28.81</v>
      </c>
      <c r="I679" s="2">
        <v>49.21</v>
      </c>
      <c r="J679" s="2">
        <v>67.599999999999994</v>
      </c>
      <c r="K679" s="2">
        <v>66.03</v>
      </c>
      <c r="L679" s="2">
        <v>60.62</v>
      </c>
      <c r="M679" s="2">
        <v>38.36</v>
      </c>
      <c r="N679" s="2">
        <v>99.31</v>
      </c>
      <c r="O679" s="2">
        <v>20.34</v>
      </c>
      <c r="P679" s="2">
        <v>233.21</v>
      </c>
      <c r="Q679" s="2">
        <v>11</v>
      </c>
      <c r="R679" s="2">
        <v>9.86</v>
      </c>
      <c r="S679" s="2">
        <v>128.97999999999999</v>
      </c>
      <c r="T679" s="2">
        <v>68.34</v>
      </c>
      <c r="U679" s="2">
        <v>5.63</v>
      </c>
      <c r="V679" s="2">
        <v>39.89</v>
      </c>
      <c r="W679" s="2">
        <v>0</v>
      </c>
      <c r="X679" s="2">
        <v>8.17</v>
      </c>
      <c r="Y679" s="2">
        <v>7.37</v>
      </c>
      <c r="Z679" s="2">
        <v>17.47</v>
      </c>
      <c r="AA679" s="2">
        <v>23.23</v>
      </c>
      <c r="AB679" s="2">
        <v>4.51</v>
      </c>
      <c r="AC679" s="2">
        <v>29.78</v>
      </c>
      <c r="AD679" s="2">
        <v>5.04</v>
      </c>
      <c r="AE679" s="2">
        <v>42.42</v>
      </c>
      <c r="AF679" s="2">
        <v>60.41</v>
      </c>
      <c r="AG679" s="2">
        <v>10.69</v>
      </c>
      <c r="AH679" s="4">
        <f t="shared" si="10"/>
        <v>1309.03</v>
      </c>
    </row>
    <row r="680" spans="1:34" x14ac:dyDescent="0.2">
      <c r="A680" s="3">
        <v>28610</v>
      </c>
      <c r="B680" s="2">
        <v>8.34</v>
      </c>
      <c r="C680" s="2">
        <v>35.229999999999997</v>
      </c>
      <c r="D680" s="2">
        <v>-12.81</v>
      </c>
      <c r="E680" s="2">
        <v>-53.95</v>
      </c>
      <c r="F680" s="2">
        <v>-39.81</v>
      </c>
      <c r="G680" s="2">
        <v>-44.32</v>
      </c>
      <c r="H680" s="2">
        <v>15.99</v>
      </c>
      <c r="I680" s="2">
        <v>48.18</v>
      </c>
      <c r="J680" s="2">
        <v>22.98</v>
      </c>
      <c r="K680" s="2">
        <v>14.66</v>
      </c>
      <c r="L680" s="2">
        <v>38.950000000000003</v>
      </c>
      <c r="M680" s="2">
        <v>32.19</v>
      </c>
      <c r="N680" s="2">
        <v>107.85</v>
      </c>
      <c r="O680" s="2">
        <v>22.49</v>
      </c>
      <c r="P680" s="2">
        <v>147.57</v>
      </c>
      <c r="Q680" s="2">
        <v>22.08</v>
      </c>
      <c r="R680" s="2">
        <v>28.09</v>
      </c>
      <c r="S680" s="2">
        <v>56.49</v>
      </c>
      <c r="T680" s="2">
        <v>58.44</v>
      </c>
      <c r="U680" s="2">
        <v>10.41</v>
      </c>
      <c r="V680" s="2">
        <v>44.37</v>
      </c>
      <c r="W680" s="2">
        <v>0</v>
      </c>
      <c r="X680" s="2">
        <v>10.01</v>
      </c>
      <c r="Y680" s="2">
        <v>9.57</v>
      </c>
      <c r="Z680" s="2">
        <v>5.26</v>
      </c>
      <c r="AA680" s="2">
        <v>1</v>
      </c>
      <c r="AB680" s="2">
        <v>0.24</v>
      </c>
      <c r="AC680" s="2">
        <v>5.69</v>
      </c>
      <c r="AD680" s="2">
        <v>6.09</v>
      </c>
      <c r="AE680" s="2">
        <v>30.76</v>
      </c>
      <c r="AF680" s="2">
        <v>74.75</v>
      </c>
      <c r="AG680" s="2">
        <v>14.64</v>
      </c>
      <c r="AH680" s="4">
        <f t="shared" si="10"/>
        <v>563.41999999999996</v>
      </c>
    </row>
    <row r="681" spans="1:34" x14ac:dyDescent="0.2">
      <c r="A681" s="3">
        <v>28641</v>
      </c>
      <c r="B681" s="2">
        <v>3.98</v>
      </c>
      <c r="C681" s="2">
        <v>35.49</v>
      </c>
      <c r="D681" s="2">
        <v>-24.36</v>
      </c>
      <c r="E681" s="2">
        <v>-75.760000000000005</v>
      </c>
      <c r="F681" s="2">
        <v>-38.44</v>
      </c>
      <c r="G681" s="2">
        <v>-39.15</v>
      </c>
      <c r="H681" s="2">
        <v>-2.27</v>
      </c>
      <c r="I681" s="2">
        <v>40.369999999999997</v>
      </c>
      <c r="J681" s="2">
        <v>-9.98</v>
      </c>
      <c r="K681" s="2">
        <v>-27.88</v>
      </c>
      <c r="L681" s="2">
        <v>42.23</v>
      </c>
      <c r="M681" s="2">
        <v>26.13</v>
      </c>
      <c r="N681" s="2">
        <v>53.44</v>
      </c>
      <c r="O681" s="2">
        <v>25.69</v>
      </c>
      <c r="P681" s="2">
        <v>154.71</v>
      </c>
      <c r="Q681" s="2">
        <v>26.16</v>
      </c>
      <c r="R681" s="2">
        <v>43.41</v>
      </c>
      <c r="S681" s="2">
        <v>50.49</v>
      </c>
      <c r="T681" s="2">
        <v>150.34</v>
      </c>
      <c r="U681" s="2">
        <v>8.34</v>
      </c>
      <c r="V681" s="2">
        <v>59.13</v>
      </c>
      <c r="W681" s="2">
        <v>4.88</v>
      </c>
      <c r="X681" s="2">
        <v>13.67</v>
      </c>
      <c r="Y681" s="2">
        <v>12.55</v>
      </c>
      <c r="Z681" s="2">
        <v>0</v>
      </c>
      <c r="AA681" s="2">
        <v>0</v>
      </c>
      <c r="AB681" s="2">
        <v>0.17</v>
      </c>
      <c r="AC681" s="2">
        <v>1.08</v>
      </c>
      <c r="AD681" s="2">
        <v>6.61</v>
      </c>
      <c r="AE681" s="2">
        <v>0</v>
      </c>
      <c r="AF681" s="2">
        <v>84.42</v>
      </c>
      <c r="AG681" s="2">
        <v>17.690000000000001</v>
      </c>
      <c r="AH681" s="4">
        <f t="shared" si="10"/>
        <v>502.06999999999988</v>
      </c>
    </row>
    <row r="682" spans="1:34" x14ac:dyDescent="0.2">
      <c r="A682" s="3">
        <v>28671</v>
      </c>
      <c r="B682" s="2">
        <v>1.47</v>
      </c>
      <c r="C682" s="2">
        <v>30.9</v>
      </c>
      <c r="D682" s="2">
        <v>-19.34</v>
      </c>
      <c r="E682" s="2">
        <v>-67.19</v>
      </c>
      <c r="F682" s="2">
        <v>-20.57</v>
      </c>
      <c r="G682" s="2">
        <v>-27.43</v>
      </c>
      <c r="H682" s="2">
        <v>0.76</v>
      </c>
      <c r="I682" s="2">
        <v>32.83</v>
      </c>
      <c r="J682" s="2">
        <v>-34.72</v>
      </c>
      <c r="K682" s="2">
        <v>-31.63</v>
      </c>
      <c r="L682" s="2">
        <v>-16.39</v>
      </c>
      <c r="M682" s="2">
        <v>-9.44</v>
      </c>
      <c r="N682" s="2">
        <v>24.09</v>
      </c>
      <c r="O682" s="2">
        <v>45.41</v>
      </c>
      <c r="P682" s="2">
        <v>94.01</v>
      </c>
      <c r="Q682" s="2">
        <v>21.56</v>
      </c>
      <c r="R682" s="2">
        <v>35.68</v>
      </c>
      <c r="S682" s="2">
        <v>32.89</v>
      </c>
      <c r="T682" s="2">
        <v>152.15</v>
      </c>
      <c r="U682" s="2">
        <v>6.58</v>
      </c>
      <c r="V682" s="2">
        <v>55.96</v>
      </c>
      <c r="W682" s="2">
        <v>18.62</v>
      </c>
      <c r="X682" s="2">
        <v>19.54</v>
      </c>
      <c r="Y682" s="2">
        <v>19.18</v>
      </c>
      <c r="Z682" s="2">
        <v>0</v>
      </c>
      <c r="AA682" s="2">
        <v>0</v>
      </c>
      <c r="AB682" s="2">
        <v>0</v>
      </c>
      <c r="AC682" s="2">
        <v>0</v>
      </c>
      <c r="AD682" s="2">
        <v>10.49</v>
      </c>
      <c r="AE682" s="2">
        <v>0</v>
      </c>
      <c r="AF682" s="2">
        <v>92.39</v>
      </c>
      <c r="AG682" s="2">
        <v>22.83</v>
      </c>
      <c r="AH682" s="4">
        <f t="shared" si="10"/>
        <v>307.58000000000004</v>
      </c>
    </row>
    <row r="683" spans="1:34" x14ac:dyDescent="0.2">
      <c r="A683" s="3">
        <v>28702</v>
      </c>
      <c r="B683" s="2">
        <v>2.08</v>
      </c>
      <c r="C683" s="2">
        <v>32.68</v>
      </c>
      <c r="D683" s="2">
        <v>-13.76</v>
      </c>
      <c r="E683" s="2">
        <v>-23.25</v>
      </c>
      <c r="F683" s="2">
        <v>12.64</v>
      </c>
      <c r="G683" s="2">
        <v>11.19</v>
      </c>
      <c r="H683" s="2">
        <v>13.94</v>
      </c>
      <c r="I683" s="2">
        <v>37.85</v>
      </c>
      <c r="J683" s="2">
        <v>-44.81</v>
      </c>
      <c r="K683" s="2">
        <v>-38.51</v>
      </c>
      <c r="L683" s="2">
        <v>-29.91</v>
      </c>
      <c r="M683" s="2">
        <v>-7.33</v>
      </c>
      <c r="N683" s="2">
        <v>25.35</v>
      </c>
      <c r="O683" s="2">
        <v>48.51</v>
      </c>
      <c r="P683" s="2">
        <v>107.85</v>
      </c>
      <c r="Q683" s="2">
        <v>18.059999999999999</v>
      </c>
      <c r="R683" s="2">
        <v>37.799999999999997</v>
      </c>
      <c r="S683" s="2">
        <v>41.15</v>
      </c>
      <c r="T683" s="2">
        <v>97.94</v>
      </c>
      <c r="U683" s="2">
        <v>15.07</v>
      </c>
      <c r="V683" s="2">
        <v>56.07</v>
      </c>
      <c r="W683" s="2">
        <v>30.39</v>
      </c>
      <c r="X683" s="2">
        <v>25.31</v>
      </c>
      <c r="Y683" s="2">
        <v>25.29</v>
      </c>
      <c r="Z683" s="2">
        <v>0</v>
      </c>
      <c r="AA683" s="2">
        <v>0</v>
      </c>
      <c r="AB683" s="2">
        <v>0.76</v>
      </c>
      <c r="AC683" s="2">
        <v>0</v>
      </c>
      <c r="AD683" s="2">
        <v>7.81</v>
      </c>
      <c r="AE683" s="2">
        <v>0</v>
      </c>
      <c r="AF683" s="2">
        <v>100.62</v>
      </c>
      <c r="AG683" s="2">
        <v>24.8</v>
      </c>
      <c r="AH683" s="4">
        <f t="shared" si="10"/>
        <v>400.61</v>
      </c>
    </row>
    <row r="684" spans="1:34" x14ac:dyDescent="0.2">
      <c r="A684" s="3">
        <v>28733</v>
      </c>
      <c r="B684" s="2">
        <v>0.83</v>
      </c>
      <c r="C684" s="2">
        <v>32.32</v>
      </c>
      <c r="D684" s="2">
        <v>-9.14</v>
      </c>
      <c r="E684" s="2">
        <v>-20.71</v>
      </c>
      <c r="F684" s="2">
        <v>2.58</v>
      </c>
      <c r="G684" s="2">
        <v>22.45</v>
      </c>
      <c r="H684" s="2">
        <v>15.02</v>
      </c>
      <c r="I684" s="2">
        <v>45.27</v>
      </c>
      <c r="J684" s="2">
        <v>-13.58</v>
      </c>
      <c r="K684" s="2">
        <v>-14.12</v>
      </c>
      <c r="L684" s="2">
        <v>-14.8</v>
      </c>
      <c r="M684" s="2">
        <v>9.32</v>
      </c>
      <c r="N684" s="2">
        <v>45.8</v>
      </c>
      <c r="O684" s="2">
        <v>45.98</v>
      </c>
      <c r="P684" s="2">
        <v>104.04</v>
      </c>
      <c r="Q684" s="2">
        <v>15.72</v>
      </c>
      <c r="R684" s="2">
        <v>38.72</v>
      </c>
      <c r="S684" s="2">
        <v>38.86</v>
      </c>
      <c r="T684" s="2">
        <v>74.05</v>
      </c>
      <c r="U684" s="2">
        <v>19.3</v>
      </c>
      <c r="V684" s="2">
        <v>50.3</v>
      </c>
      <c r="W684" s="2">
        <v>31.47</v>
      </c>
      <c r="X684" s="2">
        <v>27.73</v>
      </c>
      <c r="Y684" s="2">
        <v>27.88</v>
      </c>
      <c r="Z684" s="2">
        <v>0</v>
      </c>
      <c r="AA684" s="2">
        <v>1.74</v>
      </c>
      <c r="AB684" s="2">
        <v>0</v>
      </c>
      <c r="AC684" s="2">
        <v>2.44</v>
      </c>
      <c r="AD684" s="2">
        <v>6.98</v>
      </c>
      <c r="AE684" s="2">
        <v>0</v>
      </c>
      <c r="AF684" s="2">
        <v>102.33</v>
      </c>
      <c r="AG684" s="2">
        <v>23.65</v>
      </c>
      <c r="AH684" s="4">
        <f t="shared" si="10"/>
        <v>488.21000000000009</v>
      </c>
    </row>
    <row r="685" spans="1:34" x14ac:dyDescent="0.2">
      <c r="A685" s="3">
        <v>28763</v>
      </c>
      <c r="B685" s="2">
        <v>-1.29</v>
      </c>
      <c r="C685" s="2">
        <v>26.2</v>
      </c>
      <c r="D685" s="2">
        <v>-5.6</v>
      </c>
      <c r="E685" s="2">
        <v>-21.61</v>
      </c>
      <c r="F685" s="2">
        <v>-4.84</v>
      </c>
      <c r="G685" s="2">
        <v>12.3</v>
      </c>
      <c r="H685" s="2">
        <v>18.29</v>
      </c>
      <c r="I685" s="2">
        <v>52.4</v>
      </c>
      <c r="J685" s="2">
        <v>9.59</v>
      </c>
      <c r="K685" s="2">
        <v>1.21</v>
      </c>
      <c r="L685" s="2">
        <v>-2.29</v>
      </c>
      <c r="M685" s="2">
        <v>14.54</v>
      </c>
      <c r="N685" s="2">
        <v>42.05</v>
      </c>
      <c r="O685" s="2">
        <v>21.48</v>
      </c>
      <c r="P685" s="2">
        <v>36.380000000000003</v>
      </c>
      <c r="Q685" s="2">
        <v>11.47</v>
      </c>
      <c r="R685" s="2">
        <v>25.08</v>
      </c>
      <c r="S685" s="2">
        <v>27.12</v>
      </c>
      <c r="T685" s="2">
        <v>20.11</v>
      </c>
      <c r="U685" s="2">
        <v>10.64</v>
      </c>
      <c r="V685" s="2">
        <v>26.31</v>
      </c>
      <c r="W685" s="2">
        <v>26.1</v>
      </c>
      <c r="X685" s="2">
        <v>26.19</v>
      </c>
      <c r="Y685" s="2">
        <v>26.11</v>
      </c>
      <c r="Z685" s="2">
        <v>4.4000000000000004</v>
      </c>
      <c r="AA685" s="2">
        <v>2.15</v>
      </c>
      <c r="AB685" s="2">
        <v>1.53</v>
      </c>
      <c r="AC685" s="2">
        <v>4.2</v>
      </c>
      <c r="AD685" s="2">
        <v>5.21</v>
      </c>
      <c r="AE685" s="2">
        <v>0.19</v>
      </c>
      <c r="AF685" s="2">
        <v>95.31</v>
      </c>
      <c r="AG685" s="2">
        <v>20.170000000000002</v>
      </c>
      <c r="AH685" s="4">
        <f t="shared" si="10"/>
        <v>319.53999999999996</v>
      </c>
    </row>
    <row r="686" spans="1:34" x14ac:dyDescent="0.2">
      <c r="A686" s="3">
        <v>28794</v>
      </c>
      <c r="B686" s="2">
        <v>-2.61</v>
      </c>
      <c r="C686" s="2">
        <v>23.88</v>
      </c>
      <c r="D686" s="2">
        <v>-8.5399999999999991</v>
      </c>
      <c r="E686" s="2">
        <v>-21.7</v>
      </c>
      <c r="F686" s="2">
        <v>-6.69</v>
      </c>
      <c r="G686" s="2">
        <v>4.4000000000000004</v>
      </c>
      <c r="H686" s="2">
        <v>11.27</v>
      </c>
      <c r="I686" s="2">
        <v>46.39</v>
      </c>
      <c r="J686" s="2">
        <v>2.82</v>
      </c>
      <c r="K686" s="2">
        <v>-1.63</v>
      </c>
      <c r="L686" s="2">
        <v>5.13</v>
      </c>
      <c r="M686" s="2">
        <v>16.809999999999999</v>
      </c>
      <c r="N686" s="2">
        <v>35.49</v>
      </c>
      <c r="O686" s="2">
        <v>14.95</v>
      </c>
      <c r="P686" s="2">
        <v>45.95</v>
      </c>
      <c r="Q686" s="2">
        <v>8.25</v>
      </c>
      <c r="R686" s="2">
        <v>18.77</v>
      </c>
      <c r="S686" s="2">
        <v>-7.05</v>
      </c>
      <c r="T686" s="2">
        <v>9.99</v>
      </c>
      <c r="U686" s="2">
        <v>10.27</v>
      </c>
      <c r="V686" s="2">
        <v>34.29</v>
      </c>
      <c r="W686" s="2">
        <v>22.19</v>
      </c>
      <c r="X686" s="2">
        <v>24.15</v>
      </c>
      <c r="Y686" s="2">
        <v>24.03</v>
      </c>
      <c r="Z686" s="2">
        <v>3.3</v>
      </c>
      <c r="AA686" s="2">
        <v>0.56999999999999995</v>
      </c>
      <c r="AB686" s="2">
        <v>0</v>
      </c>
      <c r="AC686" s="2">
        <v>0.27</v>
      </c>
      <c r="AD686" s="2">
        <v>1.93</v>
      </c>
      <c r="AE686" s="2">
        <v>0</v>
      </c>
      <c r="AF686" s="2">
        <v>86.45</v>
      </c>
      <c r="AG686" s="2">
        <v>16.420000000000002</v>
      </c>
      <c r="AH686" s="4">
        <f t="shared" si="10"/>
        <v>240.44000000000003</v>
      </c>
    </row>
    <row r="687" spans="1:34" x14ac:dyDescent="0.2">
      <c r="A687" s="3">
        <v>28824</v>
      </c>
      <c r="B687" s="2">
        <v>-0.15</v>
      </c>
      <c r="C687" s="2">
        <v>20.71</v>
      </c>
      <c r="D687" s="2">
        <v>1.99</v>
      </c>
      <c r="E687" s="2">
        <v>2.5099999999999998</v>
      </c>
      <c r="F687" s="2">
        <v>4.59</v>
      </c>
      <c r="G687" s="2">
        <v>15.01</v>
      </c>
      <c r="H687" s="2">
        <v>13.72</v>
      </c>
      <c r="I687" s="2">
        <v>41.58</v>
      </c>
      <c r="J687" s="2">
        <v>11.72</v>
      </c>
      <c r="K687" s="2">
        <v>3</v>
      </c>
      <c r="L687" s="2">
        <v>10.17</v>
      </c>
      <c r="M687" s="2">
        <v>13.91</v>
      </c>
      <c r="N687" s="2">
        <v>31.51</v>
      </c>
      <c r="O687" s="2">
        <v>19.84</v>
      </c>
      <c r="P687" s="2">
        <v>25.94</v>
      </c>
      <c r="Q687" s="2">
        <v>3.58</v>
      </c>
      <c r="R687" s="2">
        <v>12.19</v>
      </c>
      <c r="S687" s="2">
        <v>-0.69</v>
      </c>
      <c r="T687" s="2">
        <v>16.809999999999999</v>
      </c>
      <c r="U687" s="2">
        <v>7.94</v>
      </c>
      <c r="V687" s="2">
        <v>27.15</v>
      </c>
      <c r="W687" s="2">
        <v>15.43</v>
      </c>
      <c r="X687" s="2">
        <v>15.89</v>
      </c>
      <c r="Y687" s="2">
        <v>14.71</v>
      </c>
      <c r="Z687" s="2">
        <v>4.79</v>
      </c>
      <c r="AA687" s="2">
        <v>14.19</v>
      </c>
      <c r="AB687" s="2">
        <v>5.89</v>
      </c>
      <c r="AC687" s="2">
        <v>3.79</v>
      </c>
      <c r="AD687" s="2">
        <v>1</v>
      </c>
      <c r="AE687" s="2">
        <v>13.89</v>
      </c>
      <c r="AF687" s="2">
        <v>56.72</v>
      </c>
      <c r="AG687" s="2">
        <v>12.92</v>
      </c>
      <c r="AH687" s="4">
        <f t="shared" si="10"/>
        <v>283.03000000000003</v>
      </c>
    </row>
    <row r="688" spans="1:34" x14ac:dyDescent="0.2">
      <c r="A688" s="3">
        <v>28855</v>
      </c>
      <c r="B688" s="2">
        <v>-0.47</v>
      </c>
      <c r="C688" s="2">
        <v>19.36</v>
      </c>
      <c r="D688" s="2">
        <v>-2.92</v>
      </c>
      <c r="E688" s="2">
        <v>-3.83</v>
      </c>
      <c r="F688" s="2">
        <v>-1.25</v>
      </c>
      <c r="G688" s="2">
        <v>7.85</v>
      </c>
      <c r="H688" s="2">
        <v>10.01</v>
      </c>
      <c r="I688" s="2">
        <v>38.799999999999997</v>
      </c>
      <c r="J688" s="2">
        <v>3.5</v>
      </c>
      <c r="K688" s="2">
        <v>-10.65</v>
      </c>
      <c r="L688" s="2">
        <v>10.029999999999999</v>
      </c>
      <c r="M688" s="2">
        <v>3.5</v>
      </c>
      <c r="N688" s="2">
        <v>22.19</v>
      </c>
      <c r="O688" s="2">
        <v>24.98</v>
      </c>
      <c r="P688" s="2">
        <v>32.950000000000003</v>
      </c>
      <c r="Q688" s="2">
        <v>3.72</v>
      </c>
      <c r="R688" s="2">
        <v>14.03</v>
      </c>
      <c r="S688" s="2">
        <v>8.33</v>
      </c>
      <c r="T688" s="2">
        <v>16.75</v>
      </c>
      <c r="U688" s="2">
        <v>5.66</v>
      </c>
      <c r="V688" s="2">
        <v>15.21</v>
      </c>
      <c r="W688" s="2">
        <v>11.73</v>
      </c>
      <c r="X688" s="2">
        <v>13.37</v>
      </c>
      <c r="Y688" s="2">
        <v>13.4</v>
      </c>
      <c r="Z688" s="2">
        <v>0.28999999999999998</v>
      </c>
      <c r="AA688" s="2">
        <v>10.47</v>
      </c>
      <c r="AB688" s="2">
        <v>0.64</v>
      </c>
      <c r="AC688" s="2">
        <v>8.5299999999999994</v>
      </c>
      <c r="AD688" s="2">
        <v>1.1100000000000001</v>
      </c>
      <c r="AE688" s="2">
        <v>3.92</v>
      </c>
      <c r="AF688" s="2">
        <v>52.11</v>
      </c>
      <c r="AG688" s="2">
        <v>11.2</v>
      </c>
      <c r="AH688" s="4">
        <f t="shared" si="10"/>
        <v>217.75000000000003</v>
      </c>
    </row>
    <row r="689" spans="1:34" x14ac:dyDescent="0.2">
      <c r="A689" s="3">
        <v>28886</v>
      </c>
      <c r="B689" s="2">
        <v>-0.73</v>
      </c>
      <c r="C689" s="2">
        <v>27.43</v>
      </c>
      <c r="D689" s="2">
        <v>32.380000000000003</v>
      </c>
      <c r="E689" s="2">
        <v>62.04</v>
      </c>
      <c r="F689" s="2">
        <v>40.229999999999997</v>
      </c>
      <c r="G689" s="2">
        <v>85.16</v>
      </c>
      <c r="H689" s="2">
        <v>19.37</v>
      </c>
      <c r="I689" s="2">
        <v>42.62</v>
      </c>
      <c r="J689" s="2">
        <v>55.79</v>
      </c>
      <c r="K689" s="2">
        <v>66.92</v>
      </c>
      <c r="L689" s="2">
        <v>52.47</v>
      </c>
      <c r="M689" s="2">
        <v>37.94</v>
      </c>
      <c r="N689" s="2">
        <v>86.15</v>
      </c>
      <c r="O689" s="2">
        <v>16.02</v>
      </c>
      <c r="P689" s="2">
        <v>74.61</v>
      </c>
      <c r="Q689" s="2">
        <v>0.77</v>
      </c>
      <c r="R689" s="2">
        <v>14.49</v>
      </c>
      <c r="S689" s="2">
        <v>27.85</v>
      </c>
      <c r="T689" s="2">
        <v>20.03</v>
      </c>
      <c r="U689" s="2">
        <v>5.18</v>
      </c>
      <c r="V689" s="2">
        <v>15.97</v>
      </c>
      <c r="W689" s="2">
        <v>4.26</v>
      </c>
      <c r="X689" s="2">
        <v>21.77</v>
      </c>
      <c r="Y689" s="2">
        <v>20.47</v>
      </c>
      <c r="Z689" s="2">
        <v>22.64</v>
      </c>
      <c r="AA689" s="2">
        <v>17.489999999999998</v>
      </c>
      <c r="AB689" s="2">
        <v>10.76</v>
      </c>
      <c r="AC689" s="2">
        <v>15.3</v>
      </c>
      <c r="AD689" s="2">
        <v>1.17</v>
      </c>
      <c r="AE689" s="2">
        <v>34.21</v>
      </c>
      <c r="AF689" s="2">
        <v>73.05</v>
      </c>
      <c r="AG689" s="2">
        <v>9.8800000000000008</v>
      </c>
      <c r="AH689" s="4">
        <f t="shared" si="10"/>
        <v>782.69</v>
      </c>
    </row>
    <row r="690" spans="1:34" x14ac:dyDescent="0.2">
      <c r="A690" s="3">
        <v>28914</v>
      </c>
      <c r="B690" s="2">
        <v>0.42</v>
      </c>
      <c r="C690" s="2">
        <v>27.85</v>
      </c>
      <c r="D690" s="2">
        <v>20.96</v>
      </c>
      <c r="E690" s="2">
        <v>46.49</v>
      </c>
      <c r="F690" s="2">
        <v>41.4</v>
      </c>
      <c r="G690" s="2">
        <v>78.510000000000005</v>
      </c>
      <c r="H690" s="2">
        <v>24.29</v>
      </c>
      <c r="I690" s="2">
        <v>47.84</v>
      </c>
      <c r="J690" s="2">
        <v>45.85</v>
      </c>
      <c r="K690" s="2">
        <v>20.059999999999999</v>
      </c>
      <c r="L690" s="2">
        <v>26.13</v>
      </c>
      <c r="M690" s="2">
        <v>19.89</v>
      </c>
      <c r="N690" s="2">
        <v>49.83</v>
      </c>
      <c r="O690" s="2">
        <v>18.190000000000001</v>
      </c>
      <c r="P690" s="2">
        <v>21.02</v>
      </c>
      <c r="Q690" s="2">
        <v>4.8099999999999996</v>
      </c>
      <c r="R690" s="2">
        <v>12.14</v>
      </c>
      <c r="S690" s="2">
        <v>22.02</v>
      </c>
      <c r="T690" s="2">
        <v>30.83</v>
      </c>
      <c r="U690" s="2">
        <v>8.75</v>
      </c>
      <c r="V690" s="2">
        <v>20.239999999999998</v>
      </c>
      <c r="W690" s="2">
        <v>0</v>
      </c>
      <c r="X690" s="2">
        <v>13.26</v>
      </c>
      <c r="Y690" s="2">
        <v>13.35</v>
      </c>
      <c r="Z690" s="2">
        <v>6.13</v>
      </c>
      <c r="AA690" s="2">
        <v>11.04</v>
      </c>
      <c r="AB690" s="2">
        <v>6.15</v>
      </c>
      <c r="AC690" s="2">
        <v>9.61</v>
      </c>
      <c r="AD690" s="2">
        <v>1.52</v>
      </c>
      <c r="AE690" s="2">
        <v>29.92</v>
      </c>
      <c r="AF690" s="2">
        <v>60.9</v>
      </c>
      <c r="AG690" s="2">
        <v>10.08</v>
      </c>
      <c r="AH690" s="4">
        <f t="shared" si="10"/>
        <v>587.52</v>
      </c>
    </row>
    <row r="691" spans="1:34" x14ac:dyDescent="0.2">
      <c r="A691" s="3">
        <v>28945</v>
      </c>
      <c r="B691" s="2">
        <v>2.5299999999999998</v>
      </c>
      <c r="C691" s="2">
        <v>27.11</v>
      </c>
      <c r="D691" s="2">
        <v>-5.81</v>
      </c>
      <c r="E691" s="2">
        <v>-9.4600000000000009</v>
      </c>
      <c r="F691" s="2">
        <v>4.13</v>
      </c>
      <c r="G691" s="2">
        <v>8.5399999999999991</v>
      </c>
      <c r="H691" s="2">
        <v>13.75</v>
      </c>
      <c r="I691" s="2">
        <v>46.71</v>
      </c>
      <c r="J691" s="2">
        <v>13.73</v>
      </c>
      <c r="K691" s="2">
        <v>1.03</v>
      </c>
      <c r="L691" s="2">
        <v>18.34</v>
      </c>
      <c r="M691" s="2">
        <v>7.44</v>
      </c>
      <c r="N691" s="2">
        <v>54.23</v>
      </c>
      <c r="O691" s="2">
        <v>17.100000000000001</v>
      </c>
      <c r="P691" s="2">
        <v>57.99</v>
      </c>
      <c r="Q691" s="2">
        <v>9.32</v>
      </c>
      <c r="R691" s="2">
        <v>11.52</v>
      </c>
      <c r="S691" s="2">
        <v>35.81</v>
      </c>
      <c r="T691" s="2">
        <v>40.229999999999997</v>
      </c>
      <c r="U691" s="2">
        <v>8.93</v>
      </c>
      <c r="V691" s="2">
        <v>31.64</v>
      </c>
      <c r="W691" s="2">
        <v>0</v>
      </c>
      <c r="X691" s="2">
        <v>15.94</v>
      </c>
      <c r="Y691" s="2">
        <v>14.99</v>
      </c>
      <c r="Z691" s="2">
        <v>12.49</v>
      </c>
      <c r="AA691" s="2">
        <v>18.07</v>
      </c>
      <c r="AB691" s="2">
        <v>7.3</v>
      </c>
      <c r="AC691" s="2">
        <v>18.55</v>
      </c>
      <c r="AD691" s="2">
        <v>3.27</v>
      </c>
      <c r="AE691" s="2">
        <v>20.79</v>
      </c>
      <c r="AF691" s="2">
        <v>71.86</v>
      </c>
      <c r="AG691" s="2">
        <v>10.69</v>
      </c>
      <c r="AH691" s="4">
        <f t="shared" si="10"/>
        <v>394.81</v>
      </c>
    </row>
    <row r="692" spans="1:34" x14ac:dyDescent="0.2">
      <c r="A692" s="3">
        <v>28975</v>
      </c>
      <c r="B692" s="2">
        <v>2.52</v>
      </c>
      <c r="C692" s="2">
        <v>24.89</v>
      </c>
      <c r="D692" s="2">
        <v>-9.14</v>
      </c>
      <c r="E692" s="2">
        <v>-39.42</v>
      </c>
      <c r="F692" s="2">
        <v>-11.71</v>
      </c>
      <c r="G692" s="2">
        <v>-26.32</v>
      </c>
      <c r="H692" s="2">
        <v>1.55</v>
      </c>
      <c r="I692" s="2">
        <v>40.619999999999997</v>
      </c>
      <c r="J692" s="2">
        <v>-27.67</v>
      </c>
      <c r="K692" s="2">
        <v>-34.659999999999997</v>
      </c>
      <c r="L692" s="2">
        <v>-38.619999999999997</v>
      </c>
      <c r="M692" s="2">
        <v>-19.89</v>
      </c>
      <c r="N692" s="2">
        <v>34.17</v>
      </c>
      <c r="O692" s="2">
        <v>24.96</v>
      </c>
      <c r="P692" s="2">
        <v>37.200000000000003</v>
      </c>
      <c r="Q692" s="2">
        <v>12.77</v>
      </c>
      <c r="R692" s="2">
        <v>22.52</v>
      </c>
      <c r="S692" s="2">
        <v>14</v>
      </c>
      <c r="T692" s="2">
        <v>17.420000000000002</v>
      </c>
      <c r="U692" s="2">
        <v>9.0299999999999994</v>
      </c>
      <c r="V692" s="2">
        <v>25.15</v>
      </c>
      <c r="W692" s="2">
        <v>0</v>
      </c>
      <c r="X692" s="2">
        <v>19.649999999999999</v>
      </c>
      <c r="Y692" s="2">
        <v>18.989999999999998</v>
      </c>
      <c r="Z692" s="2">
        <v>0</v>
      </c>
      <c r="AA692" s="2">
        <v>0</v>
      </c>
      <c r="AB692" s="2">
        <v>0</v>
      </c>
      <c r="AC692" s="2">
        <v>0</v>
      </c>
      <c r="AD692" s="2">
        <v>4.01</v>
      </c>
      <c r="AE692" s="2">
        <v>9.8800000000000008</v>
      </c>
      <c r="AF692" s="2">
        <v>88.92</v>
      </c>
      <c r="AG692" s="2">
        <v>14.64</v>
      </c>
      <c r="AH692" s="4">
        <f t="shared" si="10"/>
        <v>59.369999999999976</v>
      </c>
    </row>
    <row r="693" spans="1:34" x14ac:dyDescent="0.2">
      <c r="A693" s="3">
        <v>29006</v>
      </c>
      <c r="B693" s="2">
        <v>2.35</v>
      </c>
      <c r="C693" s="2">
        <v>25.7</v>
      </c>
      <c r="D693" s="2">
        <v>-9.33</v>
      </c>
      <c r="E693" s="2">
        <v>1.1599999999999999</v>
      </c>
      <c r="F693" s="2">
        <v>6.42</v>
      </c>
      <c r="G693" s="2">
        <v>-10.63</v>
      </c>
      <c r="H693" s="2">
        <v>9.3800000000000008</v>
      </c>
      <c r="I693" s="2">
        <v>39.5</v>
      </c>
      <c r="J693" s="2">
        <v>-5.12</v>
      </c>
      <c r="K693" s="2">
        <v>-10.7</v>
      </c>
      <c r="L693" s="2">
        <v>2.2200000000000002</v>
      </c>
      <c r="M693" s="2">
        <v>-3.41</v>
      </c>
      <c r="N693" s="2">
        <v>45.67</v>
      </c>
      <c r="O693" s="2">
        <v>36.5</v>
      </c>
      <c r="P693" s="2">
        <v>81.58</v>
      </c>
      <c r="Q693" s="2">
        <v>8.5399999999999991</v>
      </c>
      <c r="R693" s="2">
        <v>20.63</v>
      </c>
      <c r="S693" s="2">
        <v>22.88</v>
      </c>
      <c r="T693" s="2">
        <v>37.79</v>
      </c>
      <c r="U693" s="2">
        <v>13.72</v>
      </c>
      <c r="V693" s="2">
        <v>33.61</v>
      </c>
      <c r="W693" s="2">
        <v>4.88</v>
      </c>
      <c r="X693" s="2">
        <v>24.53</v>
      </c>
      <c r="Y693" s="2">
        <v>23.21</v>
      </c>
      <c r="Z693" s="2">
        <v>0</v>
      </c>
      <c r="AA693" s="2">
        <v>4.3499999999999996</v>
      </c>
      <c r="AB693" s="2">
        <v>2.69</v>
      </c>
      <c r="AC693" s="2">
        <v>0</v>
      </c>
      <c r="AD693" s="2">
        <v>6.55</v>
      </c>
      <c r="AE693" s="2">
        <v>0.93</v>
      </c>
      <c r="AF693" s="2">
        <v>100.42</v>
      </c>
      <c r="AG693" s="2">
        <v>17.690000000000001</v>
      </c>
      <c r="AH693" s="4">
        <f t="shared" si="10"/>
        <v>348.46000000000009</v>
      </c>
    </row>
    <row r="694" spans="1:34" x14ac:dyDescent="0.2">
      <c r="A694" s="3">
        <v>29036</v>
      </c>
      <c r="B694" s="2">
        <v>1.26</v>
      </c>
      <c r="C694" s="2">
        <v>23.66</v>
      </c>
      <c r="D694" s="2">
        <v>-13.44</v>
      </c>
      <c r="E694" s="2">
        <v>-10.199999999999999</v>
      </c>
      <c r="F694" s="2">
        <v>8.48</v>
      </c>
      <c r="G694" s="2">
        <v>-1.1499999999999999</v>
      </c>
      <c r="H694" s="2">
        <v>12.82</v>
      </c>
      <c r="I694" s="2">
        <v>39.619999999999997</v>
      </c>
      <c r="J694" s="2">
        <v>-14.49</v>
      </c>
      <c r="K694" s="2">
        <v>7.79</v>
      </c>
      <c r="L694" s="2">
        <v>-3.74</v>
      </c>
      <c r="M694" s="2">
        <v>9.76</v>
      </c>
      <c r="N694" s="2">
        <v>40.659999999999997</v>
      </c>
      <c r="O694" s="2">
        <v>38.9</v>
      </c>
      <c r="P694" s="2">
        <v>96.71</v>
      </c>
      <c r="Q694" s="2">
        <v>14.95</v>
      </c>
      <c r="R694" s="2">
        <v>22.27</v>
      </c>
      <c r="S694" s="2">
        <v>21.18</v>
      </c>
      <c r="T694" s="2">
        <v>81.55</v>
      </c>
      <c r="U694" s="2">
        <v>11.82</v>
      </c>
      <c r="V694" s="2">
        <v>41.73</v>
      </c>
      <c r="W694" s="2">
        <v>18.62</v>
      </c>
      <c r="X694" s="2">
        <v>31.43</v>
      </c>
      <c r="Y694" s="2">
        <v>30.8</v>
      </c>
      <c r="Z694" s="2">
        <v>0</v>
      </c>
      <c r="AA694" s="2">
        <v>0</v>
      </c>
      <c r="AB694" s="2">
        <v>0</v>
      </c>
      <c r="AC694" s="2">
        <v>0</v>
      </c>
      <c r="AD694" s="2">
        <v>11.16</v>
      </c>
      <c r="AE694" s="2">
        <v>0</v>
      </c>
      <c r="AF694" s="2">
        <v>109.9</v>
      </c>
      <c r="AG694" s="2">
        <v>22.83</v>
      </c>
      <c r="AH694" s="4">
        <f t="shared" si="10"/>
        <v>430.14</v>
      </c>
    </row>
    <row r="695" spans="1:34" x14ac:dyDescent="0.2">
      <c r="A695" s="3">
        <v>29067</v>
      </c>
      <c r="B695" s="2">
        <v>1.56</v>
      </c>
      <c r="C695" s="2">
        <v>27.12</v>
      </c>
      <c r="D695" s="2">
        <v>-7.3</v>
      </c>
      <c r="E695" s="2">
        <v>20.149999999999999</v>
      </c>
      <c r="F695" s="2">
        <v>19.45</v>
      </c>
      <c r="G695" s="2">
        <v>18.54</v>
      </c>
      <c r="H695" s="2">
        <v>18.440000000000001</v>
      </c>
      <c r="I695" s="2">
        <v>42</v>
      </c>
      <c r="J695" s="2">
        <v>-13.39</v>
      </c>
      <c r="K695" s="2">
        <v>2.63</v>
      </c>
      <c r="L695" s="2">
        <v>-7.68</v>
      </c>
      <c r="M695" s="2">
        <v>14.34</v>
      </c>
      <c r="N695" s="2">
        <v>46.79</v>
      </c>
      <c r="O695" s="2">
        <v>49.36</v>
      </c>
      <c r="P695" s="2">
        <v>71</v>
      </c>
      <c r="Q695" s="2">
        <v>14.4</v>
      </c>
      <c r="R695" s="2">
        <v>25.16</v>
      </c>
      <c r="S695" s="2">
        <v>51.04</v>
      </c>
      <c r="T695" s="2">
        <v>55.43</v>
      </c>
      <c r="U695" s="2">
        <v>21.87</v>
      </c>
      <c r="V695" s="2">
        <v>41.84</v>
      </c>
      <c r="W695" s="2">
        <v>30.39</v>
      </c>
      <c r="X695" s="2">
        <v>38.270000000000003</v>
      </c>
      <c r="Y695" s="2">
        <v>38.01</v>
      </c>
      <c r="Z695" s="2">
        <v>0</v>
      </c>
      <c r="AA695" s="2">
        <v>23.51</v>
      </c>
      <c r="AB695" s="2">
        <v>0.77</v>
      </c>
      <c r="AC695" s="2">
        <v>9.75</v>
      </c>
      <c r="AD695" s="2">
        <v>10.84</v>
      </c>
      <c r="AE695" s="2">
        <v>0.65</v>
      </c>
      <c r="AF695" s="2">
        <v>119.68</v>
      </c>
      <c r="AG695" s="2">
        <v>24.8</v>
      </c>
      <c r="AH695" s="4">
        <f t="shared" si="10"/>
        <v>512.75</v>
      </c>
    </row>
    <row r="696" spans="1:34" x14ac:dyDescent="0.2">
      <c r="A696" s="3">
        <v>29098</v>
      </c>
      <c r="B696" s="2">
        <v>-1.05</v>
      </c>
      <c r="C696" s="2">
        <v>25.59</v>
      </c>
      <c r="D696" s="2">
        <v>-10.49</v>
      </c>
      <c r="E696" s="2">
        <v>-12.5</v>
      </c>
      <c r="F696" s="2">
        <v>11.03</v>
      </c>
      <c r="G696" s="2">
        <v>21</v>
      </c>
      <c r="H696" s="2">
        <v>14.62</v>
      </c>
      <c r="I696" s="2">
        <v>43.63</v>
      </c>
      <c r="J696" s="2">
        <v>-1.1299999999999999</v>
      </c>
      <c r="K696" s="2">
        <v>4.4800000000000004</v>
      </c>
      <c r="L696" s="2">
        <v>-2.54</v>
      </c>
      <c r="M696" s="2">
        <v>13.85</v>
      </c>
      <c r="N696" s="2">
        <v>43.27</v>
      </c>
      <c r="O696" s="2">
        <v>42.12</v>
      </c>
      <c r="P696" s="2">
        <v>54.77</v>
      </c>
      <c r="Q696" s="2">
        <v>7.93</v>
      </c>
      <c r="R696" s="2">
        <v>24.27</v>
      </c>
      <c r="S696" s="2">
        <v>46.87</v>
      </c>
      <c r="T696" s="2">
        <v>56.81</v>
      </c>
      <c r="U696" s="2">
        <v>26.1</v>
      </c>
      <c r="V696" s="2">
        <v>42.98</v>
      </c>
      <c r="W696" s="2">
        <v>31.47</v>
      </c>
      <c r="X696" s="2">
        <v>40.92</v>
      </c>
      <c r="Y696" s="2">
        <v>40.799999999999997</v>
      </c>
      <c r="Z696" s="2">
        <v>0</v>
      </c>
      <c r="AA696" s="2">
        <v>6.02</v>
      </c>
      <c r="AB696" s="2">
        <v>0</v>
      </c>
      <c r="AC696" s="2">
        <v>21.93</v>
      </c>
      <c r="AD696" s="2">
        <v>7.59</v>
      </c>
      <c r="AE696" s="2">
        <v>0</v>
      </c>
      <c r="AF696" s="2">
        <v>121.71</v>
      </c>
      <c r="AG696" s="2">
        <v>23.65</v>
      </c>
      <c r="AH696" s="4">
        <f t="shared" si="10"/>
        <v>451.61000000000007</v>
      </c>
    </row>
    <row r="697" spans="1:34" x14ac:dyDescent="0.2">
      <c r="A697" s="3">
        <v>29128</v>
      </c>
      <c r="B697" s="2">
        <v>-4.54</v>
      </c>
      <c r="C697" s="2">
        <v>20.7</v>
      </c>
      <c r="D697" s="2">
        <v>-7.86</v>
      </c>
      <c r="E697" s="2">
        <v>-26.89</v>
      </c>
      <c r="F697" s="2">
        <v>-1.55</v>
      </c>
      <c r="G697" s="2">
        <v>7.01</v>
      </c>
      <c r="H697" s="2">
        <v>15.75</v>
      </c>
      <c r="I697" s="2">
        <v>50.49</v>
      </c>
      <c r="J697" s="2">
        <v>9.43</v>
      </c>
      <c r="K697" s="2">
        <v>-0.06</v>
      </c>
      <c r="L697" s="2">
        <v>-0.56000000000000005</v>
      </c>
      <c r="M697" s="2">
        <v>12.09</v>
      </c>
      <c r="N697" s="2">
        <v>45.88</v>
      </c>
      <c r="O697" s="2">
        <v>24.7</v>
      </c>
      <c r="P697" s="2">
        <v>31.98</v>
      </c>
      <c r="Q697" s="2">
        <v>11.15</v>
      </c>
      <c r="R697" s="2">
        <v>23.13</v>
      </c>
      <c r="S697" s="2">
        <v>8.4499999999999993</v>
      </c>
      <c r="T697" s="2">
        <v>16.739999999999998</v>
      </c>
      <c r="U697" s="2">
        <v>11.31</v>
      </c>
      <c r="V697" s="2">
        <v>22.87</v>
      </c>
      <c r="W697" s="2">
        <v>26.1</v>
      </c>
      <c r="X697" s="2">
        <v>38.5</v>
      </c>
      <c r="Y697" s="2">
        <v>38.17</v>
      </c>
      <c r="Z697" s="2">
        <v>0</v>
      </c>
      <c r="AA697" s="2">
        <v>0</v>
      </c>
      <c r="AB697" s="2">
        <v>3.59</v>
      </c>
      <c r="AC697" s="2">
        <v>2.17</v>
      </c>
      <c r="AD697" s="2">
        <v>5.63</v>
      </c>
      <c r="AE697" s="2">
        <v>0</v>
      </c>
      <c r="AF697" s="2">
        <v>113.37</v>
      </c>
      <c r="AG697" s="2">
        <v>20.170000000000002</v>
      </c>
      <c r="AH697" s="4">
        <f t="shared" si="10"/>
        <v>270.21999999999997</v>
      </c>
    </row>
    <row r="698" spans="1:34" x14ac:dyDescent="0.2">
      <c r="A698" s="3">
        <v>29159</v>
      </c>
      <c r="B698" s="2">
        <v>-2.61</v>
      </c>
      <c r="C698" s="2">
        <v>19.649999999999999</v>
      </c>
      <c r="D698" s="2">
        <v>-0.41</v>
      </c>
      <c r="E698" s="2">
        <v>2.75</v>
      </c>
      <c r="F698" s="2">
        <v>6.7</v>
      </c>
      <c r="G698" s="2">
        <v>22.47</v>
      </c>
      <c r="H698" s="2">
        <v>15.7</v>
      </c>
      <c r="I698" s="2">
        <v>45.11</v>
      </c>
      <c r="J698" s="2">
        <v>15.73</v>
      </c>
      <c r="K698" s="2">
        <v>4.82</v>
      </c>
      <c r="L698" s="2">
        <v>14.67</v>
      </c>
      <c r="M698" s="2">
        <v>18.97</v>
      </c>
      <c r="N698" s="2">
        <v>28.23</v>
      </c>
      <c r="O698" s="2">
        <v>17.73</v>
      </c>
      <c r="P698" s="2">
        <v>64.540000000000006</v>
      </c>
      <c r="Q698" s="2">
        <v>1.94</v>
      </c>
      <c r="R698" s="2">
        <v>10.48</v>
      </c>
      <c r="S698" s="2">
        <v>-2.94</v>
      </c>
      <c r="T698" s="2">
        <v>30.25</v>
      </c>
      <c r="U698" s="2">
        <v>3.06</v>
      </c>
      <c r="V698" s="2">
        <v>15.19</v>
      </c>
      <c r="W698" s="2">
        <v>22.19</v>
      </c>
      <c r="X698" s="2">
        <v>35.32</v>
      </c>
      <c r="Y698" s="2">
        <v>34.97</v>
      </c>
      <c r="Z698" s="2">
        <v>1.05</v>
      </c>
      <c r="AA698" s="2">
        <v>0</v>
      </c>
      <c r="AB698" s="2">
        <v>0.56000000000000005</v>
      </c>
      <c r="AC698" s="2">
        <v>4.0599999999999996</v>
      </c>
      <c r="AD698" s="2">
        <v>4.72</v>
      </c>
      <c r="AE698" s="2">
        <v>15.19</v>
      </c>
      <c r="AF698" s="2">
        <v>102.83</v>
      </c>
      <c r="AG698" s="2">
        <v>16.420000000000002</v>
      </c>
      <c r="AH698" s="4">
        <f t="shared" si="10"/>
        <v>332.03</v>
      </c>
    </row>
    <row r="699" spans="1:34" x14ac:dyDescent="0.2">
      <c r="A699" s="3">
        <v>29189</v>
      </c>
      <c r="B699" s="2">
        <v>-1.25</v>
      </c>
      <c r="C699" s="2">
        <v>24.46</v>
      </c>
      <c r="D699" s="2">
        <v>15.92</v>
      </c>
      <c r="E699" s="2">
        <v>25.92</v>
      </c>
      <c r="F699" s="2">
        <v>14.76</v>
      </c>
      <c r="G699" s="2">
        <v>31.37</v>
      </c>
      <c r="H699" s="2">
        <v>15.87</v>
      </c>
      <c r="I699" s="2">
        <v>42.55</v>
      </c>
      <c r="J699" s="2">
        <v>15.28</v>
      </c>
      <c r="K699" s="2">
        <v>1.1299999999999999</v>
      </c>
      <c r="L699" s="2">
        <v>2.14</v>
      </c>
      <c r="M699" s="2">
        <v>-0.57999999999999996</v>
      </c>
      <c r="N699" s="2">
        <v>21.86</v>
      </c>
      <c r="O699" s="2">
        <v>22.59</v>
      </c>
      <c r="P699" s="2">
        <v>31.2</v>
      </c>
      <c r="Q699" s="2">
        <v>2.63</v>
      </c>
      <c r="R699" s="2">
        <v>10.41</v>
      </c>
      <c r="S699" s="2">
        <v>2.5099999999999998</v>
      </c>
      <c r="T699" s="2">
        <v>25.49</v>
      </c>
      <c r="U699" s="2">
        <v>8.65</v>
      </c>
      <c r="V699" s="2">
        <v>3.69</v>
      </c>
      <c r="W699" s="2">
        <v>15.43</v>
      </c>
      <c r="X699" s="2">
        <v>23.13</v>
      </c>
      <c r="Y699" s="2">
        <v>21.76</v>
      </c>
      <c r="Z699" s="2">
        <v>0.43</v>
      </c>
      <c r="AA699" s="2">
        <v>0</v>
      </c>
      <c r="AB699" s="2">
        <v>0.62</v>
      </c>
      <c r="AC699" s="2">
        <v>0</v>
      </c>
      <c r="AD699" s="2">
        <v>3.08</v>
      </c>
      <c r="AE699" s="2">
        <v>12.03</v>
      </c>
      <c r="AF699" s="2">
        <v>67.47</v>
      </c>
      <c r="AG699" s="2">
        <v>12.92</v>
      </c>
      <c r="AH699" s="4">
        <f t="shared" si="10"/>
        <v>316.60000000000002</v>
      </c>
    </row>
    <row r="700" spans="1:34" x14ac:dyDescent="0.2">
      <c r="A700" s="3">
        <v>29220</v>
      </c>
      <c r="B700" s="2">
        <v>1.27</v>
      </c>
      <c r="C700" s="2">
        <v>26.66</v>
      </c>
      <c r="D700" s="2">
        <v>32.78</v>
      </c>
      <c r="E700" s="2">
        <v>58.25</v>
      </c>
      <c r="F700" s="2">
        <v>45.15</v>
      </c>
      <c r="G700" s="2">
        <v>72.61</v>
      </c>
      <c r="H700" s="2">
        <v>25.92</v>
      </c>
      <c r="I700" s="2">
        <v>42.46</v>
      </c>
      <c r="J700" s="2">
        <v>27.23</v>
      </c>
      <c r="K700" s="2">
        <v>14.37</v>
      </c>
      <c r="L700" s="2">
        <v>19.350000000000001</v>
      </c>
      <c r="M700" s="2">
        <v>8.44</v>
      </c>
      <c r="N700" s="2">
        <v>25.68</v>
      </c>
      <c r="O700" s="2">
        <v>27.72</v>
      </c>
      <c r="P700" s="2">
        <v>33.729999999999997</v>
      </c>
      <c r="Q700" s="2">
        <v>1.83</v>
      </c>
      <c r="R700" s="2">
        <v>9.85</v>
      </c>
      <c r="S700" s="2">
        <v>-0.9</v>
      </c>
      <c r="T700" s="2">
        <v>24.99</v>
      </c>
      <c r="U700" s="2">
        <v>7.8</v>
      </c>
      <c r="V700" s="2">
        <v>2.46</v>
      </c>
      <c r="W700" s="2">
        <v>11.73</v>
      </c>
      <c r="X700" s="2">
        <v>20.02</v>
      </c>
      <c r="Y700" s="2">
        <v>19.88</v>
      </c>
      <c r="Z700" s="2">
        <v>0.53</v>
      </c>
      <c r="AA700" s="2">
        <v>0.52</v>
      </c>
      <c r="AB700" s="2">
        <v>0.06</v>
      </c>
      <c r="AC700" s="2">
        <v>0.27</v>
      </c>
      <c r="AD700" s="2">
        <v>2.76</v>
      </c>
      <c r="AE700" s="2">
        <v>30.76</v>
      </c>
      <c r="AF700" s="2">
        <v>61.99</v>
      </c>
      <c r="AG700" s="2">
        <v>11.2</v>
      </c>
      <c r="AH700" s="4">
        <f t="shared" si="10"/>
        <v>507.65000000000015</v>
      </c>
    </row>
    <row r="701" spans="1:34" x14ac:dyDescent="0.2">
      <c r="A701" s="3">
        <v>29251</v>
      </c>
      <c r="B701" s="2">
        <v>8.25</v>
      </c>
      <c r="C701" s="2">
        <v>40</v>
      </c>
      <c r="D701" s="2">
        <v>52.18</v>
      </c>
      <c r="E701" s="2">
        <v>162.55000000000001</v>
      </c>
      <c r="F701" s="2">
        <v>223.73</v>
      </c>
      <c r="G701" s="2">
        <v>185.08</v>
      </c>
      <c r="H701" s="2">
        <v>33.299999999999997</v>
      </c>
      <c r="I701" s="2">
        <v>60.2</v>
      </c>
      <c r="J701" s="2">
        <v>114.91</v>
      </c>
      <c r="K701" s="2">
        <v>124.19</v>
      </c>
      <c r="L701" s="2">
        <v>98.69</v>
      </c>
      <c r="M701" s="2">
        <v>78.03</v>
      </c>
      <c r="N701" s="2">
        <v>114.01</v>
      </c>
      <c r="O701" s="2">
        <v>20.2</v>
      </c>
      <c r="P701" s="2">
        <v>195.96</v>
      </c>
      <c r="Q701" s="2">
        <v>3.76</v>
      </c>
      <c r="R701" s="2">
        <v>10.39</v>
      </c>
      <c r="S701" s="2">
        <v>84.49</v>
      </c>
      <c r="T701" s="2">
        <v>45.15</v>
      </c>
      <c r="U701" s="2">
        <v>12.64</v>
      </c>
      <c r="V701" s="2">
        <v>32.880000000000003</v>
      </c>
      <c r="W701" s="2">
        <v>4.26</v>
      </c>
      <c r="X701" s="2">
        <v>16.79</v>
      </c>
      <c r="Y701" s="2">
        <v>15.59</v>
      </c>
      <c r="Z701" s="2">
        <v>15.03</v>
      </c>
      <c r="AA701" s="2">
        <v>25.09</v>
      </c>
      <c r="AB701" s="2">
        <v>15.81</v>
      </c>
      <c r="AC701" s="2">
        <v>32.630000000000003</v>
      </c>
      <c r="AD701" s="2">
        <v>2.8</v>
      </c>
      <c r="AE701" s="2">
        <v>24.42</v>
      </c>
      <c r="AF701" s="2">
        <v>67.98</v>
      </c>
      <c r="AG701" s="2">
        <v>9.8800000000000008</v>
      </c>
      <c r="AH701" s="4">
        <f t="shared" si="10"/>
        <v>1700.5900000000006</v>
      </c>
    </row>
    <row r="702" spans="1:34" x14ac:dyDescent="0.2">
      <c r="A702" s="3">
        <v>29280</v>
      </c>
      <c r="B702" s="2">
        <v>13.2</v>
      </c>
      <c r="C702" s="2">
        <v>52.99</v>
      </c>
      <c r="D702" s="2">
        <v>74.94</v>
      </c>
      <c r="E702" s="2">
        <v>162.61000000000001</v>
      </c>
      <c r="F702" s="2">
        <v>90.79</v>
      </c>
      <c r="G702" s="2">
        <v>148.4</v>
      </c>
      <c r="H702" s="2">
        <v>31.48</v>
      </c>
      <c r="I702" s="2">
        <v>58.84</v>
      </c>
      <c r="J702" s="2">
        <v>70.489999999999995</v>
      </c>
      <c r="K702" s="2">
        <v>43.87</v>
      </c>
      <c r="L702" s="2">
        <v>27.58</v>
      </c>
      <c r="M702" s="2">
        <v>28.53</v>
      </c>
      <c r="N702" s="2">
        <v>95.02</v>
      </c>
      <c r="O702" s="2">
        <v>23.64</v>
      </c>
      <c r="P702" s="2">
        <v>152.96</v>
      </c>
      <c r="Q702" s="2">
        <v>7.04</v>
      </c>
      <c r="R702" s="2">
        <v>15.04</v>
      </c>
      <c r="S702" s="2">
        <v>87.7</v>
      </c>
      <c r="T702" s="2">
        <v>46.94</v>
      </c>
      <c r="U702" s="2">
        <v>13.08</v>
      </c>
      <c r="V702" s="2">
        <v>21.82</v>
      </c>
      <c r="W702" s="2">
        <v>0</v>
      </c>
      <c r="X702" s="2">
        <v>9.1199999999999992</v>
      </c>
      <c r="Y702" s="2">
        <v>9.32</v>
      </c>
      <c r="Z702" s="2">
        <v>30.72</v>
      </c>
      <c r="AA702" s="2">
        <v>56.35</v>
      </c>
      <c r="AB702" s="2">
        <v>22.14</v>
      </c>
      <c r="AC702" s="2">
        <v>38.18</v>
      </c>
      <c r="AD702" s="2">
        <v>2.89</v>
      </c>
      <c r="AE702" s="2">
        <v>54.07</v>
      </c>
      <c r="AF702" s="2">
        <v>56.67</v>
      </c>
      <c r="AG702" s="2">
        <v>10.08</v>
      </c>
      <c r="AH702" s="4">
        <f t="shared" si="10"/>
        <v>1266.96</v>
      </c>
    </row>
    <row r="703" spans="1:34" x14ac:dyDescent="0.2">
      <c r="A703" s="3">
        <v>29311</v>
      </c>
      <c r="B703" s="2">
        <v>11.28</v>
      </c>
      <c r="C703" s="2">
        <v>35.53</v>
      </c>
      <c r="D703" s="2">
        <v>-18.36</v>
      </c>
      <c r="E703" s="2">
        <v>-70.2</v>
      </c>
      <c r="F703" s="2">
        <v>-56.41</v>
      </c>
      <c r="G703" s="2">
        <v>-19.27</v>
      </c>
      <c r="H703" s="2">
        <v>12.44</v>
      </c>
      <c r="I703" s="2">
        <v>54.97</v>
      </c>
      <c r="J703" s="2">
        <v>7.11</v>
      </c>
      <c r="K703" s="2">
        <v>0.49</v>
      </c>
      <c r="L703" s="2">
        <v>13.68</v>
      </c>
      <c r="M703" s="2">
        <v>11.8</v>
      </c>
      <c r="N703" s="2">
        <v>63.86</v>
      </c>
      <c r="O703" s="2">
        <v>26.83</v>
      </c>
      <c r="P703" s="2">
        <v>110.07</v>
      </c>
      <c r="Q703" s="2">
        <v>15.89</v>
      </c>
      <c r="R703" s="2">
        <v>12.77</v>
      </c>
      <c r="S703" s="2">
        <v>44.31</v>
      </c>
      <c r="T703" s="2">
        <v>79.67</v>
      </c>
      <c r="U703" s="2">
        <v>12.96</v>
      </c>
      <c r="V703" s="2">
        <v>31.82</v>
      </c>
      <c r="W703" s="2">
        <v>0</v>
      </c>
      <c r="X703" s="2">
        <v>11.06</v>
      </c>
      <c r="Y703" s="2">
        <v>10.210000000000001</v>
      </c>
      <c r="Z703" s="2">
        <v>14.45</v>
      </c>
      <c r="AA703" s="2">
        <v>11.9</v>
      </c>
      <c r="AB703" s="2">
        <v>2.6</v>
      </c>
      <c r="AC703" s="2">
        <v>18.41</v>
      </c>
      <c r="AD703" s="2">
        <v>4.72</v>
      </c>
      <c r="AE703" s="2">
        <v>19.2</v>
      </c>
      <c r="AF703" s="2">
        <v>66.87</v>
      </c>
      <c r="AG703" s="2">
        <v>10.69</v>
      </c>
      <c r="AH703" s="4">
        <f t="shared" si="10"/>
        <v>381.23999999999995</v>
      </c>
    </row>
    <row r="704" spans="1:34" x14ac:dyDescent="0.2">
      <c r="A704" s="3">
        <v>29341</v>
      </c>
      <c r="B704" s="2">
        <v>1.71</v>
      </c>
      <c r="C704" s="2">
        <v>29.02</v>
      </c>
      <c r="D704" s="2">
        <v>-30.47</v>
      </c>
      <c r="E704" s="2">
        <v>-106.3</v>
      </c>
      <c r="F704" s="2">
        <v>-61.73</v>
      </c>
      <c r="G704" s="2">
        <v>-94.57</v>
      </c>
      <c r="H704" s="2">
        <v>-5.18</v>
      </c>
      <c r="I704" s="2">
        <v>46.24</v>
      </c>
      <c r="J704" s="2">
        <v>-25.59</v>
      </c>
      <c r="K704" s="2">
        <v>-46</v>
      </c>
      <c r="L704" s="2">
        <v>-12.52</v>
      </c>
      <c r="M704" s="2">
        <v>-29.45</v>
      </c>
      <c r="N704" s="2">
        <v>33.81</v>
      </c>
      <c r="O704" s="2">
        <v>33.33</v>
      </c>
      <c r="P704" s="2">
        <v>78.260000000000005</v>
      </c>
      <c r="Q704" s="2">
        <v>14.81</v>
      </c>
      <c r="R704" s="2">
        <v>16.64</v>
      </c>
      <c r="S704" s="2">
        <v>7.6</v>
      </c>
      <c r="T704" s="2">
        <v>65.22</v>
      </c>
      <c r="U704" s="2">
        <v>20.09</v>
      </c>
      <c r="V704" s="2">
        <v>32.159999999999997</v>
      </c>
      <c r="W704" s="2">
        <v>0</v>
      </c>
      <c r="X704" s="2">
        <v>13.6</v>
      </c>
      <c r="Y704" s="2">
        <v>13.07</v>
      </c>
      <c r="Z704" s="2">
        <v>0.48</v>
      </c>
      <c r="AA704" s="2">
        <v>0.56999999999999995</v>
      </c>
      <c r="AB704" s="2">
        <v>4.74</v>
      </c>
      <c r="AC704" s="2">
        <v>0</v>
      </c>
      <c r="AD704" s="2">
        <v>5.41</v>
      </c>
      <c r="AE704" s="2">
        <v>17.62</v>
      </c>
      <c r="AF704" s="2">
        <v>82.74</v>
      </c>
      <c r="AG704" s="2">
        <v>14.64</v>
      </c>
      <c r="AH704" s="4">
        <f t="shared" si="10"/>
        <v>-32.920000000000016</v>
      </c>
    </row>
    <row r="705" spans="1:34" x14ac:dyDescent="0.2">
      <c r="A705" s="3">
        <v>29372</v>
      </c>
      <c r="B705" s="2">
        <v>1.33</v>
      </c>
      <c r="C705" s="2">
        <v>31.3</v>
      </c>
      <c r="D705" s="2">
        <v>-21.63</v>
      </c>
      <c r="E705" s="2">
        <v>-51.46</v>
      </c>
      <c r="F705" s="2">
        <v>-24.41</v>
      </c>
      <c r="G705" s="2">
        <v>-50.73</v>
      </c>
      <c r="H705" s="2">
        <v>2.67</v>
      </c>
      <c r="I705" s="2">
        <v>45.13</v>
      </c>
      <c r="J705" s="2">
        <v>-7.5</v>
      </c>
      <c r="K705" s="2">
        <v>-6.61</v>
      </c>
      <c r="L705" s="2">
        <v>4.3499999999999996</v>
      </c>
      <c r="M705" s="2">
        <v>4.28</v>
      </c>
      <c r="N705" s="2">
        <v>43.08</v>
      </c>
      <c r="O705" s="2">
        <v>30.69</v>
      </c>
      <c r="P705" s="2">
        <v>71.36</v>
      </c>
      <c r="Q705" s="2">
        <v>12.9</v>
      </c>
      <c r="R705" s="2">
        <v>19.190000000000001</v>
      </c>
      <c r="S705" s="2">
        <v>10.76</v>
      </c>
      <c r="T705" s="2">
        <v>61.44</v>
      </c>
      <c r="U705" s="2">
        <v>11.02</v>
      </c>
      <c r="V705" s="2">
        <v>38.81</v>
      </c>
      <c r="W705" s="2">
        <v>4.88</v>
      </c>
      <c r="X705" s="2">
        <v>17.7</v>
      </c>
      <c r="Y705" s="2">
        <v>16.510000000000002</v>
      </c>
      <c r="Z705" s="2">
        <v>3.16</v>
      </c>
      <c r="AA705" s="2">
        <v>0.43</v>
      </c>
      <c r="AB705" s="2">
        <v>0.45</v>
      </c>
      <c r="AC705" s="2">
        <v>0</v>
      </c>
      <c r="AD705" s="2">
        <v>9.59</v>
      </c>
      <c r="AE705" s="2">
        <v>1.21</v>
      </c>
      <c r="AF705" s="2">
        <v>93.45</v>
      </c>
      <c r="AG705" s="2">
        <v>17.690000000000001</v>
      </c>
      <c r="AH705" s="4">
        <f t="shared" si="10"/>
        <v>225.97000000000003</v>
      </c>
    </row>
    <row r="706" spans="1:34" x14ac:dyDescent="0.2">
      <c r="A706" s="3">
        <v>29402</v>
      </c>
      <c r="B706" s="2">
        <v>3.26</v>
      </c>
      <c r="C706" s="2">
        <v>32.53</v>
      </c>
      <c r="D706" s="2">
        <v>-5.47</v>
      </c>
      <c r="E706" s="2">
        <v>-19.28</v>
      </c>
      <c r="F706" s="2">
        <v>19.510000000000002</v>
      </c>
      <c r="G706" s="2">
        <v>-14.29</v>
      </c>
      <c r="H706" s="2">
        <v>13.7</v>
      </c>
      <c r="I706" s="2">
        <v>40.479999999999997</v>
      </c>
      <c r="J706" s="2">
        <v>-33.96</v>
      </c>
      <c r="K706" s="2">
        <v>-19.059999999999999</v>
      </c>
      <c r="L706" s="2">
        <v>-31.66</v>
      </c>
      <c r="M706" s="2">
        <v>-3.09</v>
      </c>
      <c r="N706" s="2">
        <v>20.190000000000001</v>
      </c>
      <c r="O706" s="2">
        <v>36.299999999999997</v>
      </c>
      <c r="P706" s="2">
        <v>70.290000000000006</v>
      </c>
      <c r="Q706" s="2">
        <v>14.75</v>
      </c>
      <c r="R706" s="2">
        <v>26.35</v>
      </c>
      <c r="S706" s="2">
        <v>24.64</v>
      </c>
      <c r="T706" s="2">
        <v>112.94</v>
      </c>
      <c r="U706" s="2">
        <v>8.89</v>
      </c>
      <c r="V706" s="2">
        <v>46.97</v>
      </c>
      <c r="W706" s="2">
        <v>18.62</v>
      </c>
      <c r="X706" s="2">
        <v>23.95</v>
      </c>
      <c r="Y706" s="2">
        <v>23.5</v>
      </c>
      <c r="Z706" s="2">
        <v>0</v>
      </c>
      <c r="AA706" s="2">
        <v>0</v>
      </c>
      <c r="AB706" s="2">
        <v>0</v>
      </c>
      <c r="AC706" s="2">
        <v>0</v>
      </c>
      <c r="AD706" s="2">
        <v>11.51</v>
      </c>
      <c r="AE706" s="2">
        <v>0</v>
      </c>
      <c r="AF706" s="2">
        <v>102.27</v>
      </c>
      <c r="AG706" s="2">
        <v>22.83</v>
      </c>
      <c r="AH706" s="4">
        <f t="shared" si="10"/>
        <v>343.99</v>
      </c>
    </row>
    <row r="707" spans="1:34" x14ac:dyDescent="0.2">
      <c r="A707" s="3">
        <v>29433</v>
      </c>
      <c r="B707" s="2">
        <v>2.06</v>
      </c>
      <c r="C707" s="2">
        <v>29.65</v>
      </c>
      <c r="D707" s="2">
        <v>-5.01</v>
      </c>
      <c r="E707" s="2">
        <v>-12.24</v>
      </c>
      <c r="F707" s="2">
        <v>7.85</v>
      </c>
      <c r="G707" s="2">
        <v>10.49</v>
      </c>
      <c r="H707" s="2">
        <v>14.77</v>
      </c>
      <c r="I707" s="2">
        <v>45.24</v>
      </c>
      <c r="J707" s="2">
        <v>-26.71</v>
      </c>
      <c r="K707" s="2">
        <v>14.05</v>
      </c>
      <c r="L707" s="2">
        <v>-15.54</v>
      </c>
      <c r="M707" s="2">
        <v>-3.58</v>
      </c>
      <c r="N707" s="2">
        <v>59.68</v>
      </c>
      <c r="O707" s="2">
        <v>52.58</v>
      </c>
      <c r="P707" s="2">
        <v>102.16</v>
      </c>
      <c r="Q707" s="2">
        <v>18.2</v>
      </c>
      <c r="R707" s="2">
        <v>32.130000000000003</v>
      </c>
      <c r="S707" s="2">
        <v>58.94</v>
      </c>
      <c r="T707" s="2">
        <v>102.96</v>
      </c>
      <c r="U707" s="2">
        <v>14.29</v>
      </c>
      <c r="V707" s="2">
        <v>56.67</v>
      </c>
      <c r="W707" s="2">
        <v>30.39</v>
      </c>
      <c r="X707" s="2">
        <v>30.13</v>
      </c>
      <c r="Y707" s="2">
        <v>30.03</v>
      </c>
      <c r="Z707" s="2">
        <v>0</v>
      </c>
      <c r="AA707" s="2">
        <v>1.43</v>
      </c>
      <c r="AB707" s="2">
        <v>0</v>
      </c>
      <c r="AC707" s="2">
        <v>0</v>
      </c>
      <c r="AD707" s="2">
        <v>9.69</v>
      </c>
      <c r="AE707" s="2">
        <v>6.99</v>
      </c>
      <c r="AF707" s="2">
        <v>111.37</v>
      </c>
      <c r="AG707" s="2">
        <v>24.8</v>
      </c>
      <c r="AH707" s="4">
        <f t="shared" ref="AH707:AH770" si="11">SUM(B707:V707)</f>
        <v>558.63999999999987</v>
      </c>
    </row>
    <row r="708" spans="1:34" x14ac:dyDescent="0.2">
      <c r="A708" s="3">
        <v>29464</v>
      </c>
      <c r="B708" s="2">
        <v>0.22</v>
      </c>
      <c r="C708" s="2">
        <v>28.08</v>
      </c>
      <c r="D708" s="2">
        <v>-11.51</v>
      </c>
      <c r="E708" s="2">
        <v>-26.65</v>
      </c>
      <c r="F708" s="2">
        <v>9.98</v>
      </c>
      <c r="G708" s="2">
        <v>19.86</v>
      </c>
      <c r="H708" s="2">
        <v>13.21</v>
      </c>
      <c r="I708" s="2">
        <v>44.94</v>
      </c>
      <c r="J708" s="2">
        <v>-11.45</v>
      </c>
      <c r="K708" s="2">
        <v>-4.42</v>
      </c>
      <c r="L708" s="2">
        <v>-23.24</v>
      </c>
      <c r="M708" s="2">
        <v>4.26</v>
      </c>
      <c r="N708" s="2">
        <v>38.53</v>
      </c>
      <c r="O708" s="2">
        <v>44.29</v>
      </c>
      <c r="P708" s="2">
        <v>80.61</v>
      </c>
      <c r="Q708" s="2">
        <v>13.06</v>
      </c>
      <c r="R708" s="2">
        <v>32.82</v>
      </c>
      <c r="S708" s="2">
        <v>25.38</v>
      </c>
      <c r="T708" s="2">
        <v>81.78</v>
      </c>
      <c r="U708" s="2">
        <v>20</v>
      </c>
      <c r="V708" s="2">
        <v>49.35</v>
      </c>
      <c r="W708" s="2">
        <v>31.47</v>
      </c>
      <c r="X708" s="2">
        <v>32.64</v>
      </c>
      <c r="Y708" s="2">
        <v>32.69</v>
      </c>
      <c r="Z708" s="2">
        <v>0</v>
      </c>
      <c r="AA708" s="2">
        <v>0.17</v>
      </c>
      <c r="AB708" s="2">
        <v>0</v>
      </c>
      <c r="AC708" s="2">
        <v>0</v>
      </c>
      <c r="AD708" s="2">
        <v>6.95</v>
      </c>
      <c r="AE708" s="2">
        <v>0</v>
      </c>
      <c r="AF708" s="2">
        <v>113.26</v>
      </c>
      <c r="AG708" s="2">
        <v>23.65</v>
      </c>
      <c r="AH708" s="4">
        <f t="shared" si="11"/>
        <v>429.1</v>
      </c>
    </row>
    <row r="709" spans="1:34" x14ac:dyDescent="0.2">
      <c r="A709" s="3">
        <v>29494</v>
      </c>
      <c r="B709" s="2">
        <v>-2.02</v>
      </c>
      <c r="C709" s="2">
        <v>24.74</v>
      </c>
      <c r="D709" s="2">
        <v>-5.27</v>
      </c>
      <c r="E709" s="2">
        <v>-27.65</v>
      </c>
      <c r="F709" s="2">
        <v>-1.06</v>
      </c>
      <c r="G709" s="2">
        <v>10.23</v>
      </c>
      <c r="H709" s="2">
        <v>17.07</v>
      </c>
      <c r="I709" s="2">
        <v>53.15</v>
      </c>
      <c r="J709" s="2">
        <v>8.5299999999999994</v>
      </c>
      <c r="K709" s="2">
        <v>-0.52</v>
      </c>
      <c r="L709" s="2">
        <v>6.18</v>
      </c>
      <c r="M709" s="2">
        <v>22.05</v>
      </c>
      <c r="N709" s="2">
        <v>39.47</v>
      </c>
      <c r="O709" s="2">
        <v>26.21</v>
      </c>
      <c r="P709" s="2">
        <v>25.13</v>
      </c>
      <c r="Q709" s="2">
        <v>13.94</v>
      </c>
      <c r="R709" s="2">
        <v>26.62</v>
      </c>
      <c r="S709" s="2">
        <v>21.5</v>
      </c>
      <c r="T709" s="2">
        <v>19.45</v>
      </c>
      <c r="U709" s="2">
        <v>16.440000000000001</v>
      </c>
      <c r="V709" s="2">
        <v>25.16</v>
      </c>
      <c r="W709" s="2">
        <v>26.1</v>
      </c>
      <c r="X709" s="2">
        <v>30.78</v>
      </c>
      <c r="Y709" s="2">
        <v>30.61</v>
      </c>
      <c r="Z709" s="2">
        <v>0</v>
      </c>
      <c r="AA709" s="2">
        <v>0</v>
      </c>
      <c r="AB709" s="2">
        <v>0.28000000000000003</v>
      </c>
      <c r="AC709" s="2">
        <v>0</v>
      </c>
      <c r="AD709" s="2">
        <v>4.97</v>
      </c>
      <c r="AE709" s="2">
        <v>0</v>
      </c>
      <c r="AF709" s="2">
        <v>105.5</v>
      </c>
      <c r="AG709" s="2">
        <v>20.170000000000002</v>
      </c>
      <c r="AH709" s="4">
        <f t="shared" si="11"/>
        <v>319.34999999999997</v>
      </c>
    </row>
    <row r="710" spans="1:34" x14ac:dyDescent="0.2">
      <c r="A710" s="3">
        <v>29525</v>
      </c>
      <c r="B710" s="2">
        <v>-2.73</v>
      </c>
      <c r="C710" s="2">
        <v>21.32</v>
      </c>
      <c r="D710" s="2">
        <v>-7.86</v>
      </c>
      <c r="E710" s="2">
        <v>-29.5</v>
      </c>
      <c r="F710" s="2">
        <v>-2.35</v>
      </c>
      <c r="G710" s="2">
        <v>8.69</v>
      </c>
      <c r="H710" s="2">
        <v>12.51</v>
      </c>
      <c r="I710" s="2">
        <v>48.25</v>
      </c>
      <c r="J710" s="2">
        <v>7.31</v>
      </c>
      <c r="K710" s="2">
        <v>-5.21</v>
      </c>
      <c r="L710" s="2">
        <v>2.6</v>
      </c>
      <c r="M710" s="2">
        <v>9.02</v>
      </c>
      <c r="N710" s="2">
        <v>27.91</v>
      </c>
      <c r="O710" s="2">
        <v>13.8</v>
      </c>
      <c r="P710" s="2">
        <v>53.77</v>
      </c>
      <c r="Q710" s="2">
        <v>-4.5199999999999996</v>
      </c>
      <c r="R710" s="2">
        <v>15.76</v>
      </c>
      <c r="S710" s="2">
        <v>-11.71</v>
      </c>
      <c r="T710" s="2">
        <v>25.04</v>
      </c>
      <c r="U710" s="2">
        <v>5.13</v>
      </c>
      <c r="V710" s="2">
        <v>28.61</v>
      </c>
      <c r="W710" s="2">
        <v>22.19</v>
      </c>
      <c r="X710" s="2">
        <v>28.32</v>
      </c>
      <c r="Y710" s="2">
        <v>28.11</v>
      </c>
      <c r="Z710" s="2">
        <v>0</v>
      </c>
      <c r="AA710" s="2">
        <v>0</v>
      </c>
      <c r="AB710" s="2">
        <v>0</v>
      </c>
      <c r="AC710" s="2">
        <v>1.58</v>
      </c>
      <c r="AD710" s="2">
        <v>2.4500000000000002</v>
      </c>
      <c r="AE710" s="2">
        <v>0.65</v>
      </c>
      <c r="AF710" s="2">
        <v>95.69</v>
      </c>
      <c r="AG710" s="2">
        <v>16.420000000000002</v>
      </c>
      <c r="AH710" s="4">
        <f t="shared" si="11"/>
        <v>215.83999999999997</v>
      </c>
    </row>
    <row r="711" spans="1:34" x14ac:dyDescent="0.2">
      <c r="A711" s="3">
        <v>29555</v>
      </c>
      <c r="B711" s="2">
        <v>-0.56000000000000005</v>
      </c>
      <c r="C711" s="2">
        <v>18.68</v>
      </c>
      <c r="D711" s="2">
        <v>-2.27</v>
      </c>
      <c r="E711" s="2">
        <v>-7.16</v>
      </c>
      <c r="F711" s="2">
        <v>-2.48</v>
      </c>
      <c r="G711" s="2">
        <v>9.91</v>
      </c>
      <c r="H711" s="2">
        <v>13.25</v>
      </c>
      <c r="I711" s="2">
        <v>41.83</v>
      </c>
      <c r="J711" s="2">
        <v>6.19</v>
      </c>
      <c r="K711" s="2">
        <v>0.18</v>
      </c>
      <c r="L711" s="2">
        <v>-1.23</v>
      </c>
      <c r="M711" s="2">
        <v>-2.4500000000000002</v>
      </c>
      <c r="N711" s="2">
        <v>20.07</v>
      </c>
      <c r="O711" s="2">
        <v>25.7</v>
      </c>
      <c r="P711" s="2">
        <v>33.92</v>
      </c>
      <c r="Q711" s="2">
        <v>4.5999999999999996</v>
      </c>
      <c r="R711" s="2">
        <v>12.93</v>
      </c>
      <c r="S711" s="2">
        <v>-2.65</v>
      </c>
      <c r="T711" s="2">
        <v>15.94</v>
      </c>
      <c r="U711" s="2">
        <v>9.7200000000000006</v>
      </c>
      <c r="V711" s="2">
        <v>19.100000000000001</v>
      </c>
      <c r="W711" s="2">
        <v>15.43</v>
      </c>
      <c r="X711" s="2">
        <v>18.55</v>
      </c>
      <c r="Y711" s="2">
        <v>17.3</v>
      </c>
      <c r="Z711" s="2">
        <v>1.24</v>
      </c>
      <c r="AA711" s="2">
        <v>0</v>
      </c>
      <c r="AB711" s="2">
        <v>0.16</v>
      </c>
      <c r="AC711" s="2">
        <v>0.65</v>
      </c>
      <c r="AD711" s="2">
        <v>1.3</v>
      </c>
      <c r="AE711" s="2">
        <v>1.4</v>
      </c>
      <c r="AF711" s="2">
        <v>62.78</v>
      </c>
      <c r="AG711" s="2">
        <v>12.92</v>
      </c>
      <c r="AH711" s="4">
        <f t="shared" si="11"/>
        <v>213.22</v>
      </c>
    </row>
    <row r="712" spans="1:34" x14ac:dyDescent="0.2">
      <c r="A712" s="3">
        <v>29586</v>
      </c>
      <c r="B712" s="2">
        <v>1.59</v>
      </c>
      <c r="C712" s="2">
        <v>25.2</v>
      </c>
      <c r="D712" s="2">
        <v>22.17</v>
      </c>
      <c r="E712" s="2">
        <v>49.73</v>
      </c>
      <c r="F712" s="2">
        <v>22.63</v>
      </c>
      <c r="G712" s="2">
        <v>37.840000000000003</v>
      </c>
      <c r="H712" s="2">
        <v>21.45</v>
      </c>
      <c r="I712" s="2">
        <v>42.38</v>
      </c>
      <c r="J712" s="2">
        <v>13.59</v>
      </c>
      <c r="K712" s="2">
        <v>3.01</v>
      </c>
      <c r="L712" s="2">
        <v>1.73</v>
      </c>
      <c r="M712" s="2">
        <v>4.58</v>
      </c>
      <c r="N712" s="2">
        <v>19.36</v>
      </c>
      <c r="O712" s="2">
        <v>33.5</v>
      </c>
      <c r="P712" s="2">
        <v>29.08</v>
      </c>
      <c r="Q712" s="2">
        <v>2.2599999999999998</v>
      </c>
      <c r="R712" s="2">
        <v>12.39</v>
      </c>
      <c r="S712" s="2">
        <v>1.24</v>
      </c>
      <c r="T712" s="2">
        <v>23.52</v>
      </c>
      <c r="U712" s="2">
        <v>8.7200000000000006</v>
      </c>
      <c r="V712" s="2">
        <v>3.26</v>
      </c>
      <c r="W712" s="2">
        <v>11.73</v>
      </c>
      <c r="X712" s="2">
        <v>15.82</v>
      </c>
      <c r="Y712" s="2">
        <v>15.78</v>
      </c>
      <c r="Z712" s="2">
        <v>0</v>
      </c>
      <c r="AA712" s="2">
        <v>0.28999999999999998</v>
      </c>
      <c r="AB712" s="2">
        <v>1.52</v>
      </c>
      <c r="AC712" s="2">
        <v>0.79</v>
      </c>
      <c r="AD712" s="2">
        <v>1.25</v>
      </c>
      <c r="AE712" s="2">
        <v>13.42</v>
      </c>
      <c r="AF712" s="2">
        <v>57.68</v>
      </c>
      <c r="AG712" s="2">
        <v>11.2</v>
      </c>
      <c r="AH712" s="4">
        <f t="shared" si="11"/>
        <v>379.22999999999996</v>
      </c>
    </row>
    <row r="713" spans="1:34" x14ac:dyDescent="0.2">
      <c r="A713" s="3">
        <v>29617</v>
      </c>
      <c r="B713" s="2">
        <v>-1.68</v>
      </c>
      <c r="C713" s="2">
        <v>26.92</v>
      </c>
      <c r="D713" s="2">
        <v>34.36</v>
      </c>
      <c r="E713" s="2">
        <v>61.76</v>
      </c>
      <c r="F713" s="2">
        <v>42.94</v>
      </c>
      <c r="G713" s="2">
        <v>88.19</v>
      </c>
      <c r="H713" s="2">
        <v>18.16</v>
      </c>
      <c r="I713" s="2">
        <v>43.01</v>
      </c>
      <c r="J713" s="2">
        <v>45.46</v>
      </c>
      <c r="K713" s="2">
        <v>46.99</v>
      </c>
      <c r="L713" s="2">
        <v>19.84</v>
      </c>
      <c r="M713" s="2">
        <v>24.55</v>
      </c>
      <c r="N713" s="2">
        <v>45.7</v>
      </c>
      <c r="O713" s="2">
        <v>21.94</v>
      </c>
      <c r="P713" s="2">
        <v>67.180000000000007</v>
      </c>
      <c r="Q713" s="2">
        <v>-2.0299999999999998</v>
      </c>
      <c r="R713" s="2">
        <v>11.35</v>
      </c>
      <c r="S713" s="2">
        <v>29.84</v>
      </c>
      <c r="T713" s="2">
        <v>25.39</v>
      </c>
      <c r="U713" s="2">
        <v>9.41</v>
      </c>
      <c r="V713" s="2">
        <v>3.89</v>
      </c>
      <c r="W713" s="2">
        <v>4.26</v>
      </c>
      <c r="X713" s="2">
        <v>25.25</v>
      </c>
      <c r="Y713" s="2">
        <v>23.82</v>
      </c>
      <c r="Z713" s="2">
        <v>7.85</v>
      </c>
      <c r="AA713" s="2">
        <v>9.75</v>
      </c>
      <c r="AB713" s="2">
        <v>1.97</v>
      </c>
      <c r="AC713" s="2">
        <v>22.54</v>
      </c>
      <c r="AD713" s="2">
        <v>1.57</v>
      </c>
      <c r="AE713" s="2">
        <v>34.58</v>
      </c>
      <c r="AF713" s="2">
        <v>66.569999999999993</v>
      </c>
      <c r="AG713" s="2">
        <v>9.8800000000000008</v>
      </c>
      <c r="AH713" s="4">
        <f t="shared" si="11"/>
        <v>663.17</v>
      </c>
    </row>
    <row r="714" spans="1:34" x14ac:dyDescent="0.2">
      <c r="A714" s="3">
        <v>29645</v>
      </c>
      <c r="B714" s="2">
        <v>1.61</v>
      </c>
      <c r="C714" s="2">
        <v>25.88</v>
      </c>
      <c r="D714" s="2">
        <v>-8.68</v>
      </c>
      <c r="E714" s="2">
        <v>-22.82</v>
      </c>
      <c r="F714" s="2">
        <v>-8.81</v>
      </c>
      <c r="G714" s="2">
        <v>-3.52</v>
      </c>
      <c r="H714" s="2">
        <v>6.1</v>
      </c>
      <c r="I714" s="2">
        <v>39.56</v>
      </c>
      <c r="J714" s="2">
        <v>-9.56</v>
      </c>
      <c r="K714" s="2">
        <v>-17.28</v>
      </c>
      <c r="L714" s="2">
        <v>-13.98</v>
      </c>
      <c r="M714" s="2">
        <v>-13.25</v>
      </c>
      <c r="N714" s="2">
        <v>8.57</v>
      </c>
      <c r="O714" s="2">
        <v>21.9</v>
      </c>
      <c r="P714" s="2">
        <v>19.46</v>
      </c>
      <c r="Q714" s="2">
        <v>0.08</v>
      </c>
      <c r="R714" s="2">
        <v>11.5</v>
      </c>
      <c r="S714" s="2">
        <v>14.06</v>
      </c>
      <c r="T714" s="2">
        <v>18.63</v>
      </c>
      <c r="U714" s="2">
        <v>9.18</v>
      </c>
      <c r="V714" s="2">
        <v>7.76</v>
      </c>
      <c r="W714" s="2">
        <v>0</v>
      </c>
      <c r="X714" s="2">
        <v>16.14</v>
      </c>
      <c r="Y714" s="2">
        <v>16.04</v>
      </c>
      <c r="Z714" s="2">
        <v>2.78</v>
      </c>
      <c r="AA714" s="2">
        <v>5.3</v>
      </c>
      <c r="AB714" s="2">
        <v>0.67</v>
      </c>
      <c r="AC714" s="2">
        <v>46.08</v>
      </c>
      <c r="AD714" s="2">
        <v>1.81</v>
      </c>
      <c r="AE714" s="2">
        <v>12.12</v>
      </c>
      <c r="AF714" s="2">
        <v>55.49</v>
      </c>
      <c r="AG714" s="2">
        <v>10.08</v>
      </c>
      <c r="AH714" s="4">
        <f t="shared" si="11"/>
        <v>86.39</v>
      </c>
    </row>
    <row r="715" spans="1:34" x14ac:dyDescent="0.2">
      <c r="A715" s="3">
        <v>29676</v>
      </c>
      <c r="B715" s="2">
        <v>7.22</v>
      </c>
      <c r="C715" s="2">
        <v>27.7</v>
      </c>
      <c r="D715" s="2">
        <v>9.6999999999999993</v>
      </c>
      <c r="E715" s="2">
        <v>27.93</v>
      </c>
      <c r="F715" s="2">
        <v>26.13</v>
      </c>
      <c r="G715" s="2">
        <v>41.26</v>
      </c>
      <c r="H715" s="2">
        <v>19.78</v>
      </c>
      <c r="I715" s="2">
        <v>48.27</v>
      </c>
      <c r="J715" s="2">
        <v>24.62</v>
      </c>
      <c r="K715" s="2">
        <v>42.81</v>
      </c>
      <c r="L715" s="2">
        <v>4.12</v>
      </c>
      <c r="M715" s="2">
        <v>13.8</v>
      </c>
      <c r="N715" s="2">
        <v>49.51</v>
      </c>
      <c r="O715" s="2">
        <v>25.88</v>
      </c>
      <c r="P715" s="2">
        <v>91.32</v>
      </c>
      <c r="Q715" s="2">
        <v>-1.24</v>
      </c>
      <c r="R715" s="2">
        <v>6.91</v>
      </c>
      <c r="S715" s="2">
        <v>24.72</v>
      </c>
      <c r="T715" s="2">
        <v>54.09</v>
      </c>
      <c r="U715" s="2">
        <v>8.86</v>
      </c>
      <c r="V715" s="2">
        <v>24.23</v>
      </c>
      <c r="W715" s="2">
        <v>0</v>
      </c>
      <c r="X715" s="2">
        <v>19.34</v>
      </c>
      <c r="Y715" s="2">
        <v>18.260000000000002</v>
      </c>
      <c r="Z715" s="2">
        <v>10.1</v>
      </c>
      <c r="AA715" s="2">
        <v>29.25</v>
      </c>
      <c r="AB715" s="2">
        <v>3.68</v>
      </c>
      <c r="AC715" s="2">
        <v>21.68</v>
      </c>
      <c r="AD715" s="2">
        <v>3.34</v>
      </c>
      <c r="AE715" s="2">
        <v>29.18</v>
      </c>
      <c r="AF715" s="2">
        <v>65.48</v>
      </c>
      <c r="AG715" s="2">
        <v>10.69</v>
      </c>
      <c r="AH715" s="4">
        <f t="shared" si="11"/>
        <v>577.62000000000012</v>
      </c>
    </row>
    <row r="716" spans="1:34" x14ac:dyDescent="0.2">
      <c r="A716" s="3">
        <v>29706</v>
      </c>
      <c r="B716" s="2">
        <v>4.7300000000000004</v>
      </c>
      <c r="C716" s="2">
        <v>19.010000000000002</v>
      </c>
      <c r="D716" s="2">
        <v>-5.29</v>
      </c>
      <c r="E716" s="2">
        <v>-27.78</v>
      </c>
      <c r="F716" s="2">
        <v>3.67</v>
      </c>
      <c r="G716" s="2">
        <v>-21.2</v>
      </c>
      <c r="H716" s="2">
        <v>4.99</v>
      </c>
      <c r="I716" s="2">
        <v>40.08</v>
      </c>
      <c r="J716" s="2">
        <v>-5.84</v>
      </c>
      <c r="K716" s="2">
        <v>-28.72</v>
      </c>
      <c r="L716" s="2">
        <v>9.7899999999999991</v>
      </c>
      <c r="M716" s="2">
        <v>-9.99</v>
      </c>
      <c r="N716" s="2">
        <v>15.35</v>
      </c>
      <c r="O716" s="2">
        <v>31.64</v>
      </c>
      <c r="P716" s="2">
        <v>28.74</v>
      </c>
      <c r="Q716" s="2">
        <v>3.02</v>
      </c>
      <c r="R716" s="2">
        <v>12.05</v>
      </c>
      <c r="S716" s="2">
        <v>3.93</v>
      </c>
      <c r="T716" s="2">
        <v>16.77</v>
      </c>
      <c r="U716" s="2">
        <v>15.2</v>
      </c>
      <c r="V716" s="2">
        <v>13.44</v>
      </c>
      <c r="W716" s="2">
        <v>0</v>
      </c>
      <c r="X716" s="2">
        <v>23.87</v>
      </c>
      <c r="Y716" s="2">
        <v>23.03</v>
      </c>
      <c r="Z716" s="2">
        <v>0.81</v>
      </c>
      <c r="AA716" s="2">
        <v>0</v>
      </c>
      <c r="AB716" s="2">
        <v>2.06</v>
      </c>
      <c r="AC716" s="2">
        <v>0.72</v>
      </c>
      <c r="AD716" s="2">
        <v>4.1500000000000004</v>
      </c>
      <c r="AE716" s="2">
        <v>2.42</v>
      </c>
      <c r="AF716" s="2">
        <v>81.03</v>
      </c>
      <c r="AG716" s="2">
        <v>14.64</v>
      </c>
      <c r="AH716" s="4">
        <f t="shared" si="11"/>
        <v>123.59000000000002</v>
      </c>
    </row>
    <row r="717" spans="1:34" x14ac:dyDescent="0.2">
      <c r="A717" s="3">
        <v>29737</v>
      </c>
      <c r="B717" s="2">
        <v>4.51</v>
      </c>
      <c r="C717" s="2">
        <v>25.88</v>
      </c>
      <c r="D717" s="2">
        <v>-4.2699999999999996</v>
      </c>
      <c r="E717" s="2">
        <v>-7.22</v>
      </c>
      <c r="F717" s="2">
        <v>6.19</v>
      </c>
      <c r="G717" s="2">
        <v>2.56</v>
      </c>
      <c r="H717" s="2">
        <v>10.6</v>
      </c>
      <c r="I717" s="2">
        <v>38.840000000000003</v>
      </c>
      <c r="J717" s="2">
        <v>-11.07</v>
      </c>
      <c r="K717" s="2">
        <v>-13.48</v>
      </c>
      <c r="L717" s="2">
        <v>-8.14</v>
      </c>
      <c r="M717" s="2">
        <v>-1.9</v>
      </c>
      <c r="N717" s="2">
        <v>28.78</v>
      </c>
      <c r="O717" s="2">
        <v>33.71</v>
      </c>
      <c r="P717" s="2">
        <v>51.83</v>
      </c>
      <c r="Q717" s="2">
        <v>-1.79</v>
      </c>
      <c r="R717" s="2">
        <v>15.47</v>
      </c>
      <c r="S717" s="2">
        <v>16.23</v>
      </c>
      <c r="T717" s="2">
        <v>26.58</v>
      </c>
      <c r="U717" s="2">
        <v>10.48</v>
      </c>
      <c r="V717" s="2">
        <v>25.48</v>
      </c>
      <c r="W717" s="2">
        <v>4.88</v>
      </c>
      <c r="X717" s="2">
        <v>29.26</v>
      </c>
      <c r="Y717" s="2">
        <v>27.78</v>
      </c>
      <c r="Z717" s="2">
        <v>0</v>
      </c>
      <c r="AA717" s="2">
        <v>8.89</v>
      </c>
      <c r="AB717" s="2">
        <v>0.86</v>
      </c>
      <c r="AC717" s="2">
        <v>4.74</v>
      </c>
      <c r="AD717" s="2">
        <v>6.39</v>
      </c>
      <c r="AE717" s="2">
        <v>1.86</v>
      </c>
      <c r="AF717" s="2">
        <v>91.5</v>
      </c>
      <c r="AG717" s="2">
        <v>17.690000000000001</v>
      </c>
      <c r="AH717" s="4">
        <f t="shared" si="11"/>
        <v>249.26999999999998</v>
      </c>
    </row>
    <row r="718" spans="1:34" x14ac:dyDescent="0.2">
      <c r="A718" s="3">
        <v>29767</v>
      </c>
      <c r="B718" s="2">
        <v>2.64</v>
      </c>
      <c r="C718" s="2">
        <v>23.35</v>
      </c>
      <c r="D718" s="2">
        <v>-12.72</v>
      </c>
      <c r="E718" s="2">
        <v>-11.21</v>
      </c>
      <c r="F718" s="2">
        <v>11.14</v>
      </c>
      <c r="G718" s="2">
        <v>2.35</v>
      </c>
      <c r="H718" s="2">
        <v>13.73</v>
      </c>
      <c r="I718" s="2">
        <v>36.200000000000003</v>
      </c>
      <c r="J718" s="2">
        <v>-12.2</v>
      </c>
      <c r="K718" s="2">
        <v>5.66</v>
      </c>
      <c r="L718" s="2">
        <v>3.69</v>
      </c>
      <c r="M718" s="2">
        <v>9.99</v>
      </c>
      <c r="N718" s="2">
        <v>43.35</v>
      </c>
      <c r="O718" s="2">
        <v>39.229999999999997</v>
      </c>
      <c r="P718" s="2">
        <v>76.97</v>
      </c>
      <c r="Q718" s="2">
        <v>9.6300000000000008</v>
      </c>
      <c r="R718" s="2">
        <v>20.34</v>
      </c>
      <c r="S718" s="2">
        <v>29.32</v>
      </c>
      <c r="T718" s="2">
        <v>51.58</v>
      </c>
      <c r="U718" s="2">
        <v>9.52</v>
      </c>
      <c r="V718" s="2">
        <v>42</v>
      </c>
      <c r="W718" s="2">
        <v>18.62</v>
      </c>
      <c r="X718" s="2">
        <v>36.619999999999997</v>
      </c>
      <c r="Y718" s="2">
        <v>35.770000000000003</v>
      </c>
      <c r="Z718" s="2">
        <v>0</v>
      </c>
      <c r="AA718" s="2">
        <v>0</v>
      </c>
      <c r="AB718" s="2">
        <v>0</v>
      </c>
      <c r="AC718" s="2">
        <v>0</v>
      </c>
      <c r="AD718" s="2">
        <v>9.7799999999999994</v>
      </c>
      <c r="AE718" s="2">
        <v>0</v>
      </c>
      <c r="AF718" s="2">
        <v>100.14</v>
      </c>
      <c r="AG718" s="2">
        <v>22.83</v>
      </c>
      <c r="AH718" s="4">
        <f t="shared" si="11"/>
        <v>394.55999999999995</v>
      </c>
    </row>
    <row r="719" spans="1:34" x14ac:dyDescent="0.2">
      <c r="A719" s="3">
        <v>29798</v>
      </c>
      <c r="B719" s="2">
        <v>2.72</v>
      </c>
      <c r="C719" s="2">
        <v>21.92</v>
      </c>
      <c r="D719" s="2">
        <v>-10.18</v>
      </c>
      <c r="E719" s="2">
        <v>18.54</v>
      </c>
      <c r="F719" s="2">
        <v>42.36</v>
      </c>
      <c r="G719" s="2">
        <v>21.71</v>
      </c>
      <c r="H719" s="2">
        <v>24.08</v>
      </c>
      <c r="I719" s="2">
        <v>39.83</v>
      </c>
      <c r="J719" s="2">
        <v>-9.6</v>
      </c>
      <c r="K719" s="2">
        <v>1.71</v>
      </c>
      <c r="L719" s="2">
        <v>4.55</v>
      </c>
      <c r="M719" s="2">
        <v>13.75</v>
      </c>
      <c r="N719" s="2">
        <v>60.67</v>
      </c>
      <c r="O719" s="2">
        <v>47.13</v>
      </c>
      <c r="P719" s="2">
        <v>51.06</v>
      </c>
      <c r="Q719" s="2">
        <v>5.97</v>
      </c>
      <c r="R719" s="2">
        <v>16.95</v>
      </c>
      <c r="S719" s="2">
        <v>45.59</v>
      </c>
      <c r="T719" s="2">
        <v>50.11</v>
      </c>
      <c r="U719" s="2">
        <v>21.51</v>
      </c>
      <c r="V719" s="2">
        <v>51.06</v>
      </c>
      <c r="W719" s="2">
        <v>30.39</v>
      </c>
      <c r="X719" s="2">
        <v>43.92</v>
      </c>
      <c r="Y719" s="2">
        <v>43.48</v>
      </c>
      <c r="Z719" s="2">
        <v>0</v>
      </c>
      <c r="AA719" s="2">
        <v>0</v>
      </c>
      <c r="AB719" s="2">
        <v>0</v>
      </c>
      <c r="AC719" s="2">
        <v>0</v>
      </c>
      <c r="AD719" s="2">
        <v>11.34</v>
      </c>
      <c r="AE719" s="2">
        <v>0</v>
      </c>
      <c r="AF719" s="2">
        <v>109.06</v>
      </c>
      <c r="AG719" s="2">
        <v>24.8</v>
      </c>
      <c r="AH719" s="4">
        <f t="shared" si="11"/>
        <v>521.44000000000005</v>
      </c>
    </row>
    <row r="720" spans="1:34" x14ac:dyDescent="0.2">
      <c r="A720" s="3">
        <v>29829</v>
      </c>
      <c r="B720" s="2">
        <v>1.27</v>
      </c>
      <c r="C720" s="2">
        <v>21.48</v>
      </c>
      <c r="D720" s="2">
        <v>-7.15</v>
      </c>
      <c r="E720" s="2">
        <v>-1.45</v>
      </c>
      <c r="F720" s="2">
        <v>1.65</v>
      </c>
      <c r="G720" s="2">
        <v>21.54</v>
      </c>
      <c r="H720" s="2">
        <v>14.97</v>
      </c>
      <c r="I720" s="2">
        <v>38.57</v>
      </c>
      <c r="J720" s="2">
        <v>-2.09</v>
      </c>
      <c r="K720" s="2">
        <v>6.16</v>
      </c>
      <c r="L720" s="2">
        <v>9</v>
      </c>
      <c r="M720" s="2">
        <v>11.09</v>
      </c>
      <c r="N720" s="2">
        <v>54.18</v>
      </c>
      <c r="O720" s="2">
        <v>38.49</v>
      </c>
      <c r="P720" s="2">
        <v>67.73</v>
      </c>
      <c r="Q720" s="2">
        <v>2.31</v>
      </c>
      <c r="R720" s="2">
        <v>16.52</v>
      </c>
      <c r="S720" s="2">
        <v>53.08</v>
      </c>
      <c r="T720" s="2">
        <v>55.99</v>
      </c>
      <c r="U720" s="2">
        <v>24.87</v>
      </c>
      <c r="V720" s="2">
        <v>42.07</v>
      </c>
      <c r="W720" s="2">
        <v>31.47</v>
      </c>
      <c r="X720" s="2">
        <v>46.69</v>
      </c>
      <c r="Y720" s="2">
        <v>46.34</v>
      </c>
      <c r="Z720" s="2">
        <v>0</v>
      </c>
      <c r="AA720" s="2">
        <v>2.96</v>
      </c>
      <c r="AB720" s="2">
        <v>0.06</v>
      </c>
      <c r="AC720" s="2">
        <v>0</v>
      </c>
      <c r="AD720" s="2">
        <v>7.03</v>
      </c>
      <c r="AE720" s="2">
        <v>0</v>
      </c>
      <c r="AF720" s="2">
        <v>110.91</v>
      </c>
      <c r="AG720" s="2">
        <v>23.65</v>
      </c>
      <c r="AH720" s="4">
        <f t="shared" si="11"/>
        <v>470.28</v>
      </c>
    </row>
    <row r="721" spans="1:34" x14ac:dyDescent="0.2">
      <c r="A721" s="3">
        <v>29859</v>
      </c>
      <c r="B721" s="2">
        <v>-2.78</v>
      </c>
      <c r="C721" s="2">
        <v>18.62</v>
      </c>
      <c r="D721" s="2">
        <v>-16.100000000000001</v>
      </c>
      <c r="E721" s="2">
        <v>-31.03</v>
      </c>
      <c r="F721" s="2">
        <v>6.61</v>
      </c>
      <c r="G721" s="2">
        <v>8.6</v>
      </c>
      <c r="H721" s="2">
        <v>16.78</v>
      </c>
      <c r="I721" s="2">
        <v>46.54</v>
      </c>
      <c r="J721" s="2">
        <v>6.71</v>
      </c>
      <c r="K721" s="2">
        <v>-3.35</v>
      </c>
      <c r="L721" s="2">
        <v>0.46</v>
      </c>
      <c r="M721" s="2">
        <v>5.6</v>
      </c>
      <c r="N721" s="2">
        <v>32.380000000000003</v>
      </c>
      <c r="O721" s="2">
        <v>27.02</v>
      </c>
      <c r="P721" s="2">
        <v>34.21</v>
      </c>
      <c r="Q721" s="2">
        <v>6.4</v>
      </c>
      <c r="R721" s="2">
        <v>16.829999999999998</v>
      </c>
      <c r="S721" s="2">
        <v>-2.14</v>
      </c>
      <c r="T721" s="2">
        <v>17.77</v>
      </c>
      <c r="U721" s="2">
        <v>8.75</v>
      </c>
      <c r="V721" s="2">
        <v>17.37</v>
      </c>
      <c r="W721" s="2">
        <v>26.1</v>
      </c>
      <c r="X721" s="2">
        <v>43.89</v>
      </c>
      <c r="Y721" s="2">
        <v>43.35</v>
      </c>
      <c r="Z721" s="2">
        <v>0</v>
      </c>
      <c r="AA721" s="2">
        <v>5.74</v>
      </c>
      <c r="AB721" s="2">
        <v>0</v>
      </c>
      <c r="AC721" s="2">
        <v>0</v>
      </c>
      <c r="AD721" s="2">
        <v>4.17</v>
      </c>
      <c r="AE721" s="2">
        <v>0.19</v>
      </c>
      <c r="AF721" s="2">
        <v>103.31</v>
      </c>
      <c r="AG721" s="2">
        <v>20.170000000000002</v>
      </c>
      <c r="AH721" s="4">
        <f t="shared" si="11"/>
        <v>215.25000000000003</v>
      </c>
    </row>
    <row r="722" spans="1:34" x14ac:dyDescent="0.2">
      <c r="A722" s="3">
        <v>29890</v>
      </c>
      <c r="B722" s="2">
        <v>-2.6</v>
      </c>
      <c r="C722" s="2">
        <v>17.11</v>
      </c>
      <c r="D722" s="2">
        <v>-5.2</v>
      </c>
      <c r="E722" s="2">
        <v>-9.5399999999999991</v>
      </c>
      <c r="F722" s="2">
        <v>10.56</v>
      </c>
      <c r="G722" s="2">
        <v>18.71</v>
      </c>
      <c r="H722" s="2">
        <v>16.239999999999998</v>
      </c>
      <c r="I722" s="2">
        <v>39.89</v>
      </c>
      <c r="J722" s="2">
        <v>12.54</v>
      </c>
      <c r="K722" s="2">
        <v>-5.07</v>
      </c>
      <c r="L722" s="2">
        <v>-0.09</v>
      </c>
      <c r="M722" s="2">
        <v>3.11</v>
      </c>
      <c r="N722" s="2">
        <v>17.29</v>
      </c>
      <c r="O722" s="2">
        <v>17.91</v>
      </c>
      <c r="P722" s="2">
        <v>57.86</v>
      </c>
      <c r="Q722" s="2">
        <v>-0.12</v>
      </c>
      <c r="R722" s="2">
        <v>6.36</v>
      </c>
      <c r="S722" s="2">
        <v>-7.61</v>
      </c>
      <c r="T722" s="2">
        <v>28.85</v>
      </c>
      <c r="U722" s="2">
        <v>1.34</v>
      </c>
      <c r="V722" s="2">
        <v>17.22</v>
      </c>
      <c r="W722" s="2">
        <v>22.19</v>
      </c>
      <c r="X722" s="2">
        <v>40.21</v>
      </c>
      <c r="Y722" s="2">
        <v>39.67</v>
      </c>
      <c r="Z722" s="2">
        <v>6.13</v>
      </c>
      <c r="AA722" s="2">
        <v>0.43</v>
      </c>
      <c r="AB722" s="2">
        <v>0.32</v>
      </c>
      <c r="AC722" s="2">
        <v>0</v>
      </c>
      <c r="AD722" s="2">
        <v>4.83</v>
      </c>
      <c r="AE722" s="2">
        <v>15.85</v>
      </c>
      <c r="AF722" s="2">
        <v>93.7</v>
      </c>
      <c r="AG722" s="2">
        <v>16.420000000000002</v>
      </c>
      <c r="AH722" s="4">
        <f t="shared" si="11"/>
        <v>234.76000000000002</v>
      </c>
    </row>
    <row r="723" spans="1:34" x14ac:dyDescent="0.2">
      <c r="A723" s="3">
        <v>29920</v>
      </c>
      <c r="B723" s="2">
        <v>3.43</v>
      </c>
      <c r="C723" s="2">
        <v>32.270000000000003</v>
      </c>
      <c r="D723" s="2">
        <v>50.31</v>
      </c>
      <c r="E723" s="2">
        <v>126</v>
      </c>
      <c r="F723" s="2">
        <v>118.51</v>
      </c>
      <c r="G723" s="2">
        <v>130.82</v>
      </c>
      <c r="H723" s="2">
        <v>45.36</v>
      </c>
      <c r="I723" s="2">
        <v>49.14</v>
      </c>
      <c r="J723" s="2">
        <v>53.37</v>
      </c>
      <c r="K723" s="2">
        <v>41.33</v>
      </c>
      <c r="L723" s="2">
        <v>14.8</v>
      </c>
      <c r="M723" s="2">
        <v>21.25</v>
      </c>
      <c r="N723" s="2">
        <v>32.340000000000003</v>
      </c>
      <c r="O723" s="2">
        <v>26.21</v>
      </c>
      <c r="P723" s="2">
        <v>35.97</v>
      </c>
      <c r="Q723" s="2">
        <v>0.24</v>
      </c>
      <c r="R723" s="2">
        <v>7.72</v>
      </c>
      <c r="S723" s="2">
        <v>-0.56000000000000005</v>
      </c>
      <c r="T723" s="2">
        <v>24.47</v>
      </c>
      <c r="U723" s="2">
        <v>7.09</v>
      </c>
      <c r="V723" s="2">
        <v>8.9700000000000006</v>
      </c>
      <c r="W723" s="2">
        <v>15.43</v>
      </c>
      <c r="X723" s="2">
        <v>26.25</v>
      </c>
      <c r="Y723" s="2">
        <v>24.74</v>
      </c>
      <c r="Z723" s="2">
        <v>0</v>
      </c>
      <c r="AA723" s="2">
        <v>2.44</v>
      </c>
      <c r="AB723" s="2">
        <v>1.9</v>
      </c>
      <c r="AC723" s="2">
        <v>1.87</v>
      </c>
      <c r="AD723" s="2">
        <v>3.23</v>
      </c>
      <c r="AE723" s="2">
        <v>35.14</v>
      </c>
      <c r="AF723" s="2">
        <v>61.48</v>
      </c>
      <c r="AG723" s="2">
        <v>12.92</v>
      </c>
      <c r="AH723" s="4">
        <f t="shared" si="11"/>
        <v>829.0400000000003</v>
      </c>
    </row>
    <row r="724" spans="1:34" x14ac:dyDescent="0.2">
      <c r="A724" s="3">
        <v>29951</v>
      </c>
      <c r="B724" s="2">
        <v>12.95</v>
      </c>
      <c r="C724" s="2">
        <v>37.520000000000003</v>
      </c>
      <c r="D724" s="2">
        <v>46.3</v>
      </c>
      <c r="E724" s="2">
        <v>147.09</v>
      </c>
      <c r="F724" s="2">
        <v>158.30000000000001</v>
      </c>
      <c r="G724" s="2">
        <v>128.82</v>
      </c>
      <c r="H724" s="2">
        <v>37.950000000000003</v>
      </c>
      <c r="I724" s="2">
        <v>52.17</v>
      </c>
      <c r="J724" s="2">
        <v>38.130000000000003</v>
      </c>
      <c r="K724" s="2">
        <v>3.31</v>
      </c>
      <c r="L724" s="2">
        <v>-0.01</v>
      </c>
      <c r="M724" s="2">
        <v>-1.32</v>
      </c>
      <c r="N724" s="2">
        <v>15.41</v>
      </c>
      <c r="O724" s="2">
        <v>24.13</v>
      </c>
      <c r="P724" s="2">
        <v>45.12</v>
      </c>
      <c r="Q724" s="2">
        <v>0.05</v>
      </c>
      <c r="R724" s="2">
        <v>8.3000000000000007</v>
      </c>
      <c r="S724" s="2">
        <v>3.22</v>
      </c>
      <c r="T724" s="2">
        <v>24.22</v>
      </c>
      <c r="U724" s="2">
        <v>7.8</v>
      </c>
      <c r="V724" s="2">
        <v>5.63</v>
      </c>
      <c r="W724" s="2">
        <v>11.73</v>
      </c>
      <c r="X724" s="2">
        <v>22.89</v>
      </c>
      <c r="Y724" s="2">
        <v>22.6</v>
      </c>
      <c r="Z724" s="2">
        <v>1.91</v>
      </c>
      <c r="AA724" s="2">
        <v>0</v>
      </c>
      <c r="AB724" s="2">
        <v>0.05</v>
      </c>
      <c r="AC724" s="2">
        <v>0</v>
      </c>
      <c r="AD724" s="2">
        <v>3.08</v>
      </c>
      <c r="AE724" s="2">
        <v>14.36</v>
      </c>
      <c r="AF724" s="2">
        <v>56.48</v>
      </c>
      <c r="AG724" s="2">
        <v>11.2</v>
      </c>
      <c r="AH724" s="4">
        <f t="shared" si="11"/>
        <v>795.0899999999998</v>
      </c>
    </row>
    <row r="725" spans="1:34" x14ac:dyDescent="0.2">
      <c r="A725" s="3">
        <v>29982</v>
      </c>
      <c r="B725" s="2">
        <v>6.34</v>
      </c>
      <c r="C725" s="2">
        <v>33.96</v>
      </c>
      <c r="D725" s="2">
        <v>30.45</v>
      </c>
      <c r="E725" s="2">
        <v>17.89</v>
      </c>
      <c r="F725" s="2">
        <v>9.3699999999999992</v>
      </c>
      <c r="G725" s="2">
        <v>98.15</v>
      </c>
      <c r="H725" s="2">
        <v>12.32</v>
      </c>
      <c r="I725" s="2">
        <v>50.37</v>
      </c>
      <c r="J725" s="2">
        <v>46.41</v>
      </c>
      <c r="K725" s="2">
        <v>37.659999999999997</v>
      </c>
      <c r="L725" s="2">
        <v>21.77</v>
      </c>
      <c r="M725" s="2">
        <v>20.68</v>
      </c>
      <c r="N725" s="2">
        <v>39.93</v>
      </c>
      <c r="O725" s="2">
        <v>17.55</v>
      </c>
      <c r="P725" s="2">
        <v>49.65</v>
      </c>
      <c r="Q725" s="2">
        <v>-1.69</v>
      </c>
      <c r="R725" s="2">
        <v>11.18</v>
      </c>
      <c r="S725" s="2">
        <v>9.89</v>
      </c>
      <c r="T725" s="2">
        <v>17.34</v>
      </c>
      <c r="U725" s="2">
        <v>9.09</v>
      </c>
      <c r="V725" s="2">
        <v>8.3000000000000007</v>
      </c>
      <c r="W725" s="2">
        <v>4.26</v>
      </c>
      <c r="X725" s="2">
        <v>26.48</v>
      </c>
      <c r="Y725" s="2">
        <v>25.21</v>
      </c>
      <c r="Z725" s="2">
        <v>7.8</v>
      </c>
      <c r="AA725" s="2">
        <v>4.4400000000000004</v>
      </c>
      <c r="AB725" s="2">
        <v>1.1000000000000001</v>
      </c>
      <c r="AC725" s="2">
        <v>11.77</v>
      </c>
      <c r="AD725" s="2">
        <v>2.86</v>
      </c>
      <c r="AE725" s="2">
        <v>41.58</v>
      </c>
      <c r="AF725" s="2">
        <v>78.56</v>
      </c>
      <c r="AG725" s="2">
        <v>9.8800000000000008</v>
      </c>
      <c r="AH725" s="4">
        <f t="shared" si="11"/>
        <v>546.6099999999999</v>
      </c>
    </row>
    <row r="726" spans="1:34" x14ac:dyDescent="0.2">
      <c r="A726" s="3">
        <v>30010</v>
      </c>
      <c r="B726" s="2">
        <v>13.65</v>
      </c>
      <c r="C726" s="2">
        <v>38.58</v>
      </c>
      <c r="D726" s="2">
        <v>2.98</v>
      </c>
      <c r="E726" s="2">
        <v>36.57</v>
      </c>
      <c r="F726" s="2">
        <v>60.88</v>
      </c>
      <c r="G726" s="2">
        <v>34.71</v>
      </c>
      <c r="H726" s="2">
        <v>20.83</v>
      </c>
      <c r="I726" s="2">
        <v>57.24</v>
      </c>
      <c r="J726" s="2">
        <v>33.049999999999997</v>
      </c>
      <c r="K726" s="2">
        <v>5.71</v>
      </c>
      <c r="L726" s="2">
        <v>32.03</v>
      </c>
      <c r="M726" s="2">
        <v>15.72</v>
      </c>
      <c r="N726" s="2">
        <v>24.14</v>
      </c>
      <c r="O726" s="2">
        <v>22.32</v>
      </c>
      <c r="P726" s="2">
        <v>11.56</v>
      </c>
      <c r="Q726" s="2">
        <v>0.76</v>
      </c>
      <c r="R726" s="2">
        <v>16.91</v>
      </c>
      <c r="S726" s="2">
        <v>-2.93</v>
      </c>
      <c r="T726" s="2">
        <v>1.57</v>
      </c>
      <c r="U726" s="2">
        <v>11.97</v>
      </c>
      <c r="V726" s="2">
        <v>19.87</v>
      </c>
      <c r="W726" s="2">
        <v>0</v>
      </c>
      <c r="X726" s="2">
        <v>17.2</v>
      </c>
      <c r="Y726" s="2">
        <v>17.329999999999998</v>
      </c>
      <c r="Z726" s="2">
        <v>4.3499999999999996</v>
      </c>
      <c r="AA726" s="2">
        <v>7.31</v>
      </c>
      <c r="AB726" s="2">
        <v>0.44</v>
      </c>
      <c r="AC726" s="2">
        <v>4.16</v>
      </c>
      <c r="AD726" s="2">
        <v>2.98</v>
      </c>
      <c r="AE726" s="2">
        <v>15.75</v>
      </c>
      <c r="AF726" s="2">
        <v>65.489999999999995</v>
      </c>
      <c r="AG726" s="2">
        <v>10.08</v>
      </c>
      <c r="AH726" s="4">
        <f t="shared" si="11"/>
        <v>458.12000000000006</v>
      </c>
    </row>
    <row r="727" spans="1:34" x14ac:dyDescent="0.2">
      <c r="A727" s="3">
        <v>30041</v>
      </c>
      <c r="B727" s="2">
        <v>12.87</v>
      </c>
      <c r="C727" s="2">
        <v>35.54</v>
      </c>
      <c r="D727" s="2">
        <v>11.43</v>
      </c>
      <c r="E727" s="2">
        <v>-1.67</v>
      </c>
      <c r="F727" s="2">
        <v>-0.73</v>
      </c>
      <c r="G727" s="2">
        <v>22.9</v>
      </c>
      <c r="H727" s="2">
        <v>28.71</v>
      </c>
      <c r="I727" s="2">
        <v>66.540000000000006</v>
      </c>
      <c r="J727" s="2">
        <v>68.77</v>
      </c>
      <c r="K727" s="2">
        <v>79.239999999999995</v>
      </c>
      <c r="L727" s="2">
        <v>45.42</v>
      </c>
      <c r="M727" s="2">
        <v>56.92</v>
      </c>
      <c r="N727" s="2">
        <v>80.900000000000006</v>
      </c>
      <c r="O727" s="2">
        <v>26.04</v>
      </c>
      <c r="P727" s="2">
        <v>128.13999999999999</v>
      </c>
      <c r="Q727" s="2">
        <v>3.08</v>
      </c>
      <c r="R727" s="2">
        <v>7</v>
      </c>
      <c r="S727" s="2">
        <v>85.97</v>
      </c>
      <c r="T727" s="2">
        <v>74.510000000000005</v>
      </c>
      <c r="U727" s="2">
        <v>7.95</v>
      </c>
      <c r="V727" s="2">
        <v>26.94</v>
      </c>
      <c r="W727" s="2">
        <v>0</v>
      </c>
      <c r="X727" s="2">
        <v>20.59</v>
      </c>
      <c r="Y727" s="2">
        <v>19.670000000000002</v>
      </c>
      <c r="Z727" s="2">
        <v>12.87</v>
      </c>
      <c r="AA727" s="2">
        <v>6.17</v>
      </c>
      <c r="AB727" s="2">
        <v>1.38</v>
      </c>
      <c r="AC727" s="2">
        <v>15.14</v>
      </c>
      <c r="AD727" s="2">
        <v>4.79</v>
      </c>
      <c r="AE727" s="2">
        <v>28.32</v>
      </c>
      <c r="AF727" s="2">
        <v>77.28</v>
      </c>
      <c r="AG727" s="2">
        <v>10.69</v>
      </c>
      <c r="AH727" s="4">
        <f t="shared" si="11"/>
        <v>866.47000000000014</v>
      </c>
    </row>
    <row r="728" spans="1:34" x14ac:dyDescent="0.2">
      <c r="A728" s="3">
        <v>30071</v>
      </c>
      <c r="B728" s="2">
        <v>16</v>
      </c>
      <c r="C728" s="2">
        <v>39.04</v>
      </c>
      <c r="D728" s="2">
        <v>6.86</v>
      </c>
      <c r="E728" s="2">
        <v>33.090000000000003</v>
      </c>
      <c r="F728" s="2">
        <v>116.81</v>
      </c>
      <c r="G728" s="2">
        <v>43.9</v>
      </c>
      <c r="H728" s="2">
        <v>28.51</v>
      </c>
      <c r="I728" s="2">
        <v>70.86</v>
      </c>
      <c r="J728" s="2">
        <v>52.78</v>
      </c>
      <c r="K728" s="2">
        <v>68.959999999999994</v>
      </c>
      <c r="L728" s="2">
        <v>23.28</v>
      </c>
      <c r="M728" s="2">
        <v>53.8</v>
      </c>
      <c r="N728" s="2">
        <v>125.67</v>
      </c>
      <c r="O728" s="2">
        <v>28.71</v>
      </c>
      <c r="P728" s="2">
        <v>129.57</v>
      </c>
      <c r="Q728" s="2">
        <v>16.72</v>
      </c>
      <c r="R728" s="2">
        <v>12.7</v>
      </c>
      <c r="S728" s="2">
        <v>58.61</v>
      </c>
      <c r="T728" s="2">
        <v>31.23</v>
      </c>
      <c r="U728" s="2">
        <v>14.75</v>
      </c>
      <c r="V728" s="2">
        <v>22.2</v>
      </c>
      <c r="W728" s="2">
        <v>0</v>
      </c>
      <c r="X728" s="2">
        <v>25.4</v>
      </c>
      <c r="Y728" s="2">
        <v>24.78</v>
      </c>
      <c r="Z728" s="2">
        <v>11.82</v>
      </c>
      <c r="AA728" s="2">
        <v>0.43</v>
      </c>
      <c r="AB728" s="2">
        <v>1.67</v>
      </c>
      <c r="AC728" s="2">
        <v>1.22</v>
      </c>
      <c r="AD728" s="2">
        <v>6.02</v>
      </c>
      <c r="AE728" s="2">
        <v>17.71</v>
      </c>
      <c r="AF728" s="2">
        <v>95.62</v>
      </c>
      <c r="AG728" s="2">
        <v>14.64</v>
      </c>
      <c r="AH728" s="4">
        <f t="shared" si="11"/>
        <v>994.05000000000007</v>
      </c>
    </row>
    <row r="729" spans="1:34" x14ac:dyDescent="0.2">
      <c r="A729" s="3">
        <v>30102</v>
      </c>
      <c r="B729" s="2">
        <v>5.82</v>
      </c>
      <c r="C729" s="2">
        <v>24.78</v>
      </c>
      <c r="D729" s="2">
        <v>-24.14</v>
      </c>
      <c r="E729" s="2">
        <v>-84.29</v>
      </c>
      <c r="F729" s="2">
        <v>-114.89</v>
      </c>
      <c r="G729" s="2">
        <v>-82.96</v>
      </c>
      <c r="H729" s="2">
        <v>2.15</v>
      </c>
      <c r="I729" s="2">
        <v>52.13</v>
      </c>
      <c r="J729" s="2">
        <v>-13.27</v>
      </c>
      <c r="K729" s="2">
        <v>-38.869999999999997</v>
      </c>
      <c r="L729" s="2">
        <v>-8.24</v>
      </c>
      <c r="M729" s="2">
        <v>-0.85</v>
      </c>
      <c r="N729" s="2">
        <v>16.64</v>
      </c>
      <c r="O729" s="2">
        <v>38.33</v>
      </c>
      <c r="P729" s="2">
        <v>101.95</v>
      </c>
      <c r="Q729" s="2">
        <v>14.76</v>
      </c>
      <c r="R729" s="2">
        <v>26.41</v>
      </c>
      <c r="S729" s="2">
        <v>37</v>
      </c>
      <c r="T729" s="2">
        <v>58.63</v>
      </c>
      <c r="U729" s="2">
        <v>15.82</v>
      </c>
      <c r="V729" s="2">
        <v>31.96</v>
      </c>
      <c r="W729" s="2">
        <v>4.88</v>
      </c>
      <c r="X729" s="2">
        <v>31.02</v>
      </c>
      <c r="Y729" s="2">
        <v>29.74</v>
      </c>
      <c r="Z729" s="2">
        <v>0.91</v>
      </c>
      <c r="AA729" s="2">
        <v>3.58</v>
      </c>
      <c r="AB729" s="2">
        <v>0.04</v>
      </c>
      <c r="AC729" s="2">
        <v>0</v>
      </c>
      <c r="AD729" s="2">
        <v>8.85</v>
      </c>
      <c r="AE729" s="2">
        <v>0</v>
      </c>
      <c r="AF729" s="2">
        <v>107.99</v>
      </c>
      <c r="AG729" s="2">
        <v>17.690000000000001</v>
      </c>
      <c r="AH729" s="4">
        <f t="shared" si="11"/>
        <v>58.869999999999926</v>
      </c>
    </row>
    <row r="730" spans="1:34" x14ac:dyDescent="0.2">
      <c r="A730" s="3">
        <v>30132</v>
      </c>
      <c r="B730" s="2">
        <v>3.99</v>
      </c>
      <c r="C730" s="2">
        <v>27.25</v>
      </c>
      <c r="D730" s="2">
        <v>-22.32</v>
      </c>
      <c r="E730" s="2">
        <v>-75.31</v>
      </c>
      <c r="F730" s="2">
        <v>-44.72</v>
      </c>
      <c r="G730" s="2">
        <v>-44.97</v>
      </c>
      <c r="H730" s="2">
        <v>-2.14</v>
      </c>
      <c r="I730" s="2">
        <v>35.840000000000003</v>
      </c>
      <c r="J730" s="2">
        <v>-48.23</v>
      </c>
      <c r="K730" s="2">
        <v>-47.94</v>
      </c>
      <c r="L730" s="2">
        <v>-11.21</v>
      </c>
      <c r="M730" s="2">
        <v>-34.47</v>
      </c>
      <c r="N730" s="2">
        <v>12.94</v>
      </c>
      <c r="O730" s="2">
        <v>34.97</v>
      </c>
      <c r="P730" s="2">
        <v>60.36</v>
      </c>
      <c r="Q730" s="2">
        <v>15.02</v>
      </c>
      <c r="R730" s="2">
        <v>30.81</v>
      </c>
      <c r="S730" s="2">
        <v>11.96</v>
      </c>
      <c r="T730" s="2">
        <v>89.31</v>
      </c>
      <c r="U730" s="2">
        <v>10.29</v>
      </c>
      <c r="V730" s="2">
        <v>39.6</v>
      </c>
      <c r="W730" s="2">
        <v>18.62</v>
      </c>
      <c r="X730" s="2">
        <v>38.54</v>
      </c>
      <c r="Y730" s="2">
        <v>37.97</v>
      </c>
      <c r="Z730" s="2">
        <v>0</v>
      </c>
      <c r="AA730" s="2">
        <v>0</v>
      </c>
      <c r="AB730" s="2">
        <v>0.11</v>
      </c>
      <c r="AC730" s="2">
        <v>0</v>
      </c>
      <c r="AD730" s="2">
        <v>12.25</v>
      </c>
      <c r="AE730" s="2">
        <v>1.4</v>
      </c>
      <c r="AF730" s="2">
        <v>118.19</v>
      </c>
      <c r="AG730" s="2">
        <v>22.83</v>
      </c>
      <c r="AH730" s="4">
        <f t="shared" si="11"/>
        <v>41.030000000000044</v>
      </c>
    </row>
    <row r="731" spans="1:34" x14ac:dyDescent="0.2">
      <c r="A731" s="3">
        <v>30163</v>
      </c>
      <c r="B731" s="2">
        <v>2.8</v>
      </c>
      <c r="C731" s="2">
        <v>24.09</v>
      </c>
      <c r="D731" s="2">
        <v>-17.920000000000002</v>
      </c>
      <c r="E731" s="2">
        <v>-47.44</v>
      </c>
      <c r="F731" s="2">
        <v>-5.41</v>
      </c>
      <c r="G731" s="2">
        <v>-14.23</v>
      </c>
      <c r="H731" s="2">
        <v>9.1</v>
      </c>
      <c r="I731" s="2">
        <v>41.33</v>
      </c>
      <c r="J731" s="2">
        <v>-42.27</v>
      </c>
      <c r="K731" s="2">
        <v>-24.44</v>
      </c>
      <c r="L731" s="2">
        <v>6.43</v>
      </c>
      <c r="M731" s="2">
        <v>-4.1399999999999997</v>
      </c>
      <c r="N731" s="2">
        <v>29.02</v>
      </c>
      <c r="O731" s="2">
        <v>51</v>
      </c>
      <c r="P731" s="2">
        <v>80.67</v>
      </c>
      <c r="Q731" s="2">
        <v>12.86</v>
      </c>
      <c r="R731" s="2">
        <v>29.45</v>
      </c>
      <c r="S731" s="2">
        <v>50.18</v>
      </c>
      <c r="T731" s="2">
        <v>70.5</v>
      </c>
      <c r="U731" s="2">
        <v>16.8</v>
      </c>
      <c r="V731" s="2">
        <v>46.02</v>
      </c>
      <c r="W731" s="2">
        <v>30.39</v>
      </c>
      <c r="X731" s="2">
        <v>46.01</v>
      </c>
      <c r="Y731" s="2">
        <v>45.8</v>
      </c>
      <c r="Z731" s="2">
        <v>0</v>
      </c>
      <c r="AA731" s="2">
        <v>13.23</v>
      </c>
      <c r="AB731" s="2">
        <v>7.0000000000000007E-2</v>
      </c>
      <c r="AC731" s="2">
        <v>0</v>
      </c>
      <c r="AD731" s="2">
        <v>8.23</v>
      </c>
      <c r="AE731" s="2">
        <v>0</v>
      </c>
      <c r="AF731" s="2">
        <v>128.71</v>
      </c>
      <c r="AG731" s="2">
        <v>24.8</v>
      </c>
      <c r="AH731" s="4">
        <f t="shared" si="11"/>
        <v>314.39999999999998</v>
      </c>
    </row>
    <row r="732" spans="1:34" x14ac:dyDescent="0.2">
      <c r="A732" s="3">
        <v>30194</v>
      </c>
      <c r="B732" s="2">
        <v>1.87</v>
      </c>
      <c r="C732" s="2">
        <v>23.44</v>
      </c>
      <c r="D732" s="2">
        <v>-11.82</v>
      </c>
      <c r="E732" s="2">
        <v>-23.52</v>
      </c>
      <c r="F732" s="2">
        <v>10.01</v>
      </c>
      <c r="G732" s="2">
        <v>13.96</v>
      </c>
      <c r="H732" s="2">
        <v>18.46</v>
      </c>
      <c r="I732" s="2">
        <v>48.75</v>
      </c>
      <c r="J732" s="2">
        <v>-17.03</v>
      </c>
      <c r="K732" s="2">
        <v>-9.5399999999999991</v>
      </c>
      <c r="L732" s="2">
        <v>-0.85</v>
      </c>
      <c r="M732" s="2">
        <v>-2.0299999999999998</v>
      </c>
      <c r="N732" s="2">
        <v>42.61</v>
      </c>
      <c r="O732" s="2">
        <v>40.880000000000003</v>
      </c>
      <c r="P732" s="2">
        <v>85.2</v>
      </c>
      <c r="Q732" s="2">
        <v>10.68</v>
      </c>
      <c r="R732" s="2">
        <v>30.65</v>
      </c>
      <c r="S732" s="2">
        <v>26.13</v>
      </c>
      <c r="T732" s="2">
        <v>75.099999999999994</v>
      </c>
      <c r="U732" s="2">
        <v>18.66</v>
      </c>
      <c r="V732" s="2">
        <v>43.54</v>
      </c>
      <c r="W732" s="2">
        <v>31.47</v>
      </c>
      <c r="X732" s="2">
        <v>48.79</v>
      </c>
      <c r="Y732" s="2">
        <v>48.72</v>
      </c>
      <c r="Z732" s="2">
        <v>0</v>
      </c>
      <c r="AA732" s="2">
        <v>0.7</v>
      </c>
      <c r="AB732" s="2">
        <v>0.48</v>
      </c>
      <c r="AC732" s="2">
        <v>0</v>
      </c>
      <c r="AD732" s="2">
        <v>6.49</v>
      </c>
      <c r="AE732" s="2">
        <v>0.09</v>
      </c>
      <c r="AF732" s="2">
        <v>130.88999999999999</v>
      </c>
      <c r="AG732" s="2">
        <v>23.65</v>
      </c>
      <c r="AH732" s="4">
        <f t="shared" si="11"/>
        <v>425.15</v>
      </c>
    </row>
    <row r="733" spans="1:34" x14ac:dyDescent="0.2">
      <c r="A733" s="3">
        <v>30224</v>
      </c>
      <c r="B733" s="2">
        <v>0.82</v>
      </c>
      <c r="C733" s="2">
        <v>28.27</v>
      </c>
      <c r="D733" s="2">
        <v>-8.49</v>
      </c>
      <c r="E733" s="2">
        <v>-19.97</v>
      </c>
      <c r="F733" s="2">
        <v>3.41</v>
      </c>
      <c r="G733" s="2">
        <v>23.46</v>
      </c>
      <c r="H733" s="2">
        <v>21.38</v>
      </c>
      <c r="I733" s="2">
        <v>53.89</v>
      </c>
      <c r="J733" s="2">
        <v>15.49</v>
      </c>
      <c r="K733" s="2">
        <v>2.4500000000000002</v>
      </c>
      <c r="L733" s="2">
        <v>11.53</v>
      </c>
      <c r="M733" s="2">
        <v>18.21</v>
      </c>
      <c r="N733" s="2">
        <v>39.450000000000003</v>
      </c>
      <c r="O733" s="2">
        <v>26.67</v>
      </c>
      <c r="P733" s="2">
        <v>31.64</v>
      </c>
      <c r="Q733" s="2">
        <v>7.95</v>
      </c>
      <c r="R733" s="2">
        <v>20.350000000000001</v>
      </c>
      <c r="S733" s="2">
        <v>13.61</v>
      </c>
      <c r="T733" s="2">
        <v>18.86</v>
      </c>
      <c r="U733" s="2">
        <v>15.14</v>
      </c>
      <c r="V733" s="2">
        <v>22.97</v>
      </c>
      <c r="W733" s="2">
        <v>26.1</v>
      </c>
      <c r="X733" s="2">
        <v>45.82</v>
      </c>
      <c r="Y733" s="2">
        <v>45.54</v>
      </c>
      <c r="Z733" s="2">
        <v>2.06</v>
      </c>
      <c r="AA733" s="2">
        <v>2.78</v>
      </c>
      <c r="AB733" s="2">
        <v>1.03</v>
      </c>
      <c r="AC733" s="2">
        <v>0</v>
      </c>
      <c r="AD733" s="2">
        <v>5.08</v>
      </c>
      <c r="AE733" s="2">
        <v>9.69</v>
      </c>
      <c r="AF733" s="2">
        <v>121.92</v>
      </c>
      <c r="AG733" s="2">
        <v>20.170000000000002</v>
      </c>
      <c r="AH733" s="4">
        <f t="shared" si="11"/>
        <v>347.09000000000003</v>
      </c>
    </row>
    <row r="734" spans="1:34" x14ac:dyDescent="0.2">
      <c r="A734" s="3">
        <v>30255</v>
      </c>
      <c r="B734" s="2">
        <v>1.41</v>
      </c>
      <c r="C734" s="2">
        <v>25.08</v>
      </c>
      <c r="D734" s="2">
        <v>-1.1200000000000001</v>
      </c>
      <c r="E734" s="2">
        <v>-7.31</v>
      </c>
      <c r="F734" s="2">
        <v>-4.37</v>
      </c>
      <c r="G734" s="2">
        <v>9.9700000000000006</v>
      </c>
      <c r="H734" s="2">
        <v>14.84</v>
      </c>
      <c r="I734" s="2">
        <v>52.53</v>
      </c>
      <c r="J734" s="2">
        <v>26.21</v>
      </c>
      <c r="K734" s="2">
        <v>2.96</v>
      </c>
      <c r="L734" s="2">
        <v>13.84</v>
      </c>
      <c r="M734" s="2">
        <v>18.05</v>
      </c>
      <c r="N734" s="2">
        <v>28.86</v>
      </c>
      <c r="O734" s="2">
        <v>19.579999999999998</v>
      </c>
      <c r="P734" s="2">
        <v>41.04</v>
      </c>
      <c r="Q734" s="2">
        <v>1.88</v>
      </c>
      <c r="R734" s="2">
        <v>12.64</v>
      </c>
      <c r="S734" s="2">
        <v>-9.42</v>
      </c>
      <c r="T734" s="2">
        <v>20.2</v>
      </c>
      <c r="U734" s="2">
        <v>8.19</v>
      </c>
      <c r="V734" s="2">
        <v>31.01</v>
      </c>
      <c r="W734" s="2">
        <v>22.19</v>
      </c>
      <c r="X734" s="2">
        <v>41.96</v>
      </c>
      <c r="Y734" s="2">
        <v>41.65</v>
      </c>
      <c r="Z734" s="2">
        <v>9.6199999999999992</v>
      </c>
      <c r="AA734" s="2">
        <v>0</v>
      </c>
      <c r="AB734" s="2">
        <v>4.03</v>
      </c>
      <c r="AC734" s="2">
        <v>9.19</v>
      </c>
      <c r="AD734" s="2">
        <v>3.22</v>
      </c>
      <c r="AE734" s="2">
        <v>13.89</v>
      </c>
      <c r="AF734" s="2">
        <v>110.59</v>
      </c>
      <c r="AG734" s="2">
        <v>16.420000000000002</v>
      </c>
      <c r="AH734" s="4">
        <f t="shared" si="11"/>
        <v>306.07</v>
      </c>
    </row>
    <row r="735" spans="1:34" x14ac:dyDescent="0.2">
      <c r="A735" s="3">
        <v>30285</v>
      </c>
      <c r="B735" s="2">
        <v>4.2</v>
      </c>
      <c r="C735" s="2">
        <v>29.61</v>
      </c>
      <c r="D735" s="2">
        <v>31.84</v>
      </c>
      <c r="E735" s="2">
        <v>45.4</v>
      </c>
      <c r="F735" s="2">
        <v>42.59</v>
      </c>
      <c r="G735" s="2">
        <v>71.05</v>
      </c>
      <c r="H735" s="2">
        <v>32.24</v>
      </c>
      <c r="I735" s="2">
        <v>62.59</v>
      </c>
      <c r="J735" s="2">
        <v>44.5</v>
      </c>
      <c r="K735" s="2">
        <v>56.63</v>
      </c>
      <c r="L735" s="2">
        <v>-2</v>
      </c>
      <c r="M735" s="2">
        <v>16.34</v>
      </c>
      <c r="N735" s="2">
        <v>78.260000000000005</v>
      </c>
      <c r="O735" s="2">
        <v>28.08</v>
      </c>
      <c r="P735" s="2">
        <v>84.16</v>
      </c>
      <c r="Q735" s="2">
        <v>7.86</v>
      </c>
      <c r="R735" s="2">
        <v>13.39</v>
      </c>
      <c r="S735" s="2">
        <v>38.700000000000003</v>
      </c>
      <c r="T735" s="2">
        <v>34.4</v>
      </c>
      <c r="U735" s="2">
        <v>12.81</v>
      </c>
      <c r="V735" s="2">
        <v>24.68</v>
      </c>
      <c r="W735" s="2">
        <v>15.43</v>
      </c>
      <c r="X735" s="2">
        <v>27.51</v>
      </c>
      <c r="Y735" s="2">
        <v>26.18</v>
      </c>
      <c r="Z735" s="2">
        <v>4.59</v>
      </c>
      <c r="AA735" s="2">
        <v>1.91</v>
      </c>
      <c r="AB735" s="2">
        <v>9.2799999999999994</v>
      </c>
      <c r="AC735" s="2">
        <v>0</v>
      </c>
      <c r="AD735" s="2">
        <v>2.2999999999999998</v>
      </c>
      <c r="AE735" s="2">
        <v>32.909999999999997</v>
      </c>
      <c r="AF735" s="2">
        <v>72.56</v>
      </c>
      <c r="AG735" s="2">
        <v>12.92</v>
      </c>
      <c r="AH735" s="4">
        <f t="shared" si="11"/>
        <v>757.32999999999993</v>
      </c>
    </row>
    <row r="736" spans="1:34" x14ac:dyDescent="0.2">
      <c r="A736" s="3">
        <v>30316</v>
      </c>
      <c r="B736" s="2">
        <v>8.81</v>
      </c>
      <c r="C736" s="2">
        <v>34.61</v>
      </c>
      <c r="D736" s="2">
        <v>31.4</v>
      </c>
      <c r="E736" s="2">
        <v>81.83</v>
      </c>
      <c r="F736" s="2">
        <v>89.83</v>
      </c>
      <c r="G736" s="2">
        <v>103.57</v>
      </c>
      <c r="H736" s="2">
        <v>25.56</v>
      </c>
      <c r="I736" s="2">
        <v>65.69</v>
      </c>
      <c r="J736" s="2">
        <v>61.08</v>
      </c>
      <c r="K736" s="2">
        <v>57.2</v>
      </c>
      <c r="L736" s="2">
        <v>32.96</v>
      </c>
      <c r="M736" s="2">
        <v>49.45</v>
      </c>
      <c r="N736" s="2">
        <v>112.13</v>
      </c>
      <c r="O736" s="2">
        <v>24.05</v>
      </c>
      <c r="P736" s="2">
        <v>76.849999999999994</v>
      </c>
      <c r="Q736" s="2">
        <v>10.33</v>
      </c>
      <c r="R736" s="2">
        <v>16.5</v>
      </c>
      <c r="S736" s="2">
        <v>8.41</v>
      </c>
      <c r="T736" s="2">
        <v>24.12</v>
      </c>
      <c r="U736" s="2">
        <v>12.95</v>
      </c>
      <c r="V736" s="2">
        <v>21.19</v>
      </c>
      <c r="W736" s="2">
        <v>11.73</v>
      </c>
      <c r="X736" s="2">
        <v>24.05</v>
      </c>
      <c r="Y736" s="2">
        <v>23.94</v>
      </c>
      <c r="Z736" s="2">
        <v>0</v>
      </c>
      <c r="AA736" s="2">
        <v>32.369999999999997</v>
      </c>
      <c r="AB736" s="2">
        <v>10.46</v>
      </c>
      <c r="AC736" s="2">
        <v>2.87</v>
      </c>
      <c r="AD736" s="2">
        <v>2.19</v>
      </c>
      <c r="AE736" s="2">
        <v>18.55</v>
      </c>
      <c r="AF736" s="2">
        <v>66.66</v>
      </c>
      <c r="AG736" s="2">
        <v>11.2</v>
      </c>
      <c r="AH736" s="4">
        <f t="shared" si="11"/>
        <v>948.5200000000001</v>
      </c>
    </row>
    <row r="737" spans="1:34" x14ac:dyDescent="0.2">
      <c r="A737" s="3">
        <v>30347</v>
      </c>
      <c r="B737" s="2">
        <v>5.71</v>
      </c>
      <c r="C737" s="2">
        <v>42.68</v>
      </c>
      <c r="D737" s="2">
        <v>52.98</v>
      </c>
      <c r="E737" s="2">
        <v>102.87</v>
      </c>
      <c r="F737" s="2">
        <v>93.91</v>
      </c>
      <c r="G737" s="2">
        <v>131.26</v>
      </c>
      <c r="H737" s="2">
        <v>20.46</v>
      </c>
      <c r="I737" s="2">
        <v>58.48</v>
      </c>
      <c r="J737" s="2">
        <v>74.86</v>
      </c>
      <c r="K737" s="2">
        <v>77.739999999999995</v>
      </c>
      <c r="L737" s="2">
        <v>19.100000000000001</v>
      </c>
      <c r="M737" s="2">
        <v>43.74</v>
      </c>
      <c r="N737" s="2">
        <v>144.47999999999999</v>
      </c>
      <c r="O737" s="2">
        <v>22.68</v>
      </c>
      <c r="P737" s="2">
        <v>150.72</v>
      </c>
      <c r="Q737" s="2">
        <v>4.34</v>
      </c>
      <c r="R737" s="2">
        <v>24.18</v>
      </c>
      <c r="S737" s="2">
        <v>118.54</v>
      </c>
      <c r="T737" s="2">
        <v>84.59</v>
      </c>
      <c r="U737" s="2">
        <v>12.16</v>
      </c>
      <c r="V737" s="2">
        <v>25.51</v>
      </c>
      <c r="W737" s="2">
        <v>4.26</v>
      </c>
      <c r="X737" s="2">
        <v>15.71</v>
      </c>
      <c r="Y737" s="2">
        <v>14.57</v>
      </c>
      <c r="Z737" s="2">
        <v>13.83</v>
      </c>
      <c r="AA737" s="2">
        <v>3.83</v>
      </c>
      <c r="AB737" s="2">
        <v>8.83</v>
      </c>
      <c r="AC737" s="2">
        <v>11.7</v>
      </c>
      <c r="AD737" s="2">
        <v>2.1800000000000002</v>
      </c>
      <c r="AE737" s="2">
        <v>69.08</v>
      </c>
      <c r="AF737" s="2">
        <v>74.099999999999994</v>
      </c>
      <c r="AG737" s="2">
        <v>9.8800000000000008</v>
      </c>
      <c r="AH737" s="4">
        <f t="shared" si="11"/>
        <v>1310.9899999999998</v>
      </c>
    </row>
    <row r="738" spans="1:34" x14ac:dyDescent="0.2">
      <c r="A738" s="3">
        <v>30375</v>
      </c>
      <c r="B738" s="2">
        <v>23.96</v>
      </c>
      <c r="C738" s="2">
        <v>66.349999999999994</v>
      </c>
      <c r="D738" s="2">
        <v>78.010000000000005</v>
      </c>
      <c r="E738" s="2">
        <v>211.6</v>
      </c>
      <c r="F738" s="2">
        <v>213.76</v>
      </c>
      <c r="G738" s="2">
        <v>188.49</v>
      </c>
      <c r="H738" s="2">
        <v>36.409999999999997</v>
      </c>
      <c r="I738" s="2">
        <v>71.64</v>
      </c>
      <c r="J738" s="2">
        <v>65.739999999999995</v>
      </c>
      <c r="K738" s="2">
        <v>20.8</v>
      </c>
      <c r="L738" s="2">
        <v>3.87</v>
      </c>
      <c r="M738" s="2">
        <v>20.8</v>
      </c>
      <c r="N738" s="2">
        <v>144.91</v>
      </c>
      <c r="O738" s="2">
        <v>27.87</v>
      </c>
      <c r="P738" s="2">
        <v>93.65</v>
      </c>
      <c r="Q738" s="2">
        <v>13.72</v>
      </c>
      <c r="R738" s="2">
        <v>32.43</v>
      </c>
      <c r="S738" s="2">
        <v>111.03</v>
      </c>
      <c r="T738" s="2">
        <v>95.89</v>
      </c>
      <c r="U738" s="2">
        <v>16.239999999999998</v>
      </c>
      <c r="V738" s="2">
        <v>29.23</v>
      </c>
      <c r="W738" s="2">
        <v>0</v>
      </c>
      <c r="X738" s="2">
        <v>8.25</v>
      </c>
      <c r="Y738" s="2">
        <v>8.59</v>
      </c>
      <c r="Z738" s="2">
        <v>13.11</v>
      </c>
      <c r="AA738" s="2">
        <v>17.75</v>
      </c>
      <c r="AB738" s="2">
        <v>10.06</v>
      </c>
      <c r="AC738" s="2">
        <v>6.53</v>
      </c>
      <c r="AD738" s="2">
        <v>2.35</v>
      </c>
      <c r="AE738" s="2">
        <v>40.36</v>
      </c>
      <c r="AF738" s="2">
        <v>61.77</v>
      </c>
      <c r="AG738" s="2">
        <v>10.08</v>
      </c>
      <c r="AH738" s="4">
        <f t="shared" si="11"/>
        <v>1566.4</v>
      </c>
    </row>
    <row r="739" spans="1:34" x14ac:dyDescent="0.2">
      <c r="A739" s="3">
        <v>30406</v>
      </c>
      <c r="B739" s="2">
        <v>40.020000000000003</v>
      </c>
      <c r="C739" s="2">
        <v>94.1</v>
      </c>
      <c r="D739" s="2">
        <v>91.14</v>
      </c>
      <c r="E739" s="2">
        <v>284.95999999999998</v>
      </c>
      <c r="F739" s="2">
        <v>309.05</v>
      </c>
      <c r="G739" s="2">
        <v>205.95</v>
      </c>
      <c r="H739" s="2">
        <v>33.92</v>
      </c>
      <c r="I739" s="2">
        <v>88.39</v>
      </c>
      <c r="J739" s="2">
        <v>80.03</v>
      </c>
      <c r="K739" s="2">
        <v>87.4</v>
      </c>
      <c r="L739" s="2">
        <v>58.55</v>
      </c>
      <c r="M739" s="2">
        <v>63.37</v>
      </c>
      <c r="N739" s="2">
        <v>228.16</v>
      </c>
      <c r="O739" s="2">
        <v>32.299999999999997</v>
      </c>
      <c r="P739" s="2">
        <v>166.1</v>
      </c>
      <c r="Q739" s="2">
        <v>16.2</v>
      </c>
      <c r="R739" s="2">
        <v>36.15</v>
      </c>
      <c r="S739" s="2">
        <v>165.87</v>
      </c>
      <c r="T739" s="2">
        <v>194.1</v>
      </c>
      <c r="U739" s="2">
        <v>17.43</v>
      </c>
      <c r="V739" s="2">
        <v>46.75</v>
      </c>
      <c r="W739" s="2">
        <v>0</v>
      </c>
      <c r="X739" s="2">
        <v>10.029999999999999</v>
      </c>
      <c r="Y739" s="2">
        <v>9.24</v>
      </c>
      <c r="Z739" s="2">
        <v>24.98</v>
      </c>
      <c r="AA739" s="2">
        <v>28.37</v>
      </c>
      <c r="AB739" s="2">
        <v>7.49</v>
      </c>
      <c r="AC739" s="2">
        <v>19.309999999999999</v>
      </c>
      <c r="AD739" s="2">
        <v>4.1500000000000004</v>
      </c>
      <c r="AE739" s="2">
        <v>59.66</v>
      </c>
      <c r="AF739" s="2">
        <v>72.89</v>
      </c>
      <c r="AG739" s="2">
        <v>10.69</v>
      </c>
      <c r="AH739" s="4">
        <f t="shared" si="11"/>
        <v>2339.94</v>
      </c>
    </row>
    <row r="740" spans="1:34" x14ac:dyDescent="0.2">
      <c r="A740" s="3">
        <v>30436</v>
      </c>
      <c r="B740" s="2">
        <v>18.760000000000002</v>
      </c>
      <c r="C740" s="2">
        <v>43.64</v>
      </c>
      <c r="D740" s="2">
        <v>-62.83</v>
      </c>
      <c r="E740" s="2">
        <v>-227.35</v>
      </c>
      <c r="F740" s="2">
        <v>-154.49</v>
      </c>
      <c r="G740" s="2">
        <v>-195.55</v>
      </c>
      <c r="H740" s="2">
        <v>17.8</v>
      </c>
      <c r="I740" s="2">
        <v>78.650000000000006</v>
      </c>
      <c r="J740" s="2">
        <v>5.93</v>
      </c>
      <c r="K740" s="2">
        <v>-35.68</v>
      </c>
      <c r="L740" s="2">
        <v>47.25</v>
      </c>
      <c r="M740" s="2">
        <v>8.23</v>
      </c>
      <c r="N740" s="2">
        <v>74.03</v>
      </c>
      <c r="O740" s="2">
        <v>41.68</v>
      </c>
      <c r="P740" s="2">
        <v>91.09</v>
      </c>
      <c r="Q740" s="2">
        <v>27.81</v>
      </c>
      <c r="R740" s="2">
        <v>42.22</v>
      </c>
      <c r="S740" s="2">
        <v>62.76</v>
      </c>
      <c r="T740" s="2">
        <v>165.01</v>
      </c>
      <c r="U740" s="2">
        <v>23.94</v>
      </c>
      <c r="V740" s="2">
        <v>48.8</v>
      </c>
      <c r="W740" s="2">
        <v>0</v>
      </c>
      <c r="X740" s="2">
        <v>12.31</v>
      </c>
      <c r="Y740" s="2">
        <v>11.89</v>
      </c>
      <c r="Z740" s="2">
        <v>3.83</v>
      </c>
      <c r="AA740" s="2">
        <v>0</v>
      </c>
      <c r="AB740" s="2">
        <v>1.85</v>
      </c>
      <c r="AC740" s="2">
        <v>17.73</v>
      </c>
      <c r="AD740" s="2">
        <v>5.59</v>
      </c>
      <c r="AE740" s="2">
        <v>36.36</v>
      </c>
      <c r="AF740" s="2">
        <v>90.19</v>
      </c>
      <c r="AG740" s="2">
        <v>14.64</v>
      </c>
      <c r="AH740" s="4">
        <f t="shared" si="11"/>
        <v>121.69999999999997</v>
      </c>
    </row>
    <row r="741" spans="1:34" x14ac:dyDescent="0.2">
      <c r="A741" s="3">
        <v>30467</v>
      </c>
      <c r="B741" s="2">
        <v>17.649999999999999</v>
      </c>
      <c r="C741" s="2">
        <v>45.72</v>
      </c>
      <c r="D741" s="2">
        <v>-37.96</v>
      </c>
      <c r="E741" s="2">
        <v>-97.39</v>
      </c>
      <c r="F741" s="2">
        <v>-64.819999999999993</v>
      </c>
      <c r="G741" s="2">
        <v>-76.95</v>
      </c>
      <c r="H741" s="2">
        <v>19.29</v>
      </c>
      <c r="I741" s="2">
        <v>71.58</v>
      </c>
      <c r="J741" s="2">
        <v>-3.3</v>
      </c>
      <c r="K741" s="2">
        <v>-32.46</v>
      </c>
      <c r="L741" s="2">
        <v>22.25</v>
      </c>
      <c r="M741" s="2">
        <v>12.94</v>
      </c>
      <c r="N741" s="2">
        <v>45.12</v>
      </c>
      <c r="O741" s="2">
        <v>44.37</v>
      </c>
      <c r="P741" s="2">
        <v>95.06</v>
      </c>
      <c r="Q741" s="2">
        <v>30.8</v>
      </c>
      <c r="R741" s="2">
        <v>35.67</v>
      </c>
      <c r="S741" s="2">
        <v>55.18</v>
      </c>
      <c r="T741" s="2">
        <v>213.76</v>
      </c>
      <c r="U741" s="2">
        <v>16.39</v>
      </c>
      <c r="V741" s="2">
        <v>62.44</v>
      </c>
      <c r="W741" s="2">
        <v>4.88</v>
      </c>
      <c r="X741" s="2">
        <v>16.27</v>
      </c>
      <c r="Y741" s="2">
        <v>15.16</v>
      </c>
      <c r="Z741" s="2">
        <v>0</v>
      </c>
      <c r="AA741" s="2">
        <v>0</v>
      </c>
      <c r="AB741" s="2">
        <v>0</v>
      </c>
      <c r="AC741" s="2">
        <v>1.36</v>
      </c>
      <c r="AD741" s="2">
        <v>9.99</v>
      </c>
      <c r="AE741" s="2">
        <v>1.4</v>
      </c>
      <c r="AF741" s="2">
        <v>101.86</v>
      </c>
      <c r="AG741" s="2">
        <v>17.690000000000001</v>
      </c>
      <c r="AH741" s="4">
        <f t="shared" si="11"/>
        <v>475.34</v>
      </c>
    </row>
    <row r="742" spans="1:34" x14ac:dyDescent="0.2">
      <c r="A742" s="3">
        <v>30497</v>
      </c>
      <c r="B742" s="2">
        <v>11.51</v>
      </c>
      <c r="C742" s="2">
        <v>42.07</v>
      </c>
      <c r="D742" s="2">
        <v>-26.78</v>
      </c>
      <c r="E742" s="2">
        <v>-99.57</v>
      </c>
      <c r="F742" s="2">
        <v>-41.79</v>
      </c>
      <c r="G742" s="2">
        <v>-42.44</v>
      </c>
      <c r="H742" s="2">
        <v>8.81</v>
      </c>
      <c r="I742" s="2">
        <v>57.68</v>
      </c>
      <c r="J742" s="2">
        <v>-12.84</v>
      </c>
      <c r="K742" s="2">
        <v>13.25</v>
      </c>
      <c r="L742" s="2">
        <v>-20.62</v>
      </c>
      <c r="M742" s="2">
        <v>-2.98</v>
      </c>
      <c r="N742" s="2">
        <v>82.45</v>
      </c>
      <c r="O742" s="2">
        <v>60.72</v>
      </c>
      <c r="P742" s="2">
        <v>158</v>
      </c>
      <c r="Q742" s="2">
        <v>33.5</v>
      </c>
      <c r="R742" s="2">
        <v>42.89</v>
      </c>
      <c r="S742" s="2">
        <v>51.32</v>
      </c>
      <c r="T742" s="2">
        <v>259.61</v>
      </c>
      <c r="U742" s="2">
        <v>16.39</v>
      </c>
      <c r="V742" s="2">
        <v>66.510000000000005</v>
      </c>
      <c r="W742" s="2">
        <v>18.62</v>
      </c>
      <c r="X742" s="2">
        <v>22.38</v>
      </c>
      <c r="Y742" s="2">
        <v>22.05</v>
      </c>
      <c r="Z742" s="2">
        <v>0</v>
      </c>
      <c r="AA742" s="2">
        <v>0</v>
      </c>
      <c r="AB742" s="2">
        <v>0.11</v>
      </c>
      <c r="AC742" s="2">
        <v>0</v>
      </c>
      <c r="AD742" s="2">
        <v>13.58</v>
      </c>
      <c r="AE742" s="2">
        <v>0</v>
      </c>
      <c r="AF742" s="2">
        <v>111.47</v>
      </c>
      <c r="AG742" s="2">
        <v>22.83</v>
      </c>
      <c r="AH742" s="4">
        <f t="shared" si="11"/>
        <v>657.68999999999994</v>
      </c>
    </row>
    <row r="743" spans="1:34" x14ac:dyDescent="0.2">
      <c r="A743" s="3">
        <v>30528</v>
      </c>
      <c r="B743" s="2">
        <v>8.5299999999999994</v>
      </c>
      <c r="C743" s="2">
        <v>36.15</v>
      </c>
      <c r="D743" s="2">
        <v>-21.68</v>
      </c>
      <c r="E743" s="2">
        <v>-83.68</v>
      </c>
      <c r="F743" s="2">
        <v>-44.38</v>
      </c>
      <c r="G743" s="2">
        <v>-24.7</v>
      </c>
      <c r="H743" s="2">
        <v>2.97</v>
      </c>
      <c r="I743" s="2">
        <v>59.73</v>
      </c>
      <c r="J743" s="2">
        <v>-28.23</v>
      </c>
      <c r="K743" s="2">
        <v>-28.77</v>
      </c>
      <c r="L743" s="2">
        <v>-1.28</v>
      </c>
      <c r="M743" s="2">
        <v>-7.3</v>
      </c>
      <c r="N743" s="2">
        <v>48.97</v>
      </c>
      <c r="O743" s="2">
        <v>58.12</v>
      </c>
      <c r="P743" s="2">
        <v>88.59</v>
      </c>
      <c r="Q743" s="2">
        <v>26.78</v>
      </c>
      <c r="R743" s="2">
        <v>41.18</v>
      </c>
      <c r="S743" s="2">
        <v>50</v>
      </c>
      <c r="T743" s="2">
        <v>213.16</v>
      </c>
      <c r="U743" s="2">
        <v>22.72</v>
      </c>
      <c r="V743" s="2">
        <v>69.989999999999995</v>
      </c>
      <c r="W743" s="2">
        <v>30.39</v>
      </c>
      <c r="X743" s="2">
        <v>28.41</v>
      </c>
      <c r="Y743" s="2">
        <v>28.41</v>
      </c>
      <c r="Z743" s="2">
        <v>0</v>
      </c>
      <c r="AA743" s="2">
        <v>0</v>
      </c>
      <c r="AB743" s="2">
        <v>0</v>
      </c>
      <c r="AC743" s="2">
        <v>0</v>
      </c>
      <c r="AD743" s="2">
        <v>14.66</v>
      </c>
      <c r="AE743" s="2">
        <v>0</v>
      </c>
      <c r="AF743" s="2">
        <v>121.4</v>
      </c>
      <c r="AG743" s="2">
        <v>24.8</v>
      </c>
      <c r="AH743" s="4">
        <f t="shared" si="11"/>
        <v>486.87</v>
      </c>
    </row>
    <row r="744" spans="1:34" x14ac:dyDescent="0.2">
      <c r="A744" s="3">
        <v>30559</v>
      </c>
      <c r="B744" s="2">
        <v>7.22</v>
      </c>
      <c r="C744" s="2">
        <v>34.630000000000003</v>
      </c>
      <c r="D744" s="2">
        <v>-17.14</v>
      </c>
      <c r="E744" s="2">
        <v>-60.48</v>
      </c>
      <c r="F744" s="2">
        <v>-23.47</v>
      </c>
      <c r="G744" s="2">
        <v>1.46</v>
      </c>
      <c r="H744" s="2">
        <v>8.3800000000000008</v>
      </c>
      <c r="I744" s="2">
        <v>58.53</v>
      </c>
      <c r="J744" s="2">
        <v>-34.200000000000003</v>
      </c>
      <c r="K744" s="2">
        <v>-56.93</v>
      </c>
      <c r="L744" s="2">
        <v>-25.98</v>
      </c>
      <c r="M744" s="2">
        <v>-23.04</v>
      </c>
      <c r="N744" s="2">
        <v>28.68</v>
      </c>
      <c r="O744" s="2">
        <v>43.43</v>
      </c>
      <c r="P744" s="2">
        <v>52.2</v>
      </c>
      <c r="Q744" s="2">
        <v>18.170000000000002</v>
      </c>
      <c r="R744" s="2">
        <v>36.53</v>
      </c>
      <c r="S744" s="2">
        <v>30.05</v>
      </c>
      <c r="T744" s="2">
        <v>79.290000000000006</v>
      </c>
      <c r="U744" s="2">
        <v>21.83</v>
      </c>
      <c r="V744" s="2">
        <v>46.77</v>
      </c>
      <c r="W744" s="2">
        <v>31.47</v>
      </c>
      <c r="X744" s="2">
        <v>30.88</v>
      </c>
      <c r="Y744" s="2">
        <v>31.05</v>
      </c>
      <c r="Z744" s="2">
        <v>2.78</v>
      </c>
      <c r="AA744" s="2">
        <v>53.08</v>
      </c>
      <c r="AB744" s="2">
        <v>6.32</v>
      </c>
      <c r="AC744" s="2">
        <v>0</v>
      </c>
      <c r="AD744" s="2">
        <v>10.87</v>
      </c>
      <c r="AE744" s="2">
        <v>0.19</v>
      </c>
      <c r="AF744" s="2">
        <v>123.46</v>
      </c>
      <c r="AG744" s="2">
        <v>23.65</v>
      </c>
      <c r="AH744" s="4">
        <f t="shared" si="11"/>
        <v>225.93000000000004</v>
      </c>
    </row>
    <row r="745" spans="1:34" x14ac:dyDescent="0.2">
      <c r="A745" s="3">
        <v>30589</v>
      </c>
      <c r="B745" s="2">
        <v>5.33</v>
      </c>
      <c r="C745" s="2">
        <v>36.71</v>
      </c>
      <c r="D745" s="2">
        <v>-14.67</v>
      </c>
      <c r="E745" s="2">
        <v>-43.8</v>
      </c>
      <c r="F745" s="2">
        <v>-15.84</v>
      </c>
      <c r="G745" s="2">
        <v>-2.7</v>
      </c>
      <c r="H745" s="2">
        <v>14.64</v>
      </c>
      <c r="I745" s="2">
        <v>66.430000000000007</v>
      </c>
      <c r="J745" s="2">
        <v>-1.1599999999999999</v>
      </c>
      <c r="K745" s="2">
        <v>-6.7</v>
      </c>
      <c r="L745" s="2">
        <v>-5.09</v>
      </c>
      <c r="M745" s="2">
        <v>15.18</v>
      </c>
      <c r="N745" s="2">
        <v>58.46</v>
      </c>
      <c r="O745" s="2">
        <v>34.58</v>
      </c>
      <c r="P745" s="2">
        <v>36.93</v>
      </c>
      <c r="Q745" s="2">
        <v>17.13</v>
      </c>
      <c r="R745" s="2">
        <v>29.23</v>
      </c>
      <c r="S745" s="2">
        <v>19.22</v>
      </c>
      <c r="T745" s="2">
        <v>40.85</v>
      </c>
      <c r="U745" s="2">
        <v>20.41</v>
      </c>
      <c r="V745" s="2">
        <v>33.28</v>
      </c>
      <c r="W745" s="2">
        <v>26.1</v>
      </c>
      <c r="X745" s="2">
        <v>29.12</v>
      </c>
      <c r="Y745" s="2">
        <v>29.06</v>
      </c>
      <c r="Z745" s="2">
        <v>0.24</v>
      </c>
      <c r="AA745" s="2">
        <v>13.05</v>
      </c>
      <c r="AB745" s="2">
        <v>1.01</v>
      </c>
      <c r="AC745" s="2">
        <v>3.09</v>
      </c>
      <c r="AD745" s="2">
        <v>8.84</v>
      </c>
      <c r="AE745" s="2">
        <v>4.57</v>
      </c>
      <c r="AF745" s="2">
        <v>115</v>
      </c>
      <c r="AG745" s="2">
        <v>20.170000000000002</v>
      </c>
      <c r="AH745" s="4">
        <f t="shared" si="11"/>
        <v>338.42000000000007</v>
      </c>
    </row>
    <row r="746" spans="1:34" x14ac:dyDescent="0.2">
      <c r="A746" s="3">
        <v>30620</v>
      </c>
      <c r="B746" s="2">
        <v>4.1100000000000003</v>
      </c>
      <c r="C746" s="2">
        <v>31.23</v>
      </c>
      <c r="D746" s="2">
        <v>-7.53</v>
      </c>
      <c r="E746" s="2">
        <v>-30.69</v>
      </c>
      <c r="F746" s="2">
        <v>-32.869999999999997</v>
      </c>
      <c r="G746" s="2">
        <v>0.52</v>
      </c>
      <c r="H746" s="2">
        <v>14.89</v>
      </c>
      <c r="I746" s="2">
        <v>61.63</v>
      </c>
      <c r="J746" s="2">
        <v>3.93</v>
      </c>
      <c r="K746" s="2">
        <v>-2.5299999999999998</v>
      </c>
      <c r="L746" s="2">
        <v>4.41</v>
      </c>
      <c r="M746" s="2">
        <v>14.9</v>
      </c>
      <c r="N746" s="2">
        <v>42.87</v>
      </c>
      <c r="O746" s="2">
        <v>25.79</v>
      </c>
      <c r="P746" s="2">
        <v>37.96</v>
      </c>
      <c r="Q746" s="2">
        <v>11.13</v>
      </c>
      <c r="R746" s="2">
        <v>20.399999999999999</v>
      </c>
      <c r="S746" s="2">
        <v>3.98</v>
      </c>
      <c r="T746" s="2">
        <v>25.39</v>
      </c>
      <c r="U746" s="2">
        <v>12.1</v>
      </c>
      <c r="V746" s="2">
        <v>34.46</v>
      </c>
      <c r="W746" s="2">
        <v>22.19</v>
      </c>
      <c r="X746" s="2">
        <v>26.81</v>
      </c>
      <c r="Y746" s="2">
        <v>26.7</v>
      </c>
      <c r="Z746" s="2">
        <v>4.6900000000000004</v>
      </c>
      <c r="AA746" s="2">
        <v>0</v>
      </c>
      <c r="AB746" s="2">
        <v>0.44</v>
      </c>
      <c r="AC746" s="2">
        <v>14.43</v>
      </c>
      <c r="AD746" s="2">
        <v>3.75</v>
      </c>
      <c r="AE746" s="2">
        <v>7.27</v>
      </c>
      <c r="AF746" s="2">
        <v>104.31</v>
      </c>
      <c r="AG746" s="2">
        <v>16.420000000000002</v>
      </c>
      <c r="AH746" s="4">
        <f t="shared" si="11"/>
        <v>276.08</v>
      </c>
    </row>
    <row r="747" spans="1:34" x14ac:dyDescent="0.2">
      <c r="A747" s="3">
        <v>30650</v>
      </c>
      <c r="B747" s="2">
        <v>9.2200000000000006</v>
      </c>
      <c r="C747" s="2">
        <v>41.77</v>
      </c>
      <c r="D747" s="2">
        <v>60.9</v>
      </c>
      <c r="E747" s="2">
        <v>97.83</v>
      </c>
      <c r="F747" s="2">
        <v>93.35</v>
      </c>
      <c r="G747" s="2">
        <v>147.75</v>
      </c>
      <c r="H747" s="2">
        <v>44.27</v>
      </c>
      <c r="I747" s="2">
        <v>80.62</v>
      </c>
      <c r="J747" s="2">
        <v>44.66</v>
      </c>
      <c r="K747" s="2">
        <v>17.64</v>
      </c>
      <c r="L747" s="2">
        <v>-4.07</v>
      </c>
      <c r="M747" s="2">
        <v>-2.34</v>
      </c>
      <c r="N747" s="2">
        <v>52.26</v>
      </c>
      <c r="O747" s="2">
        <v>33.46</v>
      </c>
      <c r="P747" s="2">
        <v>33.36</v>
      </c>
      <c r="Q747" s="2">
        <v>8.0500000000000007</v>
      </c>
      <c r="R747" s="2">
        <v>15.76</v>
      </c>
      <c r="S747" s="2">
        <v>40.17</v>
      </c>
      <c r="T747" s="2">
        <v>33.270000000000003</v>
      </c>
      <c r="U747" s="2">
        <v>16</v>
      </c>
      <c r="V747" s="2">
        <v>26.98</v>
      </c>
      <c r="W747" s="2">
        <v>15.43</v>
      </c>
      <c r="X747" s="2">
        <v>17.66</v>
      </c>
      <c r="Y747" s="2">
        <v>16.489999999999998</v>
      </c>
      <c r="Z747" s="2">
        <v>6.75</v>
      </c>
      <c r="AA747" s="2">
        <v>0</v>
      </c>
      <c r="AB747" s="2">
        <v>2.86</v>
      </c>
      <c r="AC747" s="2">
        <v>6.89</v>
      </c>
      <c r="AD747" s="2">
        <v>2.12</v>
      </c>
      <c r="AE747" s="2">
        <v>49.03</v>
      </c>
      <c r="AF747" s="2">
        <v>68.44</v>
      </c>
      <c r="AG747" s="2">
        <v>12.92</v>
      </c>
      <c r="AH747" s="4">
        <f t="shared" si="11"/>
        <v>890.90999999999985</v>
      </c>
    </row>
    <row r="748" spans="1:34" x14ac:dyDescent="0.2">
      <c r="A748" s="3">
        <v>30681</v>
      </c>
      <c r="B748" s="2">
        <v>19.489999999999998</v>
      </c>
      <c r="C748" s="2">
        <v>69.680000000000007</v>
      </c>
      <c r="D748" s="2">
        <v>97.25</v>
      </c>
      <c r="E748" s="2">
        <v>242.53</v>
      </c>
      <c r="F748" s="2">
        <v>247.28</v>
      </c>
      <c r="G748" s="2">
        <v>226.95</v>
      </c>
      <c r="H748" s="2">
        <v>39.28</v>
      </c>
      <c r="I748" s="2">
        <v>77.55</v>
      </c>
      <c r="J748" s="2">
        <v>74.58</v>
      </c>
      <c r="K748" s="2">
        <v>63.96</v>
      </c>
      <c r="L748" s="2">
        <v>54.82</v>
      </c>
      <c r="M748" s="2">
        <v>51.49</v>
      </c>
      <c r="N748" s="2">
        <v>100.85</v>
      </c>
      <c r="O748" s="2">
        <v>30.28</v>
      </c>
      <c r="P748" s="2">
        <v>83.44</v>
      </c>
      <c r="Q748" s="2">
        <v>8.5</v>
      </c>
      <c r="R748" s="2">
        <v>17.13</v>
      </c>
      <c r="S748" s="2">
        <v>43.51</v>
      </c>
      <c r="T748" s="2">
        <v>37.450000000000003</v>
      </c>
      <c r="U748" s="2">
        <v>16.239999999999998</v>
      </c>
      <c r="V748" s="2">
        <v>27.39</v>
      </c>
      <c r="W748" s="2">
        <v>11.73</v>
      </c>
      <c r="X748" s="2">
        <v>15</v>
      </c>
      <c r="Y748" s="2">
        <v>15.04</v>
      </c>
      <c r="Z748" s="2">
        <v>4.16</v>
      </c>
      <c r="AA748" s="2">
        <v>14.62</v>
      </c>
      <c r="AB748" s="2">
        <v>4.0599999999999996</v>
      </c>
      <c r="AC748" s="2">
        <v>0</v>
      </c>
      <c r="AD748" s="2">
        <v>1.96</v>
      </c>
      <c r="AE748" s="2">
        <v>35.700000000000003</v>
      </c>
      <c r="AF748" s="2">
        <v>62.88</v>
      </c>
      <c r="AG748" s="2">
        <v>11.2</v>
      </c>
      <c r="AH748" s="4">
        <f t="shared" si="11"/>
        <v>1629.65</v>
      </c>
    </row>
    <row r="749" spans="1:34" x14ac:dyDescent="0.2">
      <c r="A749" s="3">
        <v>30712</v>
      </c>
      <c r="B749" s="2">
        <v>9.93</v>
      </c>
      <c r="C749" s="2">
        <v>39.01</v>
      </c>
      <c r="D749" s="2">
        <v>-33.22</v>
      </c>
      <c r="E749" s="2">
        <v>-130.30000000000001</v>
      </c>
      <c r="F749" s="2">
        <v>-105.55</v>
      </c>
      <c r="G749" s="2">
        <v>-53.04</v>
      </c>
      <c r="H749" s="2">
        <v>0.2</v>
      </c>
      <c r="I749" s="2">
        <v>60.45</v>
      </c>
      <c r="J749" s="2">
        <v>1.79</v>
      </c>
      <c r="K749" s="2">
        <v>1.75</v>
      </c>
      <c r="L749" s="2">
        <v>30.5</v>
      </c>
      <c r="M749" s="2">
        <v>19.53</v>
      </c>
      <c r="N749" s="2">
        <v>56.08</v>
      </c>
      <c r="O749" s="2">
        <v>24.55</v>
      </c>
      <c r="P749" s="2">
        <v>-2.5299999999999998</v>
      </c>
      <c r="Q749" s="2">
        <v>13.55</v>
      </c>
      <c r="R749" s="2">
        <v>19.95</v>
      </c>
      <c r="S749" s="2">
        <v>-3.38</v>
      </c>
      <c r="T749" s="2">
        <v>17.48</v>
      </c>
      <c r="U749" s="2">
        <v>17.829999999999998</v>
      </c>
      <c r="V749" s="2">
        <v>24.14</v>
      </c>
      <c r="W749" s="2">
        <v>4.26</v>
      </c>
      <c r="X749" s="2">
        <v>13.17</v>
      </c>
      <c r="Y749" s="2">
        <v>11.75</v>
      </c>
      <c r="Z749" s="2">
        <v>0</v>
      </c>
      <c r="AA749" s="2">
        <v>5.4</v>
      </c>
      <c r="AB749" s="2">
        <v>0</v>
      </c>
      <c r="AC749" s="2">
        <v>20.74</v>
      </c>
      <c r="AD749" s="2">
        <v>1.82</v>
      </c>
      <c r="AE749" s="2">
        <v>1.58</v>
      </c>
      <c r="AF749" s="2">
        <v>72.7</v>
      </c>
      <c r="AG749" s="2">
        <v>9.8800000000000008</v>
      </c>
      <c r="AH749" s="4">
        <f t="shared" si="11"/>
        <v>8.719999999999942</v>
      </c>
    </row>
    <row r="750" spans="1:34" x14ac:dyDescent="0.2">
      <c r="A750" s="3">
        <v>30741</v>
      </c>
      <c r="B750" s="2">
        <v>3.62</v>
      </c>
      <c r="C750" s="2">
        <v>30.48</v>
      </c>
      <c r="D750" s="2">
        <v>-27.91</v>
      </c>
      <c r="E750" s="2">
        <v>-98.24</v>
      </c>
      <c r="F750" s="2">
        <v>-69.319999999999993</v>
      </c>
      <c r="G750" s="2">
        <v>-82.82</v>
      </c>
      <c r="H750" s="2">
        <v>2.31</v>
      </c>
      <c r="I750" s="2">
        <v>54.4</v>
      </c>
      <c r="J750" s="2">
        <v>-25.74</v>
      </c>
      <c r="K750" s="2">
        <v>-39.94</v>
      </c>
      <c r="L750" s="2">
        <v>-36.43</v>
      </c>
      <c r="M750" s="2">
        <v>-17.18</v>
      </c>
      <c r="N750" s="2">
        <v>6.44</v>
      </c>
      <c r="O750" s="2">
        <v>27.54</v>
      </c>
      <c r="P750" s="2">
        <v>-49.38</v>
      </c>
      <c r="Q750" s="2">
        <v>2.4</v>
      </c>
      <c r="R750" s="2">
        <v>21.42</v>
      </c>
      <c r="S750" s="2">
        <v>-3.52</v>
      </c>
      <c r="T750" s="2">
        <v>14.53</v>
      </c>
      <c r="U750" s="2">
        <v>20.77</v>
      </c>
      <c r="V750" s="2">
        <v>23.83</v>
      </c>
      <c r="W750" s="2">
        <v>0</v>
      </c>
      <c r="X750" s="2">
        <v>6.06</v>
      </c>
      <c r="Y750" s="2">
        <v>5.94</v>
      </c>
      <c r="Z750" s="2">
        <v>0.1</v>
      </c>
      <c r="AA750" s="2">
        <v>0</v>
      </c>
      <c r="AB750" s="2">
        <v>0.27</v>
      </c>
      <c r="AC750" s="2">
        <v>19.670000000000002</v>
      </c>
      <c r="AD750" s="2">
        <v>2.0699999999999998</v>
      </c>
      <c r="AE750" s="2">
        <v>13.42</v>
      </c>
      <c r="AF750" s="2">
        <v>60.6</v>
      </c>
      <c r="AG750" s="2">
        <v>10.08</v>
      </c>
      <c r="AH750" s="4">
        <f t="shared" si="11"/>
        <v>-242.74</v>
      </c>
    </row>
    <row r="751" spans="1:34" x14ac:dyDescent="0.2">
      <c r="A751" s="3">
        <v>30772</v>
      </c>
      <c r="B751" s="2">
        <v>6.91</v>
      </c>
      <c r="C751" s="2">
        <v>28.93</v>
      </c>
      <c r="D751" s="2">
        <v>-12.4</v>
      </c>
      <c r="E751" s="2">
        <v>-41.38</v>
      </c>
      <c r="F751" s="2">
        <v>-17.18</v>
      </c>
      <c r="G751" s="2">
        <v>-41.08</v>
      </c>
      <c r="H751" s="2">
        <v>13.01</v>
      </c>
      <c r="I751" s="2">
        <v>57.86</v>
      </c>
      <c r="J751" s="2">
        <v>-10.94</v>
      </c>
      <c r="K751" s="2">
        <v>-9.08</v>
      </c>
      <c r="L751" s="2">
        <v>-28.48</v>
      </c>
      <c r="M751" s="2">
        <v>-11.47</v>
      </c>
      <c r="N751" s="2">
        <v>48.76</v>
      </c>
      <c r="O751" s="2">
        <v>42.05</v>
      </c>
      <c r="P751" s="2">
        <v>45.85</v>
      </c>
      <c r="Q751" s="2">
        <v>2.96</v>
      </c>
      <c r="R751" s="2">
        <v>9.2200000000000006</v>
      </c>
      <c r="S751" s="2">
        <v>3.72</v>
      </c>
      <c r="T751" s="2">
        <v>28.33</v>
      </c>
      <c r="U751" s="2">
        <v>11.75</v>
      </c>
      <c r="V751" s="2">
        <v>25.23</v>
      </c>
      <c r="W751" s="2">
        <v>0</v>
      </c>
      <c r="X751" s="2">
        <v>7.43</v>
      </c>
      <c r="Y751" s="2">
        <v>6.38</v>
      </c>
      <c r="Z751" s="2">
        <v>0.38</v>
      </c>
      <c r="AA751" s="2">
        <v>0</v>
      </c>
      <c r="AB751" s="2">
        <v>0.2</v>
      </c>
      <c r="AC751" s="2">
        <v>37.47</v>
      </c>
      <c r="AD751" s="2">
        <v>3.92</v>
      </c>
      <c r="AE751" s="2">
        <v>8.1999999999999993</v>
      </c>
      <c r="AF751" s="2">
        <v>71.510000000000005</v>
      </c>
      <c r="AG751" s="2">
        <v>10.69</v>
      </c>
      <c r="AH751" s="4">
        <f t="shared" si="11"/>
        <v>152.57</v>
      </c>
    </row>
    <row r="752" spans="1:34" x14ac:dyDescent="0.2">
      <c r="A752" s="3">
        <v>30802</v>
      </c>
      <c r="B752" s="2">
        <v>2.7</v>
      </c>
      <c r="C752" s="2">
        <v>29.24</v>
      </c>
      <c r="D752" s="2">
        <v>-10.17</v>
      </c>
      <c r="E752" s="2">
        <v>-38.950000000000003</v>
      </c>
      <c r="F752" s="2">
        <v>-34.74</v>
      </c>
      <c r="G752" s="2">
        <v>-37.950000000000003</v>
      </c>
      <c r="H752" s="2">
        <v>3.1</v>
      </c>
      <c r="I752" s="2">
        <v>55.84</v>
      </c>
      <c r="J752" s="2">
        <v>-31.71</v>
      </c>
      <c r="K752" s="2">
        <v>-30.25</v>
      </c>
      <c r="L752" s="2">
        <v>-40.69</v>
      </c>
      <c r="M752" s="2">
        <v>-24.66</v>
      </c>
      <c r="N752" s="2">
        <v>33.380000000000003</v>
      </c>
      <c r="O752" s="2">
        <v>39.549999999999997</v>
      </c>
      <c r="P752" s="2">
        <v>8.82</v>
      </c>
      <c r="Q752" s="2">
        <v>4.38</v>
      </c>
      <c r="R752" s="2">
        <v>25.11</v>
      </c>
      <c r="S752" s="2">
        <v>5.0199999999999996</v>
      </c>
      <c r="T752" s="2">
        <v>15.69</v>
      </c>
      <c r="U752" s="2">
        <v>19.97</v>
      </c>
      <c r="V752" s="2">
        <v>16.21</v>
      </c>
      <c r="W752" s="2">
        <v>0</v>
      </c>
      <c r="X752" s="2">
        <v>9.15</v>
      </c>
      <c r="Y752" s="2">
        <v>8.33</v>
      </c>
      <c r="Z752" s="2">
        <v>0</v>
      </c>
      <c r="AA752" s="2">
        <v>0</v>
      </c>
      <c r="AB752" s="2">
        <v>0.04</v>
      </c>
      <c r="AC752" s="2">
        <v>5.74</v>
      </c>
      <c r="AD752" s="2">
        <v>4.18</v>
      </c>
      <c r="AE752" s="2">
        <v>5.22</v>
      </c>
      <c r="AF752" s="2">
        <v>88.49</v>
      </c>
      <c r="AG752" s="2">
        <v>14.64</v>
      </c>
      <c r="AH752" s="4">
        <f t="shared" si="11"/>
        <v>9.8899999999999793</v>
      </c>
    </row>
    <row r="753" spans="1:34" x14ac:dyDescent="0.2">
      <c r="A753" s="3">
        <v>30833</v>
      </c>
      <c r="B753" s="2">
        <v>2.65</v>
      </c>
      <c r="C753" s="2">
        <v>20.51</v>
      </c>
      <c r="D753" s="2">
        <v>-11.85</v>
      </c>
      <c r="E753" s="2">
        <v>-21.5</v>
      </c>
      <c r="F753" s="2">
        <v>-12.82</v>
      </c>
      <c r="G753" s="2">
        <v>-17.91</v>
      </c>
      <c r="H753" s="2">
        <v>9.51</v>
      </c>
      <c r="I753" s="2">
        <v>37.590000000000003</v>
      </c>
      <c r="J753" s="2">
        <v>-21.88</v>
      </c>
      <c r="K753" s="2">
        <v>-10.11</v>
      </c>
      <c r="L753" s="2">
        <v>-16.47</v>
      </c>
      <c r="M753" s="2">
        <v>-2.78</v>
      </c>
      <c r="N753" s="2">
        <v>38.06</v>
      </c>
      <c r="O753" s="2">
        <v>32.549999999999997</v>
      </c>
      <c r="P753" s="2">
        <v>46.49</v>
      </c>
      <c r="Q753" s="2">
        <v>4.1399999999999997</v>
      </c>
      <c r="R753" s="2">
        <v>17.149999999999999</v>
      </c>
      <c r="S753" s="2">
        <v>8.42</v>
      </c>
      <c r="T753" s="2">
        <v>23.45</v>
      </c>
      <c r="U753" s="2">
        <v>13.18</v>
      </c>
      <c r="V753" s="2">
        <v>25.87</v>
      </c>
      <c r="W753" s="2">
        <v>4.88</v>
      </c>
      <c r="X753" s="2">
        <v>12.62</v>
      </c>
      <c r="Y753" s="2">
        <v>11.17</v>
      </c>
      <c r="Z753" s="2">
        <v>0</v>
      </c>
      <c r="AA753" s="2">
        <v>0</v>
      </c>
      <c r="AB753" s="2">
        <v>0</v>
      </c>
      <c r="AC753" s="2">
        <v>0</v>
      </c>
      <c r="AD753" s="2">
        <v>6.89</v>
      </c>
      <c r="AE753" s="2">
        <v>0</v>
      </c>
      <c r="AF753" s="2">
        <v>99.93</v>
      </c>
      <c r="AG753" s="2">
        <v>17.690000000000001</v>
      </c>
      <c r="AH753" s="4">
        <f t="shared" si="11"/>
        <v>164.25</v>
      </c>
    </row>
    <row r="754" spans="1:34" x14ac:dyDescent="0.2">
      <c r="A754" s="3">
        <v>30863</v>
      </c>
      <c r="B754" s="2">
        <v>2.57</v>
      </c>
      <c r="C754" s="2">
        <v>25.62</v>
      </c>
      <c r="D754" s="2">
        <v>-12.53</v>
      </c>
      <c r="E754" s="2">
        <v>-20.25</v>
      </c>
      <c r="F754" s="2">
        <v>4.8099999999999996</v>
      </c>
      <c r="G754" s="2">
        <v>-1.25</v>
      </c>
      <c r="H754" s="2">
        <v>15.46</v>
      </c>
      <c r="I754" s="2">
        <v>39.25</v>
      </c>
      <c r="J754" s="2">
        <v>-18.27</v>
      </c>
      <c r="K754" s="2">
        <v>-5.81</v>
      </c>
      <c r="L754" s="2">
        <v>-14.53</v>
      </c>
      <c r="M754" s="2">
        <v>1.65</v>
      </c>
      <c r="N754" s="2">
        <v>53.31</v>
      </c>
      <c r="O754" s="2">
        <v>32.81</v>
      </c>
      <c r="P754" s="2">
        <v>34.99</v>
      </c>
      <c r="Q754" s="2">
        <v>11.24</v>
      </c>
      <c r="R754" s="2">
        <v>16.190000000000001</v>
      </c>
      <c r="S754" s="2">
        <v>10.53</v>
      </c>
      <c r="T754" s="2">
        <v>58.44</v>
      </c>
      <c r="U754" s="2">
        <v>15.24</v>
      </c>
      <c r="V754" s="2">
        <v>49.28</v>
      </c>
      <c r="W754" s="2">
        <v>18.62</v>
      </c>
      <c r="X754" s="2">
        <v>18.41</v>
      </c>
      <c r="Y754" s="2">
        <v>17.59</v>
      </c>
      <c r="Z754" s="2">
        <v>0.24</v>
      </c>
      <c r="AA754" s="2">
        <v>0</v>
      </c>
      <c r="AB754" s="2">
        <v>0</v>
      </c>
      <c r="AC754" s="2">
        <v>0</v>
      </c>
      <c r="AD754" s="2">
        <v>12.78</v>
      </c>
      <c r="AE754" s="2">
        <v>0.09</v>
      </c>
      <c r="AF754" s="2">
        <v>109.37</v>
      </c>
      <c r="AG754" s="2">
        <v>22.83</v>
      </c>
      <c r="AH754" s="4">
        <f t="shared" si="11"/>
        <v>298.75</v>
      </c>
    </row>
    <row r="755" spans="1:34" x14ac:dyDescent="0.2">
      <c r="A755" s="3">
        <v>30894</v>
      </c>
      <c r="B755" s="2">
        <v>2.7</v>
      </c>
      <c r="C755" s="2">
        <v>28.52</v>
      </c>
      <c r="D755" s="2">
        <v>-10.06</v>
      </c>
      <c r="E755" s="2">
        <v>6.48</v>
      </c>
      <c r="F755" s="2">
        <v>18.22</v>
      </c>
      <c r="G755" s="2">
        <v>16.98</v>
      </c>
      <c r="H755" s="2">
        <v>23.69</v>
      </c>
      <c r="I755" s="2">
        <v>47.82</v>
      </c>
      <c r="J755" s="2">
        <v>-11.78</v>
      </c>
      <c r="K755" s="2">
        <v>-5.93</v>
      </c>
      <c r="L755" s="2">
        <v>1.59</v>
      </c>
      <c r="M755" s="2">
        <v>10.83</v>
      </c>
      <c r="N755" s="2">
        <v>46.96</v>
      </c>
      <c r="O755" s="2">
        <v>51.51</v>
      </c>
      <c r="P755" s="2">
        <v>43.77</v>
      </c>
      <c r="Q755" s="2">
        <v>13.13</v>
      </c>
      <c r="R755" s="2">
        <v>21.47</v>
      </c>
      <c r="S755" s="2">
        <v>24.72</v>
      </c>
      <c r="T755" s="2">
        <v>55.84</v>
      </c>
      <c r="U755" s="2">
        <v>29.89</v>
      </c>
      <c r="V755" s="2">
        <v>49.28</v>
      </c>
      <c r="W755" s="2">
        <v>30.39</v>
      </c>
      <c r="X755" s="2">
        <v>24.1</v>
      </c>
      <c r="Y755" s="2">
        <v>23.69</v>
      </c>
      <c r="Z755" s="2">
        <v>2.39</v>
      </c>
      <c r="AA755" s="2">
        <v>0</v>
      </c>
      <c r="AB755" s="2">
        <v>0.33</v>
      </c>
      <c r="AC755" s="2">
        <v>0</v>
      </c>
      <c r="AD755" s="2">
        <v>11.31</v>
      </c>
      <c r="AE755" s="2">
        <v>0</v>
      </c>
      <c r="AF755" s="2">
        <v>119.1</v>
      </c>
      <c r="AG755" s="2">
        <v>24.8</v>
      </c>
      <c r="AH755" s="4">
        <f t="shared" si="11"/>
        <v>465.63</v>
      </c>
    </row>
    <row r="756" spans="1:34" x14ac:dyDescent="0.2">
      <c r="A756" s="3">
        <v>30925</v>
      </c>
      <c r="B756" s="2">
        <v>0.67</v>
      </c>
      <c r="C756" s="2">
        <v>28.6</v>
      </c>
      <c r="D756" s="2">
        <v>-13.06</v>
      </c>
      <c r="E756" s="2">
        <v>-7.65</v>
      </c>
      <c r="F756" s="2">
        <v>-6.5</v>
      </c>
      <c r="G756" s="2">
        <v>20.8</v>
      </c>
      <c r="H756" s="2">
        <v>17.8</v>
      </c>
      <c r="I756" s="2">
        <v>49.78</v>
      </c>
      <c r="J756" s="2">
        <v>-3.41</v>
      </c>
      <c r="K756" s="2">
        <v>-1.02</v>
      </c>
      <c r="L756" s="2">
        <v>2.2999999999999998</v>
      </c>
      <c r="M756" s="2">
        <v>10.74</v>
      </c>
      <c r="N756" s="2">
        <v>40.57</v>
      </c>
      <c r="O756" s="2">
        <v>38.799999999999997</v>
      </c>
      <c r="P756" s="2">
        <v>54.92</v>
      </c>
      <c r="Q756" s="2">
        <v>8.4</v>
      </c>
      <c r="R756" s="2">
        <v>20.38</v>
      </c>
      <c r="S756" s="2">
        <v>25.27</v>
      </c>
      <c r="T756" s="2">
        <v>63.47</v>
      </c>
      <c r="U756" s="2">
        <v>29.44</v>
      </c>
      <c r="V756" s="2">
        <v>51.39</v>
      </c>
      <c r="W756" s="2">
        <v>31.47</v>
      </c>
      <c r="X756" s="2">
        <v>26.53</v>
      </c>
      <c r="Y756" s="2">
        <v>26.21</v>
      </c>
      <c r="Z756" s="2">
        <v>1.1000000000000001</v>
      </c>
      <c r="AA756" s="2">
        <v>0.35</v>
      </c>
      <c r="AB756" s="2">
        <v>0.89</v>
      </c>
      <c r="AC756" s="2">
        <v>4.16</v>
      </c>
      <c r="AD756" s="2">
        <v>9.51</v>
      </c>
      <c r="AE756" s="2">
        <v>0</v>
      </c>
      <c r="AF756" s="2">
        <v>121.13</v>
      </c>
      <c r="AG756" s="2">
        <v>23.65</v>
      </c>
      <c r="AH756" s="4">
        <f t="shared" si="11"/>
        <v>431.69</v>
      </c>
    </row>
    <row r="757" spans="1:34" x14ac:dyDescent="0.2">
      <c r="A757" s="3">
        <v>30955</v>
      </c>
      <c r="B757" s="2">
        <v>-2.48</v>
      </c>
      <c r="C757" s="2">
        <v>29.68</v>
      </c>
      <c r="D757" s="2">
        <v>-13.7</v>
      </c>
      <c r="E757" s="2">
        <v>-27.99</v>
      </c>
      <c r="F757" s="2">
        <v>-1.77</v>
      </c>
      <c r="G757" s="2">
        <v>8.5399999999999991</v>
      </c>
      <c r="H757" s="2">
        <v>19.18</v>
      </c>
      <c r="I757" s="2">
        <v>58.71</v>
      </c>
      <c r="J757" s="2">
        <v>8.15</v>
      </c>
      <c r="K757" s="2">
        <v>-2.97</v>
      </c>
      <c r="L757" s="2">
        <v>-0.2</v>
      </c>
      <c r="M757" s="2">
        <v>5.99</v>
      </c>
      <c r="N757" s="2">
        <v>37.57</v>
      </c>
      <c r="O757" s="2">
        <v>30.41</v>
      </c>
      <c r="P757" s="2">
        <v>17.2</v>
      </c>
      <c r="Q757" s="2">
        <v>11.22</v>
      </c>
      <c r="R757" s="2">
        <v>20.02</v>
      </c>
      <c r="S757" s="2">
        <v>-0.02</v>
      </c>
      <c r="T757" s="2">
        <v>14.6</v>
      </c>
      <c r="U757" s="2">
        <v>14.37</v>
      </c>
      <c r="V757" s="2">
        <v>23.38</v>
      </c>
      <c r="W757" s="2">
        <v>26.1</v>
      </c>
      <c r="X757" s="2">
        <v>25.12</v>
      </c>
      <c r="Y757" s="2">
        <v>24.61</v>
      </c>
      <c r="Z757" s="2">
        <v>0.72</v>
      </c>
      <c r="AA757" s="2">
        <v>2.2599999999999998</v>
      </c>
      <c r="AB757" s="2">
        <v>0.04</v>
      </c>
      <c r="AC757" s="2">
        <v>0.36</v>
      </c>
      <c r="AD757" s="2">
        <v>5.7</v>
      </c>
      <c r="AE757" s="2">
        <v>0.19</v>
      </c>
      <c r="AF757" s="2">
        <v>112.82</v>
      </c>
      <c r="AG757" s="2">
        <v>20.170000000000002</v>
      </c>
      <c r="AH757" s="4">
        <f t="shared" si="11"/>
        <v>249.89</v>
      </c>
    </row>
    <row r="758" spans="1:34" x14ac:dyDescent="0.2">
      <c r="A758" s="3">
        <v>30986</v>
      </c>
      <c r="B758" s="2">
        <v>-0.6</v>
      </c>
      <c r="C758" s="2">
        <v>21.78</v>
      </c>
      <c r="D758" s="2">
        <v>-4.9800000000000004</v>
      </c>
      <c r="E758" s="2">
        <v>-14.77</v>
      </c>
      <c r="F758" s="2">
        <v>-16.09</v>
      </c>
      <c r="G758" s="2">
        <v>6.8</v>
      </c>
      <c r="H758" s="2">
        <v>13.98</v>
      </c>
      <c r="I758" s="2">
        <v>49.07</v>
      </c>
      <c r="J758" s="2">
        <v>12.18</v>
      </c>
      <c r="K758" s="2">
        <v>-0.31</v>
      </c>
      <c r="L758" s="2">
        <v>11.08</v>
      </c>
      <c r="M758" s="2">
        <v>9.98</v>
      </c>
      <c r="N758" s="2">
        <v>32.83</v>
      </c>
      <c r="O758" s="2">
        <v>17.36</v>
      </c>
      <c r="P758" s="2">
        <v>49.33</v>
      </c>
      <c r="Q758" s="2">
        <v>-5.75</v>
      </c>
      <c r="R758" s="2">
        <v>7.96</v>
      </c>
      <c r="S758" s="2">
        <v>-14.62</v>
      </c>
      <c r="T758" s="2">
        <v>20.09</v>
      </c>
      <c r="U758" s="2">
        <v>2.13</v>
      </c>
      <c r="V758" s="2">
        <v>19.32</v>
      </c>
      <c r="W758" s="2">
        <v>22.19</v>
      </c>
      <c r="X758" s="2">
        <v>23.19</v>
      </c>
      <c r="Y758" s="2">
        <v>22.67</v>
      </c>
      <c r="Z758" s="2">
        <v>2.92</v>
      </c>
      <c r="AA758" s="2">
        <v>0</v>
      </c>
      <c r="AB758" s="2">
        <v>1.3</v>
      </c>
      <c r="AC758" s="2">
        <v>7.03</v>
      </c>
      <c r="AD758" s="2">
        <v>3.91</v>
      </c>
      <c r="AE758" s="2">
        <v>16.309999999999999</v>
      </c>
      <c r="AF758" s="2">
        <v>102.33</v>
      </c>
      <c r="AG758" s="2">
        <v>16.420000000000002</v>
      </c>
      <c r="AH758" s="4">
        <f t="shared" si="11"/>
        <v>216.76999999999998</v>
      </c>
    </row>
    <row r="759" spans="1:34" x14ac:dyDescent="0.2">
      <c r="A759" s="3">
        <v>31016</v>
      </c>
      <c r="B759" s="2">
        <v>4.6900000000000004</v>
      </c>
      <c r="C759" s="2">
        <v>34.729999999999997</v>
      </c>
      <c r="D759" s="2">
        <v>53.3</v>
      </c>
      <c r="E759" s="2">
        <v>97.77</v>
      </c>
      <c r="F759" s="2">
        <v>49.5</v>
      </c>
      <c r="G759" s="2">
        <v>103.87</v>
      </c>
      <c r="H759" s="2">
        <v>36.54</v>
      </c>
      <c r="I759" s="2">
        <v>56.84</v>
      </c>
      <c r="J759" s="2">
        <v>45.56</v>
      </c>
      <c r="K759" s="2">
        <v>28.84</v>
      </c>
      <c r="L759" s="2">
        <v>9.57</v>
      </c>
      <c r="M759" s="2">
        <v>17.690000000000001</v>
      </c>
      <c r="N759" s="2">
        <v>32.07</v>
      </c>
      <c r="O759" s="2">
        <v>26.25</v>
      </c>
      <c r="P759" s="2">
        <v>36.340000000000003</v>
      </c>
      <c r="Q759" s="2">
        <v>1.1200000000000001</v>
      </c>
      <c r="R759" s="2">
        <v>8.1</v>
      </c>
      <c r="S759" s="2">
        <v>18.940000000000001</v>
      </c>
      <c r="T759" s="2">
        <v>-4.95</v>
      </c>
      <c r="U759" s="2">
        <v>9.89</v>
      </c>
      <c r="V759" s="2">
        <v>21.97</v>
      </c>
      <c r="W759" s="2">
        <v>15.43</v>
      </c>
      <c r="X759" s="2">
        <v>15.05</v>
      </c>
      <c r="Y759" s="2">
        <v>13.56</v>
      </c>
      <c r="Z759" s="2">
        <v>25.22</v>
      </c>
      <c r="AA759" s="2">
        <v>4.7</v>
      </c>
      <c r="AB759" s="2">
        <v>6.06</v>
      </c>
      <c r="AC759" s="2">
        <v>10.119999999999999</v>
      </c>
      <c r="AD759" s="2">
        <v>2.5</v>
      </c>
      <c r="AE759" s="2">
        <v>36.729999999999997</v>
      </c>
      <c r="AF759" s="2">
        <v>67.14</v>
      </c>
      <c r="AG759" s="2">
        <v>12.92</v>
      </c>
      <c r="AH759" s="4">
        <f t="shared" si="11"/>
        <v>688.63000000000022</v>
      </c>
    </row>
    <row r="760" spans="1:34" x14ac:dyDescent="0.2">
      <c r="A760" s="3">
        <v>31047</v>
      </c>
      <c r="B760" s="2">
        <v>2.71</v>
      </c>
      <c r="C760" s="2">
        <v>27.67</v>
      </c>
      <c r="D760" s="2">
        <v>6.41</v>
      </c>
      <c r="E760" s="2">
        <v>-8.83</v>
      </c>
      <c r="F760" s="2">
        <v>5.0199999999999996</v>
      </c>
      <c r="G760" s="2">
        <v>16.670000000000002</v>
      </c>
      <c r="H760" s="2">
        <v>12.42</v>
      </c>
      <c r="I760" s="2">
        <v>50.57</v>
      </c>
      <c r="J760" s="2">
        <v>20.420000000000002</v>
      </c>
      <c r="K760" s="2">
        <v>21.94</v>
      </c>
      <c r="L760" s="2">
        <v>22.35</v>
      </c>
      <c r="M760" s="2">
        <v>17.13</v>
      </c>
      <c r="N760" s="2">
        <v>31.87</v>
      </c>
      <c r="O760" s="2">
        <v>22.04</v>
      </c>
      <c r="P760" s="2">
        <v>55.82</v>
      </c>
      <c r="Q760" s="2">
        <v>0.22</v>
      </c>
      <c r="R760" s="2">
        <v>8.91</v>
      </c>
      <c r="S760" s="2">
        <v>6.9</v>
      </c>
      <c r="T760" s="2">
        <v>-8.74</v>
      </c>
      <c r="U760" s="2">
        <v>9.82</v>
      </c>
      <c r="V760" s="2">
        <v>20.52</v>
      </c>
      <c r="W760" s="2">
        <v>11.73</v>
      </c>
      <c r="X760" s="2">
        <v>12.6</v>
      </c>
      <c r="Y760" s="2">
        <v>12.33</v>
      </c>
      <c r="Z760" s="2">
        <v>0</v>
      </c>
      <c r="AA760" s="2">
        <v>25.41</v>
      </c>
      <c r="AB760" s="2">
        <v>4.96</v>
      </c>
      <c r="AC760" s="2">
        <v>6.24</v>
      </c>
      <c r="AD760" s="2">
        <v>2.46</v>
      </c>
      <c r="AE760" s="2">
        <v>16.13</v>
      </c>
      <c r="AF760" s="2">
        <v>61.69</v>
      </c>
      <c r="AG760" s="2">
        <v>11.2</v>
      </c>
      <c r="AH760" s="4">
        <f t="shared" si="11"/>
        <v>341.84</v>
      </c>
    </row>
    <row r="761" spans="1:34" x14ac:dyDescent="0.2">
      <c r="A761" s="3">
        <v>31078</v>
      </c>
      <c r="B761" s="2">
        <v>-2.35</v>
      </c>
      <c r="C761" s="2">
        <v>17.350000000000001</v>
      </c>
      <c r="D761" s="2">
        <v>-13.12</v>
      </c>
      <c r="E761" s="2">
        <v>-45.03</v>
      </c>
      <c r="F761" s="2">
        <v>-20.239999999999998</v>
      </c>
      <c r="G761" s="2">
        <v>-20.12</v>
      </c>
      <c r="H761" s="2">
        <v>0.79</v>
      </c>
      <c r="I761" s="2">
        <v>41.07</v>
      </c>
      <c r="J761" s="2">
        <v>-4.2300000000000004</v>
      </c>
      <c r="K761" s="2">
        <v>-13.47</v>
      </c>
      <c r="L761" s="2">
        <v>2.59</v>
      </c>
      <c r="M761" s="2">
        <v>-8.69</v>
      </c>
      <c r="N761" s="2">
        <v>14.17</v>
      </c>
      <c r="O761" s="2">
        <v>21.12</v>
      </c>
      <c r="P761" s="2">
        <v>22.04</v>
      </c>
      <c r="Q761" s="2">
        <v>3.07</v>
      </c>
      <c r="R761" s="2">
        <v>10.63</v>
      </c>
      <c r="S761" s="2">
        <v>-1.49</v>
      </c>
      <c r="T761" s="2">
        <v>2.4300000000000002</v>
      </c>
      <c r="U761" s="2">
        <v>10.32</v>
      </c>
      <c r="V761" s="2">
        <v>14.08</v>
      </c>
      <c r="W761" s="2">
        <v>4.26</v>
      </c>
      <c r="X761" s="2">
        <v>6.88</v>
      </c>
      <c r="Y761" s="2">
        <v>5.51</v>
      </c>
      <c r="Z761" s="2">
        <v>1.05</v>
      </c>
      <c r="AA761" s="2">
        <v>1.39</v>
      </c>
      <c r="AB761" s="2">
        <v>1.03</v>
      </c>
      <c r="AC761" s="2">
        <v>0</v>
      </c>
      <c r="AD761" s="2">
        <v>2.1800000000000002</v>
      </c>
      <c r="AE761" s="2">
        <v>6.9</v>
      </c>
      <c r="AF761" s="2">
        <v>70.260000000000005</v>
      </c>
      <c r="AG761" s="2">
        <v>9.8800000000000008</v>
      </c>
      <c r="AH761" s="4">
        <f t="shared" si="11"/>
        <v>30.920000000000016</v>
      </c>
    </row>
    <row r="762" spans="1:34" x14ac:dyDescent="0.2">
      <c r="A762" s="3">
        <v>31106</v>
      </c>
      <c r="B762" s="2">
        <v>-2.41</v>
      </c>
      <c r="C762" s="2">
        <v>17.38</v>
      </c>
      <c r="D762" s="2">
        <v>-8.14</v>
      </c>
      <c r="E762" s="2">
        <v>-25.38</v>
      </c>
      <c r="F762" s="2">
        <v>1.75</v>
      </c>
      <c r="G762" s="2">
        <v>4.92</v>
      </c>
      <c r="H762" s="2">
        <v>10.53</v>
      </c>
      <c r="I762" s="2">
        <v>44.59</v>
      </c>
      <c r="J762" s="2">
        <v>-1.1599999999999999</v>
      </c>
      <c r="K762" s="2">
        <v>-5.25</v>
      </c>
      <c r="L762" s="2">
        <v>-13.2</v>
      </c>
      <c r="M762" s="2">
        <v>-7.5</v>
      </c>
      <c r="N762" s="2">
        <v>21.2</v>
      </c>
      <c r="O762" s="2">
        <v>21.89</v>
      </c>
      <c r="P762" s="2">
        <v>19.47</v>
      </c>
      <c r="Q762" s="2">
        <v>3.33</v>
      </c>
      <c r="R762" s="2">
        <v>15.82</v>
      </c>
      <c r="S762" s="2">
        <v>-7.53</v>
      </c>
      <c r="T762" s="2">
        <v>16.98</v>
      </c>
      <c r="U762" s="2">
        <v>12.09</v>
      </c>
      <c r="V762" s="2">
        <v>18.97</v>
      </c>
      <c r="W762" s="2">
        <v>0</v>
      </c>
      <c r="X762" s="2">
        <v>0.84</v>
      </c>
      <c r="Y762" s="2">
        <v>0.82</v>
      </c>
      <c r="Z762" s="2">
        <v>0</v>
      </c>
      <c r="AA762" s="2">
        <v>2.96</v>
      </c>
      <c r="AB762" s="2">
        <v>0</v>
      </c>
      <c r="AC762" s="2">
        <v>0.14000000000000001</v>
      </c>
      <c r="AD762" s="2">
        <v>2.2799999999999998</v>
      </c>
      <c r="AE762" s="2">
        <v>7.08</v>
      </c>
      <c r="AF762" s="2">
        <v>58.57</v>
      </c>
      <c r="AG762" s="2">
        <v>10.08</v>
      </c>
      <c r="AH762" s="4">
        <f t="shared" si="11"/>
        <v>138.35000000000002</v>
      </c>
    </row>
    <row r="763" spans="1:34" x14ac:dyDescent="0.2">
      <c r="A763" s="3">
        <v>31137</v>
      </c>
      <c r="B763" s="2">
        <v>-2.25</v>
      </c>
      <c r="C763" s="2">
        <v>19.32</v>
      </c>
      <c r="D763" s="2">
        <v>-2.36</v>
      </c>
      <c r="E763" s="2">
        <v>-8.06</v>
      </c>
      <c r="F763" s="2">
        <v>-0.31</v>
      </c>
      <c r="G763" s="2">
        <v>9.1199999999999992</v>
      </c>
      <c r="H763" s="2">
        <v>12.87</v>
      </c>
      <c r="I763" s="2">
        <v>47.59</v>
      </c>
      <c r="J763" s="2">
        <v>15.22</v>
      </c>
      <c r="K763" s="2">
        <v>22.68</v>
      </c>
      <c r="L763" s="2">
        <v>-6.48</v>
      </c>
      <c r="M763" s="2">
        <v>9.61</v>
      </c>
      <c r="N763" s="2">
        <v>54.1</v>
      </c>
      <c r="O763" s="2">
        <v>28.38</v>
      </c>
      <c r="P763" s="2">
        <v>68.11</v>
      </c>
      <c r="Q763" s="2">
        <v>-0.18</v>
      </c>
      <c r="R763" s="2">
        <v>4.55</v>
      </c>
      <c r="S763" s="2">
        <v>5.0199999999999996</v>
      </c>
      <c r="T763" s="2">
        <v>25.6</v>
      </c>
      <c r="U763" s="2">
        <v>12.54</v>
      </c>
      <c r="V763" s="2">
        <v>20.99</v>
      </c>
      <c r="W763" s="2">
        <v>0</v>
      </c>
      <c r="X763" s="2">
        <v>1.28</v>
      </c>
      <c r="Y763" s="2">
        <v>0.27</v>
      </c>
      <c r="Z763" s="2">
        <v>0</v>
      </c>
      <c r="AA763" s="2">
        <v>0</v>
      </c>
      <c r="AB763" s="2">
        <v>1.6</v>
      </c>
      <c r="AC763" s="2">
        <v>0.56999999999999995</v>
      </c>
      <c r="AD763" s="2">
        <v>3.95</v>
      </c>
      <c r="AE763" s="2">
        <v>27.78</v>
      </c>
      <c r="AF763" s="2">
        <v>69.12</v>
      </c>
      <c r="AG763" s="2">
        <v>10.69</v>
      </c>
      <c r="AH763" s="4">
        <f t="shared" si="11"/>
        <v>336.06</v>
      </c>
    </row>
    <row r="764" spans="1:34" x14ac:dyDescent="0.2">
      <c r="A764" s="3">
        <v>31167</v>
      </c>
      <c r="B764" s="2">
        <v>-3.45</v>
      </c>
      <c r="C764" s="2">
        <v>16.38</v>
      </c>
      <c r="D764" s="2">
        <v>-0.82</v>
      </c>
      <c r="E764" s="2">
        <v>-9.4499999999999993</v>
      </c>
      <c r="F764" s="2">
        <v>9.6999999999999993</v>
      </c>
      <c r="G764" s="2">
        <v>-25.59</v>
      </c>
      <c r="H764" s="2">
        <v>11.99</v>
      </c>
      <c r="I764" s="2">
        <v>47.22</v>
      </c>
      <c r="J764" s="2">
        <v>-4.29</v>
      </c>
      <c r="K764" s="2">
        <v>-23.89</v>
      </c>
      <c r="L764" s="2">
        <v>-8.82</v>
      </c>
      <c r="M764" s="2">
        <v>-8.7100000000000009</v>
      </c>
      <c r="N764" s="2">
        <v>9.31</v>
      </c>
      <c r="O764" s="2">
        <v>35.21</v>
      </c>
      <c r="P764" s="2">
        <v>17.41</v>
      </c>
      <c r="Q764" s="2">
        <v>0.91</v>
      </c>
      <c r="R764" s="2">
        <v>15.15</v>
      </c>
      <c r="S764" s="2">
        <v>6.34</v>
      </c>
      <c r="T764" s="2">
        <v>15.41</v>
      </c>
      <c r="U764" s="2">
        <v>18.54</v>
      </c>
      <c r="V764" s="2">
        <v>15.56</v>
      </c>
      <c r="W764" s="2">
        <v>0</v>
      </c>
      <c r="X764" s="2">
        <v>1.52</v>
      </c>
      <c r="Y764" s="2">
        <v>0.77</v>
      </c>
      <c r="Z764" s="2">
        <v>0</v>
      </c>
      <c r="AA764" s="2">
        <v>0</v>
      </c>
      <c r="AB764" s="2">
        <v>0</v>
      </c>
      <c r="AC764" s="2">
        <v>0</v>
      </c>
      <c r="AD764" s="2">
        <v>4.63</v>
      </c>
      <c r="AE764" s="2">
        <v>4.47</v>
      </c>
      <c r="AF764" s="2">
        <v>85.52</v>
      </c>
      <c r="AG764" s="2">
        <v>14.64</v>
      </c>
      <c r="AH764" s="4">
        <f t="shared" si="11"/>
        <v>134.11000000000001</v>
      </c>
    </row>
    <row r="765" spans="1:34" x14ac:dyDescent="0.2">
      <c r="A765" s="3">
        <v>31198</v>
      </c>
      <c r="B765" s="2">
        <v>-1.63</v>
      </c>
      <c r="C765" s="2">
        <v>15.8</v>
      </c>
      <c r="D765" s="2">
        <v>-4.01</v>
      </c>
      <c r="E765" s="2">
        <v>3.29</v>
      </c>
      <c r="F765" s="2">
        <v>11.27</v>
      </c>
      <c r="G765" s="2">
        <v>-1.8</v>
      </c>
      <c r="H765" s="2">
        <v>15.15</v>
      </c>
      <c r="I765" s="2">
        <v>37.89</v>
      </c>
      <c r="J765" s="2">
        <v>-9.7200000000000006</v>
      </c>
      <c r="K765" s="2">
        <v>-7.76</v>
      </c>
      <c r="L765" s="2">
        <v>-10.58</v>
      </c>
      <c r="M765" s="2">
        <v>0.56000000000000005</v>
      </c>
      <c r="N765" s="2">
        <v>27.87</v>
      </c>
      <c r="O765" s="2">
        <v>30.9</v>
      </c>
      <c r="P765" s="2">
        <v>44.81</v>
      </c>
      <c r="Q765" s="2">
        <v>-2.69</v>
      </c>
      <c r="R765" s="2">
        <v>15.5</v>
      </c>
      <c r="S765" s="2">
        <v>15.87</v>
      </c>
      <c r="T765" s="2">
        <v>23.22</v>
      </c>
      <c r="U765" s="2">
        <v>11.78</v>
      </c>
      <c r="V765" s="2">
        <v>26.46</v>
      </c>
      <c r="W765" s="2">
        <v>4.88</v>
      </c>
      <c r="X765" s="2">
        <v>4.04</v>
      </c>
      <c r="Y765" s="2">
        <v>2.63</v>
      </c>
      <c r="Z765" s="2">
        <v>0</v>
      </c>
      <c r="AA765" s="2">
        <v>0</v>
      </c>
      <c r="AB765" s="2">
        <v>0</v>
      </c>
      <c r="AC765" s="2">
        <v>0</v>
      </c>
      <c r="AD765" s="2">
        <v>7.66</v>
      </c>
      <c r="AE765" s="2">
        <v>2.14</v>
      </c>
      <c r="AF765" s="2">
        <v>96.59</v>
      </c>
      <c r="AG765" s="2">
        <v>17.690000000000001</v>
      </c>
      <c r="AH765" s="4">
        <f t="shared" si="11"/>
        <v>242.18000000000004</v>
      </c>
    </row>
    <row r="766" spans="1:34" x14ac:dyDescent="0.2">
      <c r="A766" s="3">
        <v>31228</v>
      </c>
      <c r="B766" s="2">
        <v>-1.44</v>
      </c>
      <c r="C766" s="2">
        <v>17.34</v>
      </c>
      <c r="D766" s="2">
        <v>-10.74</v>
      </c>
      <c r="E766" s="2">
        <v>-0.85</v>
      </c>
      <c r="F766" s="2">
        <v>5.4</v>
      </c>
      <c r="G766" s="2">
        <v>6.46</v>
      </c>
      <c r="H766" s="2">
        <v>17.62</v>
      </c>
      <c r="I766" s="2">
        <v>36.81</v>
      </c>
      <c r="J766" s="2">
        <v>-10.16</v>
      </c>
      <c r="K766" s="2">
        <v>-3.61</v>
      </c>
      <c r="L766" s="2">
        <v>1.57</v>
      </c>
      <c r="M766" s="2">
        <v>7.92</v>
      </c>
      <c r="N766" s="2">
        <v>41.24</v>
      </c>
      <c r="O766" s="2">
        <v>36.090000000000003</v>
      </c>
      <c r="P766" s="2">
        <v>69.16</v>
      </c>
      <c r="Q766" s="2">
        <v>9.59</v>
      </c>
      <c r="R766" s="2">
        <v>19.61</v>
      </c>
      <c r="S766" s="2">
        <v>26</v>
      </c>
      <c r="T766" s="2">
        <v>46.86</v>
      </c>
      <c r="U766" s="2">
        <v>10.09</v>
      </c>
      <c r="V766" s="2">
        <v>52.63</v>
      </c>
      <c r="W766" s="2">
        <v>18.62</v>
      </c>
      <c r="X766" s="2">
        <v>9.01</v>
      </c>
      <c r="Y766" s="2">
        <v>8.27</v>
      </c>
      <c r="Z766" s="2">
        <v>0</v>
      </c>
      <c r="AA766" s="2">
        <v>0</v>
      </c>
      <c r="AB766" s="2">
        <v>3.78</v>
      </c>
      <c r="AC766" s="2">
        <v>0.36</v>
      </c>
      <c r="AD766" s="2">
        <v>7.93</v>
      </c>
      <c r="AE766" s="2">
        <v>0</v>
      </c>
      <c r="AF766" s="2">
        <v>105.7</v>
      </c>
      <c r="AG766" s="2">
        <v>22.83</v>
      </c>
      <c r="AH766" s="4">
        <f t="shared" si="11"/>
        <v>377.59</v>
      </c>
    </row>
    <row r="767" spans="1:34" x14ac:dyDescent="0.2">
      <c r="A767" s="3">
        <v>31259</v>
      </c>
      <c r="B767" s="2">
        <v>-0.9</v>
      </c>
      <c r="C767" s="2">
        <v>19.96</v>
      </c>
      <c r="D767" s="2">
        <v>-8.57</v>
      </c>
      <c r="E767" s="2">
        <v>19.41</v>
      </c>
      <c r="F767" s="2">
        <v>1.1499999999999999</v>
      </c>
      <c r="G767" s="2">
        <v>18.149999999999999</v>
      </c>
      <c r="H767" s="2">
        <v>20.82</v>
      </c>
      <c r="I767" s="2">
        <v>40.94</v>
      </c>
      <c r="J767" s="2">
        <v>-5.83</v>
      </c>
      <c r="K767" s="2">
        <v>-2.36</v>
      </c>
      <c r="L767" s="2">
        <v>28.85</v>
      </c>
      <c r="M767" s="2">
        <v>14.53</v>
      </c>
      <c r="N767" s="2">
        <v>47.12</v>
      </c>
      <c r="O767" s="2">
        <v>54.86</v>
      </c>
      <c r="P767" s="2">
        <v>72.94</v>
      </c>
      <c r="Q767" s="2">
        <v>9.86</v>
      </c>
      <c r="R767" s="2">
        <v>21.18</v>
      </c>
      <c r="S767" s="2">
        <v>38.6</v>
      </c>
      <c r="T767" s="2">
        <v>44.49</v>
      </c>
      <c r="U767" s="2">
        <v>27.12</v>
      </c>
      <c r="V767" s="2">
        <v>59.77</v>
      </c>
      <c r="W767" s="2">
        <v>30.39</v>
      </c>
      <c r="X767" s="2">
        <v>13.85</v>
      </c>
      <c r="Y767" s="2">
        <v>13.5</v>
      </c>
      <c r="Z767" s="2">
        <v>0</v>
      </c>
      <c r="AA767" s="2">
        <v>1.04</v>
      </c>
      <c r="AB767" s="2">
        <v>2.25</v>
      </c>
      <c r="AC767" s="2">
        <v>3.59</v>
      </c>
      <c r="AD767" s="2">
        <v>8.33</v>
      </c>
      <c r="AE767" s="2">
        <v>1.21</v>
      </c>
      <c r="AF767" s="2">
        <v>115.11</v>
      </c>
      <c r="AG767" s="2">
        <v>24.8</v>
      </c>
      <c r="AH767" s="4">
        <f t="shared" si="11"/>
        <v>522.09</v>
      </c>
    </row>
    <row r="768" spans="1:34" x14ac:dyDescent="0.2">
      <c r="A768" s="3">
        <v>31290</v>
      </c>
      <c r="B768" s="2">
        <v>-2.92</v>
      </c>
      <c r="C768" s="2">
        <v>18.45</v>
      </c>
      <c r="D768" s="2">
        <v>-15.07</v>
      </c>
      <c r="E768" s="2">
        <v>-7.63</v>
      </c>
      <c r="F768" s="2">
        <v>-3.18</v>
      </c>
      <c r="G768" s="2">
        <v>20.7</v>
      </c>
      <c r="H768" s="2">
        <v>15.82</v>
      </c>
      <c r="I768" s="2">
        <v>40.81</v>
      </c>
      <c r="J768" s="2">
        <v>-2.4500000000000002</v>
      </c>
      <c r="K768" s="2">
        <v>-1.1200000000000001</v>
      </c>
      <c r="L768" s="2">
        <v>12.61</v>
      </c>
      <c r="M768" s="2">
        <v>10.119999999999999</v>
      </c>
      <c r="N768" s="2">
        <v>39.119999999999997</v>
      </c>
      <c r="O768" s="2">
        <v>38.71</v>
      </c>
      <c r="P768" s="2">
        <v>54.08</v>
      </c>
      <c r="Q768" s="2">
        <v>3.49</v>
      </c>
      <c r="R768" s="2">
        <v>16.29</v>
      </c>
      <c r="S768" s="2">
        <v>44.31</v>
      </c>
      <c r="T768" s="2">
        <v>48.34</v>
      </c>
      <c r="U768" s="2">
        <v>26.39</v>
      </c>
      <c r="V768" s="2">
        <v>51.03</v>
      </c>
      <c r="W768" s="2">
        <v>31.47</v>
      </c>
      <c r="X768" s="2">
        <v>16.100000000000001</v>
      </c>
      <c r="Y768" s="2">
        <v>15.86</v>
      </c>
      <c r="Z768" s="2">
        <v>0</v>
      </c>
      <c r="AA768" s="2">
        <v>0</v>
      </c>
      <c r="AB768" s="2">
        <v>0</v>
      </c>
      <c r="AC768" s="2">
        <v>1.65</v>
      </c>
      <c r="AD768" s="2">
        <v>6.38</v>
      </c>
      <c r="AE768" s="2">
        <v>0</v>
      </c>
      <c r="AF768" s="2">
        <v>117.07</v>
      </c>
      <c r="AG768" s="2">
        <v>23.65</v>
      </c>
      <c r="AH768" s="4">
        <f t="shared" si="11"/>
        <v>407.9</v>
      </c>
    </row>
    <row r="769" spans="1:34" x14ac:dyDescent="0.2">
      <c r="A769" s="3">
        <v>31320</v>
      </c>
      <c r="B769" s="2">
        <v>-6.18</v>
      </c>
      <c r="C769" s="2">
        <v>18.09</v>
      </c>
      <c r="D769" s="2">
        <v>-15.58</v>
      </c>
      <c r="E769" s="2">
        <v>-26.84</v>
      </c>
      <c r="F769" s="2">
        <v>-5.72</v>
      </c>
      <c r="G769" s="2">
        <v>12.4</v>
      </c>
      <c r="H769" s="2">
        <v>15.73</v>
      </c>
      <c r="I769" s="2">
        <v>49.54</v>
      </c>
      <c r="J769" s="2">
        <v>5.0999999999999996</v>
      </c>
      <c r="K769" s="2">
        <v>-4.68</v>
      </c>
      <c r="L769" s="2">
        <v>-14.07</v>
      </c>
      <c r="M769" s="2">
        <v>3.36</v>
      </c>
      <c r="N769" s="2">
        <v>34.130000000000003</v>
      </c>
      <c r="O769" s="2">
        <v>29.22</v>
      </c>
      <c r="P769" s="2">
        <v>17.600000000000001</v>
      </c>
      <c r="Q769" s="2">
        <v>6.39</v>
      </c>
      <c r="R769" s="2">
        <v>14.57</v>
      </c>
      <c r="S769" s="2">
        <v>-3.13</v>
      </c>
      <c r="T769" s="2">
        <v>13.59</v>
      </c>
      <c r="U769" s="2">
        <v>10.45</v>
      </c>
      <c r="V769" s="2">
        <v>23.78</v>
      </c>
      <c r="W769" s="2">
        <v>26.1</v>
      </c>
      <c r="X769" s="2">
        <v>15.39</v>
      </c>
      <c r="Y769" s="2">
        <v>14.95</v>
      </c>
      <c r="Z769" s="2">
        <v>0.19</v>
      </c>
      <c r="AA769" s="2">
        <v>4.3</v>
      </c>
      <c r="AB769" s="2">
        <v>0.61</v>
      </c>
      <c r="AC769" s="2">
        <v>1.08</v>
      </c>
      <c r="AD769" s="2">
        <v>4.57</v>
      </c>
      <c r="AE769" s="2">
        <v>3.26</v>
      </c>
      <c r="AF769" s="2">
        <v>109.04</v>
      </c>
      <c r="AG769" s="2">
        <v>20.170000000000002</v>
      </c>
      <c r="AH769" s="4">
        <f t="shared" si="11"/>
        <v>177.75</v>
      </c>
    </row>
    <row r="770" spans="1:34" x14ac:dyDescent="0.2">
      <c r="A770" s="3">
        <v>31351</v>
      </c>
      <c r="B770" s="2">
        <v>-5.0999999999999996</v>
      </c>
      <c r="C770" s="2">
        <v>15.25</v>
      </c>
      <c r="D770" s="2">
        <v>-19.55</v>
      </c>
      <c r="E770" s="2">
        <v>-27.03</v>
      </c>
      <c r="F770" s="2">
        <v>-0.92</v>
      </c>
      <c r="G770" s="2">
        <v>-1.37</v>
      </c>
      <c r="H770" s="2">
        <v>12.57</v>
      </c>
      <c r="I770" s="2">
        <v>41.96</v>
      </c>
      <c r="J770" s="2">
        <v>3.68</v>
      </c>
      <c r="K770" s="2">
        <v>-13.95</v>
      </c>
      <c r="L770" s="2">
        <v>-6.26</v>
      </c>
      <c r="M770" s="2">
        <v>2.48</v>
      </c>
      <c r="N770" s="2">
        <v>18.73</v>
      </c>
      <c r="O770" s="2">
        <v>16.72</v>
      </c>
      <c r="P770" s="2">
        <v>46.59</v>
      </c>
      <c r="Q770" s="2">
        <v>-1.27</v>
      </c>
      <c r="R770" s="2">
        <v>5.31</v>
      </c>
      <c r="S770" s="2">
        <v>-3.51</v>
      </c>
      <c r="T770" s="2">
        <v>15.7</v>
      </c>
      <c r="U770" s="2">
        <v>1.79</v>
      </c>
      <c r="V770" s="2">
        <v>22.17</v>
      </c>
      <c r="W770" s="2">
        <v>22.19</v>
      </c>
      <c r="X770" s="2">
        <v>14.36</v>
      </c>
      <c r="Y770" s="2">
        <v>13.91</v>
      </c>
      <c r="Z770" s="2">
        <v>4.3099999999999996</v>
      </c>
      <c r="AA770" s="2">
        <v>0.43</v>
      </c>
      <c r="AB770" s="2">
        <v>0.09</v>
      </c>
      <c r="AC770" s="2">
        <v>4.38</v>
      </c>
      <c r="AD770" s="2">
        <v>4.58</v>
      </c>
      <c r="AE770" s="2">
        <v>9.14</v>
      </c>
      <c r="AF770" s="2">
        <v>98.91</v>
      </c>
      <c r="AG770" s="2">
        <v>16.420000000000002</v>
      </c>
      <c r="AH770" s="4">
        <f t="shared" si="11"/>
        <v>123.99000000000002</v>
      </c>
    </row>
    <row r="771" spans="1:34" x14ac:dyDescent="0.2">
      <c r="A771" s="3">
        <v>31381</v>
      </c>
      <c r="B771" s="2">
        <v>-4.37</v>
      </c>
      <c r="C771" s="2">
        <v>23.6</v>
      </c>
      <c r="D771" s="2">
        <v>20.92</v>
      </c>
      <c r="E771" s="2">
        <v>24.07</v>
      </c>
      <c r="F771" s="2">
        <v>21.7</v>
      </c>
      <c r="G771" s="2">
        <v>35.58</v>
      </c>
      <c r="H771" s="2">
        <v>20.13</v>
      </c>
      <c r="I771" s="2">
        <v>43.25</v>
      </c>
      <c r="J771" s="2">
        <v>22.82</v>
      </c>
      <c r="K771" s="2">
        <v>25.37</v>
      </c>
      <c r="L771" s="2">
        <v>2.4700000000000002</v>
      </c>
      <c r="M771" s="2">
        <v>15.42</v>
      </c>
      <c r="N771" s="2">
        <v>35.5</v>
      </c>
      <c r="O771" s="2">
        <v>22.78</v>
      </c>
      <c r="P771" s="2">
        <v>57.49</v>
      </c>
      <c r="Q771" s="2">
        <v>-2.21</v>
      </c>
      <c r="R771" s="2">
        <v>6.85</v>
      </c>
      <c r="S771" s="2">
        <v>34.36</v>
      </c>
      <c r="T771" s="2">
        <v>21.93</v>
      </c>
      <c r="U771" s="2">
        <v>8.39</v>
      </c>
      <c r="V771" s="2">
        <v>14.68</v>
      </c>
      <c r="W771" s="2">
        <v>15.43</v>
      </c>
      <c r="X771" s="2">
        <v>9.33</v>
      </c>
      <c r="Y771" s="2">
        <v>7.89</v>
      </c>
      <c r="Z771" s="2">
        <v>0</v>
      </c>
      <c r="AA771" s="2">
        <v>17.64</v>
      </c>
      <c r="AB771" s="2">
        <v>2.79</v>
      </c>
      <c r="AC771" s="2">
        <v>37.83</v>
      </c>
      <c r="AD771" s="2">
        <v>3.26</v>
      </c>
      <c r="AE771" s="2">
        <v>23.03</v>
      </c>
      <c r="AF771" s="2">
        <v>64.89</v>
      </c>
      <c r="AG771" s="2">
        <v>12.92</v>
      </c>
      <c r="AH771" s="4">
        <f t="shared" ref="AH771:AH834" si="12">SUM(B771:V771)</f>
        <v>450.73000000000008</v>
      </c>
    </row>
    <row r="772" spans="1:34" x14ac:dyDescent="0.2">
      <c r="A772" s="3">
        <v>31412</v>
      </c>
      <c r="B772" s="2">
        <v>-4.4400000000000004</v>
      </c>
      <c r="C772" s="2">
        <v>19.66</v>
      </c>
      <c r="D772" s="2">
        <v>11.45</v>
      </c>
      <c r="E772" s="2">
        <v>2.87</v>
      </c>
      <c r="F772" s="2">
        <v>3.47</v>
      </c>
      <c r="G772" s="2">
        <v>25.38</v>
      </c>
      <c r="H772" s="2">
        <v>10.34</v>
      </c>
      <c r="I772" s="2">
        <v>39.72</v>
      </c>
      <c r="J772" s="2">
        <v>10.3</v>
      </c>
      <c r="K772" s="2">
        <v>-9.9499999999999993</v>
      </c>
      <c r="L772" s="2">
        <v>-1.45</v>
      </c>
      <c r="M772" s="2">
        <v>0.2</v>
      </c>
      <c r="N772" s="2">
        <v>12.35</v>
      </c>
      <c r="O772" s="2">
        <v>22.6</v>
      </c>
      <c r="P772" s="2">
        <v>19.61</v>
      </c>
      <c r="Q772" s="2">
        <v>0.9</v>
      </c>
      <c r="R772" s="2">
        <v>8.84</v>
      </c>
      <c r="S772" s="2">
        <v>0.65</v>
      </c>
      <c r="T772" s="2">
        <v>12.72</v>
      </c>
      <c r="U772" s="2">
        <v>8.32</v>
      </c>
      <c r="V772" s="2">
        <v>16.71</v>
      </c>
      <c r="W772" s="2">
        <v>11.73</v>
      </c>
      <c r="X772" s="2">
        <v>7.35</v>
      </c>
      <c r="Y772" s="2">
        <v>7.12</v>
      </c>
      <c r="Z772" s="2">
        <v>0.91</v>
      </c>
      <c r="AA772" s="2">
        <v>3.15</v>
      </c>
      <c r="AB772" s="2">
        <v>0.68</v>
      </c>
      <c r="AC772" s="2">
        <v>0</v>
      </c>
      <c r="AD772" s="2">
        <v>3.25</v>
      </c>
      <c r="AE772" s="2">
        <v>13.05</v>
      </c>
      <c r="AF772" s="2">
        <v>59.62</v>
      </c>
      <c r="AG772" s="2">
        <v>11.2</v>
      </c>
      <c r="AH772" s="4">
        <f t="shared" si="12"/>
        <v>210.25000000000003</v>
      </c>
    </row>
    <row r="773" spans="1:34" x14ac:dyDescent="0.2">
      <c r="A773" s="3">
        <v>31443</v>
      </c>
      <c r="B773" s="2">
        <v>-8.43</v>
      </c>
      <c r="C773" s="2">
        <v>25.2</v>
      </c>
      <c r="D773" s="2">
        <v>31.47</v>
      </c>
      <c r="E773" s="2">
        <v>64.55</v>
      </c>
      <c r="F773" s="2">
        <v>36.19</v>
      </c>
      <c r="G773" s="2">
        <v>63.11</v>
      </c>
      <c r="H773" s="2">
        <v>17.13</v>
      </c>
      <c r="I773" s="2">
        <v>41.54</v>
      </c>
      <c r="J773" s="2">
        <v>20.84</v>
      </c>
      <c r="K773" s="2">
        <v>0.93</v>
      </c>
      <c r="L773" s="2">
        <v>-2.36</v>
      </c>
      <c r="M773" s="2">
        <v>-7.65</v>
      </c>
      <c r="N773" s="2">
        <v>21.26</v>
      </c>
      <c r="O773" s="2">
        <v>23.05</v>
      </c>
      <c r="P773" s="2">
        <v>32.729999999999997</v>
      </c>
      <c r="Q773" s="2">
        <v>-3.06</v>
      </c>
      <c r="R773" s="2">
        <v>9.26</v>
      </c>
      <c r="S773" s="2">
        <v>8.2799999999999994</v>
      </c>
      <c r="T773" s="2">
        <v>9.18</v>
      </c>
      <c r="U773" s="2">
        <v>8.52</v>
      </c>
      <c r="V773" s="2">
        <v>17.170000000000002</v>
      </c>
      <c r="W773" s="2">
        <v>4.26</v>
      </c>
      <c r="X773" s="2">
        <v>7.25</v>
      </c>
      <c r="Y773" s="2">
        <v>5.99</v>
      </c>
      <c r="Z773" s="2">
        <v>0</v>
      </c>
      <c r="AA773" s="2">
        <v>1.72</v>
      </c>
      <c r="AB773" s="2">
        <v>3.99</v>
      </c>
      <c r="AC773" s="2">
        <v>1.58</v>
      </c>
      <c r="AD773" s="2">
        <v>2.97</v>
      </c>
      <c r="AE773" s="2">
        <v>22.47</v>
      </c>
      <c r="AF773" s="2">
        <v>72.959999999999994</v>
      </c>
      <c r="AG773" s="2">
        <v>9.8800000000000008</v>
      </c>
      <c r="AH773" s="4">
        <f t="shared" si="12"/>
        <v>408.90999999999997</v>
      </c>
    </row>
    <row r="774" spans="1:34" x14ac:dyDescent="0.2">
      <c r="A774" s="3">
        <v>31471</v>
      </c>
      <c r="B774" s="2">
        <v>12.17</v>
      </c>
      <c r="C774" s="2">
        <v>68.13</v>
      </c>
      <c r="D774" s="2">
        <v>119.09</v>
      </c>
      <c r="E774" s="2">
        <v>370.69</v>
      </c>
      <c r="F774" s="2">
        <v>393</v>
      </c>
      <c r="G774" s="2">
        <v>302.88</v>
      </c>
      <c r="H774" s="2">
        <v>50.08</v>
      </c>
      <c r="I774" s="2">
        <v>71.540000000000006</v>
      </c>
      <c r="J774" s="2">
        <v>127.62</v>
      </c>
      <c r="K774" s="2">
        <v>131.15</v>
      </c>
      <c r="L774" s="2">
        <v>52.62</v>
      </c>
      <c r="M774" s="2">
        <v>54.02</v>
      </c>
      <c r="N774" s="2">
        <v>124.06</v>
      </c>
      <c r="O774" s="2">
        <v>19.88</v>
      </c>
      <c r="P774" s="2">
        <v>107.82</v>
      </c>
      <c r="Q774" s="2">
        <v>4.13</v>
      </c>
      <c r="R774" s="2">
        <v>12.57</v>
      </c>
      <c r="S774" s="2">
        <v>82.26</v>
      </c>
      <c r="T774" s="2">
        <v>19.690000000000001</v>
      </c>
      <c r="U774" s="2">
        <v>11.12</v>
      </c>
      <c r="V774" s="2">
        <v>29.03</v>
      </c>
      <c r="W774" s="2">
        <v>0</v>
      </c>
      <c r="X774" s="2">
        <v>1.1499999999999999</v>
      </c>
      <c r="Y774" s="2">
        <v>1.28</v>
      </c>
      <c r="Z774" s="2">
        <v>11.68</v>
      </c>
      <c r="AA774" s="2">
        <v>21.94</v>
      </c>
      <c r="AB774" s="2">
        <v>7.28</v>
      </c>
      <c r="AC774" s="2">
        <v>0</v>
      </c>
      <c r="AD774" s="2">
        <v>2.98</v>
      </c>
      <c r="AE774" s="2">
        <v>56.4</v>
      </c>
      <c r="AF774" s="2">
        <v>60.82</v>
      </c>
      <c r="AG774" s="2">
        <v>10.08</v>
      </c>
      <c r="AH774" s="4">
        <f t="shared" si="12"/>
        <v>2163.5500000000002</v>
      </c>
    </row>
    <row r="775" spans="1:34" x14ac:dyDescent="0.2">
      <c r="A775" s="3">
        <v>31502</v>
      </c>
      <c r="B775" s="2">
        <v>15.91</v>
      </c>
      <c r="C775" s="2">
        <v>41</v>
      </c>
      <c r="D775" s="2">
        <v>1</v>
      </c>
      <c r="E775" s="2">
        <v>6.87</v>
      </c>
      <c r="F775" s="2">
        <v>21.7</v>
      </c>
      <c r="G775" s="2">
        <v>107.24</v>
      </c>
      <c r="H775" s="2">
        <v>25.65</v>
      </c>
      <c r="I775" s="2">
        <v>72.319999999999993</v>
      </c>
      <c r="J775" s="2">
        <v>74.430000000000007</v>
      </c>
      <c r="K775" s="2">
        <v>64.599999999999994</v>
      </c>
      <c r="L775" s="2">
        <v>88.04</v>
      </c>
      <c r="M775" s="2">
        <v>67.489999999999995</v>
      </c>
      <c r="N775" s="2">
        <v>88.99</v>
      </c>
      <c r="O775" s="2">
        <v>28.91</v>
      </c>
      <c r="P775" s="2">
        <v>157.79</v>
      </c>
      <c r="Q775" s="2">
        <v>13.36</v>
      </c>
      <c r="R775" s="2">
        <v>16.16</v>
      </c>
      <c r="S775" s="2">
        <v>119.22</v>
      </c>
      <c r="T775" s="2">
        <v>72.260000000000005</v>
      </c>
      <c r="U775" s="2">
        <v>13.41</v>
      </c>
      <c r="V775" s="2">
        <v>35.590000000000003</v>
      </c>
      <c r="W775" s="2">
        <v>0</v>
      </c>
      <c r="X775" s="2">
        <v>1.65</v>
      </c>
      <c r="Y775" s="2">
        <v>0.75</v>
      </c>
      <c r="Z775" s="2">
        <v>8.42</v>
      </c>
      <c r="AA775" s="2">
        <v>8.6</v>
      </c>
      <c r="AB775" s="2">
        <v>2.62</v>
      </c>
      <c r="AC775" s="2">
        <v>0</v>
      </c>
      <c r="AD775" s="2">
        <v>4.76</v>
      </c>
      <c r="AE775" s="2">
        <v>37.200000000000003</v>
      </c>
      <c r="AF775" s="2">
        <v>71.77</v>
      </c>
      <c r="AG775" s="2">
        <v>10.69</v>
      </c>
      <c r="AH775" s="4">
        <f t="shared" si="12"/>
        <v>1131.94</v>
      </c>
    </row>
    <row r="776" spans="1:34" x14ac:dyDescent="0.2">
      <c r="A776" s="3">
        <v>31532</v>
      </c>
      <c r="B776" s="2">
        <v>-1.92</v>
      </c>
      <c r="C776" s="2">
        <v>16.239999999999998</v>
      </c>
      <c r="D776" s="2">
        <v>-49.44</v>
      </c>
      <c r="E776" s="2">
        <v>-181.33</v>
      </c>
      <c r="F776" s="2">
        <v>-183.31</v>
      </c>
      <c r="G776" s="2">
        <v>-181.5</v>
      </c>
      <c r="H776" s="2">
        <v>-5.01</v>
      </c>
      <c r="I776" s="2">
        <v>50.45</v>
      </c>
      <c r="J776" s="2">
        <v>-23.44</v>
      </c>
      <c r="K776" s="2">
        <v>-43.19</v>
      </c>
      <c r="L776" s="2">
        <v>-19.02</v>
      </c>
      <c r="M776" s="2">
        <v>-3.28</v>
      </c>
      <c r="N776" s="2">
        <v>41.6</v>
      </c>
      <c r="O776" s="2">
        <v>37.36</v>
      </c>
      <c r="P776" s="2">
        <v>58.66</v>
      </c>
      <c r="Q776" s="2">
        <v>17.760000000000002</v>
      </c>
      <c r="R776" s="2">
        <v>27.54</v>
      </c>
      <c r="S776" s="2">
        <v>31.62</v>
      </c>
      <c r="T776" s="2">
        <v>30.66</v>
      </c>
      <c r="U776" s="2">
        <v>22.2</v>
      </c>
      <c r="V776" s="2">
        <v>31.11</v>
      </c>
      <c r="W776" s="2">
        <v>0</v>
      </c>
      <c r="X776" s="2">
        <v>1.97</v>
      </c>
      <c r="Y776" s="2">
        <v>1.38</v>
      </c>
      <c r="Z776" s="2">
        <v>0.14000000000000001</v>
      </c>
      <c r="AA776" s="2">
        <v>0.43</v>
      </c>
      <c r="AB776" s="2">
        <v>1.41</v>
      </c>
      <c r="AC776" s="2">
        <v>0</v>
      </c>
      <c r="AD776" s="2">
        <v>6.93</v>
      </c>
      <c r="AE776" s="2">
        <v>6.15</v>
      </c>
      <c r="AF776" s="2">
        <v>88.81</v>
      </c>
      <c r="AG776" s="2">
        <v>14.64</v>
      </c>
      <c r="AH776" s="4">
        <f t="shared" si="12"/>
        <v>-326.23999999999995</v>
      </c>
    </row>
    <row r="777" spans="1:34" x14ac:dyDescent="0.2">
      <c r="A777" s="3">
        <v>31563</v>
      </c>
      <c r="B777" s="2">
        <v>1.19</v>
      </c>
      <c r="C777" s="2">
        <v>22.75</v>
      </c>
      <c r="D777" s="2">
        <v>-28.25</v>
      </c>
      <c r="E777" s="2">
        <v>-59.77</v>
      </c>
      <c r="F777" s="2">
        <v>-64.209999999999994</v>
      </c>
      <c r="G777" s="2">
        <v>-68.94</v>
      </c>
      <c r="H777" s="2">
        <v>0.99</v>
      </c>
      <c r="I777" s="2">
        <v>39.04</v>
      </c>
      <c r="J777" s="2">
        <v>-34.799999999999997</v>
      </c>
      <c r="K777" s="2">
        <v>-54.39</v>
      </c>
      <c r="L777" s="2">
        <v>-31.21</v>
      </c>
      <c r="M777" s="2">
        <v>-22.13</v>
      </c>
      <c r="N777" s="2">
        <v>-7.87</v>
      </c>
      <c r="O777" s="2">
        <v>37.65</v>
      </c>
      <c r="P777" s="2">
        <v>62.72</v>
      </c>
      <c r="Q777" s="2">
        <v>12.47</v>
      </c>
      <c r="R777" s="2">
        <v>27.24</v>
      </c>
      <c r="S777" s="2">
        <v>23.63</v>
      </c>
      <c r="T777" s="2">
        <v>36.520000000000003</v>
      </c>
      <c r="U777" s="2">
        <v>13.48</v>
      </c>
      <c r="V777" s="2">
        <v>42.75</v>
      </c>
      <c r="W777" s="2">
        <v>4.88</v>
      </c>
      <c r="X777" s="2">
        <v>4.5599999999999996</v>
      </c>
      <c r="Y777" s="2">
        <v>3.31</v>
      </c>
      <c r="Z777" s="2">
        <v>0</v>
      </c>
      <c r="AA777" s="2">
        <v>0</v>
      </c>
      <c r="AB777" s="2">
        <v>0</v>
      </c>
      <c r="AC777" s="2">
        <v>0</v>
      </c>
      <c r="AD777" s="2">
        <v>9.69</v>
      </c>
      <c r="AE777" s="2">
        <v>1.49</v>
      </c>
      <c r="AF777" s="2">
        <v>100.3</v>
      </c>
      <c r="AG777" s="2">
        <v>17.690000000000001</v>
      </c>
      <c r="AH777" s="4">
        <f t="shared" si="12"/>
        <v>-51.139999999999972</v>
      </c>
    </row>
    <row r="778" spans="1:34" x14ac:dyDescent="0.2">
      <c r="A778" s="3">
        <v>31593</v>
      </c>
      <c r="B778" s="2">
        <v>0.71</v>
      </c>
      <c r="C778" s="2">
        <v>24.31</v>
      </c>
      <c r="D778" s="2">
        <v>-22.04</v>
      </c>
      <c r="E778" s="2">
        <v>-49.41</v>
      </c>
      <c r="F778" s="2">
        <v>-21.85</v>
      </c>
      <c r="G778" s="2">
        <v>-33.01</v>
      </c>
      <c r="H778" s="2">
        <v>10.33</v>
      </c>
      <c r="I778" s="2">
        <v>37.049999999999997</v>
      </c>
      <c r="J778" s="2">
        <v>-35.4</v>
      </c>
      <c r="K778" s="2">
        <v>-23.6</v>
      </c>
      <c r="L778" s="2">
        <v>-11.65</v>
      </c>
      <c r="M778" s="2">
        <v>-10.47</v>
      </c>
      <c r="N778" s="2">
        <v>35.86</v>
      </c>
      <c r="O778" s="2">
        <v>38.799999999999997</v>
      </c>
      <c r="P778" s="2">
        <v>41.95</v>
      </c>
      <c r="Q778" s="2">
        <v>18.53</v>
      </c>
      <c r="R778" s="2">
        <v>36.99</v>
      </c>
      <c r="S778" s="2">
        <v>18.09</v>
      </c>
      <c r="T778" s="2">
        <v>104.84</v>
      </c>
      <c r="U778" s="2">
        <v>10.96</v>
      </c>
      <c r="V778" s="2">
        <v>49.29</v>
      </c>
      <c r="W778" s="2">
        <v>18.62</v>
      </c>
      <c r="X778" s="2">
        <v>9.57</v>
      </c>
      <c r="Y778" s="2">
        <v>9.0299999999999994</v>
      </c>
      <c r="Z778" s="2">
        <v>0</v>
      </c>
      <c r="AA778" s="2">
        <v>0</v>
      </c>
      <c r="AB778" s="2">
        <v>0</v>
      </c>
      <c r="AC778" s="2">
        <v>0</v>
      </c>
      <c r="AD778" s="2">
        <v>11.84</v>
      </c>
      <c r="AE778" s="2">
        <v>0</v>
      </c>
      <c r="AF778" s="2">
        <v>109.76</v>
      </c>
      <c r="AG778" s="2">
        <v>22.83</v>
      </c>
      <c r="AH778" s="4">
        <f t="shared" si="12"/>
        <v>220.28</v>
      </c>
    </row>
    <row r="779" spans="1:34" x14ac:dyDescent="0.2">
      <c r="A779" s="3">
        <v>31624</v>
      </c>
      <c r="B779" s="2">
        <v>1.18</v>
      </c>
      <c r="C779" s="2">
        <v>25.46</v>
      </c>
      <c r="D779" s="2">
        <v>-15.75</v>
      </c>
      <c r="E779" s="2">
        <v>-27.09</v>
      </c>
      <c r="F779" s="2">
        <v>3.5</v>
      </c>
      <c r="G779" s="2">
        <v>3.1</v>
      </c>
      <c r="H779" s="2">
        <v>19.61</v>
      </c>
      <c r="I779" s="2">
        <v>44.61</v>
      </c>
      <c r="J779" s="2">
        <v>-29.9</v>
      </c>
      <c r="K779" s="2">
        <v>-18.98</v>
      </c>
      <c r="L779" s="2">
        <v>-17.68</v>
      </c>
      <c r="M779" s="2">
        <v>-6.64</v>
      </c>
      <c r="N779" s="2">
        <v>42.38</v>
      </c>
      <c r="O779" s="2">
        <v>51.38</v>
      </c>
      <c r="P779" s="2">
        <v>59.85</v>
      </c>
      <c r="Q779" s="2">
        <v>14.33</v>
      </c>
      <c r="R779" s="2">
        <v>34.54</v>
      </c>
      <c r="S779" s="2">
        <v>30.95</v>
      </c>
      <c r="T779" s="2">
        <v>67.61</v>
      </c>
      <c r="U779" s="2">
        <v>15.99</v>
      </c>
      <c r="V779" s="2">
        <v>48.64</v>
      </c>
      <c r="W779" s="2">
        <v>30.39</v>
      </c>
      <c r="X779" s="2">
        <v>14.47</v>
      </c>
      <c r="Y779" s="2">
        <v>14.3</v>
      </c>
      <c r="Z779" s="2">
        <v>0.33</v>
      </c>
      <c r="AA779" s="2">
        <v>5.59</v>
      </c>
      <c r="AB779" s="2">
        <v>0</v>
      </c>
      <c r="AC779" s="2">
        <v>0</v>
      </c>
      <c r="AD779" s="2">
        <v>9.2899999999999991</v>
      </c>
      <c r="AE779" s="2">
        <v>0</v>
      </c>
      <c r="AF779" s="2">
        <v>119.54</v>
      </c>
      <c r="AG779" s="2">
        <v>24.8</v>
      </c>
      <c r="AH779" s="4">
        <f t="shared" si="12"/>
        <v>347.09</v>
      </c>
    </row>
    <row r="780" spans="1:34" x14ac:dyDescent="0.2">
      <c r="A780" s="3">
        <v>31655</v>
      </c>
      <c r="B780" s="2">
        <v>0.16</v>
      </c>
      <c r="C780" s="2">
        <v>29.15</v>
      </c>
      <c r="D780" s="2">
        <v>-15.37</v>
      </c>
      <c r="E780" s="2">
        <v>-31.49</v>
      </c>
      <c r="F780" s="2">
        <v>-20.61</v>
      </c>
      <c r="G780" s="2">
        <v>8.17</v>
      </c>
      <c r="H780" s="2">
        <v>15.72</v>
      </c>
      <c r="I780" s="2">
        <v>48.18</v>
      </c>
      <c r="J780" s="2">
        <v>-8.89</v>
      </c>
      <c r="K780" s="2">
        <v>-9.14</v>
      </c>
      <c r="L780" s="2">
        <v>5.54</v>
      </c>
      <c r="M780" s="2">
        <v>3.89</v>
      </c>
      <c r="N780" s="2">
        <v>41.52</v>
      </c>
      <c r="O780" s="2">
        <v>40.729999999999997</v>
      </c>
      <c r="P780" s="2">
        <v>63.74</v>
      </c>
      <c r="Q780" s="2">
        <v>11.76</v>
      </c>
      <c r="R780" s="2">
        <v>33.81</v>
      </c>
      <c r="S780" s="2">
        <v>24.45</v>
      </c>
      <c r="T780" s="2">
        <v>58.53</v>
      </c>
      <c r="U780" s="2">
        <v>18.09</v>
      </c>
      <c r="V780" s="2">
        <v>44.49</v>
      </c>
      <c r="W780" s="2">
        <v>31.47</v>
      </c>
      <c r="X780" s="2">
        <v>16.72</v>
      </c>
      <c r="Y780" s="2">
        <v>16.68</v>
      </c>
      <c r="Z780" s="2">
        <v>0.56999999999999995</v>
      </c>
      <c r="AA780" s="2">
        <v>0</v>
      </c>
      <c r="AB780" s="2">
        <v>0.3</v>
      </c>
      <c r="AC780" s="2">
        <v>0</v>
      </c>
      <c r="AD780" s="2">
        <v>6.68</v>
      </c>
      <c r="AE780" s="2">
        <v>0</v>
      </c>
      <c r="AF780" s="2">
        <v>121.57</v>
      </c>
      <c r="AG780" s="2">
        <v>23.65</v>
      </c>
      <c r="AH780" s="4">
        <f t="shared" si="12"/>
        <v>362.43</v>
      </c>
    </row>
    <row r="781" spans="1:34" x14ac:dyDescent="0.2">
      <c r="A781" s="3">
        <v>31685</v>
      </c>
      <c r="B781" s="2">
        <v>-1.01</v>
      </c>
      <c r="C781" s="2">
        <v>27.05</v>
      </c>
      <c r="D781" s="2">
        <v>-8.6300000000000008</v>
      </c>
      <c r="E781" s="2">
        <v>-16.73</v>
      </c>
      <c r="F781" s="2">
        <v>1.88</v>
      </c>
      <c r="G781" s="2">
        <v>11.5</v>
      </c>
      <c r="H781" s="2">
        <v>22.19</v>
      </c>
      <c r="I781" s="2">
        <v>54.53</v>
      </c>
      <c r="J781" s="2">
        <v>9.39</v>
      </c>
      <c r="K781" s="2">
        <v>-5.53</v>
      </c>
      <c r="L781" s="2">
        <v>6.31</v>
      </c>
      <c r="M781" s="2">
        <v>8.68</v>
      </c>
      <c r="N781" s="2">
        <v>38.520000000000003</v>
      </c>
      <c r="O781" s="2">
        <v>28.6</v>
      </c>
      <c r="P781" s="2">
        <v>8.8000000000000007</v>
      </c>
      <c r="Q781" s="2">
        <v>11.99</v>
      </c>
      <c r="R781" s="2">
        <v>27.07</v>
      </c>
      <c r="S781" s="2">
        <v>9.24</v>
      </c>
      <c r="T781" s="2">
        <v>15.17</v>
      </c>
      <c r="U781" s="2">
        <v>15.45</v>
      </c>
      <c r="V781" s="2">
        <v>25.04</v>
      </c>
      <c r="W781" s="2">
        <v>26.1</v>
      </c>
      <c r="X781" s="2">
        <v>15.96</v>
      </c>
      <c r="Y781" s="2">
        <v>15.7</v>
      </c>
      <c r="Z781" s="2">
        <v>0</v>
      </c>
      <c r="AA781" s="2">
        <v>0.17</v>
      </c>
      <c r="AB781" s="2">
        <v>0.06</v>
      </c>
      <c r="AC781" s="2">
        <v>0.28999999999999998</v>
      </c>
      <c r="AD781" s="2">
        <v>5.21</v>
      </c>
      <c r="AE781" s="2">
        <v>9.51</v>
      </c>
      <c r="AF781" s="2">
        <v>113.23</v>
      </c>
      <c r="AG781" s="2">
        <v>20.170000000000002</v>
      </c>
      <c r="AH781" s="4">
        <f t="shared" si="12"/>
        <v>289.51000000000005</v>
      </c>
    </row>
    <row r="782" spans="1:34" x14ac:dyDescent="0.2">
      <c r="A782" s="3">
        <v>31716</v>
      </c>
      <c r="B782" s="2">
        <v>-0.24</v>
      </c>
      <c r="C782" s="2">
        <v>25.04</v>
      </c>
      <c r="D782" s="2">
        <v>-8.16</v>
      </c>
      <c r="E782" s="2">
        <v>-26.73</v>
      </c>
      <c r="F782" s="2">
        <v>-16.809999999999999</v>
      </c>
      <c r="G782" s="2">
        <v>0.13</v>
      </c>
      <c r="H782" s="2">
        <v>14.85</v>
      </c>
      <c r="I782" s="2">
        <v>50.25</v>
      </c>
      <c r="J782" s="2">
        <v>0.28999999999999998</v>
      </c>
      <c r="K782" s="2">
        <v>-6.81</v>
      </c>
      <c r="L782" s="2">
        <v>-8.32</v>
      </c>
      <c r="M782" s="2">
        <v>5.52</v>
      </c>
      <c r="N782" s="2">
        <v>33.83</v>
      </c>
      <c r="O782" s="2">
        <v>14.64</v>
      </c>
      <c r="P782" s="2">
        <v>39.83</v>
      </c>
      <c r="Q782" s="2">
        <v>3.9</v>
      </c>
      <c r="R782" s="2">
        <v>12.53</v>
      </c>
      <c r="S782" s="2">
        <v>3.72</v>
      </c>
      <c r="T782" s="2">
        <v>10.85</v>
      </c>
      <c r="U782" s="2">
        <v>6.52</v>
      </c>
      <c r="V782" s="2">
        <v>29.58</v>
      </c>
      <c r="W782" s="2">
        <v>22.19</v>
      </c>
      <c r="X782" s="2">
        <v>14.87</v>
      </c>
      <c r="Y782" s="2">
        <v>14.59</v>
      </c>
      <c r="Z782" s="2">
        <v>0</v>
      </c>
      <c r="AA782" s="2">
        <v>10.039999999999999</v>
      </c>
      <c r="AB782" s="2">
        <v>0</v>
      </c>
      <c r="AC782" s="2">
        <v>6.46</v>
      </c>
      <c r="AD782" s="2">
        <v>2.2200000000000002</v>
      </c>
      <c r="AE782" s="2">
        <v>0.75</v>
      </c>
      <c r="AF782" s="2">
        <v>102.71</v>
      </c>
      <c r="AG782" s="2">
        <v>16.420000000000002</v>
      </c>
      <c r="AH782" s="4">
        <f t="shared" si="12"/>
        <v>184.40999999999997</v>
      </c>
    </row>
    <row r="783" spans="1:34" x14ac:dyDescent="0.2">
      <c r="A783" s="3">
        <v>31746</v>
      </c>
      <c r="B783" s="2">
        <v>-0.69</v>
      </c>
      <c r="C783" s="2">
        <v>19.12</v>
      </c>
      <c r="D783" s="2">
        <v>-4.2699999999999996</v>
      </c>
      <c r="E783" s="2">
        <v>-13.18</v>
      </c>
      <c r="F783" s="2">
        <v>-17.100000000000001</v>
      </c>
      <c r="G783" s="2">
        <v>2.5</v>
      </c>
      <c r="H783" s="2">
        <v>13.05</v>
      </c>
      <c r="I783" s="2">
        <v>44.18</v>
      </c>
      <c r="J783" s="2">
        <v>4.3</v>
      </c>
      <c r="K783" s="2">
        <v>-7.82</v>
      </c>
      <c r="L783" s="2">
        <v>-11.12</v>
      </c>
      <c r="M783" s="2">
        <v>-7.58</v>
      </c>
      <c r="N783" s="2">
        <v>20.11</v>
      </c>
      <c r="O783" s="2">
        <v>25.2</v>
      </c>
      <c r="P783" s="2">
        <v>22.6</v>
      </c>
      <c r="Q783" s="2">
        <v>6.57</v>
      </c>
      <c r="R783" s="2">
        <v>12.64</v>
      </c>
      <c r="S783" s="2">
        <v>-1.22</v>
      </c>
      <c r="T783" s="2">
        <v>20.05</v>
      </c>
      <c r="U783" s="2">
        <v>10.5</v>
      </c>
      <c r="V783" s="2">
        <v>16.05</v>
      </c>
      <c r="W783" s="2">
        <v>15.43</v>
      </c>
      <c r="X783" s="2">
        <v>9.6999999999999993</v>
      </c>
      <c r="Y783" s="2">
        <v>8.39</v>
      </c>
      <c r="Z783" s="2">
        <v>3.54</v>
      </c>
      <c r="AA783" s="2">
        <v>1</v>
      </c>
      <c r="AB783" s="2">
        <v>1.88</v>
      </c>
      <c r="AC783" s="2">
        <v>0</v>
      </c>
      <c r="AD783" s="2">
        <v>1.25</v>
      </c>
      <c r="AE783" s="2">
        <v>1.58</v>
      </c>
      <c r="AF783" s="2">
        <v>67.39</v>
      </c>
      <c r="AG783" s="2">
        <v>12.92</v>
      </c>
      <c r="AH783" s="4">
        <f t="shared" si="12"/>
        <v>153.89000000000001</v>
      </c>
    </row>
    <row r="784" spans="1:34" x14ac:dyDescent="0.2">
      <c r="A784" s="3">
        <v>31777</v>
      </c>
      <c r="B784" s="2">
        <v>-0.96</v>
      </c>
      <c r="C784" s="2">
        <v>17.95</v>
      </c>
      <c r="D784" s="2">
        <v>-2.74</v>
      </c>
      <c r="E784" s="2">
        <v>-3.61</v>
      </c>
      <c r="F784" s="2">
        <v>0.15</v>
      </c>
      <c r="G784" s="2">
        <v>5.61</v>
      </c>
      <c r="H784" s="2">
        <v>13.7</v>
      </c>
      <c r="I784" s="2">
        <v>46</v>
      </c>
      <c r="J784" s="2">
        <v>10.07</v>
      </c>
      <c r="K784" s="2">
        <v>-4.08</v>
      </c>
      <c r="L784" s="2">
        <v>17.34</v>
      </c>
      <c r="M784" s="2">
        <v>13.93</v>
      </c>
      <c r="N784" s="2">
        <v>16.149999999999999</v>
      </c>
      <c r="O784" s="2">
        <v>26.75</v>
      </c>
      <c r="P784" s="2">
        <v>26.94</v>
      </c>
      <c r="Q784" s="2">
        <v>-0.21</v>
      </c>
      <c r="R784" s="2">
        <v>11.83</v>
      </c>
      <c r="S784" s="2">
        <v>5.21</v>
      </c>
      <c r="T784" s="2">
        <v>16.73</v>
      </c>
      <c r="U784" s="2">
        <v>9.02</v>
      </c>
      <c r="V784" s="2">
        <v>7.39</v>
      </c>
      <c r="W784" s="2">
        <v>11.73</v>
      </c>
      <c r="X784" s="2">
        <v>7.69</v>
      </c>
      <c r="Y784" s="2">
        <v>7.59</v>
      </c>
      <c r="Z784" s="2">
        <v>0.05</v>
      </c>
      <c r="AA784" s="2">
        <v>1</v>
      </c>
      <c r="AB784" s="2">
        <v>0</v>
      </c>
      <c r="AC784" s="2">
        <v>1.36</v>
      </c>
      <c r="AD784" s="2">
        <v>1.3</v>
      </c>
      <c r="AE784" s="2">
        <v>7.92</v>
      </c>
      <c r="AF784" s="2">
        <v>61.91</v>
      </c>
      <c r="AG784" s="2">
        <v>11.2</v>
      </c>
      <c r="AH784" s="4">
        <f t="shared" si="12"/>
        <v>233.17</v>
      </c>
    </row>
    <row r="785" spans="1:34" x14ac:dyDescent="0.2">
      <c r="A785" s="3">
        <v>31808</v>
      </c>
      <c r="B785" s="2">
        <v>-5.8</v>
      </c>
      <c r="C785" s="2">
        <v>21.14</v>
      </c>
      <c r="D785" s="2">
        <v>3.86</v>
      </c>
      <c r="E785" s="2">
        <v>12.01</v>
      </c>
      <c r="F785" s="2">
        <v>8.19</v>
      </c>
      <c r="G785" s="2">
        <v>11.83</v>
      </c>
      <c r="H785" s="2">
        <v>13.79</v>
      </c>
      <c r="I785" s="2">
        <v>46.82</v>
      </c>
      <c r="J785" s="2">
        <v>9.6199999999999992</v>
      </c>
      <c r="K785" s="2">
        <v>9.77</v>
      </c>
      <c r="L785" s="2">
        <v>-9.92</v>
      </c>
      <c r="M785" s="2">
        <v>-3.77</v>
      </c>
      <c r="N785" s="2">
        <v>22.18</v>
      </c>
      <c r="O785" s="2">
        <v>27.47</v>
      </c>
      <c r="P785" s="2">
        <v>35.909999999999997</v>
      </c>
      <c r="Q785" s="2">
        <v>-2.2400000000000002</v>
      </c>
      <c r="R785" s="2">
        <v>10.210000000000001</v>
      </c>
      <c r="S785" s="2">
        <v>8.11</v>
      </c>
      <c r="T785" s="2">
        <v>20.38</v>
      </c>
      <c r="U785" s="2">
        <v>7.77</v>
      </c>
      <c r="V785" s="2">
        <v>6.3</v>
      </c>
      <c r="W785" s="2">
        <v>4.26</v>
      </c>
      <c r="X785" s="2">
        <v>4.8899999999999997</v>
      </c>
      <c r="Y785" s="2">
        <v>3.59</v>
      </c>
      <c r="Z785" s="2">
        <v>3.01</v>
      </c>
      <c r="AA785" s="2">
        <v>1.58</v>
      </c>
      <c r="AB785" s="2">
        <v>1</v>
      </c>
      <c r="AC785" s="2">
        <v>0</v>
      </c>
      <c r="AD785" s="2">
        <v>1.24</v>
      </c>
      <c r="AE785" s="2">
        <v>14.92</v>
      </c>
      <c r="AF785" s="2">
        <v>73.8</v>
      </c>
      <c r="AG785" s="2">
        <v>9.8800000000000008</v>
      </c>
      <c r="AH785" s="4">
        <f t="shared" si="12"/>
        <v>253.63000000000002</v>
      </c>
    </row>
    <row r="786" spans="1:34" x14ac:dyDescent="0.2">
      <c r="A786" s="3">
        <v>31836</v>
      </c>
      <c r="B786" s="2">
        <v>-4.0599999999999996</v>
      </c>
      <c r="C786" s="2">
        <v>20.059999999999999</v>
      </c>
      <c r="D786" s="2">
        <v>0.87</v>
      </c>
      <c r="E786" s="2">
        <v>4.3899999999999997</v>
      </c>
      <c r="F786" s="2">
        <v>3.33</v>
      </c>
      <c r="G786" s="2">
        <v>22.67</v>
      </c>
      <c r="H786" s="2">
        <v>10.68</v>
      </c>
      <c r="I786" s="2">
        <v>44.13</v>
      </c>
      <c r="J786" s="2">
        <v>12.58</v>
      </c>
      <c r="K786" s="2">
        <v>28.06</v>
      </c>
      <c r="L786" s="2">
        <v>-6.2</v>
      </c>
      <c r="M786" s="2">
        <v>-4.29</v>
      </c>
      <c r="N786" s="2">
        <v>35.159999999999997</v>
      </c>
      <c r="O786" s="2">
        <v>21.28</v>
      </c>
      <c r="P786" s="2">
        <v>41.26</v>
      </c>
      <c r="Q786" s="2">
        <v>-1.3</v>
      </c>
      <c r="R786" s="2">
        <v>11.79</v>
      </c>
      <c r="S786" s="2">
        <v>12.5</v>
      </c>
      <c r="T786" s="2">
        <v>17.82</v>
      </c>
      <c r="U786" s="2">
        <v>9.17</v>
      </c>
      <c r="V786" s="2">
        <v>6.71</v>
      </c>
      <c r="W786" s="2">
        <v>0</v>
      </c>
      <c r="X786" s="2">
        <v>0</v>
      </c>
      <c r="Y786" s="2">
        <v>0</v>
      </c>
      <c r="Z786" s="2">
        <v>2.25</v>
      </c>
      <c r="AA786" s="2">
        <v>6.17</v>
      </c>
      <c r="AB786" s="2">
        <v>2.1</v>
      </c>
      <c r="AC786" s="2">
        <v>17.510000000000002</v>
      </c>
      <c r="AD786" s="2">
        <v>1.91</v>
      </c>
      <c r="AE786" s="2">
        <v>19.579999999999998</v>
      </c>
      <c r="AF786" s="2">
        <v>61.52</v>
      </c>
      <c r="AG786" s="2">
        <v>10.08</v>
      </c>
      <c r="AH786" s="4">
        <f t="shared" si="12"/>
        <v>286.61</v>
      </c>
    </row>
    <row r="787" spans="1:34" x14ac:dyDescent="0.2">
      <c r="A787" s="3">
        <v>31867</v>
      </c>
      <c r="B787" s="2">
        <v>1.59</v>
      </c>
      <c r="C787" s="2">
        <v>25.29</v>
      </c>
      <c r="D787" s="2">
        <v>7.69</v>
      </c>
      <c r="E787" s="2">
        <v>35.21</v>
      </c>
      <c r="F787" s="2">
        <v>21.38</v>
      </c>
      <c r="G787" s="2">
        <v>19.41</v>
      </c>
      <c r="H787" s="2">
        <v>18.809999999999999</v>
      </c>
      <c r="I787" s="2">
        <v>48.94</v>
      </c>
      <c r="J787" s="2">
        <v>21.22</v>
      </c>
      <c r="K787" s="2">
        <v>27.8</v>
      </c>
      <c r="L787" s="2">
        <v>8.02</v>
      </c>
      <c r="M787" s="2">
        <v>12.39</v>
      </c>
      <c r="N787" s="2">
        <v>38.68</v>
      </c>
      <c r="O787" s="2">
        <v>25.73</v>
      </c>
      <c r="P787" s="2">
        <v>47.47</v>
      </c>
      <c r="Q787" s="2">
        <v>-0.56000000000000005</v>
      </c>
      <c r="R787" s="2">
        <v>7.15</v>
      </c>
      <c r="S787" s="2">
        <v>17.16</v>
      </c>
      <c r="T787" s="2">
        <v>28.15</v>
      </c>
      <c r="U787" s="2">
        <v>9.43</v>
      </c>
      <c r="V787" s="2">
        <v>15.21</v>
      </c>
      <c r="W787" s="2">
        <v>0</v>
      </c>
      <c r="X787" s="2">
        <v>0</v>
      </c>
      <c r="Y787" s="2">
        <v>0</v>
      </c>
      <c r="Z787" s="2">
        <v>1.77</v>
      </c>
      <c r="AA787" s="2">
        <v>4.7300000000000004</v>
      </c>
      <c r="AB787" s="2">
        <v>1</v>
      </c>
      <c r="AC787" s="2">
        <v>12.63</v>
      </c>
      <c r="AD787" s="2">
        <v>3.77</v>
      </c>
      <c r="AE787" s="2">
        <v>17.149999999999999</v>
      </c>
      <c r="AF787" s="2">
        <v>72.599999999999994</v>
      </c>
      <c r="AG787" s="2">
        <v>10.69</v>
      </c>
      <c r="AH787" s="4">
        <f t="shared" si="12"/>
        <v>436.16999999999996</v>
      </c>
    </row>
    <row r="788" spans="1:34" x14ac:dyDescent="0.2">
      <c r="A788" s="3">
        <v>31897</v>
      </c>
      <c r="B788" s="2">
        <v>0.54</v>
      </c>
      <c r="C788" s="2">
        <v>16.95</v>
      </c>
      <c r="D788" s="2">
        <v>-9.67</v>
      </c>
      <c r="E788" s="2">
        <v>-24.97</v>
      </c>
      <c r="F788" s="2">
        <v>-10.3</v>
      </c>
      <c r="G788" s="2">
        <v>-13.42</v>
      </c>
      <c r="H788" s="2">
        <v>6.5</v>
      </c>
      <c r="I788" s="2">
        <v>43.67</v>
      </c>
      <c r="J788" s="2">
        <v>-7.99</v>
      </c>
      <c r="K788" s="2">
        <v>-30.15</v>
      </c>
      <c r="L788" s="2">
        <v>0.93</v>
      </c>
      <c r="M788" s="2">
        <v>-2.86</v>
      </c>
      <c r="N788" s="2">
        <v>5.84</v>
      </c>
      <c r="O788" s="2">
        <v>31.8</v>
      </c>
      <c r="P788" s="2">
        <v>16.57</v>
      </c>
      <c r="Q788" s="2">
        <v>6.38</v>
      </c>
      <c r="R788" s="2">
        <v>12.3</v>
      </c>
      <c r="S788" s="2">
        <v>2.82</v>
      </c>
      <c r="T788" s="2">
        <v>15.68</v>
      </c>
      <c r="U788" s="2">
        <v>16</v>
      </c>
      <c r="V788" s="2">
        <v>13.09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0.06</v>
      </c>
      <c r="AC788" s="2">
        <v>0.22</v>
      </c>
      <c r="AD788" s="2">
        <v>4.7</v>
      </c>
      <c r="AE788" s="2">
        <v>1.31</v>
      </c>
      <c r="AF788" s="2">
        <v>89.83</v>
      </c>
      <c r="AG788" s="2">
        <v>14.64</v>
      </c>
      <c r="AH788" s="4">
        <f t="shared" si="12"/>
        <v>89.710000000000008</v>
      </c>
    </row>
    <row r="789" spans="1:34" x14ac:dyDescent="0.2">
      <c r="A789" s="3">
        <v>31928</v>
      </c>
      <c r="B789" s="2">
        <v>0.81</v>
      </c>
      <c r="C789" s="2">
        <v>12.71</v>
      </c>
      <c r="D789" s="2">
        <v>-7.58</v>
      </c>
      <c r="E789" s="2">
        <v>-8.66</v>
      </c>
      <c r="F789" s="2">
        <v>-8.73</v>
      </c>
      <c r="G789" s="2">
        <v>-4.3099999999999996</v>
      </c>
      <c r="H789" s="2">
        <v>10.92</v>
      </c>
      <c r="I789" s="2">
        <v>30.61</v>
      </c>
      <c r="J789" s="2">
        <v>-8.65</v>
      </c>
      <c r="K789" s="2">
        <v>0.67</v>
      </c>
      <c r="L789" s="2">
        <v>-6.88</v>
      </c>
      <c r="M789" s="2">
        <v>-0.22</v>
      </c>
      <c r="N789" s="2">
        <v>32.270000000000003</v>
      </c>
      <c r="O789" s="2">
        <v>29.03</v>
      </c>
      <c r="P789" s="2">
        <v>51.74</v>
      </c>
      <c r="Q789" s="2">
        <v>-3.24</v>
      </c>
      <c r="R789" s="2">
        <v>13.95</v>
      </c>
      <c r="S789" s="2">
        <v>10.76</v>
      </c>
      <c r="T789" s="2">
        <v>17.05</v>
      </c>
      <c r="U789" s="2">
        <v>8.19</v>
      </c>
      <c r="V789" s="2">
        <v>23.15</v>
      </c>
      <c r="W789" s="2">
        <v>4.88</v>
      </c>
      <c r="X789" s="2">
        <v>1.3</v>
      </c>
      <c r="Y789" s="2">
        <v>0</v>
      </c>
      <c r="Z789" s="2">
        <v>0.96</v>
      </c>
      <c r="AA789" s="2">
        <v>0</v>
      </c>
      <c r="AB789" s="2">
        <v>1.99</v>
      </c>
      <c r="AC789" s="2">
        <v>0</v>
      </c>
      <c r="AD789" s="2">
        <v>7.64</v>
      </c>
      <c r="AE789" s="2">
        <v>0</v>
      </c>
      <c r="AF789" s="2">
        <v>101.45</v>
      </c>
      <c r="AG789" s="2">
        <v>17.690000000000001</v>
      </c>
      <c r="AH789" s="4">
        <f t="shared" si="12"/>
        <v>193.59000000000003</v>
      </c>
    </row>
    <row r="790" spans="1:34" x14ac:dyDescent="0.2">
      <c r="A790" s="3">
        <v>31958</v>
      </c>
      <c r="B790" s="2">
        <v>0.46</v>
      </c>
      <c r="C790" s="2">
        <v>17.88</v>
      </c>
      <c r="D790" s="2">
        <v>-12.09</v>
      </c>
      <c r="E790" s="2">
        <v>-4.8</v>
      </c>
      <c r="F790" s="2">
        <v>2.44</v>
      </c>
      <c r="G790" s="2">
        <v>1.64</v>
      </c>
      <c r="H790" s="2">
        <v>16.260000000000002</v>
      </c>
      <c r="I790" s="2">
        <v>34.340000000000003</v>
      </c>
      <c r="J790" s="2">
        <v>-8.08</v>
      </c>
      <c r="K790" s="2">
        <v>10.06</v>
      </c>
      <c r="L790" s="2">
        <v>0.21</v>
      </c>
      <c r="M790" s="2">
        <v>4.7699999999999996</v>
      </c>
      <c r="N790" s="2">
        <v>35.29</v>
      </c>
      <c r="O790" s="2">
        <v>32.44</v>
      </c>
      <c r="P790" s="2">
        <v>66.540000000000006</v>
      </c>
      <c r="Q790" s="2">
        <v>8.68</v>
      </c>
      <c r="R790" s="2">
        <v>20.100000000000001</v>
      </c>
      <c r="S790" s="2">
        <v>26.01</v>
      </c>
      <c r="T790" s="2">
        <v>46.99</v>
      </c>
      <c r="U790" s="2">
        <v>18.43</v>
      </c>
      <c r="V790" s="2">
        <v>46.46</v>
      </c>
      <c r="W790" s="2">
        <v>18.62</v>
      </c>
      <c r="X790" s="2">
        <v>6.01</v>
      </c>
      <c r="Y790" s="2">
        <v>5.4</v>
      </c>
      <c r="Z790" s="2">
        <v>3.4</v>
      </c>
      <c r="AA790" s="2">
        <v>0</v>
      </c>
      <c r="AB790" s="2">
        <v>1.1599999999999999</v>
      </c>
      <c r="AC790" s="2">
        <v>0</v>
      </c>
      <c r="AD790" s="2">
        <v>10.59</v>
      </c>
      <c r="AE790" s="2">
        <v>0</v>
      </c>
      <c r="AF790" s="2">
        <v>111.02</v>
      </c>
      <c r="AG790" s="2">
        <v>22.83</v>
      </c>
      <c r="AH790" s="4">
        <f t="shared" si="12"/>
        <v>364.03</v>
      </c>
    </row>
    <row r="791" spans="1:34" x14ac:dyDescent="0.2">
      <c r="A791" s="3">
        <v>31989</v>
      </c>
      <c r="B791" s="2">
        <v>1.23</v>
      </c>
      <c r="C791" s="2">
        <v>19.73</v>
      </c>
      <c r="D791" s="2">
        <v>-11.76</v>
      </c>
      <c r="E791" s="2">
        <v>9.11</v>
      </c>
      <c r="F791" s="2">
        <v>11.24</v>
      </c>
      <c r="G791" s="2">
        <v>18.649999999999999</v>
      </c>
      <c r="H791" s="2">
        <v>20.72</v>
      </c>
      <c r="I791" s="2">
        <v>38.049999999999997</v>
      </c>
      <c r="J791" s="2">
        <v>-8.59</v>
      </c>
      <c r="K791" s="2">
        <v>12.16</v>
      </c>
      <c r="L791" s="2">
        <v>1.85</v>
      </c>
      <c r="M791" s="2">
        <v>10.18</v>
      </c>
      <c r="N791" s="2">
        <v>40.880000000000003</v>
      </c>
      <c r="O791" s="2">
        <v>46.32</v>
      </c>
      <c r="P791" s="2">
        <v>79.88</v>
      </c>
      <c r="Q791" s="2">
        <v>4.04</v>
      </c>
      <c r="R791" s="2">
        <v>21.17</v>
      </c>
      <c r="S791" s="2">
        <v>29.62</v>
      </c>
      <c r="T791" s="2">
        <v>41.26</v>
      </c>
      <c r="U791" s="2">
        <v>31.35</v>
      </c>
      <c r="V791" s="2">
        <v>47.29</v>
      </c>
      <c r="W791" s="2">
        <v>30.39</v>
      </c>
      <c r="X791" s="2">
        <v>10.59</v>
      </c>
      <c r="Y791" s="2">
        <v>10.36</v>
      </c>
      <c r="Z791" s="2">
        <v>0</v>
      </c>
      <c r="AA791" s="2">
        <v>0</v>
      </c>
      <c r="AB791" s="2">
        <v>0</v>
      </c>
      <c r="AC791" s="2">
        <v>0.5</v>
      </c>
      <c r="AD791" s="2">
        <v>8.08</v>
      </c>
      <c r="AE791" s="2">
        <v>0</v>
      </c>
      <c r="AF791" s="2">
        <v>120.91</v>
      </c>
      <c r="AG791" s="2">
        <v>24.8</v>
      </c>
      <c r="AH791" s="4">
        <f t="shared" si="12"/>
        <v>464.38000000000005</v>
      </c>
    </row>
    <row r="792" spans="1:34" x14ac:dyDescent="0.2">
      <c r="A792" s="3">
        <v>32020</v>
      </c>
      <c r="B792" s="2">
        <v>-0.89</v>
      </c>
      <c r="C792" s="2">
        <v>18.86</v>
      </c>
      <c r="D792" s="2">
        <v>-12.35</v>
      </c>
      <c r="E792" s="2">
        <v>-7.34</v>
      </c>
      <c r="F792" s="2">
        <v>-0.42</v>
      </c>
      <c r="G792" s="2">
        <v>16.5</v>
      </c>
      <c r="H792" s="2">
        <v>15.66</v>
      </c>
      <c r="I792" s="2">
        <v>38.770000000000003</v>
      </c>
      <c r="J792" s="2">
        <v>-2.48</v>
      </c>
      <c r="K792" s="2">
        <v>6.52</v>
      </c>
      <c r="L792" s="2">
        <v>5.26</v>
      </c>
      <c r="M792" s="2">
        <v>11.56</v>
      </c>
      <c r="N792" s="2">
        <v>40.72</v>
      </c>
      <c r="O792" s="2">
        <v>32.93</v>
      </c>
      <c r="P792" s="2">
        <v>75.61</v>
      </c>
      <c r="Q792" s="2">
        <v>3.86</v>
      </c>
      <c r="R792" s="2">
        <v>13.42</v>
      </c>
      <c r="S792" s="2">
        <v>23.51</v>
      </c>
      <c r="T792" s="2">
        <v>39.340000000000003</v>
      </c>
      <c r="U792" s="2">
        <v>31.1</v>
      </c>
      <c r="V792" s="2">
        <v>44.16</v>
      </c>
      <c r="W792" s="2">
        <v>31.47</v>
      </c>
      <c r="X792" s="2">
        <v>12.78</v>
      </c>
      <c r="Y792" s="2">
        <v>12.67</v>
      </c>
      <c r="Z792" s="2">
        <v>0</v>
      </c>
      <c r="AA792" s="2">
        <v>0</v>
      </c>
      <c r="AB792" s="2">
        <v>0</v>
      </c>
      <c r="AC792" s="2">
        <v>0.86</v>
      </c>
      <c r="AD792" s="2">
        <v>5.66</v>
      </c>
      <c r="AE792" s="2">
        <v>0</v>
      </c>
      <c r="AF792" s="2">
        <v>122.96</v>
      </c>
      <c r="AG792" s="2">
        <v>23.65</v>
      </c>
      <c r="AH792" s="4">
        <f t="shared" si="12"/>
        <v>394.30000000000007</v>
      </c>
    </row>
    <row r="793" spans="1:34" x14ac:dyDescent="0.2">
      <c r="A793" s="3">
        <v>32050</v>
      </c>
      <c r="B793" s="2">
        <v>-5.47</v>
      </c>
      <c r="C793" s="2">
        <v>17.71</v>
      </c>
      <c r="D793" s="2">
        <v>-16.12</v>
      </c>
      <c r="E793" s="2">
        <v>-36.58</v>
      </c>
      <c r="F793" s="2">
        <v>-3.93</v>
      </c>
      <c r="G793" s="2">
        <v>2.4700000000000002</v>
      </c>
      <c r="H793" s="2">
        <v>14.75</v>
      </c>
      <c r="I793" s="2">
        <v>46.57</v>
      </c>
      <c r="J793" s="2">
        <v>6.05</v>
      </c>
      <c r="K793" s="2">
        <v>-8.07</v>
      </c>
      <c r="L793" s="2">
        <v>3.85</v>
      </c>
      <c r="M793" s="2">
        <v>5.55</v>
      </c>
      <c r="N793" s="2">
        <v>35.08</v>
      </c>
      <c r="O793" s="2">
        <v>26.96</v>
      </c>
      <c r="P793" s="2">
        <v>22.5</v>
      </c>
      <c r="Q793" s="2">
        <v>6.67</v>
      </c>
      <c r="R793" s="2">
        <v>18.23</v>
      </c>
      <c r="S793" s="2">
        <v>-2.2999999999999998</v>
      </c>
      <c r="T793" s="2">
        <v>13.73</v>
      </c>
      <c r="U793" s="2">
        <v>10.89</v>
      </c>
      <c r="V793" s="2">
        <v>19.440000000000001</v>
      </c>
      <c r="W793" s="2">
        <v>26.1</v>
      </c>
      <c r="X793" s="2">
        <v>12.3</v>
      </c>
      <c r="Y793" s="2">
        <v>11.98</v>
      </c>
      <c r="Z793" s="2">
        <v>2.34</v>
      </c>
      <c r="AA793" s="2">
        <v>0.43</v>
      </c>
      <c r="AB793" s="2">
        <v>0</v>
      </c>
      <c r="AC793" s="2">
        <v>0</v>
      </c>
      <c r="AD793" s="2">
        <v>3.86</v>
      </c>
      <c r="AE793" s="2">
        <v>0</v>
      </c>
      <c r="AF793" s="2">
        <v>114.53</v>
      </c>
      <c r="AG793" s="2">
        <v>20.170000000000002</v>
      </c>
      <c r="AH793" s="4">
        <f t="shared" si="12"/>
        <v>177.97999999999996</v>
      </c>
    </row>
    <row r="794" spans="1:34" x14ac:dyDescent="0.2">
      <c r="A794" s="3">
        <v>32081</v>
      </c>
      <c r="B794" s="2">
        <v>-3.46</v>
      </c>
      <c r="C794" s="2">
        <v>13.98</v>
      </c>
      <c r="D794" s="2">
        <v>-11.02</v>
      </c>
      <c r="E794" s="2">
        <v>-24.5</v>
      </c>
      <c r="F794" s="2">
        <v>-0.3</v>
      </c>
      <c r="G794" s="2">
        <v>3.99</v>
      </c>
      <c r="H794" s="2">
        <v>13.41</v>
      </c>
      <c r="I794" s="2">
        <v>39.15</v>
      </c>
      <c r="J794" s="2">
        <v>4.93</v>
      </c>
      <c r="K794" s="2">
        <v>-0.71</v>
      </c>
      <c r="L794" s="2">
        <v>-13.09</v>
      </c>
      <c r="M794" s="2">
        <v>2.61</v>
      </c>
      <c r="N794" s="2">
        <v>20.48</v>
      </c>
      <c r="O794" s="2">
        <v>20.28</v>
      </c>
      <c r="P794" s="2">
        <v>47.35</v>
      </c>
      <c r="Q794" s="2">
        <v>-0.54</v>
      </c>
      <c r="R794" s="2">
        <v>8.6199999999999992</v>
      </c>
      <c r="S794" s="2">
        <v>-11.37</v>
      </c>
      <c r="T794" s="2">
        <v>13.21</v>
      </c>
      <c r="U794" s="2">
        <v>1.59</v>
      </c>
      <c r="V794" s="2">
        <v>15.67</v>
      </c>
      <c r="W794" s="2">
        <v>22.19</v>
      </c>
      <c r="X794" s="2">
        <v>11.55</v>
      </c>
      <c r="Y794" s="2">
        <v>11.21</v>
      </c>
      <c r="Z794" s="2">
        <v>6.51</v>
      </c>
      <c r="AA794" s="2">
        <v>20.93</v>
      </c>
      <c r="AB794" s="2">
        <v>1.1599999999999999</v>
      </c>
      <c r="AC794" s="2">
        <v>0</v>
      </c>
      <c r="AD794" s="2">
        <v>3.81</v>
      </c>
      <c r="AE794" s="2">
        <v>8.67</v>
      </c>
      <c r="AF794" s="2">
        <v>103.89</v>
      </c>
      <c r="AG794" s="2">
        <v>16.420000000000002</v>
      </c>
      <c r="AH794" s="4">
        <f t="shared" si="12"/>
        <v>140.27999999999997</v>
      </c>
    </row>
    <row r="795" spans="1:34" x14ac:dyDescent="0.2">
      <c r="A795" s="3">
        <v>32111</v>
      </c>
      <c r="B795" s="2">
        <v>-3.84</v>
      </c>
      <c r="C795" s="2">
        <v>16.899999999999999</v>
      </c>
      <c r="D795" s="2">
        <v>-0.08</v>
      </c>
      <c r="E795" s="2">
        <v>-0.9</v>
      </c>
      <c r="F795" s="2">
        <v>4.21</v>
      </c>
      <c r="G795" s="2">
        <v>11.57</v>
      </c>
      <c r="H795" s="2">
        <v>14.98</v>
      </c>
      <c r="I795" s="2">
        <v>38.159999999999997</v>
      </c>
      <c r="J795" s="2">
        <v>9.65</v>
      </c>
      <c r="K795" s="2">
        <v>2.11</v>
      </c>
      <c r="L795" s="2">
        <v>-0.88</v>
      </c>
      <c r="M795" s="2">
        <v>2.0099999999999998</v>
      </c>
      <c r="N795" s="2">
        <v>17.27</v>
      </c>
      <c r="O795" s="2">
        <v>21.76</v>
      </c>
      <c r="P795" s="2">
        <v>25.88</v>
      </c>
      <c r="Q795" s="2">
        <v>2.36</v>
      </c>
      <c r="R795" s="2">
        <v>9.6</v>
      </c>
      <c r="S795" s="2">
        <v>-3.12</v>
      </c>
      <c r="T795" s="2">
        <v>20.82</v>
      </c>
      <c r="U795" s="2">
        <v>7.27</v>
      </c>
      <c r="V795" s="2">
        <v>11.83</v>
      </c>
      <c r="W795" s="2">
        <v>15.43</v>
      </c>
      <c r="X795" s="2">
        <v>7.5</v>
      </c>
      <c r="Y795" s="2">
        <v>6.14</v>
      </c>
      <c r="Z795" s="2">
        <v>4.74</v>
      </c>
      <c r="AA795" s="2">
        <v>12.71</v>
      </c>
      <c r="AB795" s="2">
        <v>3.45</v>
      </c>
      <c r="AC795" s="2">
        <v>5.31</v>
      </c>
      <c r="AD795" s="2">
        <v>2.36</v>
      </c>
      <c r="AE795" s="2">
        <v>15.38</v>
      </c>
      <c r="AF795" s="2">
        <v>68.16</v>
      </c>
      <c r="AG795" s="2">
        <v>12.92</v>
      </c>
      <c r="AH795" s="4">
        <f t="shared" si="12"/>
        <v>207.56000000000003</v>
      </c>
    </row>
    <row r="796" spans="1:34" x14ac:dyDescent="0.2">
      <c r="A796" s="3">
        <v>32142</v>
      </c>
      <c r="B796" s="2">
        <v>-1.88</v>
      </c>
      <c r="C796" s="2">
        <v>28.8</v>
      </c>
      <c r="D796" s="2">
        <v>32.75</v>
      </c>
      <c r="E796" s="2">
        <v>80.53</v>
      </c>
      <c r="F796" s="2">
        <v>47.91</v>
      </c>
      <c r="G796" s="2">
        <v>74.709999999999994</v>
      </c>
      <c r="H796" s="2">
        <v>26.58</v>
      </c>
      <c r="I796" s="2">
        <v>42.32</v>
      </c>
      <c r="J796" s="2">
        <v>29.02</v>
      </c>
      <c r="K796" s="2">
        <v>9.0299999999999994</v>
      </c>
      <c r="L796" s="2">
        <v>-1.97</v>
      </c>
      <c r="M796" s="2">
        <v>10.43</v>
      </c>
      <c r="N796" s="2">
        <v>20.39</v>
      </c>
      <c r="O796" s="2">
        <v>23.24</v>
      </c>
      <c r="P796" s="2">
        <v>30.72</v>
      </c>
      <c r="Q796" s="2">
        <v>-0.4</v>
      </c>
      <c r="R796" s="2">
        <v>8.9600000000000009</v>
      </c>
      <c r="S796" s="2">
        <v>9.4600000000000009</v>
      </c>
      <c r="T796" s="2">
        <v>15.49</v>
      </c>
      <c r="U796" s="2">
        <v>7.99</v>
      </c>
      <c r="V796" s="2">
        <v>15.26</v>
      </c>
      <c r="W796" s="2">
        <v>11.73</v>
      </c>
      <c r="X796" s="2">
        <v>3.66</v>
      </c>
      <c r="Y796" s="2">
        <v>5.52</v>
      </c>
      <c r="Z796" s="2">
        <v>9.81</v>
      </c>
      <c r="AA796" s="2">
        <v>7.14</v>
      </c>
      <c r="AB796" s="2">
        <v>1.92</v>
      </c>
      <c r="AC796" s="2">
        <v>7.0000000000000007E-2</v>
      </c>
      <c r="AD796" s="2">
        <v>2.23</v>
      </c>
      <c r="AE796" s="2">
        <v>30.86</v>
      </c>
      <c r="AF796" s="2">
        <v>62.62</v>
      </c>
      <c r="AG796" s="2">
        <v>11.2</v>
      </c>
      <c r="AH796" s="4">
        <f t="shared" si="12"/>
        <v>509.33999999999992</v>
      </c>
    </row>
    <row r="797" spans="1:34" x14ac:dyDescent="0.2">
      <c r="A797" s="3">
        <v>32173</v>
      </c>
      <c r="B797" s="2">
        <v>-6.9</v>
      </c>
      <c r="C797" s="2">
        <v>29.5</v>
      </c>
      <c r="D797" s="2">
        <v>22.9</v>
      </c>
      <c r="E797" s="2">
        <v>44.89</v>
      </c>
      <c r="F797" s="2">
        <v>24.49</v>
      </c>
      <c r="G797" s="2">
        <v>64.86</v>
      </c>
      <c r="H797" s="2">
        <v>13.94</v>
      </c>
      <c r="I797" s="2">
        <v>34.799999999999997</v>
      </c>
      <c r="J797" s="2">
        <v>31.98</v>
      </c>
      <c r="K797" s="2">
        <v>18.77</v>
      </c>
      <c r="L797" s="2">
        <v>-5.72</v>
      </c>
      <c r="M797" s="2">
        <v>-1.9</v>
      </c>
      <c r="N797" s="2">
        <v>25.92</v>
      </c>
      <c r="O797" s="2">
        <v>17.21</v>
      </c>
      <c r="P797" s="2">
        <v>42.27</v>
      </c>
      <c r="Q797" s="2">
        <v>-2.0699999999999998</v>
      </c>
      <c r="R797" s="2">
        <v>8.9600000000000009</v>
      </c>
      <c r="S797" s="2">
        <v>13.49</v>
      </c>
      <c r="T797" s="2">
        <v>13.49</v>
      </c>
      <c r="U797" s="2">
        <v>8.2799999999999994</v>
      </c>
      <c r="V797" s="2">
        <v>10.97</v>
      </c>
      <c r="W797" s="2">
        <v>4.26</v>
      </c>
      <c r="X797" s="2">
        <v>0</v>
      </c>
      <c r="Y797" s="2">
        <v>1.32</v>
      </c>
      <c r="Z797" s="2">
        <v>6.65</v>
      </c>
      <c r="AA797" s="2">
        <v>2.78</v>
      </c>
      <c r="AB797" s="2">
        <v>4.47</v>
      </c>
      <c r="AC797" s="2">
        <v>4.5199999999999996</v>
      </c>
      <c r="AD797" s="2">
        <v>2.12</v>
      </c>
      <c r="AE797" s="2">
        <v>19.39</v>
      </c>
      <c r="AF797" s="2">
        <v>68.22</v>
      </c>
      <c r="AG797" s="2">
        <v>9.8800000000000008</v>
      </c>
      <c r="AH797" s="4">
        <f t="shared" si="12"/>
        <v>410.13</v>
      </c>
    </row>
    <row r="798" spans="1:34" x14ac:dyDescent="0.2">
      <c r="A798" s="3">
        <v>32202</v>
      </c>
      <c r="B798" s="2">
        <v>-1.01</v>
      </c>
      <c r="C798" s="2">
        <v>17.5</v>
      </c>
      <c r="D798" s="2">
        <v>-22.51</v>
      </c>
      <c r="E798" s="2">
        <v>-54.95</v>
      </c>
      <c r="F798" s="2">
        <v>-17.16</v>
      </c>
      <c r="G798" s="2">
        <v>-33.950000000000003</v>
      </c>
      <c r="H798" s="2">
        <v>3.97</v>
      </c>
      <c r="I798" s="2">
        <v>36.159999999999997</v>
      </c>
      <c r="J798" s="2">
        <v>2.71</v>
      </c>
      <c r="K798" s="2">
        <v>10.3</v>
      </c>
      <c r="L798" s="2">
        <v>-4.62</v>
      </c>
      <c r="M798" s="2">
        <v>-2.09</v>
      </c>
      <c r="N798" s="2">
        <v>26.79</v>
      </c>
      <c r="O798" s="2">
        <v>23.06</v>
      </c>
      <c r="P798" s="2">
        <v>51.93</v>
      </c>
      <c r="Q798" s="2">
        <v>0.82</v>
      </c>
      <c r="R798" s="2">
        <v>13.74</v>
      </c>
      <c r="S798" s="2">
        <v>-14.9</v>
      </c>
      <c r="T798" s="2">
        <v>17.91</v>
      </c>
      <c r="U798" s="2">
        <v>9.93</v>
      </c>
      <c r="V798" s="2">
        <v>7.66</v>
      </c>
      <c r="W798" s="2">
        <v>0</v>
      </c>
      <c r="X798" s="2">
        <v>0</v>
      </c>
      <c r="Y798" s="2">
        <v>0</v>
      </c>
      <c r="Z798" s="2">
        <v>3.78</v>
      </c>
      <c r="AA798" s="2">
        <v>11.9</v>
      </c>
      <c r="AB798" s="2">
        <v>0.76</v>
      </c>
      <c r="AC798" s="2">
        <v>3.37</v>
      </c>
      <c r="AD798" s="2">
        <v>2.2999999999999998</v>
      </c>
      <c r="AE798" s="2">
        <v>5.78</v>
      </c>
      <c r="AF798" s="2">
        <v>56.87</v>
      </c>
      <c r="AG798" s="2">
        <v>10.08</v>
      </c>
      <c r="AH798" s="4">
        <f t="shared" si="12"/>
        <v>71.289999999999992</v>
      </c>
    </row>
    <row r="799" spans="1:34" x14ac:dyDescent="0.2">
      <c r="A799" s="3">
        <v>32233</v>
      </c>
      <c r="B799" s="2">
        <v>1.95</v>
      </c>
      <c r="C799" s="2">
        <v>19.64</v>
      </c>
      <c r="D799" s="2">
        <v>-9</v>
      </c>
      <c r="E799" s="2">
        <v>-14.93</v>
      </c>
      <c r="F799" s="2">
        <v>6.25</v>
      </c>
      <c r="G799" s="2">
        <v>-15.01</v>
      </c>
      <c r="H799" s="2">
        <v>12.52</v>
      </c>
      <c r="I799" s="2">
        <v>40.32</v>
      </c>
      <c r="J799" s="2">
        <v>9.2899999999999991</v>
      </c>
      <c r="K799" s="2">
        <v>8.6199999999999992</v>
      </c>
      <c r="L799" s="2">
        <v>28.86</v>
      </c>
      <c r="M799" s="2">
        <v>9.59</v>
      </c>
      <c r="N799" s="2">
        <v>34.909999999999997</v>
      </c>
      <c r="O799" s="2">
        <v>18.21</v>
      </c>
      <c r="P799" s="2">
        <v>60.23</v>
      </c>
      <c r="Q799" s="2">
        <v>-3.32</v>
      </c>
      <c r="R799" s="2">
        <v>4.54</v>
      </c>
      <c r="S799" s="2">
        <v>-18.8</v>
      </c>
      <c r="T799" s="2">
        <v>22.02</v>
      </c>
      <c r="U799" s="2">
        <v>8.14</v>
      </c>
      <c r="V799" s="2">
        <v>18.68</v>
      </c>
      <c r="W799" s="2">
        <v>0</v>
      </c>
      <c r="X799" s="2">
        <v>0</v>
      </c>
      <c r="Y799" s="2">
        <v>0</v>
      </c>
      <c r="Z799" s="2">
        <v>3.68</v>
      </c>
      <c r="AA799" s="2">
        <v>0.17</v>
      </c>
      <c r="AB799" s="2">
        <v>1.3</v>
      </c>
      <c r="AC799" s="2">
        <v>2.66</v>
      </c>
      <c r="AD799" s="2">
        <v>3.96</v>
      </c>
      <c r="AE799" s="2">
        <v>0.56000000000000005</v>
      </c>
      <c r="AF799" s="2">
        <v>67.11</v>
      </c>
      <c r="AG799" s="2">
        <v>10.69</v>
      </c>
      <c r="AH799" s="4">
        <f t="shared" si="12"/>
        <v>242.70999999999998</v>
      </c>
    </row>
    <row r="800" spans="1:34" x14ac:dyDescent="0.2">
      <c r="A800" s="3">
        <v>32263</v>
      </c>
      <c r="B800" s="2">
        <v>4.8099999999999996</v>
      </c>
      <c r="C800" s="2">
        <v>22</v>
      </c>
      <c r="D800" s="2">
        <v>6.3</v>
      </c>
      <c r="E800" s="2">
        <v>51.95</v>
      </c>
      <c r="F800" s="2">
        <v>25.37</v>
      </c>
      <c r="G800" s="2">
        <v>4.0599999999999996</v>
      </c>
      <c r="H800" s="2">
        <v>19.07</v>
      </c>
      <c r="I800" s="2">
        <v>43.36</v>
      </c>
      <c r="J800" s="2">
        <v>11.47</v>
      </c>
      <c r="K800" s="2">
        <v>-2.04</v>
      </c>
      <c r="L800" s="2">
        <v>6.28</v>
      </c>
      <c r="M800" s="2">
        <v>9.15</v>
      </c>
      <c r="N800" s="2">
        <v>19.600000000000001</v>
      </c>
      <c r="O800" s="2">
        <v>29.48</v>
      </c>
      <c r="P800" s="2">
        <v>38.39</v>
      </c>
      <c r="Q800" s="2">
        <v>-0.24</v>
      </c>
      <c r="R800" s="2">
        <v>11.36</v>
      </c>
      <c r="S800" s="2">
        <v>22</v>
      </c>
      <c r="T800" s="2">
        <v>18.670000000000002</v>
      </c>
      <c r="U800" s="2">
        <v>9.7799999999999994</v>
      </c>
      <c r="V800" s="2">
        <v>13.47</v>
      </c>
      <c r="W800" s="2">
        <v>0</v>
      </c>
      <c r="X800" s="2">
        <v>0</v>
      </c>
      <c r="Y800" s="2">
        <v>0</v>
      </c>
      <c r="Z800" s="2">
        <v>3.88</v>
      </c>
      <c r="AA800" s="2">
        <v>3.83</v>
      </c>
      <c r="AB800" s="2">
        <v>1.52</v>
      </c>
      <c r="AC800" s="2">
        <v>0</v>
      </c>
      <c r="AD800" s="2">
        <v>4.76</v>
      </c>
      <c r="AE800" s="2">
        <v>16.97</v>
      </c>
      <c r="AF800" s="2">
        <v>83.04</v>
      </c>
      <c r="AG800" s="2">
        <v>14.64</v>
      </c>
      <c r="AH800" s="4">
        <f t="shared" si="12"/>
        <v>364.29</v>
      </c>
    </row>
    <row r="801" spans="1:34" x14ac:dyDescent="0.2">
      <c r="A801" s="3">
        <v>32294</v>
      </c>
      <c r="B801" s="2">
        <v>3.39</v>
      </c>
      <c r="C801" s="2">
        <v>17.47</v>
      </c>
      <c r="D801" s="2">
        <v>-6.42</v>
      </c>
      <c r="E801" s="2">
        <v>7.6</v>
      </c>
      <c r="F801" s="2">
        <v>-13.23</v>
      </c>
      <c r="G801" s="2">
        <v>1.49</v>
      </c>
      <c r="H801" s="2">
        <v>12.91</v>
      </c>
      <c r="I801" s="2">
        <v>31.32</v>
      </c>
      <c r="J801" s="2">
        <v>-2.98</v>
      </c>
      <c r="K801" s="2">
        <v>9.68</v>
      </c>
      <c r="L801" s="2">
        <v>-4.99</v>
      </c>
      <c r="M801" s="2">
        <v>-0.57999999999999996</v>
      </c>
      <c r="N801" s="2">
        <v>20.41</v>
      </c>
      <c r="O801" s="2">
        <v>16.71</v>
      </c>
      <c r="P801" s="2">
        <v>27.83</v>
      </c>
      <c r="Q801" s="2">
        <v>-9.98</v>
      </c>
      <c r="R801" s="2">
        <v>8.09</v>
      </c>
      <c r="S801" s="2">
        <v>4.28</v>
      </c>
      <c r="T801" s="2">
        <v>23.54</v>
      </c>
      <c r="U801" s="2">
        <v>8.43</v>
      </c>
      <c r="V801" s="2">
        <v>25.07</v>
      </c>
      <c r="W801" s="2">
        <v>4.88</v>
      </c>
      <c r="X801" s="2">
        <v>0</v>
      </c>
      <c r="Y801" s="2">
        <v>0</v>
      </c>
      <c r="Z801" s="2">
        <v>0.56999999999999995</v>
      </c>
      <c r="AA801" s="2">
        <v>0</v>
      </c>
      <c r="AB801" s="2">
        <v>0.13</v>
      </c>
      <c r="AC801" s="2">
        <v>1.44</v>
      </c>
      <c r="AD801" s="2">
        <v>6.41</v>
      </c>
      <c r="AE801" s="2">
        <v>6.15</v>
      </c>
      <c r="AF801" s="2">
        <v>93.78</v>
      </c>
      <c r="AG801" s="2">
        <v>17.690000000000001</v>
      </c>
      <c r="AH801" s="4">
        <f t="shared" si="12"/>
        <v>180.04</v>
      </c>
    </row>
    <row r="802" spans="1:34" x14ac:dyDescent="0.2">
      <c r="A802" s="3">
        <v>32324</v>
      </c>
      <c r="B802" s="2">
        <v>2.29</v>
      </c>
      <c r="C802" s="2">
        <v>18.96</v>
      </c>
      <c r="D802" s="2">
        <v>-14.28</v>
      </c>
      <c r="E802" s="2">
        <v>2.99</v>
      </c>
      <c r="F802" s="2">
        <v>14.51</v>
      </c>
      <c r="G802" s="2">
        <v>0.76</v>
      </c>
      <c r="H802" s="2">
        <v>17.36</v>
      </c>
      <c r="I802" s="2">
        <v>31.74</v>
      </c>
      <c r="J802" s="2">
        <v>-8.23</v>
      </c>
      <c r="K802" s="2">
        <v>36.64</v>
      </c>
      <c r="L802" s="2">
        <v>2.78</v>
      </c>
      <c r="M802" s="2">
        <v>7.79</v>
      </c>
      <c r="N802" s="2">
        <v>28.55</v>
      </c>
      <c r="O802" s="2">
        <v>21.74</v>
      </c>
      <c r="P802" s="2">
        <v>49.17</v>
      </c>
      <c r="Q802" s="2">
        <v>-0.69</v>
      </c>
      <c r="R802" s="2">
        <v>14.1</v>
      </c>
      <c r="S802" s="2">
        <v>21</v>
      </c>
      <c r="T802" s="2">
        <v>39.51</v>
      </c>
      <c r="U802" s="2">
        <v>17.510000000000002</v>
      </c>
      <c r="V802" s="2">
        <v>34.979999999999997</v>
      </c>
      <c r="W802" s="2">
        <v>18.62</v>
      </c>
      <c r="X802" s="2">
        <v>0</v>
      </c>
      <c r="Y802" s="2">
        <v>1.95</v>
      </c>
      <c r="Z802" s="2">
        <v>0.14000000000000001</v>
      </c>
      <c r="AA802" s="2">
        <v>4.01</v>
      </c>
      <c r="AB802" s="2">
        <v>0.54</v>
      </c>
      <c r="AC802" s="2">
        <v>5.0999999999999996</v>
      </c>
      <c r="AD802" s="2">
        <v>6.89</v>
      </c>
      <c r="AE802" s="2">
        <v>0.09</v>
      </c>
      <c r="AF802" s="2">
        <v>102.63</v>
      </c>
      <c r="AG802" s="2">
        <v>22.83</v>
      </c>
      <c r="AH802" s="4">
        <f t="shared" si="12"/>
        <v>339.18000000000006</v>
      </c>
    </row>
    <row r="803" spans="1:34" x14ac:dyDescent="0.2">
      <c r="A803" s="3">
        <v>32355</v>
      </c>
      <c r="B803" s="2">
        <v>3.03</v>
      </c>
      <c r="C803" s="2">
        <v>19.52</v>
      </c>
      <c r="D803" s="2">
        <v>-10.57</v>
      </c>
      <c r="E803" s="2">
        <v>21.61</v>
      </c>
      <c r="F803" s="2">
        <v>21.8</v>
      </c>
      <c r="G803" s="2">
        <v>12.2</v>
      </c>
      <c r="H803" s="2">
        <v>23.6</v>
      </c>
      <c r="I803" s="2">
        <v>37.67</v>
      </c>
      <c r="J803" s="2">
        <v>-5.92</v>
      </c>
      <c r="K803" s="2">
        <v>45.38</v>
      </c>
      <c r="L803" s="2">
        <v>3.89</v>
      </c>
      <c r="M803" s="2">
        <v>15.66</v>
      </c>
      <c r="N803" s="2">
        <v>33.89</v>
      </c>
      <c r="O803" s="2">
        <v>39.31</v>
      </c>
      <c r="P803" s="2">
        <v>104.42</v>
      </c>
      <c r="Q803" s="2">
        <v>-3.18</v>
      </c>
      <c r="R803" s="2">
        <v>17.03</v>
      </c>
      <c r="S803" s="2">
        <v>10.39</v>
      </c>
      <c r="T803" s="2">
        <v>34.36</v>
      </c>
      <c r="U803" s="2">
        <v>33.909999999999997</v>
      </c>
      <c r="V803" s="2">
        <v>39.86</v>
      </c>
      <c r="W803" s="2">
        <v>30.39</v>
      </c>
      <c r="X803" s="2">
        <v>3.5</v>
      </c>
      <c r="Y803" s="2">
        <v>6.62</v>
      </c>
      <c r="Z803" s="2">
        <v>0.53</v>
      </c>
      <c r="AA803" s="2">
        <v>0</v>
      </c>
      <c r="AB803" s="2">
        <v>0</v>
      </c>
      <c r="AC803" s="2">
        <v>0</v>
      </c>
      <c r="AD803" s="2">
        <v>5.81</v>
      </c>
      <c r="AE803" s="2">
        <v>0</v>
      </c>
      <c r="AF803" s="2">
        <v>111.77</v>
      </c>
      <c r="AG803" s="2">
        <v>24.8</v>
      </c>
      <c r="AH803" s="4">
        <f t="shared" si="12"/>
        <v>497.86</v>
      </c>
    </row>
    <row r="804" spans="1:34" x14ac:dyDescent="0.2">
      <c r="A804" s="3">
        <v>32386</v>
      </c>
      <c r="B804" s="2">
        <v>0.82</v>
      </c>
      <c r="C804" s="2">
        <v>18.579999999999998</v>
      </c>
      <c r="D804" s="2">
        <v>-13.7</v>
      </c>
      <c r="E804" s="2">
        <v>8.2200000000000006</v>
      </c>
      <c r="F804" s="2">
        <v>2.39</v>
      </c>
      <c r="G804" s="2">
        <v>12.64</v>
      </c>
      <c r="H804" s="2">
        <v>16.72</v>
      </c>
      <c r="I804" s="2">
        <v>36.630000000000003</v>
      </c>
      <c r="J804" s="2">
        <v>-3.39</v>
      </c>
      <c r="K804" s="2">
        <v>31.89</v>
      </c>
      <c r="L804" s="2">
        <v>3.89</v>
      </c>
      <c r="M804" s="2">
        <v>11.5</v>
      </c>
      <c r="N804" s="2">
        <v>40.29</v>
      </c>
      <c r="O804" s="2">
        <v>27.02</v>
      </c>
      <c r="P804" s="2">
        <v>90.53</v>
      </c>
      <c r="Q804" s="2">
        <v>0.86</v>
      </c>
      <c r="R804" s="2">
        <v>9.8699999999999992</v>
      </c>
      <c r="S804" s="2">
        <v>36.19</v>
      </c>
      <c r="T804" s="2">
        <v>37.44</v>
      </c>
      <c r="U804" s="2">
        <v>28.63</v>
      </c>
      <c r="V804" s="2">
        <v>38.57</v>
      </c>
      <c r="W804" s="2">
        <v>31.47</v>
      </c>
      <c r="X804" s="2">
        <v>9.01</v>
      </c>
      <c r="Y804" s="2">
        <v>8.8699999999999992</v>
      </c>
      <c r="Z804" s="2">
        <v>0.28999999999999998</v>
      </c>
      <c r="AA804" s="2">
        <v>21.08</v>
      </c>
      <c r="AB804" s="2">
        <v>0.09</v>
      </c>
      <c r="AC804" s="2">
        <v>0</v>
      </c>
      <c r="AD804" s="2">
        <v>4.97</v>
      </c>
      <c r="AE804" s="2">
        <v>0</v>
      </c>
      <c r="AF804" s="2">
        <v>113.67</v>
      </c>
      <c r="AG804" s="2">
        <v>23.65</v>
      </c>
      <c r="AH804" s="4">
        <f t="shared" si="12"/>
        <v>435.59000000000003</v>
      </c>
    </row>
    <row r="805" spans="1:34" x14ac:dyDescent="0.2">
      <c r="A805" s="3">
        <v>32416</v>
      </c>
      <c r="B805" s="2">
        <v>-4.38</v>
      </c>
      <c r="C805" s="2">
        <v>18.66</v>
      </c>
      <c r="D805" s="2">
        <v>-11.29</v>
      </c>
      <c r="E805" s="2">
        <v>-18.37</v>
      </c>
      <c r="F805" s="2">
        <v>4.2699999999999996</v>
      </c>
      <c r="G805" s="2">
        <v>8.56</v>
      </c>
      <c r="H805" s="2">
        <v>18.43</v>
      </c>
      <c r="I805" s="2">
        <v>43.57</v>
      </c>
      <c r="J805" s="2">
        <v>6.21</v>
      </c>
      <c r="K805" s="2">
        <v>-7.49</v>
      </c>
      <c r="L805" s="2">
        <v>-0.61</v>
      </c>
      <c r="M805" s="2">
        <v>8.8699999999999992</v>
      </c>
      <c r="N805" s="2">
        <v>22.67</v>
      </c>
      <c r="O805" s="2">
        <v>25.05</v>
      </c>
      <c r="P805" s="2">
        <v>26.53</v>
      </c>
      <c r="Q805" s="2">
        <v>5.3</v>
      </c>
      <c r="R805" s="2">
        <v>16.97</v>
      </c>
      <c r="S805" s="2">
        <v>-3.95</v>
      </c>
      <c r="T805" s="2">
        <v>12.47</v>
      </c>
      <c r="U805" s="2">
        <v>9.6199999999999992</v>
      </c>
      <c r="V805" s="2">
        <v>15.85</v>
      </c>
      <c r="W805" s="2">
        <v>26.1</v>
      </c>
      <c r="X805" s="2">
        <v>8.7899999999999991</v>
      </c>
      <c r="Y805" s="2">
        <v>8.44</v>
      </c>
      <c r="Z805" s="2">
        <v>0</v>
      </c>
      <c r="AA805" s="2">
        <v>0</v>
      </c>
      <c r="AB805" s="2">
        <v>2.33</v>
      </c>
      <c r="AC805" s="2">
        <v>3.52</v>
      </c>
      <c r="AD805" s="2">
        <v>3.84</v>
      </c>
      <c r="AE805" s="2">
        <v>0</v>
      </c>
      <c r="AF805" s="2">
        <v>105.88</v>
      </c>
      <c r="AG805" s="2">
        <v>20.170000000000002</v>
      </c>
      <c r="AH805" s="4">
        <f t="shared" si="12"/>
        <v>196.94000000000003</v>
      </c>
    </row>
    <row r="806" spans="1:34" x14ac:dyDescent="0.2">
      <c r="A806" s="3">
        <v>32447</v>
      </c>
      <c r="B806" s="2">
        <v>-4.6500000000000004</v>
      </c>
      <c r="C806" s="2">
        <v>17.59</v>
      </c>
      <c r="D806" s="2">
        <v>-9.08</v>
      </c>
      <c r="E806" s="2">
        <v>-18.64</v>
      </c>
      <c r="F806" s="2">
        <v>0.7</v>
      </c>
      <c r="G806" s="2">
        <v>6.7</v>
      </c>
      <c r="H806" s="2">
        <v>15.94</v>
      </c>
      <c r="I806" s="2">
        <v>35.11</v>
      </c>
      <c r="J806" s="2">
        <v>2.2000000000000002</v>
      </c>
      <c r="K806" s="2">
        <v>-10.4</v>
      </c>
      <c r="L806" s="2">
        <v>-0.65</v>
      </c>
      <c r="M806" s="2">
        <v>2.84</v>
      </c>
      <c r="N806" s="2">
        <v>16.100000000000001</v>
      </c>
      <c r="O806" s="2">
        <v>1.92</v>
      </c>
      <c r="P806" s="2">
        <v>75.98</v>
      </c>
      <c r="Q806" s="2">
        <v>-0.93</v>
      </c>
      <c r="R806" s="2">
        <v>6.53</v>
      </c>
      <c r="S806" s="2">
        <v>-20.239999999999998</v>
      </c>
      <c r="T806" s="2">
        <v>18.29</v>
      </c>
      <c r="U806" s="2">
        <v>1.51</v>
      </c>
      <c r="V806" s="2">
        <v>19.690000000000001</v>
      </c>
      <c r="W806" s="2">
        <v>22.19</v>
      </c>
      <c r="X806" s="2">
        <v>8.3699999999999992</v>
      </c>
      <c r="Y806" s="2">
        <v>8</v>
      </c>
      <c r="Z806" s="2">
        <v>0.1</v>
      </c>
      <c r="AA806" s="2">
        <v>0</v>
      </c>
      <c r="AB806" s="2">
        <v>0</v>
      </c>
      <c r="AC806" s="2">
        <v>9.76</v>
      </c>
      <c r="AD806" s="2">
        <v>2.89</v>
      </c>
      <c r="AE806" s="2">
        <v>0.56000000000000005</v>
      </c>
      <c r="AF806" s="2">
        <v>96.04</v>
      </c>
      <c r="AG806" s="2">
        <v>16.420000000000002</v>
      </c>
      <c r="AH806" s="4">
        <f t="shared" si="12"/>
        <v>156.51000000000002</v>
      </c>
    </row>
    <row r="807" spans="1:34" x14ac:dyDescent="0.2">
      <c r="A807" s="3">
        <v>32477</v>
      </c>
      <c r="B807" s="2">
        <v>-1.87</v>
      </c>
      <c r="C807" s="2">
        <v>25.73</v>
      </c>
      <c r="D807" s="2">
        <v>15.96</v>
      </c>
      <c r="E807" s="2">
        <v>46.87</v>
      </c>
      <c r="F807" s="2">
        <v>24.42</v>
      </c>
      <c r="G807" s="2">
        <v>25.15</v>
      </c>
      <c r="H807" s="2">
        <v>22.17</v>
      </c>
      <c r="I807" s="2">
        <v>39.68</v>
      </c>
      <c r="J807" s="2">
        <v>14.83</v>
      </c>
      <c r="K807" s="2">
        <v>0.46</v>
      </c>
      <c r="L807" s="2">
        <v>-1.82</v>
      </c>
      <c r="M807" s="2">
        <v>7.71</v>
      </c>
      <c r="N807" s="2">
        <v>16.59</v>
      </c>
      <c r="O807" s="2">
        <v>19.93</v>
      </c>
      <c r="P807" s="2">
        <v>31.33</v>
      </c>
      <c r="Q807" s="2">
        <v>0.06</v>
      </c>
      <c r="R807" s="2">
        <v>9.08</v>
      </c>
      <c r="S807" s="2">
        <v>1.1299999999999999</v>
      </c>
      <c r="T807" s="2">
        <v>11.96</v>
      </c>
      <c r="U807" s="2">
        <v>6.93</v>
      </c>
      <c r="V807" s="2">
        <v>12.35</v>
      </c>
      <c r="W807" s="2">
        <v>15.43</v>
      </c>
      <c r="X807" s="2">
        <v>5.39</v>
      </c>
      <c r="Y807" s="2">
        <v>4.0199999999999996</v>
      </c>
      <c r="Z807" s="2">
        <v>8.18</v>
      </c>
      <c r="AA807" s="2">
        <v>0</v>
      </c>
      <c r="AB807" s="2">
        <v>0.36</v>
      </c>
      <c r="AC807" s="2">
        <v>7.11</v>
      </c>
      <c r="AD807" s="2">
        <v>1.9</v>
      </c>
      <c r="AE807" s="2">
        <v>13.24</v>
      </c>
      <c r="AF807" s="2">
        <v>63.01</v>
      </c>
      <c r="AG807" s="2">
        <v>12.92</v>
      </c>
      <c r="AH807" s="4">
        <f t="shared" si="12"/>
        <v>328.65000000000003</v>
      </c>
    </row>
    <row r="808" spans="1:34" x14ac:dyDescent="0.2">
      <c r="A808" s="3">
        <v>32508</v>
      </c>
      <c r="B808" s="2">
        <v>-2.79</v>
      </c>
      <c r="C808" s="2">
        <v>18.989999999999998</v>
      </c>
      <c r="D808" s="2">
        <v>8.7899999999999991</v>
      </c>
      <c r="E808" s="2">
        <v>8.98</v>
      </c>
      <c r="F808" s="2">
        <v>8.98</v>
      </c>
      <c r="G808" s="2">
        <v>22.85</v>
      </c>
      <c r="H808" s="2">
        <v>9.39</v>
      </c>
      <c r="I808" s="2">
        <v>35.700000000000003</v>
      </c>
      <c r="J808" s="2">
        <v>17.38</v>
      </c>
      <c r="K808" s="2">
        <v>11.51</v>
      </c>
      <c r="L808" s="2">
        <v>0.08</v>
      </c>
      <c r="M808" s="2">
        <v>12.46</v>
      </c>
      <c r="N808" s="2">
        <v>21.27</v>
      </c>
      <c r="O808" s="2">
        <v>18.88</v>
      </c>
      <c r="P808" s="2">
        <v>45.62</v>
      </c>
      <c r="Q808" s="2">
        <v>-3.83</v>
      </c>
      <c r="R808" s="2">
        <v>7.64</v>
      </c>
      <c r="S808" s="2">
        <v>13.68</v>
      </c>
      <c r="T808" s="2">
        <v>21.44</v>
      </c>
      <c r="U808" s="2">
        <v>6.96</v>
      </c>
      <c r="V808" s="2">
        <v>17.54</v>
      </c>
      <c r="W808" s="2">
        <v>11.73</v>
      </c>
      <c r="X808" s="2">
        <v>1.73</v>
      </c>
      <c r="Y808" s="2">
        <v>3.57</v>
      </c>
      <c r="Z808" s="2">
        <v>0</v>
      </c>
      <c r="AA808" s="2">
        <v>5.74</v>
      </c>
      <c r="AB808" s="2">
        <v>2.59</v>
      </c>
      <c r="AC808" s="2">
        <v>14.71</v>
      </c>
      <c r="AD808" s="2">
        <v>1.81</v>
      </c>
      <c r="AE808" s="2">
        <v>19.95</v>
      </c>
      <c r="AF808" s="2">
        <v>57.89</v>
      </c>
      <c r="AG808" s="2">
        <v>11.2</v>
      </c>
      <c r="AH808" s="4">
        <f t="shared" si="12"/>
        <v>301.52000000000004</v>
      </c>
    </row>
    <row r="809" spans="1:34" x14ac:dyDescent="0.2">
      <c r="A809" s="3">
        <v>32539</v>
      </c>
      <c r="B809" s="2">
        <v>-5.46</v>
      </c>
      <c r="C809" s="2">
        <v>14.85</v>
      </c>
      <c r="D809" s="2">
        <v>-11.44</v>
      </c>
      <c r="E809" s="2">
        <v>-19.93</v>
      </c>
      <c r="F809" s="2">
        <v>-1.28</v>
      </c>
      <c r="G809" s="2">
        <v>0.78</v>
      </c>
      <c r="H809" s="2">
        <v>5.81</v>
      </c>
      <c r="I809" s="2">
        <v>33.090000000000003</v>
      </c>
      <c r="J809" s="2">
        <v>3.33</v>
      </c>
      <c r="K809" s="2">
        <v>-9.44</v>
      </c>
      <c r="L809" s="2">
        <v>-11.32</v>
      </c>
      <c r="M809" s="2">
        <v>-4.7699999999999996</v>
      </c>
      <c r="N809" s="2">
        <v>8.64</v>
      </c>
      <c r="O809" s="2">
        <v>25.46</v>
      </c>
      <c r="P809" s="2">
        <v>22.75</v>
      </c>
      <c r="Q809" s="2">
        <v>0.65</v>
      </c>
      <c r="R809" s="2">
        <v>10.17</v>
      </c>
      <c r="S809" s="2">
        <v>-5.03</v>
      </c>
      <c r="T809" s="2">
        <v>12.15</v>
      </c>
      <c r="U809" s="2">
        <v>8.67</v>
      </c>
      <c r="V809" s="2">
        <v>11.31</v>
      </c>
      <c r="W809" s="2">
        <v>4.26</v>
      </c>
      <c r="X809" s="2">
        <v>1.1599999999999999</v>
      </c>
      <c r="Y809" s="2">
        <v>2.75</v>
      </c>
      <c r="Z809" s="2">
        <v>2.25</v>
      </c>
      <c r="AA809" s="2">
        <v>14.48</v>
      </c>
      <c r="AB809" s="2">
        <v>0.08</v>
      </c>
      <c r="AC809" s="2">
        <v>9.98</v>
      </c>
      <c r="AD809" s="2">
        <v>1.88</v>
      </c>
      <c r="AE809" s="2">
        <v>9.8800000000000008</v>
      </c>
      <c r="AF809" s="2">
        <v>66.400000000000006</v>
      </c>
      <c r="AG809" s="2">
        <v>9.8800000000000008</v>
      </c>
      <c r="AH809" s="4">
        <f t="shared" si="12"/>
        <v>88.990000000000009</v>
      </c>
    </row>
    <row r="810" spans="1:34" x14ac:dyDescent="0.2">
      <c r="A810" s="3">
        <v>32567</v>
      </c>
      <c r="B810" s="2">
        <v>-2</v>
      </c>
      <c r="C810" s="2">
        <v>15.08</v>
      </c>
      <c r="D810" s="2">
        <v>-9.56</v>
      </c>
      <c r="E810" s="2">
        <v>-11.46</v>
      </c>
      <c r="F810" s="2">
        <v>6.19</v>
      </c>
      <c r="G810" s="2">
        <v>3.78</v>
      </c>
      <c r="H810" s="2">
        <v>14.6</v>
      </c>
      <c r="I810" s="2">
        <v>35.83</v>
      </c>
      <c r="J810" s="2">
        <v>5.67</v>
      </c>
      <c r="K810" s="2">
        <v>13.8</v>
      </c>
      <c r="L810" s="2">
        <v>-7.28</v>
      </c>
      <c r="M810" s="2">
        <v>3.91</v>
      </c>
      <c r="N810" s="2">
        <v>26.98</v>
      </c>
      <c r="O810" s="2">
        <v>20.74</v>
      </c>
      <c r="P810" s="2">
        <v>52.59</v>
      </c>
      <c r="Q810" s="2">
        <v>-1.55</v>
      </c>
      <c r="R810" s="2">
        <v>9.7799999999999994</v>
      </c>
      <c r="S810" s="2">
        <v>6.1</v>
      </c>
      <c r="T810" s="2">
        <v>16.260000000000002</v>
      </c>
      <c r="U810" s="2">
        <v>6.89</v>
      </c>
      <c r="V810" s="2">
        <v>6.64</v>
      </c>
      <c r="W810" s="2">
        <v>0</v>
      </c>
      <c r="X810" s="2">
        <v>0</v>
      </c>
      <c r="Y810" s="2">
        <v>0</v>
      </c>
      <c r="Z810" s="2">
        <v>6.17</v>
      </c>
      <c r="AA810" s="2">
        <v>0.72</v>
      </c>
      <c r="AB810" s="2">
        <v>0.66</v>
      </c>
      <c r="AC810" s="2">
        <v>5.67</v>
      </c>
      <c r="AD810" s="2">
        <v>2.09</v>
      </c>
      <c r="AE810" s="2">
        <v>9.9700000000000006</v>
      </c>
      <c r="AF810" s="2">
        <v>55.35</v>
      </c>
      <c r="AG810" s="2">
        <v>10.08</v>
      </c>
      <c r="AH810" s="4">
        <f t="shared" si="12"/>
        <v>212.98999999999995</v>
      </c>
    </row>
    <row r="811" spans="1:34" x14ac:dyDescent="0.2">
      <c r="A811" s="3">
        <v>32598</v>
      </c>
      <c r="B811" s="2">
        <v>2.27</v>
      </c>
      <c r="C811" s="2">
        <v>29.63</v>
      </c>
      <c r="D811" s="2">
        <v>26.1</v>
      </c>
      <c r="E811" s="2">
        <v>116.92</v>
      </c>
      <c r="F811" s="2">
        <v>72.17</v>
      </c>
      <c r="G811" s="2">
        <v>79.89</v>
      </c>
      <c r="H811" s="2">
        <v>45.53</v>
      </c>
      <c r="I811" s="2">
        <v>50.62</v>
      </c>
      <c r="J811" s="2">
        <v>44.57</v>
      </c>
      <c r="K811" s="2">
        <v>32.26</v>
      </c>
      <c r="L811" s="2">
        <v>24.92</v>
      </c>
      <c r="M811" s="2">
        <v>14.46</v>
      </c>
      <c r="N811" s="2">
        <v>36.92</v>
      </c>
      <c r="O811" s="2">
        <v>22.82</v>
      </c>
      <c r="P811" s="2">
        <v>69.81</v>
      </c>
      <c r="Q811" s="2">
        <v>-2.31</v>
      </c>
      <c r="R811" s="2">
        <v>3.75</v>
      </c>
      <c r="S811" s="2">
        <v>7.46</v>
      </c>
      <c r="T811" s="2">
        <v>18.54</v>
      </c>
      <c r="U811" s="2">
        <v>6.09</v>
      </c>
      <c r="V811" s="2">
        <v>19.8</v>
      </c>
      <c r="W811" s="2">
        <v>0</v>
      </c>
      <c r="X811" s="2">
        <v>0</v>
      </c>
      <c r="Y811" s="2">
        <v>0</v>
      </c>
      <c r="Z811" s="2">
        <v>0.28999999999999998</v>
      </c>
      <c r="AA811" s="2">
        <v>0.17</v>
      </c>
      <c r="AB811" s="2">
        <v>0.57999999999999996</v>
      </c>
      <c r="AC811" s="2">
        <v>5.53</v>
      </c>
      <c r="AD811" s="2">
        <v>3.78</v>
      </c>
      <c r="AE811" s="2">
        <v>17.809999999999999</v>
      </c>
      <c r="AF811" s="2">
        <v>65.319999999999993</v>
      </c>
      <c r="AG811" s="2">
        <v>10.69</v>
      </c>
      <c r="AH811" s="4">
        <f t="shared" si="12"/>
        <v>722.22000000000014</v>
      </c>
    </row>
    <row r="812" spans="1:34" x14ac:dyDescent="0.2">
      <c r="A812" s="3">
        <v>32628</v>
      </c>
      <c r="B812" s="2">
        <v>0.32</v>
      </c>
      <c r="C812" s="2">
        <v>15.64</v>
      </c>
      <c r="D812" s="2">
        <v>-9.23</v>
      </c>
      <c r="E812" s="2">
        <v>-56.77</v>
      </c>
      <c r="F812" s="2">
        <v>-18.21</v>
      </c>
      <c r="G812" s="2">
        <v>-38.65</v>
      </c>
      <c r="H812" s="2">
        <v>0.35</v>
      </c>
      <c r="I812" s="2">
        <v>34.74</v>
      </c>
      <c r="J812" s="2">
        <v>-6.92</v>
      </c>
      <c r="K812" s="2">
        <v>-15.34</v>
      </c>
      <c r="L812" s="2">
        <v>12.63</v>
      </c>
      <c r="M812" s="2">
        <v>11.93</v>
      </c>
      <c r="N812" s="2">
        <v>7.16</v>
      </c>
      <c r="O812" s="2">
        <v>27.68</v>
      </c>
      <c r="P812" s="2">
        <v>24.63</v>
      </c>
      <c r="Q812" s="2">
        <v>-0.78</v>
      </c>
      <c r="R812" s="2">
        <v>16.02</v>
      </c>
      <c r="S812" s="2">
        <v>5.29</v>
      </c>
      <c r="T812" s="2">
        <v>12.32</v>
      </c>
      <c r="U812" s="2">
        <v>14.05</v>
      </c>
      <c r="V812" s="2">
        <v>16.16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5.81</v>
      </c>
      <c r="AD812" s="2">
        <v>4.5999999999999996</v>
      </c>
      <c r="AE812" s="2">
        <v>5.31</v>
      </c>
      <c r="AF812" s="2">
        <v>80.819999999999993</v>
      </c>
      <c r="AG812" s="2">
        <v>14.64</v>
      </c>
      <c r="AH812" s="4">
        <f t="shared" si="12"/>
        <v>53.019999999999982</v>
      </c>
    </row>
    <row r="813" spans="1:34" x14ac:dyDescent="0.2">
      <c r="A813" s="3">
        <v>32659</v>
      </c>
      <c r="B813" s="2">
        <v>3.65</v>
      </c>
      <c r="C813" s="2">
        <v>18.16</v>
      </c>
      <c r="D813" s="2">
        <v>-9.7100000000000009</v>
      </c>
      <c r="E813" s="2">
        <v>1.7</v>
      </c>
      <c r="F813" s="2">
        <v>-8.86</v>
      </c>
      <c r="G813" s="2">
        <v>-11.71</v>
      </c>
      <c r="H813" s="2">
        <v>7.73</v>
      </c>
      <c r="I813" s="2">
        <v>33.24</v>
      </c>
      <c r="J813" s="2">
        <v>-8.26</v>
      </c>
      <c r="K813" s="2">
        <v>29.6</v>
      </c>
      <c r="L813" s="2">
        <v>2</v>
      </c>
      <c r="M813" s="2">
        <v>8.83</v>
      </c>
      <c r="N813" s="2">
        <v>34.18</v>
      </c>
      <c r="O813" s="2">
        <v>25.01</v>
      </c>
      <c r="P813" s="2">
        <v>53.54</v>
      </c>
      <c r="Q813" s="2">
        <v>-9.49</v>
      </c>
      <c r="R813" s="2">
        <v>12.55</v>
      </c>
      <c r="S813" s="2">
        <v>16.16</v>
      </c>
      <c r="T813" s="2">
        <v>16.98</v>
      </c>
      <c r="U813" s="2">
        <v>12.72</v>
      </c>
      <c r="V813" s="2">
        <v>24.62</v>
      </c>
      <c r="W813" s="2">
        <v>4.88</v>
      </c>
      <c r="X813" s="2">
        <v>0.26</v>
      </c>
      <c r="Y813" s="2">
        <v>0</v>
      </c>
      <c r="Z813" s="2">
        <v>1.1499999999999999</v>
      </c>
      <c r="AA813" s="2">
        <v>0</v>
      </c>
      <c r="AB813" s="2">
        <v>1.02</v>
      </c>
      <c r="AC813" s="2">
        <v>0.86</v>
      </c>
      <c r="AD813" s="2">
        <v>5.83</v>
      </c>
      <c r="AE813" s="2">
        <v>0.84</v>
      </c>
      <c r="AF813" s="2">
        <v>91.27</v>
      </c>
      <c r="AG813" s="2">
        <v>17.690000000000001</v>
      </c>
      <c r="AH813" s="4">
        <f t="shared" si="12"/>
        <v>252.64000000000001</v>
      </c>
    </row>
    <row r="814" spans="1:34" x14ac:dyDescent="0.2">
      <c r="A814" s="3">
        <v>32689</v>
      </c>
      <c r="B814" s="2">
        <v>2.56</v>
      </c>
      <c r="C814" s="2">
        <v>18.899999999999999</v>
      </c>
      <c r="D814" s="2">
        <v>-15.41</v>
      </c>
      <c r="E814" s="2">
        <v>11.57</v>
      </c>
      <c r="F814" s="2">
        <v>7.85</v>
      </c>
      <c r="G814" s="2">
        <v>2.04</v>
      </c>
      <c r="H814" s="2">
        <v>13.91</v>
      </c>
      <c r="I814" s="2">
        <v>32.619999999999997</v>
      </c>
      <c r="J814" s="2">
        <v>-8.93</v>
      </c>
      <c r="K814" s="2">
        <v>45.7</v>
      </c>
      <c r="L814" s="2">
        <v>-1.36</v>
      </c>
      <c r="M814" s="2">
        <v>11.66</v>
      </c>
      <c r="N814" s="2">
        <v>30.83</v>
      </c>
      <c r="O814" s="2">
        <v>29.93</v>
      </c>
      <c r="P814" s="2">
        <v>87.27</v>
      </c>
      <c r="Q814" s="2">
        <v>6.36</v>
      </c>
      <c r="R814" s="2">
        <v>20.25</v>
      </c>
      <c r="S814" s="2">
        <v>-2.4900000000000002</v>
      </c>
      <c r="T814" s="2">
        <v>41.12</v>
      </c>
      <c r="U814" s="2">
        <v>22.54</v>
      </c>
      <c r="V814" s="2">
        <v>39.31</v>
      </c>
      <c r="W814" s="2">
        <v>18.62</v>
      </c>
      <c r="X814" s="2">
        <v>4.88</v>
      </c>
      <c r="Y814" s="2">
        <v>4.07</v>
      </c>
      <c r="Z814" s="2">
        <v>0</v>
      </c>
      <c r="AA814" s="2">
        <v>0</v>
      </c>
      <c r="AB814" s="2">
        <v>0.33</v>
      </c>
      <c r="AC814" s="2">
        <v>0.22</v>
      </c>
      <c r="AD814" s="2">
        <v>7.34</v>
      </c>
      <c r="AE814" s="2">
        <v>0</v>
      </c>
      <c r="AF814" s="2">
        <v>99.89</v>
      </c>
      <c r="AG814" s="2">
        <v>22.83</v>
      </c>
      <c r="AH814" s="4">
        <f t="shared" si="12"/>
        <v>396.23</v>
      </c>
    </row>
    <row r="815" spans="1:34" x14ac:dyDescent="0.2">
      <c r="A815" s="3">
        <v>32720</v>
      </c>
      <c r="B815" s="2">
        <v>2.64</v>
      </c>
      <c r="C815" s="2">
        <v>17.75</v>
      </c>
      <c r="D815" s="2">
        <v>-13.45</v>
      </c>
      <c r="E815" s="2">
        <v>29.54</v>
      </c>
      <c r="F815" s="2">
        <v>34.07</v>
      </c>
      <c r="G815" s="2">
        <v>17.23</v>
      </c>
      <c r="H815" s="2">
        <v>23.17</v>
      </c>
      <c r="I815" s="2">
        <v>38.61</v>
      </c>
      <c r="J815" s="2">
        <v>-8</v>
      </c>
      <c r="K815" s="2">
        <v>46.33</v>
      </c>
      <c r="L815" s="2">
        <v>-2.2799999999999998</v>
      </c>
      <c r="M815" s="2">
        <v>15.76</v>
      </c>
      <c r="N815" s="2">
        <v>38.770000000000003</v>
      </c>
      <c r="O815" s="2">
        <v>41.1</v>
      </c>
      <c r="P815" s="2">
        <v>62.21</v>
      </c>
      <c r="Q815" s="2">
        <v>2.96</v>
      </c>
      <c r="R815" s="2">
        <v>17.14</v>
      </c>
      <c r="S815" s="2">
        <v>-2.74</v>
      </c>
      <c r="T815" s="2">
        <v>31.68</v>
      </c>
      <c r="U815" s="2">
        <v>36.549999999999997</v>
      </c>
      <c r="V815" s="2">
        <v>38.340000000000003</v>
      </c>
      <c r="W815" s="2">
        <v>30.39</v>
      </c>
      <c r="X815" s="2">
        <v>9.36</v>
      </c>
      <c r="Y815" s="2">
        <v>8.9499999999999993</v>
      </c>
      <c r="Z815" s="2">
        <v>0</v>
      </c>
      <c r="AA815" s="2">
        <v>0</v>
      </c>
      <c r="AB815" s="2">
        <v>0</v>
      </c>
      <c r="AC815" s="2">
        <v>0.79</v>
      </c>
      <c r="AD815" s="2">
        <v>6.35</v>
      </c>
      <c r="AE815" s="2">
        <v>0</v>
      </c>
      <c r="AF815" s="2">
        <v>108.78</v>
      </c>
      <c r="AG815" s="2">
        <v>24.8</v>
      </c>
      <c r="AH815" s="4">
        <f t="shared" si="12"/>
        <v>467.38</v>
      </c>
    </row>
    <row r="816" spans="1:34" x14ac:dyDescent="0.2">
      <c r="A816" s="3">
        <v>32751</v>
      </c>
      <c r="B816" s="2">
        <v>1.47</v>
      </c>
      <c r="C816" s="2">
        <v>18.29</v>
      </c>
      <c r="D816" s="2">
        <v>-10.19</v>
      </c>
      <c r="E816" s="2">
        <v>12.65</v>
      </c>
      <c r="F816" s="2">
        <v>1.44</v>
      </c>
      <c r="G816" s="2">
        <v>13.3</v>
      </c>
      <c r="H816" s="2">
        <v>18.13</v>
      </c>
      <c r="I816" s="2">
        <v>39.979999999999997</v>
      </c>
      <c r="J816" s="2">
        <v>-1.54</v>
      </c>
      <c r="K816" s="2">
        <v>40.049999999999997</v>
      </c>
      <c r="L816" s="2">
        <v>-7.76</v>
      </c>
      <c r="M816" s="2">
        <v>14.37</v>
      </c>
      <c r="N816" s="2">
        <v>39.020000000000003</v>
      </c>
      <c r="O816" s="2">
        <v>32.46</v>
      </c>
      <c r="P816" s="2">
        <v>62.55</v>
      </c>
      <c r="Q816" s="2">
        <v>2.2599999999999998</v>
      </c>
      <c r="R816" s="2">
        <v>12.66</v>
      </c>
      <c r="S816" s="2">
        <v>8.56</v>
      </c>
      <c r="T816" s="2">
        <v>33.97</v>
      </c>
      <c r="U816" s="2">
        <v>27.47</v>
      </c>
      <c r="V816" s="2">
        <v>41.97</v>
      </c>
      <c r="W816" s="2">
        <v>31.47</v>
      </c>
      <c r="X816" s="2">
        <v>11.54</v>
      </c>
      <c r="Y816" s="2">
        <v>11.23</v>
      </c>
      <c r="Z816" s="2">
        <v>0</v>
      </c>
      <c r="AA816" s="2">
        <v>2.87</v>
      </c>
      <c r="AB816" s="2">
        <v>0.83</v>
      </c>
      <c r="AC816" s="2">
        <v>0.43</v>
      </c>
      <c r="AD816" s="2">
        <v>5.13</v>
      </c>
      <c r="AE816" s="2">
        <v>0</v>
      </c>
      <c r="AF816" s="2">
        <v>110.63</v>
      </c>
      <c r="AG816" s="2">
        <v>23.65</v>
      </c>
      <c r="AH816" s="4">
        <f t="shared" si="12"/>
        <v>401.11</v>
      </c>
    </row>
    <row r="817" spans="1:34" x14ac:dyDescent="0.2">
      <c r="A817" s="3">
        <v>32781</v>
      </c>
      <c r="B817" s="2">
        <v>-2.34</v>
      </c>
      <c r="C817" s="2">
        <v>20.76</v>
      </c>
      <c r="D817" s="2">
        <v>-1.84</v>
      </c>
      <c r="E817" s="2">
        <v>-5.63</v>
      </c>
      <c r="F817" s="2">
        <v>-5.51</v>
      </c>
      <c r="G817" s="2">
        <v>25.07</v>
      </c>
      <c r="H817" s="2">
        <v>16.899999999999999</v>
      </c>
      <c r="I817" s="2">
        <v>38.630000000000003</v>
      </c>
      <c r="J817" s="2">
        <v>12.5</v>
      </c>
      <c r="K817" s="2">
        <v>3.95</v>
      </c>
      <c r="L817" s="2">
        <v>-5.98</v>
      </c>
      <c r="M817" s="2">
        <v>7.83</v>
      </c>
      <c r="N817" s="2">
        <v>22.07</v>
      </c>
      <c r="O817" s="2">
        <v>24.96</v>
      </c>
      <c r="P817" s="2">
        <v>29.17</v>
      </c>
      <c r="Q817" s="2">
        <v>2.84</v>
      </c>
      <c r="R817" s="2">
        <v>15.11</v>
      </c>
      <c r="S817" s="2">
        <v>-5.58</v>
      </c>
      <c r="T817" s="2">
        <v>11.23</v>
      </c>
      <c r="U817" s="2">
        <v>7.73</v>
      </c>
      <c r="V817" s="2">
        <v>14.55</v>
      </c>
      <c r="W817" s="2">
        <v>26.1</v>
      </c>
      <c r="X817" s="2">
        <v>11.15</v>
      </c>
      <c r="Y817" s="2">
        <v>10.65</v>
      </c>
      <c r="Z817" s="2">
        <v>2.2000000000000002</v>
      </c>
      <c r="AA817" s="2">
        <v>2.29</v>
      </c>
      <c r="AB817" s="2">
        <v>0.33</v>
      </c>
      <c r="AC817" s="2">
        <v>0</v>
      </c>
      <c r="AD817" s="2">
        <v>4.0199999999999996</v>
      </c>
      <c r="AE817" s="2">
        <v>7.74</v>
      </c>
      <c r="AF817" s="2">
        <v>103.05</v>
      </c>
      <c r="AG817" s="2">
        <v>20.170000000000002</v>
      </c>
      <c r="AH817" s="4">
        <f t="shared" si="12"/>
        <v>226.42</v>
      </c>
    </row>
    <row r="818" spans="1:34" x14ac:dyDescent="0.2">
      <c r="A818" s="3">
        <v>32812</v>
      </c>
      <c r="B818" s="2">
        <v>-2.79</v>
      </c>
      <c r="C818" s="2">
        <v>21.12</v>
      </c>
      <c r="D818" s="2">
        <v>-5.43</v>
      </c>
      <c r="E818" s="2">
        <v>-4.49</v>
      </c>
      <c r="F818" s="2">
        <v>1.76</v>
      </c>
      <c r="G818" s="2">
        <v>1.63</v>
      </c>
      <c r="H818" s="2">
        <v>17.079999999999998</v>
      </c>
      <c r="I818" s="2">
        <v>34.409999999999997</v>
      </c>
      <c r="J818" s="2">
        <v>7.83</v>
      </c>
      <c r="K818" s="2">
        <v>-1.94</v>
      </c>
      <c r="L818" s="2">
        <v>-2.78</v>
      </c>
      <c r="M818" s="2">
        <v>5.22</v>
      </c>
      <c r="N818" s="2">
        <v>16.34</v>
      </c>
      <c r="O818" s="2">
        <v>15.24</v>
      </c>
      <c r="P818" s="2">
        <v>47.15</v>
      </c>
      <c r="Q818" s="2">
        <v>0.04</v>
      </c>
      <c r="R818" s="2">
        <v>9.2899999999999991</v>
      </c>
      <c r="S818" s="2">
        <v>-0.56999999999999995</v>
      </c>
      <c r="T818" s="2">
        <v>16.32</v>
      </c>
      <c r="U818" s="2">
        <v>1.66</v>
      </c>
      <c r="V818" s="2">
        <v>21.2</v>
      </c>
      <c r="W818" s="2">
        <v>22.19</v>
      </c>
      <c r="X818" s="2">
        <v>10.51</v>
      </c>
      <c r="Y818" s="2">
        <v>10.01</v>
      </c>
      <c r="Z818" s="2">
        <v>0.53</v>
      </c>
      <c r="AA818" s="2">
        <v>0</v>
      </c>
      <c r="AB818" s="2">
        <v>0</v>
      </c>
      <c r="AC818" s="2">
        <v>0.14000000000000001</v>
      </c>
      <c r="AD818" s="2">
        <v>2.83</v>
      </c>
      <c r="AE818" s="2">
        <v>12.4</v>
      </c>
      <c r="AF818" s="2">
        <v>93.47</v>
      </c>
      <c r="AG818" s="2">
        <v>16.420000000000002</v>
      </c>
      <c r="AH818" s="4">
        <f t="shared" si="12"/>
        <v>198.28999999999996</v>
      </c>
    </row>
    <row r="819" spans="1:34" x14ac:dyDescent="0.2">
      <c r="A819" s="3">
        <v>32842</v>
      </c>
      <c r="B819" s="2">
        <v>-1.9</v>
      </c>
      <c r="C819" s="2">
        <v>15.6</v>
      </c>
      <c r="D819" s="2">
        <v>-3.98</v>
      </c>
      <c r="E819" s="2">
        <v>2.99</v>
      </c>
      <c r="F819" s="2">
        <v>-4.68</v>
      </c>
      <c r="G819" s="2">
        <v>0.72</v>
      </c>
      <c r="H819" s="2">
        <v>13.98</v>
      </c>
      <c r="I819" s="2">
        <v>36.54</v>
      </c>
      <c r="J819" s="2">
        <v>5.99</v>
      </c>
      <c r="K819" s="2">
        <v>-4.1399999999999997</v>
      </c>
      <c r="L819" s="2">
        <v>-4.9800000000000004</v>
      </c>
      <c r="M819" s="2">
        <v>1.66</v>
      </c>
      <c r="N819" s="2">
        <v>15.94</v>
      </c>
      <c r="O819" s="2">
        <v>22.07</v>
      </c>
      <c r="P819" s="2">
        <v>27.9</v>
      </c>
      <c r="Q819" s="2">
        <v>1.85</v>
      </c>
      <c r="R819" s="2">
        <v>10.59</v>
      </c>
      <c r="S819" s="2">
        <v>-7.68</v>
      </c>
      <c r="T819" s="2">
        <v>12.23</v>
      </c>
      <c r="U819" s="2">
        <v>6.85</v>
      </c>
      <c r="V819" s="2">
        <v>11.83</v>
      </c>
      <c r="W819" s="2">
        <v>15.43</v>
      </c>
      <c r="X819" s="2">
        <v>6.77</v>
      </c>
      <c r="Y819" s="2">
        <v>5.28</v>
      </c>
      <c r="Z819" s="2">
        <v>0</v>
      </c>
      <c r="AA819" s="2">
        <v>0</v>
      </c>
      <c r="AB819" s="2">
        <v>1.1200000000000001</v>
      </c>
      <c r="AC819" s="2">
        <v>12.27</v>
      </c>
      <c r="AD819" s="2">
        <v>1.75</v>
      </c>
      <c r="AE819" s="2">
        <v>7.46</v>
      </c>
      <c r="AF819" s="2">
        <v>61.33</v>
      </c>
      <c r="AG819" s="2">
        <v>12.92</v>
      </c>
      <c r="AH819" s="4">
        <f t="shared" si="12"/>
        <v>159.37999999999997</v>
      </c>
    </row>
    <row r="820" spans="1:34" x14ac:dyDescent="0.2">
      <c r="A820" s="3">
        <v>32873</v>
      </c>
      <c r="B820" s="2">
        <v>-7.02</v>
      </c>
      <c r="C820" s="2">
        <v>11.38</v>
      </c>
      <c r="D820" s="2">
        <v>-11.96</v>
      </c>
      <c r="E820" s="2">
        <v>-18.91</v>
      </c>
      <c r="F820" s="2">
        <v>15.91</v>
      </c>
      <c r="G820" s="2">
        <v>-1.03</v>
      </c>
      <c r="H820" s="2">
        <v>14.05</v>
      </c>
      <c r="I820" s="2">
        <v>33.78</v>
      </c>
      <c r="J820" s="2">
        <v>4.03</v>
      </c>
      <c r="K820" s="2">
        <v>-3.55</v>
      </c>
      <c r="L820" s="2">
        <v>-3.35</v>
      </c>
      <c r="M820" s="2">
        <v>1.22</v>
      </c>
      <c r="N820" s="2">
        <v>16.45</v>
      </c>
      <c r="O820" s="2">
        <v>21.66</v>
      </c>
      <c r="P820" s="2">
        <v>25.4</v>
      </c>
      <c r="Q820" s="2">
        <v>4.29</v>
      </c>
      <c r="R820" s="2">
        <v>10.6</v>
      </c>
      <c r="S820" s="2">
        <v>-7</v>
      </c>
      <c r="T820" s="2">
        <v>11.92</v>
      </c>
      <c r="U820" s="2">
        <v>7.09</v>
      </c>
      <c r="V820" s="2">
        <v>12.32</v>
      </c>
      <c r="W820" s="2">
        <v>11.73</v>
      </c>
      <c r="X820" s="2">
        <v>4.99</v>
      </c>
      <c r="Y820" s="2">
        <v>4.72</v>
      </c>
      <c r="Z820" s="2">
        <v>0</v>
      </c>
      <c r="AA820" s="2">
        <v>0</v>
      </c>
      <c r="AB820" s="2">
        <v>0</v>
      </c>
      <c r="AC820" s="2">
        <v>0</v>
      </c>
      <c r="AD820" s="2">
        <v>1.85</v>
      </c>
      <c r="AE820" s="2">
        <v>0.37</v>
      </c>
      <c r="AF820" s="2">
        <v>56.34</v>
      </c>
      <c r="AG820" s="2">
        <v>11.2</v>
      </c>
      <c r="AH820" s="4">
        <f t="shared" si="12"/>
        <v>137.28</v>
      </c>
    </row>
    <row r="821" spans="1:34" x14ac:dyDescent="0.2">
      <c r="A821" s="3">
        <v>32904</v>
      </c>
      <c r="B821" s="2">
        <v>-6.32</v>
      </c>
      <c r="C821" s="2">
        <v>22.22</v>
      </c>
      <c r="D821" s="2">
        <v>15.95</v>
      </c>
      <c r="E821" s="2">
        <v>49.37</v>
      </c>
      <c r="F821" s="2">
        <v>24.19</v>
      </c>
      <c r="G821" s="2">
        <v>30.64</v>
      </c>
      <c r="H821" s="2">
        <v>20.43</v>
      </c>
      <c r="I821" s="2">
        <v>37.380000000000003</v>
      </c>
      <c r="J821" s="2">
        <v>12.45</v>
      </c>
      <c r="K821" s="2">
        <v>9.83</v>
      </c>
      <c r="L821" s="2">
        <v>-5.5</v>
      </c>
      <c r="M821" s="2">
        <v>2.9</v>
      </c>
      <c r="N821" s="2">
        <v>19.03</v>
      </c>
      <c r="O821" s="2">
        <v>17.920000000000002</v>
      </c>
      <c r="P821" s="2">
        <v>38.17</v>
      </c>
      <c r="Q821" s="2">
        <v>-6.35</v>
      </c>
      <c r="R821" s="2">
        <v>7.74</v>
      </c>
      <c r="S821" s="2">
        <v>7.34</v>
      </c>
      <c r="T821" s="2">
        <v>10.71</v>
      </c>
      <c r="U821" s="2">
        <v>9.14</v>
      </c>
      <c r="V821" s="2">
        <v>10.18</v>
      </c>
      <c r="W821" s="2">
        <v>4.26</v>
      </c>
      <c r="X821" s="2">
        <v>8.81</v>
      </c>
      <c r="Y821" s="2">
        <v>7.35</v>
      </c>
      <c r="Z821" s="2">
        <v>3.83</v>
      </c>
      <c r="AA821" s="2">
        <v>2.44</v>
      </c>
      <c r="AB821" s="2">
        <v>1.71</v>
      </c>
      <c r="AC821" s="2">
        <v>3.37</v>
      </c>
      <c r="AD821" s="2">
        <v>1.8</v>
      </c>
      <c r="AE821" s="2">
        <v>17.989999999999998</v>
      </c>
      <c r="AF821" s="2">
        <v>69.08</v>
      </c>
      <c r="AG821" s="2">
        <v>9.8800000000000008</v>
      </c>
      <c r="AH821" s="4">
        <f t="shared" si="12"/>
        <v>327.41999999999996</v>
      </c>
    </row>
    <row r="822" spans="1:34" x14ac:dyDescent="0.2">
      <c r="A822" s="3">
        <v>32932</v>
      </c>
      <c r="B822" s="2">
        <v>-3.99</v>
      </c>
      <c r="C822" s="2">
        <v>10.59</v>
      </c>
      <c r="D822" s="2">
        <v>-13.25</v>
      </c>
      <c r="E822" s="2">
        <v>-26.12</v>
      </c>
      <c r="F822" s="2">
        <v>-12.9</v>
      </c>
      <c r="G822" s="2">
        <v>7.21</v>
      </c>
      <c r="H822" s="2">
        <v>5.91</v>
      </c>
      <c r="I822" s="2">
        <v>32.65</v>
      </c>
      <c r="J822" s="2">
        <v>3.76</v>
      </c>
      <c r="K822" s="2">
        <v>2.86</v>
      </c>
      <c r="L822" s="2">
        <v>-5.57</v>
      </c>
      <c r="M822" s="2">
        <v>4.7</v>
      </c>
      <c r="N822" s="2">
        <v>16.79</v>
      </c>
      <c r="O822" s="2">
        <v>26.99</v>
      </c>
      <c r="P822" s="2">
        <v>23.33</v>
      </c>
      <c r="Q822" s="2">
        <v>-1.96</v>
      </c>
      <c r="R822" s="2">
        <v>8.74</v>
      </c>
      <c r="S822" s="2">
        <v>3.22</v>
      </c>
      <c r="T822" s="2">
        <v>13.14</v>
      </c>
      <c r="U822" s="2">
        <v>5.34</v>
      </c>
      <c r="V822" s="2">
        <v>9.01</v>
      </c>
      <c r="W822" s="2">
        <v>0</v>
      </c>
      <c r="X822" s="2">
        <v>2.44</v>
      </c>
      <c r="Y822" s="2">
        <v>2.2999999999999998</v>
      </c>
      <c r="Z822" s="2">
        <v>4.74</v>
      </c>
      <c r="AA822" s="2">
        <v>0.28999999999999998</v>
      </c>
      <c r="AB822" s="2">
        <v>0</v>
      </c>
      <c r="AC822" s="2">
        <v>9.26</v>
      </c>
      <c r="AD822" s="2">
        <v>2.04</v>
      </c>
      <c r="AE822" s="2">
        <v>15.01</v>
      </c>
      <c r="AF822" s="2">
        <v>57.59</v>
      </c>
      <c r="AG822" s="2">
        <v>10.08</v>
      </c>
      <c r="AH822" s="4">
        <f t="shared" si="12"/>
        <v>110.45</v>
      </c>
    </row>
    <row r="823" spans="1:34" x14ac:dyDescent="0.2">
      <c r="A823" s="3">
        <v>32963</v>
      </c>
      <c r="B823" s="2">
        <v>-2.91</v>
      </c>
      <c r="C823" s="2">
        <v>13.34</v>
      </c>
      <c r="D823" s="2">
        <v>-9.33</v>
      </c>
      <c r="E823" s="2">
        <v>-4.92</v>
      </c>
      <c r="F823" s="2">
        <v>4.9800000000000004</v>
      </c>
      <c r="G823" s="2">
        <v>-2.94</v>
      </c>
      <c r="H823" s="2">
        <v>13.14</v>
      </c>
      <c r="I823" s="2">
        <v>34.04</v>
      </c>
      <c r="J823" s="2">
        <v>12.88</v>
      </c>
      <c r="K823" s="2">
        <v>45.89</v>
      </c>
      <c r="L823" s="2">
        <v>17.649999999999999</v>
      </c>
      <c r="M823" s="2">
        <v>5.44</v>
      </c>
      <c r="N823" s="2">
        <v>45.04</v>
      </c>
      <c r="O823" s="2">
        <v>18.920000000000002</v>
      </c>
      <c r="P823" s="2">
        <v>63.58</v>
      </c>
      <c r="Q823" s="2">
        <v>-3.4</v>
      </c>
      <c r="R823" s="2">
        <v>1.26</v>
      </c>
      <c r="S823" s="2">
        <v>9.9499999999999993</v>
      </c>
      <c r="T823" s="2">
        <v>23.07</v>
      </c>
      <c r="U823" s="2">
        <v>0.7</v>
      </c>
      <c r="V823" s="2">
        <v>21.35</v>
      </c>
      <c r="W823" s="2">
        <v>0</v>
      </c>
      <c r="X823" s="2">
        <v>3.17</v>
      </c>
      <c r="Y823" s="2">
        <v>2.06</v>
      </c>
      <c r="Z823" s="2">
        <v>0.72</v>
      </c>
      <c r="AA823" s="2">
        <v>0</v>
      </c>
      <c r="AB823" s="2">
        <v>0</v>
      </c>
      <c r="AC823" s="2">
        <v>0.43</v>
      </c>
      <c r="AD823" s="2">
        <v>4.05</v>
      </c>
      <c r="AE823" s="2">
        <v>8.3000000000000007</v>
      </c>
      <c r="AF823" s="2">
        <v>67.959999999999994</v>
      </c>
      <c r="AG823" s="2">
        <v>10.69</v>
      </c>
      <c r="AH823" s="4">
        <f t="shared" si="12"/>
        <v>307.72999999999996</v>
      </c>
    </row>
    <row r="824" spans="1:34" x14ac:dyDescent="0.2">
      <c r="A824" s="3">
        <v>32993</v>
      </c>
      <c r="B824" s="2">
        <v>-0.19</v>
      </c>
      <c r="C824" s="2">
        <v>8.99</v>
      </c>
      <c r="D824" s="2">
        <v>13.17</v>
      </c>
      <c r="E824" s="2">
        <v>16.61</v>
      </c>
      <c r="F824" s="2">
        <v>44.46</v>
      </c>
      <c r="G824" s="2">
        <v>3.56</v>
      </c>
      <c r="H824" s="2">
        <v>17.690000000000001</v>
      </c>
      <c r="I824" s="2">
        <v>32.950000000000003</v>
      </c>
      <c r="J824" s="2">
        <v>-2.1</v>
      </c>
      <c r="K824" s="2">
        <v>-2.3199999999999998</v>
      </c>
      <c r="L824" s="2">
        <v>1.28</v>
      </c>
      <c r="M824" s="2">
        <v>10.62</v>
      </c>
      <c r="N824" s="2">
        <v>17.260000000000002</v>
      </c>
      <c r="O824" s="2">
        <v>21.49</v>
      </c>
      <c r="P824" s="2">
        <v>30.76</v>
      </c>
      <c r="Q824" s="2">
        <v>-3.67</v>
      </c>
      <c r="R824" s="2">
        <v>15.4</v>
      </c>
      <c r="S824" s="2">
        <v>-3.42</v>
      </c>
      <c r="T824" s="2">
        <v>14.1</v>
      </c>
      <c r="U824" s="2">
        <v>12.62</v>
      </c>
      <c r="V824" s="2">
        <v>14.73</v>
      </c>
      <c r="W824" s="2">
        <v>0</v>
      </c>
      <c r="X824" s="2">
        <v>3.86</v>
      </c>
      <c r="Y824" s="2">
        <v>2.98</v>
      </c>
      <c r="Z824" s="2">
        <v>0.38</v>
      </c>
      <c r="AA824" s="2">
        <v>0.28999999999999998</v>
      </c>
      <c r="AB824" s="2">
        <v>0.88</v>
      </c>
      <c r="AC824" s="2">
        <v>0</v>
      </c>
      <c r="AD824" s="2">
        <v>5.62</v>
      </c>
      <c r="AE824" s="2">
        <v>2.0499999999999998</v>
      </c>
      <c r="AF824" s="2">
        <v>84.09</v>
      </c>
      <c r="AG824" s="2">
        <v>14.64</v>
      </c>
      <c r="AH824" s="4">
        <f t="shared" si="12"/>
        <v>263.99000000000007</v>
      </c>
    </row>
    <row r="825" spans="1:34" x14ac:dyDescent="0.2">
      <c r="A825" s="3">
        <v>33024</v>
      </c>
      <c r="B825" s="2">
        <v>1.38</v>
      </c>
      <c r="C825" s="2">
        <v>17.82</v>
      </c>
      <c r="D825" s="2">
        <v>4.28</v>
      </c>
      <c r="E825" s="2">
        <v>35.119999999999997</v>
      </c>
      <c r="F825" s="2">
        <v>-12.58</v>
      </c>
      <c r="G825" s="2">
        <v>16.84</v>
      </c>
      <c r="H825" s="2">
        <v>17.87</v>
      </c>
      <c r="I825" s="2">
        <v>32.33</v>
      </c>
      <c r="J825" s="2">
        <v>0.99</v>
      </c>
      <c r="K825" s="2">
        <v>27.77</v>
      </c>
      <c r="L825" s="2">
        <v>-2.77</v>
      </c>
      <c r="M825" s="2">
        <v>9.5399999999999991</v>
      </c>
      <c r="N825" s="2">
        <v>27.81</v>
      </c>
      <c r="O825" s="2">
        <v>21.34</v>
      </c>
      <c r="P825" s="2">
        <v>56.87</v>
      </c>
      <c r="Q825" s="2">
        <v>-6.97</v>
      </c>
      <c r="R825" s="2">
        <v>4.24</v>
      </c>
      <c r="S825" s="2">
        <v>17.32</v>
      </c>
      <c r="T825" s="2">
        <v>18.41</v>
      </c>
      <c r="U825" s="2">
        <v>18.02</v>
      </c>
      <c r="V825" s="2">
        <v>22.04</v>
      </c>
      <c r="W825" s="2">
        <v>4.88</v>
      </c>
      <c r="X825" s="2">
        <v>6.66</v>
      </c>
      <c r="Y825" s="2">
        <v>5.13</v>
      </c>
      <c r="Z825" s="2">
        <v>0.1</v>
      </c>
      <c r="AA825" s="2">
        <v>1.1499999999999999</v>
      </c>
      <c r="AB825" s="2">
        <v>0.12</v>
      </c>
      <c r="AC825" s="2">
        <v>1.72</v>
      </c>
      <c r="AD825" s="2">
        <v>6.72</v>
      </c>
      <c r="AE825" s="2">
        <v>22.19</v>
      </c>
      <c r="AF825" s="2">
        <v>94.96</v>
      </c>
      <c r="AG825" s="2">
        <v>17.690000000000001</v>
      </c>
      <c r="AH825" s="4">
        <f t="shared" si="12"/>
        <v>327.67</v>
      </c>
    </row>
    <row r="826" spans="1:34" x14ac:dyDescent="0.2">
      <c r="A826" s="3">
        <v>33054</v>
      </c>
      <c r="B826" s="2">
        <v>-0.86</v>
      </c>
      <c r="C826" s="2">
        <v>12.91</v>
      </c>
      <c r="D826" s="2">
        <v>-17.14</v>
      </c>
      <c r="E826" s="2">
        <v>-9.6</v>
      </c>
      <c r="F826" s="2">
        <v>2.37</v>
      </c>
      <c r="G826" s="2">
        <v>8.2899999999999991</v>
      </c>
      <c r="H826" s="2">
        <v>11.45</v>
      </c>
      <c r="I826" s="2">
        <v>33.07</v>
      </c>
      <c r="J826" s="2">
        <v>-12.83</v>
      </c>
      <c r="K826" s="2">
        <v>53.51</v>
      </c>
      <c r="L826" s="2">
        <v>3.03</v>
      </c>
      <c r="M826" s="2">
        <v>6.63</v>
      </c>
      <c r="N826" s="2">
        <v>31.25</v>
      </c>
      <c r="O826" s="2">
        <v>28.16</v>
      </c>
      <c r="P826" s="2">
        <v>80.87</v>
      </c>
      <c r="Q826" s="2">
        <v>-0.7</v>
      </c>
      <c r="R826" s="2">
        <v>14.33</v>
      </c>
      <c r="S826" s="2">
        <v>30.24</v>
      </c>
      <c r="T826" s="2">
        <v>38.270000000000003</v>
      </c>
      <c r="U826" s="2">
        <v>23.93</v>
      </c>
      <c r="V826" s="2">
        <v>38.06</v>
      </c>
      <c r="W826" s="2">
        <v>18.62</v>
      </c>
      <c r="X826" s="2">
        <v>11.89</v>
      </c>
      <c r="Y826" s="2">
        <v>10.98</v>
      </c>
      <c r="Z826" s="2">
        <v>0.1</v>
      </c>
      <c r="AA826" s="2">
        <v>1.04</v>
      </c>
      <c r="AB826" s="2">
        <v>0</v>
      </c>
      <c r="AC826" s="2">
        <v>0</v>
      </c>
      <c r="AD826" s="2">
        <v>7.84</v>
      </c>
      <c r="AE826" s="2">
        <v>0</v>
      </c>
      <c r="AF826" s="2">
        <v>103.93</v>
      </c>
      <c r="AG826" s="2">
        <v>22.83</v>
      </c>
      <c r="AH826" s="4">
        <f t="shared" si="12"/>
        <v>375.24</v>
      </c>
    </row>
    <row r="827" spans="1:34" x14ac:dyDescent="0.2">
      <c r="A827" s="3">
        <v>33085</v>
      </c>
      <c r="B827" s="2">
        <v>-0.64</v>
      </c>
      <c r="C827" s="2">
        <v>15.2</v>
      </c>
      <c r="D827" s="2">
        <v>-10.45</v>
      </c>
      <c r="E827" s="2">
        <v>12.06</v>
      </c>
      <c r="F827" s="2">
        <v>18.95</v>
      </c>
      <c r="G827" s="2">
        <v>18.47</v>
      </c>
      <c r="H827" s="2">
        <v>18.059999999999999</v>
      </c>
      <c r="I827" s="2">
        <v>39.71</v>
      </c>
      <c r="J827" s="2">
        <v>-8.52</v>
      </c>
      <c r="K827" s="2">
        <v>43.82</v>
      </c>
      <c r="L827" s="2">
        <v>6.3</v>
      </c>
      <c r="M827" s="2">
        <v>14.6</v>
      </c>
      <c r="N827" s="2">
        <v>40.380000000000003</v>
      </c>
      <c r="O827" s="2">
        <v>45.82</v>
      </c>
      <c r="P827" s="2">
        <v>78.38</v>
      </c>
      <c r="Q827" s="2">
        <v>-3.4</v>
      </c>
      <c r="R827" s="2">
        <v>13.39</v>
      </c>
      <c r="S827" s="2">
        <v>33.28</v>
      </c>
      <c r="T827" s="2">
        <v>37.11</v>
      </c>
      <c r="U827" s="2">
        <v>32.31</v>
      </c>
      <c r="V827" s="2">
        <v>48.8</v>
      </c>
      <c r="W827" s="2">
        <v>30.39</v>
      </c>
      <c r="X827" s="2">
        <v>16.989999999999998</v>
      </c>
      <c r="Y827" s="2">
        <v>16.489999999999998</v>
      </c>
      <c r="Z827" s="2">
        <v>0</v>
      </c>
      <c r="AA827" s="2">
        <v>0</v>
      </c>
      <c r="AB827" s="2">
        <v>0</v>
      </c>
      <c r="AC827" s="2">
        <v>0</v>
      </c>
      <c r="AD827" s="2">
        <v>6.31</v>
      </c>
      <c r="AE827" s="2">
        <v>1.4</v>
      </c>
      <c r="AF827" s="2">
        <v>113.18</v>
      </c>
      <c r="AG827" s="2">
        <v>24.8</v>
      </c>
      <c r="AH827" s="4">
        <f t="shared" si="12"/>
        <v>493.63</v>
      </c>
    </row>
    <row r="828" spans="1:34" x14ac:dyDescent="0.2">
      <c r="A828" s="3">
        <v>33116</v>
      </c>
      <c r="B828" s="2">
        <v>-1.02</v>
      </c>
      <c r="C828" s="2">
        <v>16.5</v>
      </c>
      <c r="D828" s="2">
        <v>-10.55</v>
      </c>
      <c r="E828" s="2">
        <v>18.170000000000002</v>
      </c>
      <c r="F828" s="2">
        <v>19.25</v>
      </c>
      <c r="G828" s="2">
        <v>22.16</v>
      </c>
      <c r="H828" s="2">
        <v>19.36</v>
      </c>
      <c r="I828" s="2">
        <v>37.08</v>
      </c>
      <c r="J828" s="2">
        <v>-2.25</v>
      </c>
      <c r="K828" s="2">
        <v>38.340000000000003</v>
      </c>
      <c r="L828" s="2">
        <v>0.51</v>
      </c>
      <c r="M828" s="2">
        <v>13.16</v>
      </c>
      <c r="N828" s="2">
        <v>38.93</v>
      </c>
      <c r="O828" s="2">
        <v>48.74</v>
      </c>
      <c r="P828" s="2">
        <v>77.8</v>
      </c>
      <c r="Q828" s="2">
        <v>-0.36</v>
      </c>
      <c r="R828" s="2">
        <v>7.47</v>
      </c>
      <c r="S828" s="2">
        <v>25.33</v>
      </c>
      <c r="T828" s="2">
        <v>41.67</v>
      </c>
      <c r="U828" s="2">
        <v>27.16</v>
      </c>
      <c r="V828" s="2">
        <v>50.94</v>
      </c>
      <c r="W828" s="2">
        <v>31.47</v>
      </c>
      <c r="X828" s="2">
        <v>19.3</v>
      </c>
      <c r="Y828" s="2">
        <v>18.89</v>
      </c>
      <c r="Z828" s="2">
        <v>0.77</v>
      </c>
      <c r="AA828" s="2">
        <v>23.84</v>
      </c>
      <c r="AB828" s="2">
        <v>0.28999999999999998</v>
      </c>
      <c r="AC828" s="2">
        <v>0</v>
      </c>
      <c r="AD828" s="2">
        <v>5.15</v>
      </c>
      <c r="AE828" s="2">
        <v>0</v>
      </c>
      <c r="AF828" s="2">
        <v>115.1</v>
      </c>
      <c r="AG828" s="2">
        <v>23.65</v>
      </c>
      <c r="AH828" s="4">
        <f t="shared" si="12"/>
        <v>488.39000000000004</v>
      </c>
    </row>
    <row r="829" spans="1:34" x14ac:dyDescent="0.2">
      <c r="A829" s="3">
        <v>33146</v>
      </c>
      <c r="B829" s="2">
        <v>-4.33</v>
      </c>
      <c r="C829" s="2">
        <v>15.29</v>
      </c>
      <c r="D829" s="2">
        <v>-10.94</v>
      </c>
      <c r="E829" s="2">
        <v>-15.12</v>
      </c>
      <c r="F829" s="2">
        <v>-4.84</v>
      </c>
      <c r="G829" s="2">
        <v>9.0500000000000007</v>
      </c>
      <c r="H829" s="2">
        <v>16.86</v>
      </c>
      <c r="I829" s="2">
        <v>40.49</v>
      </c>
      <c r="J829" s="2">
        <v>3.19</v>
      </c>
      <c r="K829" s="2">
        <v>-4.8099999999999996</v>
      </c>
      <c r="L829" s="2">
        <v>-6.84</v>
      </c>
      <c r="M829" s="2">
        <v>6.7</v>
      </c>
      <c r="N829" s="2">
        <v>25.6</v>
      </c>
      <c r="O829" s="2">
        <v>20.79</v>
      </c>
      <c r="P829" s="2">
        <v>28.24</v>
      </c>
      <c r="Q829" s="2">
        <v>3.08</v>
      </c>
      <c r="R829" s="2">
        <v>16.11</v>
      </c>
      <c r="S829" s="2">
        <v>-5.45</v>
      </c>
      <c r="T829" s="2">
        <v>9.91</v>
      </c>
      <c r="U829" s="2">
        <v>8.23</v>
      </c>
      <c r="V829" s="2">
        <v>15.03</v>
      </c>
      <c r="W829" s="2">
        <v>26.1</v>
      </c>
      <c r="X829" s="2">
        <v>18.38</v>
      </c>
      <c r="Y829" s="2">
        <v>17.79</v>
      </c>
      <c r="Z829" s="2">
        <v>0</v>
      </c>
      <c r="AA829" s="2">
        <v>17.23</v>
      </c>
      <c r="AB829" s="2">
        <v>2</v>
      </c>
      <c r="AC829" s="2">
        <v>3.3</v>
      </c>
      <c r="AD829" s="2">
        <v>4.09</v>
      </c>
      <c r="AE829" s="2">
        <v>2.2400000000000002</v>
      </c>
      <c r="AF829" s="2">
        <v>107.21</v>
      </c>
      <c r="AG829" s="2">
        <v>20.170000000000002</v>
      </c>
      <c r="AH829" s="4">
        <f t="shared" si="12"/>
        <v>166.23999999999998</v>
      </c>
    </row>
    <row r="830" spans="1:34" x14ac:dyDescent="0.2">
      <c r="A830" s="3">
        <v>33177</v>
      </c>
      <c r="B830" s="2">
        <v>-6.71</v>
      </c>
      <c r="C830" s="2">
        <v>12.14</v>
      </c>
      <c r="D830" s="2">
        <v>-17.13</v>
      </c>
      <c r="E830" s="2">
        <v>-16.62</v>
      </c>
      <c r="F830" s="2">
        <v>0.73</v>
      </c>
      <c r="G830" s="2">
        <v>14.5</v>
      </c>
      <c r="H830" s="2">
        <v>13.96</v>
      </c>
      <c r="I830" s="2">
        <v>32.93</v>
      </c>
      <c r="J830" s="2">
        <v>0.88</v>
      </c>
      <c r="K830" s="2">
        <v>-5.16</v>
      </c>
      <c r="L830" s="2">
        <v>-0.17</v>
      </c>
      <c r="M830" s="2">
        <v>5.96</v>
      </c>
      <c r="N830" s="2">
        <v>24.39</v>
      </c>
      <c r="O830" s="2">
        <v>2.08</v>
      </c>
      <c r="P830" s="2">
        <v>54.76</v>
      </c>
      <c r="Q830" s="2">
        <v>-2.15</v>
      </c>
      <c r="R830" s="2">
        <v>4.0999999999999996</v>
      </c>
      <c r="S830" s="2">
        <v>-10.73</v>
      </c>
      <c r="T830" s="2">
        <v>12.11</v>
      </c>
      <c r="U830" s="2">
        <v>-4.4000000000000004</v>
      </c>
      <c r="V830" s="2">
        <v>14.69</v>
      </c>
      <c r="W830" s="2">
        <v>22.19</v>
      </c>
      <c r="X830" s="2">
        <v>17.07</v>
      </c>
      <c r="Y830" s="2">
        <v>16.48</v>
      </c>
      <c r="Z830" s="2">
        <v>1.05</v>
      </c>
      <c r="AA830" s="2">
        <v>0.86</v>
      </c>
      <c r="AB830" s="2">
        <v>0</v>
      </c>
      <c r="AC830" s="2">
        <v>0.79</v>
      </c>
      <c r="AD830" s="2">
        <v>4.08</v>
      </c>
      <c r="AE830" s="2">
        <v>2.33</v>
      </c>
      <c r="AF830" s="2">
        <v>97.25</v>
      </c>
      <c r="AG830" s="2">
        <v>16.420000000000002</v>
      </c>
      <c r="AH830" s="4">
        <f t="shared" si="12"/>
        <v>130.15999999999997</v>
      </c>
    </row>
    <row r="831" spans="1:34" x14ac:dyDescent="0.2">
      <c r="A831" s="3">
        <v>33207</v>
      </c>
      <c r="B831" s="2">
        <v>-5.43</v>
      </c>
      <c r="C831" s="2">
        <v>11.38</v>
      </c>
      <c r="D831" s="2">
        <v>-7.96</v>
      </c>
      <c r="E831" s="2">
        <v>-9.41</v>
      </c>
      <c r="F831" s="2">
        <v>-2.54</v>
      </c>
      <c r="G831" s="2">
        <v>4.82</v>
      </c>
      <c r="H831" s="2">
        <v>14.04</v>
      </c>
      <c r="I831" s="2">
        <v>31.92</v>
      </c>
      <c r="J831" s="2">
        <v>6.65</v>
      </c>
      <c r="K831" s="2">
        <v>-3.65</v>
      </c>
      <c r="L831" s="2">
        <v>-1.69</v>
      </c>
      <c r="M831" s="2">
        <v>3.05</v>
      </c>
      <c r="N831" s="2">
        <v>17.600000000000001</v>
      </c>
      <c r="O831" s="2">
        <v>25.64</v>
      </c>
      <c r="P831" s="2">
        <v>27</v>
      </c>
      <c r="Q831" s="2">
        <v>1.35</v>
      </c>
      <c r="R831" s="2">
        <v>9.4600000000000009</v>
      </c>
      <c r="S831" s="2">
        <v>-9.14</v>
      </c>
      <c r="T831" s="2">
        <v>10.53</v>
      </c>
      <c r="U831" s="2">
        <v>4.0199999999999996</v>
      </c>
      <c r="V831" s="2">
        <v>12.73</v>
      </c>
      <c r="W831" s="2">
        <v>15.43</v>
      </c>
      <c r="X831" s="2">
        <v>11.07</v>
      </c>
      <c r="Y831" s="2">
        <v>9.52</v>
      </c>
      <c r="Z831" s="2">
        <v>0.05</v>
      </c>
      <c r="AA831" s="2">
        <v>0</v>
      </c>
      <c r="AB831" s="2">
        <v>0</v>
      </c>
      <c r="AC831" s="2">
        <v>0</v>
      </c>
      <c r="AD831" s="2">
        <v>2.7</v>
      </c>
      <c r="AE831" s="2">
        <v>2.2400000000000002</v>
      </c>
      <c r="AF831" s="2">
        <v>63.8</v>
      </c>
      <c r="AG831" s="2">
        <v>12.92</v>
      </c>
      <c r="AH831" s="4">
        <f t="shared" si="12"/>
        <v>140.37</v>
      </c>
    </row>
    <row r="832" spans="1:34" x14ac:dyDescent="0.2">
      <c r="A832" s="3">
        <v>33238</v>
      </c>
      <c r="B832" s="2">
        <v>-5.33</v>
      </c>
      <c r="C832" s="2">
        <v>11.35</v>
      </c>
      <c r="D832" s="2">
        <v>-4.3499999999999996</v>
      </c>
      <c r="E832" s="2">
        <v>3.94</v>
      </c>
      <c r="F832" s="2">
        <v>17.89</v>
      </c>
      <c r="G832" s="2">
        <v>15.95</v>
      </c>
      <c r="H832" s="2">
        <v>17.98</v>
      </c>
      <c r="I832" s="2">
        <v>33.380000000000003</v>
      </c>
      <c r="J832" s="2">
        <v>8.07</v>
      </c>
      <c r="K832" s="2">
        <v>-3.64</v>
      </c>
      <c r="L832" s="2">
        <v>-4.09</v>
      </c>
      <c r="M832" s="2">
        <v>2.36</v>
      </c>
      <c r="N832" s="2">
        <v>15.63</v>
      </c>
      <c r="O832" s="2">
        <v>18</v>
      </c>
      <c r="P832" s="2">
        <v>25.84</v>
      </c>
      <c r="Q832" s="2">
        <v>-0.04</v>
      </c>
      <c r="R832" s="2">
        <v>9.1999999999999993</v>
      </c>
      <c r="S832" s="2">
        <v>-10.78</v>
      </c>
      <c r="T832" s="2">
        <v>10.77</v>
      </c>
      <c r="U832" s="2">
        <v>5.21</v>
      </c>
      <c r="V832" s="2">
        <v>12.59</v>
      </c>
      <c r="W832" s="2">
        <v>11.73</v>
      </c>
      <c r="X832" s="2">
        <v>8.94</v>
      </c>
      <c r="Y832" s="2">
        <v>8.6199999999999992</v>
      </c>
      <c r="Z832" s="2">
        <v>0</v>
      </c>
      <c r="AA832" s="2">
        <v>0</v>
      </c>
      <c r="AB832" s="2">
        <v>0</v>
      </c>
      <c r="AC832" s="2">
        <v>0</v>
      </c>
      <c r="AD832" s="2">
        <v>2.6</v>
      </c>
      <c r="AE832" s="2">
        <v>18.920000000000002</v>
      </c>
      <c r="AF832" s="2">
        <v>58.62</v>
      </c>
      <c r="AG832" s="2">
        <v>11.2</v>
      </c>
      <c r="AH832" s="4">
        <f t="shared" si="12"/>
        <v>179.93</v>
      </c>
    </row>
    <row r="833" spans="1:34" x14ac:dyDescent="0.2">
      <c r="A833" s="3">
        <v>33269</v>
      </c>
      <c r="B833" s="2">
        <v>-5</v>
      </c>
      <c r="C833" s="2">
        <v>10.91</v>
      </c>
      <c r="D833" s="2">
        <v>-6.16</v>
      </c>
      <c r="E833" s="2">
        <v>0.73</v>
      </c>
      <c r="F833" s="2">
        <v>-11.49</v>
      </c>
      <c r="G833" s="2">
        <v>7.62</v>
      </c>
      <c r="H833" s="2">
        <v>11.32</v>
      </c>
      <c r="I833" s="2">
        <v>32.51</v>
      </c>
      <c r="J833" s="2">
        <v>5.56</v>
      </c>
      <c r="K833" s="2">
        <v>-3.93</v>
      </c>
      <c r="L833" s="2">
        <v>-2.0099999999999998</v>
      </c>
      <c r="M833" s="2">
        <v>3.39</v>
      </c>
      <c r="N833" s="2">
        <v>15.91</v>
      </c>
      <c r="O833" s="2">
        <v>13.33</v>
      </c>
      <c r="P833" s="2">
        <v>37.979999999999997</v>
      </c>
      <c r="Q833" s="2">
        <v>-0.98</v>
      </c>
      <c r="R833" s="2">
        <v>8.07</v>
      </c>
      <c r="S833" s="2">
        <v>-4.1100000000000003</v>
      </c>
      <c r="T833" s="2">
        <v>11.64</v>
      </c>
      <c r="U833" s="2">
        <v>5.22</v>
      </c>
      <c r="V833" s="2">
        <v>14</v>
      </c>
      <c r="W833" s="2">
        <v>4.26</v>
      </c>
      <c r="X833" s="2">
        <v>22.03</v>
      </c>
      <c r="Y833" s="2">
        <v>20.76</v>
      </c>
      <c r="Z833" s="2">
        <v>5.74</v>
      </c>
      <c r="AA833" s="2">
        <v>5.45</v>
      </c>
      <c r="AB833" s="2">
        <v>0</v>
      </c>
      <c r="AC833" s="2">
        <v>5.74</v>
      </c>
      <c r="AD833" s="2">
        <v>2.65</v>
      </c>
      <c r="AE833" s="2">
        <v>1.68</v>
      </c>
      <c r="AF833" s="2">
        <v>61.67</v>
      </c>
      <c r="AG833" s="2">
        <v>9.8800000000000008</v>
      </c>
      <c r="AH833" s="4">
        <f t="shared" si="12"/>
        <v>144.51</v>
      </c>
    </row>
    <row r="834" spans="1:34" x14ac:dyDescent="0.2">
      <c r="A834" s="3">
        <v>33297</v>
      </c>
      <c r="B834" s="2">
        <v>-4.84</v>
      </c>
      <c r="C834" s="2">
        <v>12.74</v>
      </c>
      <c r="D834" s="2">
        <v>-0.75</v>
      </c>
      <c r="E834" s="2">
        <v>9.64</v>
      </c>
      <c r="F834" s="2">
        <v>0.19</v>
      </c>
      <c r="G834" s="2">
        <v>21.61</v>
      </c>
      <c r="H834" s="2">
        <v>11.1</v>
      </c>
      <c r="I834" s="2">
        <v>33.409999999999997</v>
      </c>
      <c r="J834" s="2">
        <v>7.16</v>
      </c>
      <c r="K834" s="2">
        <v>3.98</v>
      </c>
      <c r="L834" s="2">
        <v>-5.13</v>
      </c>
      <c r="M834" s="2">
        <v>5.0199999999999996</v>
      </c>
      <c r="N834" s="2">
        <v>18.190000000000001</v>
      </c>
      <c r="O834" s="2">
        <v>16.91</v>
      </c>
      <c r="P834" s="2">
        <v>24.11</v>
      </c>
      <c r="Q834" s="2">
        <v>-1.89</v>
      </c>
      <c r="R834" s="2">
        <v>9</v>
      </c>
      <c r="S834" s="2">
        <v>-10.6</v>
      </c>
      <c r="T834" s="2">
        <v>8.94</v>
      </c>
      <c r="U834" s="2">
        <v>4.51</v>
      </c>
      <c r="V834" s="2">
        <v>14.23</v>
      </c>
      <c r="W834" s="2">
        <v>0</v>
      </c>
      <c r="X834" s="2">
        <v>13.48</v>
      </c>
      <c r="Y834" s="2">
        <v>13.59</v>
      </c>
      <c r="Z834" s="2">
        <v>5.31</v>
      </c>
      <c r="AA834" s="2">
        <v>14.62</v>
      </c>
      <c r="AB834" s="2">
        <v>3.42</v>
      </c>
      <c r="AC834" s="2">
        <v>7.11</v>
      </c>
      <c r="AD834" s="2">
        <v>2.8</v>
      </c>
      <c r="AE834" s="2">
        <v>20.7</v>
      </c>
      <c r="AF834" s="2">
        <v>51.41</v>
      </c>
      <c r="AG834" s="2">
        <v>10.08</v>
      </c>
      <c r="AH834" s="4">
        <f t="shared" si="12"/>
        <v>177.52999999999997</v>
      </c>
    </row>
    <row r="835" spans="1:34" x14ac:dyDescent="0.2">
      <c r="A835" s="3">
        <v>33328</v>
      </c>
      <c r="B835" s="2">
        <v>-3.13</v>
      </c>
      <c r="C835" s="2">
        <v>24.35</v>
      </c>
      <c r="D835" s="2">
        <v>40.94</v>
      </c>
      <c r="E835" s="2">
        <v>119.79</v>
      </c>
      <c r="F835" s="2">
        <v>64.760000000000005</v>
      </c>
      <c r="G835" s="2">
        <v>115.64</v>
      </c>
      <c r="H835" s="2">
        <v>32.28</v>
      </c>
      <c r="I835" s="2">
        <v>47.71</v>
      </c>
      <c r="J835" s="2">
        <v>72.13</v>
      </c>
      <c r="K835" s="2">
        <v>116.71</v>
      </c>
      <c r="L835" s="2">
        <v>17.45</v>
      </c>
      <c r="M835" s="2">
        <v>50.47</v>
      </c>
      <c r="N835" s="2">
        <v>82.03</v>
      </c>
      <c r="O835" s="2">
        <v>20.23</v>
      </c>
      <c r="P835" s="2">
        <v>301.95999999999998</v>
      </c>
      <c r="Q835" s="2">
        <v>-3.49</v>
      </c>
      <c r="R835" s="2">
        <v>1.52</v>
      </c>
      <c r="S835" s="2">
        <v>160.74</v>
      </c>
      <c r="T835" s="2">
        <v>177.52</v>
      </c>
      <c r="U835" s="2">
        <v>3.05</v>
      </c>
      <c r="V835" s="2">
        <v>54.48</v>
      </c>
      <c r="W835" s="2">
        <v>0</v>
      </c>
      <c r="X835" s="2">
        <v>16.2</v>
      </c>
      <c r="Y835" s="2">
        <v>15.28</v>
      </c>
      <c r="Z835" s="2">
        <v>19.96</v>
      </c>
      <c r="AA835" s="2">
        <v>26.96</v>
      </c>
      <c r="AB835" s="2">
        <v>25.6</v>
      </c>
      <c r="AC835" s="2">
        <v>1.08</v>
      </c>
      <c r="AD835" s="2">
        <v>4.63</v>
      </c>
      <c r="AE835" s="2">
        <v>57.52</v>
      </c>
      <c r="AF835" s="2">
        <v>60.66</v>
      </c>
      <c r="AG835" s="2">
        <v>10.69</v>
      </c>
      <c r="AH835" s="4">
        <f t="shared" ref="AH835:AH898" si="13">SUM(B835:V835)</f>
        <v>1497.14</v>
      </c>
    </row>
    <row r="836" spans="1:34" x14ac:dyDescent="0.2">
      <c r="A836" s="3">
        <v>33358</v>
      </c>
      <c r="B836" s="2">
        <v>-3.92</v>
      </c>
      <c r="C836" s="2">
        <v>7.96</v>
      </c>
      <c r="D836" s="2">
        <v>-9.27</v>
      </c>
      <c r="E836" s="2">
        <v>-49.81</v>
      </c>
      <c r="F836" s="2">
        <v>-9.48</v>
      </c>
      <c r="G836" s="2">
        <v>-30.51</v>
      </c>
      <c r="H836" s="2">
        <v>0.51</v>
      </c>
      <c r="I836" s="2">
        <v>22.27</v>
      </c>
      <c r="J836" s="2">
        <v>-30.57</v>
      </c>
      <c r="K836" s="2">
        <v>-53.45</v>
      </c>
      <c r="L836" s="2">
        <v>-6.03</v>
      </c>
      <c r="M836" s="2">
        <v>-12.68</v>
      </c>
      <c r="N836" s="2">
        <v>-22.95</v>
      </c>
      <c r="O836" s="2">
        <v>11.41</v>
      </c>
      <c r="P836" s="2">
        <v>25.21</v>
      </c>
      <c r="Q836" s="2">
        <v>1.68</v>
      </c>
      <c r="R836" s="2">
        <v>10.49</v>
      </c>
      <c r="S836" s="2">
        <v>9.8800000000000008</v>
      </c>
      <c r="T836" s="2">
        <v>13.06</v>
      </c>
      <c r="U836" s="2">
        <v>8.44</v>
      </c>
      <c r="V836" s="2">
        <v>20.010000000000002</v>
      </c>
      <c r="W836" s="2">
        <v>0</v>
      </c>
      <c r="X836" s="2">
        <v>19.97</v>
      </c>
      <c r="Y836" s="2">
        <v>19.350000000000001</v>
      </c>
      <c r="Z836" s="2">
        <v>0</v>
      </c>
      <c r="AA836" s="2">
        <v>0</v>
      </c>
      <c r="AB836" s="2">
        <v>0</v>
      </c>
      <c r="AC836" s="2">
        <v>0.56999999999999995</v>
      </c>
      <c r="AD836" s="2">
        <v>5.91</v>
      </c>
      <c r="AE836" s="2">
        <v>1.68</v>
      </c>
      <c r="AF836" s="2">
        <v>75.06</v>
      </c>
      <c r="AG836" s="2">
        <v>14.64</v>
      </c>
      <c r="AH836" s="4">
        <f t="shared" si="13"/>
        <v>-97.749999999999957</v>
      </c>
    </row>
    <row r="837" spans="1:34" x14ac:dyDescent="0.2">
      <c r="A837" s="3">
        <v>33389</v>
      </c>
      <c r="B837" s="2">
        <v>-1.62</v>
      </c>
      <c r="C837" s="2">
        <v>17.96</v>
      </c>
      <c r="D837" s="2">
        <v>-13.99</v>
      </c>
      <c r="E837" s="2">
        <v>3.08</v>
      </c>
      <c r="F837" s="2">
        <v>9</v>
      </c>
      <c r="G837" s="2">
        <v>-0.05</v>
      </c>
      <c r="H837" s="2">
        <v>9.16</v>
      </c>
      <c r="I837" s="2">
        <v>31.57</v>
      </c>
      <c r="J837" s="2">
        <v>-23.85</v>
      </c>
      <c r="K837" s="2">
        <v>21.17</v>
      </c>
      <c r="L837" s="2">
        <v>-0.5</v>
      </c>
      <c r="M837" s="2">
        <v>-0.25</v>
      </c>
      <c r="N837" s="2">
        <v>25.37</v>
      </c>
      <c r="O837" s="2">
        <v>28.32</v>
      </c>
      <c r="P837" s="2">
        <v>35.770000000000003</v>
      </c>
      <c r="Q837" s="2">
        <v>-11.77</v>
      </c>
      <c r="R837" s="2">
        <v>14.67</v>
      </c>
      <c r="S837" s="2">
        <v>21.02</v>
      </c>
      <c r="T837" s="2">
        <v>11.94</v>
      </c>
      <c r="U837" s="2">
        <v>12.25</v>
      </c>
      <c r="V837" s="2">
        <v>28.42</v>
      </c>
      <c r="W837" s="2">
        <v>4.88</v>
      </c>
      <c r="X837" s="2">
        <v>24.89</v>
      </c>
      <c r="Y837" s="2">
        <v>23.61</v>
      </c>
      <c r="Z837" s="2">
        <v>0</v>
      </c>
      <c r="AA837" s="2">
        <v>0</v>
      </c>
      <c r="AB837" s="2">
        <v>0</v>
      </c>
      <c r="AC837" s="2">
        <v>0.14000000000000001</v>
      </c>
      <c r="AD837" s="2">
        <v>7.45</v>
      </c>
      <c r="AE837" s="2">
        <v>1.4</v>
      </c>
      <c r="AF837" s="2">
        <v>84.77</v>
      </c>
      <c r="AG837" s="2">
        <v>17.690000000000001</v>
      </c>
      <c r="AH837" s="4">
        <f t="shared" si="13"/>
        <v>217.67000000000002</v>
      </c>
    </row>
    <row r="838" spans="1:34" x14ac:dyDescent="0.2">
      <c r="A838" s="3">
        <v>33419</v>
      </c>
      <c r="B838" s="2">
        <v>-1.25</v>
      </c>
      <c r="C838" s="2">
        <v>18.39</v>
      </c>
      <c r="D838" s="2">
        <v>-13.57</v>
      </c>
      <c r="E838" s="2">
        <v>0.11</v>
      </c>
      <c r="F838" s="2">
        <v>24.76</v>
      </c>
      <c r="G838" s="2">
        <v>7.58</v>
      </c>
      <c r="H838" s="2">
        <v>15.39</v>
      </c>
      <c r="I838" s="2">
        <v>33.33</v>
      </c>
      <c r="J838" s="2">
        <v>-14.41</v>
      </c>
      <c r="K838" s="2">
        <v>59.57</v>
      </c>
      <c r="L838" s="2">
        <v>-0.24</v>
      </c>
      <c r="M838" s="2">
        <v>5.89</v>
      </c>
      <c r="N838" s="2">
        <v>44.81</v>
      </c>
      <c r="O838" s="2">
        <v>28.32</v>
      </c>
      <c r="P838" s="2">
        <v>103.58</v>
      </c>
      <c r="Q838" s="2">
        <v>0.37</v>
      </c>
      <c r="R838" s="2">
        <v>16.170000000000002</v>
      </c>
      <c r="S838" s="2">
        <v>34.11</v>
      </c>
      <c r="T838" s="2">
        <v>33.81</v>
      </c>
      <c r="U838" s="2">
        <v>19.829999999999998</v>
      </c>
      <c r="V838" s="2">
        <v>58.88</v>
      </c>
      <c r="W838" s="2">
        <v>18.62</v>
      </c>
      <c r="X838" s="2">
        <v>31.82</v>
      </c>
      <c r="Y838" s="2">
        <v>31.25</v>
      </c>
      <c r="Z838" s="2">
        <v>0</v>
      </c>
      <c r="AA838" s="2">
        <v>0</v>
      </c>
      <c r="AB838" s="2">
        <v>0</v>
      </c>
      <c r="AC838" s="2">
        <v>0.14000000000000001</v>
      </c>
      <c r="AD838" s="2">
        <v>8.94</v>
      </c>
      <c r="AE838" s="2">
        <v>0.56000000000000005</v>
      </c>
      <c r="AF838" s="2">
        <v>92.77</v>
      </c>
      <c r="AG838" s="2">
        <v>22.83</v>
      </c>
      <c r="AH838" s="4">
        <f t="shared" si="13"/>
        <v>475.43</v>
      </c>
    </row>
    <row r="839" spans="1:34" x14ac:dyDescent="0.2">
      <c r="A839" s="3">
        <v>33450</v>
      </c>
      <c r="B839" s="2">
        <v>-0.97</v>
      </c>
      <c r="C839" s="2">
        <v>18.170000000000002</v>
      </c>
      <c r="D839" s="2">
        <v>-10.69</v>
      </c>
      <c r="E839" s="2">
        <v>12.13</v>
      </c>
      <c r="F839" s="2">
        <v>26.65</v>
      </c>
      <c r="G839" s="2">
        <v>11.79</v>
      </c>
      <c r="H839" s="2">
        <v>16.100000000000001</v>
      </c>
      <c r="I839" s="2">
        <v>37.159999999999997</v>
      </c>
      <c r="J839" s="2">
        <v>-11.89</v>
      </c>
      <c r="K839" s="2">
        <v>59</v>
      </c>
      <c r="L839" s="2">
        <v>8.6999999999999993</v>
      </c>
      <c r="M839" s="2">
        <v>13.7</v>
      </c>
      <c r="N839" s="2">
        <v>48.82</v>
      </c>
      <c r="O839" s="2">
        <v>51.41</v>
      </c>
      <c r="P839" s="2">
        <v>102.78</v>
      </c>
      <c r="Q839" s="2">
        <v>4.04</v>
      </c>
      <c r="R839" s="2">
        <v>17.77</v>
      </c>
      <c r="S839" s="2">
        <v>46.29</v>
      </c>
      <c r="T839" s="2">
        <v>35.69</v>
      </c>
      <c r="U839" s="2">
        <v>28.74</v>
      </c>
      <c r="V839" s="2">
        <v>65.25</v>
      </c>
      <c r="W839" s="2">
        <v>30.39</v>
      </c>
      <c r="X839" s="2">
        <v>38.700000000000003</v>
      </c>
      <c r="Y839" s="2">
        <v>38.5</v>
      </c>
      <c r="Z839" s="2">
        <v>1</v>
      </c>
      <c r="AA839" s="2">
        <v>1.43</v>
      </c>
      <c r="AB839" s="2">
        <v>0</v>
      </c>
      <c r="AC839" s="2">
        <v>0</v>
      </c>
      <c r="AD839" s="2">
        <v>8.15</v>
      </c>
      <c r="AE839" s="2">
        <v>0</v>
      </c>
      <c r="AF839" s="2">
        <v>101.03</v>
      </c>
      <c r="AG839" s="2">
        <v>24.8</v>
      </c>
      <c r="AH839" s="4">
        <f t="shared" si="13"/>
        <v>580.63999999999987</v>
      </c>
    </row>
    <row r="840" spans="1:34" x14ac:dyDescent="0.2">
      <c r="A840" s="3">
        <v>33481</v>
      </c>
      <c r="B840" s="2">
        <v>-2.13</v>
      </c>
      <c r="C840" s="2">
        <v>17.68</v>
      </c>
      <c r="D840" s="2">
        <v>-13.2</v>
      </c>
      <c r="E840" s="2">
        <v>7.21</v>
      </c>
      <c r="F840" s="2">
        <v>23.65</v>
      </c>
      <c r="G840" s="2">
        <v>21.97</v>
      </c>
      <c r="H840" s="2">
        <v>14.26</v>
      </c>
      <c r="I840" s="2">
        <v>36.61</v>
      </c>
      <c r="J840" s="2">
        <v>-3.27</v>
      </c>
      <c r="K840" s="2">
        <v>43.39</v>
      </c>
      <c r="L840" s="2">
        <v>2.19</v>
      </c>
      <c r="M840" s="2">
        <v>13.15</v>
      </c>
      <c r="N840" s="2">
        <v>43.03</v>
      </c>
      <c r="O840" s="2">
        <v>62.45</v>
      </c>
      <c r="P840" s="2">
        <v>90.75</v>
      </c>
      <c r="Q840" s="2">
        <v>-0.31</v>
      </c>
      <c r="R840" s="2">
        <v>14.17</v>
      </c>
      <c r="S840" s="2">
        <v>8.5</v>
      </c>
      <c r="T840" s="2">
        <v>37.340000000000003</v>
      </c>
      <c r="U840" s="2">
        <v>28.21</v>
      </c>
      <c r="V840" s="2">
        <v>63.24</v>
      </c>
      <c r="W840" s="2">
        <v>31.47</v>
      </c>
      <c r="X840" s="2">
        <v>41.36</v>
      </c>
      <c r="Y840" s="2">
        <v>41.29</v>
      </c>
      <c r="Z840" s="2">
        <v>0.05</v>
      </c>
      <c r="AA840" s="2">
        <v>9.75</v>
      </c>
      <c r="AB840" s="2">
        <v>0.22</v>
      </c>
      <c r="AC840" s="2">
        <v>1.1499999999999999</v>
      </c>
      <c r="AD840" s="2">
        <v>6.1</v>
      </c>
      <c r="AE840" s="2">
        <v>0.37</v>
      </c>
      <c r="AF840" s="2">
        <v>102.75</v>
      </c>
      <c r="AG840" s="2">
        <v>23.65</v>
      </c>
      <c r="AH840" s="4">
        <f t="shared" si="13"/>
        <v>508.89000000000004</v>
      </c>
    </row>
    <row r="841" spans="1:34" x14ac:dyDescent="0.2">
      <c r="A841" s="3">
        <v>33511</v>
      </c>
      <c r="B841" s="2">
        <v>-5.54</v>
      </c>
      <c r="C841" s="2">
        <v>18.97</v>
      </c>
      <c r="D841" s="2">
        <v>-11.73</v>
      </c>
      <c r="E841" s="2">
        <v>-8.24</v>
      </c>
      <c r="F841" s="2">
        <v>17.72</v>
      </c>
      <c r="G841" s="2">
        <v>12.16</v>
      </c>
      <c r="H841" s="2">
        <v>19.63</v>
      </c>
      <c r="I841" s="2">
        <v>40.99</v>
      </c>
      <c r="J841" s="2">
        <v>4.46</v>
      </c>
      <c r="K841" s="2">
        <v>-6.08</v>
      </c>
      <c r="L841" s="2">
        <v>2.76</v>
      </c>
      <c r="M841" s="2">
        <v>7.13</v>
      </c>
      <c r="N841" s="2">
        <v>28.2</v>
      </c>
      <c r="O841" s="2">
        <v>16.05</v>
      </c>
      <c r="P841" s="2">
        <v>29.8</v>
      </c>
      <c r="Q841" s="2">
        <v>5.71</v>
      </c>
      <c r="R841" s="2">
        <v>19</v>
      </c>
      <c r="S841" s="2">
        <v>-5.77</v>
      </c>
      <c r="T841" s="2">
        <v>9</v>
      </c>
      <c r="U841" s="2">
        <v>8.7899999999999991</v>
      </c>
      <c r="V841" s="2">
        <v>15.76</v>
      </c>
      <c r="W841" s="2">
        <v>26.1</v>
      </c>
      <c r="X841" s="2">
        <v>38.909999999999997</v>
      </c>
      <c r="Y841" s="2">
        <v>38.619999999999997</v>
      </c>
      <c r="Z841" s="2">
        <v>0.53</v>
      </c>
      <c r="AA841" s="2">
        <v>2.87</v>
      </c>
      <c r="AB841" s="2">
        <v>0.45</v>
      </c>
      <c r="AC841" s="2">
        <v>0</v>
      </c>
      <c r="AD841" s="2">
        <v>4.8499999999999996</v>
      </c>
      <c r="AE841" s="2">
        <v>1.1200000000000001</v>
      </c>
      <c r="AF841" s="2">
        <v>95.7</v>
      </c>
      <c r="AG841" s="2">
        <v>20.170000000000002</v>
      </c>
      <c r="AH841" s="4">
        <f t="shared" si="13"/>
        <v>218.77</v>
      </c>
    </row>
    <row r="842" spans="1:34" x14ac:dyDescent="0.2">
      <c r="A842" s="3">
        <v>33542</v>
      </c>
      <c r="B842" s="2">
        <v>-5.2</v>
      </c>
      <c r="C842" s="2">
        <v>16.72</v>
      </c>
      <c r="D842" s="2">
        <v>-8.89</v>
      </c>
      <c r="E842" s="2">
        <v>-4.46</v>
      </c>
      <c r="F842" s="2">
        <v>8.17</v>
      </c>
      <c r="G842" s="2">
        <v>9.83</v>
      </c>
      <c r="H842" s="2">
        <v>16.72</v>
      </c>
      <c r="I842" s="2">
        <v>34.03</v>
      </c>
      <c r="J842" s="2">
        <v>13.89</v>
      </c>
      <c r="K842" s="2">
        <v>-0.41</v>
      </c>
      <c r="L842" s="2">
        <v>3.87</v>
      </c>
      <c r="M842" s="2">
        <v>8.9700000000000006</v>
      </c>
      <c r="N842" s="2">
        <v>22.15</v>
      </c>
      <c r="O842" s="2">
        <v>11.56</v>
      </c>
      <c r="P842" s="2">
        <v>74.44</v>
      </c>
      <c r="Q842" s="2">
        <v>-1.44</v>
      </c>
      <c r="R842" s="2">
        <v>8.7100000000000009</v>
      </c>
      <c r="S842" s="2">
        <v>-17.22</v>
      </c>
      <c r="T842" s="2">
        <v>13.88</v>
      </c>
      <c r="U842" s="2">
        <v>-0.02</v>
      </c>
      <c r="V842" s="2">
        <v>24.53</v>
      </c>
      <c r="W842" s="2">
        <v>22.19</v>
      </c>
      <c r="X842" s="2">
        <v>35.69</v>
      </c>
      <c r="Y842" s="2">
        <v>35.380000000000003</v>
      </c>
      <c r="Z842" s="2">
        <v>0</v>
      </c>
      <c r="AA842" s="2">
        <v>0.28999999999999998</v>
      </c>
      <c r="AB842" s="2">
        <v>2.08</v>
      </c>
      <c r="AC842" s="2">
        <v>1.58</v>
      </c>
      <c r="AD842" s="2">
        <v>2.98</v>
      </c>
      <c r="AE842" s="2">
        <v>7.92</v>
      </c>
      <c r="AF842" s="2">
        <v>86.81</v>
      </c>
      <c r="AG842" s="2">
        <v>16.420000000000002</v>
      </c>
      <c r="AH842" s="4">
        <f t="shared" si="13"/>
        <v>229.83</v>
      </c>
    </row>
    <row r="843" spans="1:34" x14ac:dyDescent="0.2">
      <c r="A843" s="3">
        <v>33572</v>
      </c>
      <c r="B843" s="2">
        <v>-4.99</v>
      </c>
      <c r="C843" s="2">
        <v>13.79</v>
      </c>
      <c r="D843" s="2">
        <v>-8.84</v>
      </c>
      <c r="E843" s="2">
        <v>3.46</v>
      </c>
      <c r="F843" s="2">
        <v>1.78</v>
      </c>
      <c r="G843" s="2">
        <v>3.25</v>
      </c>
      <c r="H843" s="2">
        <v>12.76</v>
      </c>
      <c r="I843" s="2">
        <v>31.62</v>
      </c>
      <c r="J843" s="2">
        <v>7.12</v>
      </c>
      <c r="K843" s="2">
        <v>-2.38</v>
      </c>
      <c r="L843" s="2">
        <v>0.93</v>
      </c>
      <c r="M843" s="2">
        <v>1.03</v>
      </c>
      <c r="N843" s="2">
        <v>20.04</v>
      </c>
      <c r="O843" s="2">
        <v>22.25</v>
      </c>
      <c r="P843" s="2">
        <v>28.01</v>
      </c>
      <c r="Q843" s="2">
        <v>3.55</v>
      </c>
      <c r="R843" s="2">
        <v>11.44</v>
      </c>
      <c r="S843" s="2">
        <v>-9.01</v>
      </c>
      <c r="T843" s="2">
        <v>5.56</v>
      </c>
      <c r="U843" s="2">
        <v>5.2</v>
      </c>
      <c r="V843" s="2">
        <v>16.18</v>
      </c>
      <c r="W843" s="2">
        <v>15.43</v>
      </c>
      <c r="X843" s="2">
        <v>23.37</v>
      </c>
      <c r="Y843" s="2">
        <v>22.04</v>
      </c>
      <c r="Z843" s="2">
        <v>9.57</v>
      </c>
      <c r="AA843" s="2">
        <v>0.87</v>
      </c>
      <c r="AB843" s="2">
        <v>0.32</v>
      </c>
      <c r="AC843" s="2">
        <v>7.0000000000000007E-2</v>
      </c>
      <c r="AD843" s="2">
        <v>1.77</v>
      </c>
      <c r="AE843" s="2">
        <v>4.01</v>
      </c>
      <c r="AF843" s="2">
        <v>56.96</v>
      </c>
      <c r="AG843" s="2">
        <v>12.92</v>
      </c>
      <c r="AH843" s="4">
        <f t="shared" si="13"/>
        <v>162.75</v>
      </c>
    </row>
    <row r="844" spans="1:34" x14ac:dyDescent="0.2">
      <c r="A844" s="3">
        <v>33603</v>
      </c>
      <c r="B844" s="2">
        <v>-5.14</v>
      </c>
      <c r="C844" s="2">
        <v>17.489999999999998</v>
      </c>
      <c r="D844" s="2">
        <v>10.41</v>
      </c>
      <c r="E844" s="2">
        <v>28.41</v>
      </c>
      <c r="F844" s="2">
        <v>24.41</v>
      </c>
      <c r="G844" s="2">
        <v>21.42</v>
      </c>
      <c r="H844" s="2">
        <v>18.850000000000001</v>
      </c>
      <c r="I844" s="2">
        <v>33.299999999999997</v>
      </c>
      <c r="J844" s="2">
        <v>11.2</v>
      </c>
      <c r="K844" s="2">
        <v>4.22</v>
      </c>
      <c r="L844" s="2">
        <v>-2.76</v>
      </c>
      <c r="M844" s="2">
        <v>3.84</v>
      </c>
      <c r="N844" s="2">
        <v>17.64</v>
      </c>
      <c r="O844" s="2">
        <v>14.69</v>
      </c>
      <c r="P844" s="2">
        <v>33.03</v>
      </c>
      <c r="Q844" s="2">
        <v>-0.75</v>
      </c>
      <c r="R844" s="2">
        <v>10.36</v>
      </c>
      <c r="S844" s="2">
        <v>3.86</v>
      </c>
      <c r="T844" s="2">
        <v>8.44</v>
      </c>
      <c r="U844" s="2">
        <v>5.43</v>
      </c>
      <c r="V844" s="2">
        <v>12.84</v>
      </c>
      <c r="W844" s="2">
        <v>11.73</v>
      </c>
      <c r="X844" s="2">
        <v>20.239999999999998</v>
      </c>
      <c r="Y844" s="2">
        <v>20.13</v>
      </c>
      <c r="Z844" s="2">
        <v>1.48</v>
      </c>
      <c r="AA844" s="2">
        <v>11.9</v>
      </c>
      <c r="AB844" s="2">
        <v>2.2400000000000002</v>
      </c>
      <c r="AC844" s="2">
        <v>0</v>
      </c>
      <c r="AD844" s="2">
        <v>1.71</v>
      </c>
      <c r="AE844" s="2">
        <v>22.65</v>
      </c>
      <c r="AF844" s="2">
        <v>52.33</v>
      </c>
      <c r="AG844" s="2">
        <v>11.2</v>
      </c>
      <c r="AH844" s="4">
        <f t="shared" si="13"/>
        <v>271.18999999999994</v>
      </c>
    </row>
    <row r="845" spans="1:34" x14ac:dyDescent="0.2">
      <c r="A845" s="3">
        <v>33634</v>
      </c>
      <c r="B845" s="2">
        <v>-9.5500000000000007</v>
      </c>
      <c r="C845" s="2">
        <v>12.04</v>
      </c>
      <c r="D845" s="2">
        <v>-2.54</v>
      </c>
      <c r="E845" s="2">
        <v>7.56</v>
      </c>
      <c r="F845" s="2">
        <v>5.82</v>
      </c>
      <c r="G845" s="2">
        <v>15.29</v>
      </c>
      <c r="H845" s="2">
        <v>12.29</v>
      </c>
      <c r="I845" s="2">
        <v>31.79</v>
      </c>
      <c r="J845" s="2">
        <v>7.57</v>
      </c>
      <c r="K845" s="2">
        <v>-0.65</v>
      </c>
      <c r="L845" s="2">
        <v>-1.94</v>
      </c>
      <c r="M845" s="2">
        <v>-0.71</v>
      </c>
      <c r="N845" s="2">
        <v>15.73</v>
      </c>
      <c r="O845" s="2">
        <v>14.24</v>
      </c>
      <c r="P845" s="2">
        <v>29.39</v>
      </c>
      <c r="Q845" s="2">
        <v>-4.38</v>
      </c>
      <c r="R845" s="2">
        <v>9.4</v>
      </c>
      <c r="S845" s="2">
        <v>-4.63</v>
      </c>
      <c r="T845" s="2">
        <v>10.08</v>
      </c>
      <c r="U845" s="2">
        <v>4.78</v>
      </c>
      <c r="V845" s="2">
        <v>11.03</v>
      </c>
      <c r="W845" s="2">
        <v>4.26</v>
      </c>
      <c r="X845" s="2">
        <v>9.06</v>
      </c>
      <c r="Y845" s="2">
        <v>7.76</v>
      </c>
      <c r="Z845" s="2">
        <v>9.81</v>
      </c>
      <c r="AA845" s="2">
        <v>7.31</v>
      </c>
      <c r="AB845" s="2">
        <v>0.75</v>
      </c>
      <c r="AC845" s="2">
        <v>8.61</v>
      </c>
      <c r="AD845" s="2">
        <v>1.66</v>
      </c>
      <c r="AE845" s="2">
        <v>16.13</v>
      </c>
      <c r="AF845" s="2">
        <v>69.08</v>
      </c>
      <c r="AG845" s="2">
        <v>9.8800000000000008</v>
      </c>
      <c r="AH845" s="4">
        <f t="shared" si="13"/>
        <v>162.61000000000001</v>
      </c>
    </row>
    <row r="846" spans="1:34" x14ac:dyDescent="0.2">
      <c r="A846" s="3">
        <v>33663</v>
      </c>
      <c r="B846" s="2">
        <v>-5.52</v>
      </c>
      <c r="C846" s="2">
        <v>24.12</v>
      </c>
      <c r="D846" s="2">
        <v>36.15</v>
      </c>
      <c r="E846" s="2">
        <v>103.75</v>
      </c>
      <c r="F846" s="2">
        <v>52.46</v>
      </c>
      <c r="G846" s="2">
        <v>103.65</v>
      </c>
      <c r="H846" s="2">
        <v>26.68</v>
      </c>
      <c r="I846" s="2">
        <v>38.75</v>
      </c>
      <c r="J846" s="2">
        <v>57.82</v>
      </c>
      <c r="K846" s="2">
        <v>53.69</v>
      </c>
      <c r="L846" s="2">
        <v>9.1300000000000008</v>
      </c>
      <c r="M846" s="2">
        <v>25.01</v>
      </c>
      <c r="N846" s="2">
        <v>48.71</v>
      </c>
      <c r="O846" s="2">
        <v>14.87</v>
      </c>
      <c r="P846" s="2">
        <v>92.07</v>
      </c>
      <c r="Q846" s="2">
        <v>-4.45</v>
      </c>
      <c r="R846" s="2">
        <v>8.06</v>
      </c>
      <c r="S846" s="2">
        <v>41.81</v>
      </c>
      <c r="T846" s="2">
        <v>38.119999999999997</v>
      </c>
      <c r="U846" s="2">
        <v>4.25</v>
      </c>
      <c r="V846" s="2">
        <v>11.38</v>
      </c>
      <c r="W846" s="2">
        <v>0</v>
      </c>
      <c r="X846" s="2">
        <v>2.66</v>
      </c>
      <c r="Y846" s="2">
        <v>2.73</v>
      </c>
      <c r="Z846" s="2">
        <v>23.74</v>
      </c>
      <c r="AA846" s="2">
        <v>25.95</v>
      </c>
      <c r="AB846" s="2">
        <v>7.72</v>
      </c>
      <c r="AC846" s="2">
        <v>7.97</v>
      </c>
      <c r="AD846" s="2">
        <v>1.92</v>
      </c>
      <c r="AE846" s="2">
        <v>61.43</v>
      </c>
      <c r="AF846" s="2">
        <v>57.59</v>
      </c>
      <c r="AG846" s="2">
        <v>10.08</v>
      </c>
      <c r="AH846" s="4">
        <f t="shared" si="13"/>
        <v>780.51</v>
      </c>
    </row>
    <row r="847" spans="1:34" x14ac:dyDescent="0.2">
      <c r="A847" s="3">
        <v>33694</v>
      </c>
      <c r="B847" s="2">
        <v>-1.97</v>
      </c>
      <c r="C847" s="2">
        <v>22.67</v>
      </c>
      <c r="D847" s="2">
        <v>-0.98</v>
      </c>
      <c r="E847" s="2">
        <v>8.5</v>
      </c>
      <c r="F847" s="2">
        <v>-3.27</v>
      </c>
      <c r="G847" s="2">
        <v>11.9</v>
      </c>
      <c r="H847" s="2">
        <v>8.86</v>
      </c>
      <c r="I847" s="2">
        <v>35.5</v>
      </c>
      <c r="J847" s="2">
        <v>1.1399999999999999</v>
      </c>
      <c r="K847" s="2">
        <v>-11.97</v>
      </c>
      <c r="L847" s="2">
        <v>-5.85</v>
      </c>
      <c r="M847" s="2">
        <v>-5.01</v>
      </c>
      <c r="N847" s="2">
        <v>9.1</v>
      </c>
      <c r="O847" s="2">
        <v>12.02</v>
      </c>
      <c r="P847" s="2">
        <v>48.89</v>
      </c>
      <c r="Q847" s="2">
        <v>-0.67</v>
      </c>
      <c r="R847" s="2">
        <v>8.74</v>
      </c>
      <c r="S847" s="2">
        <v>-1.97</v>
      </c>
      <c r="T847" s="2">
        <v>17.329999999999998</v>
      </c>
      <c r="U847" s="2">
        <v>4</v>
      </c>
      <c r="V847" s="2">
        <v>17.73</v>
      </c>
      <c r="W847" s="2">
        <v>0</v>
      </c>
      <c r="X847" s="2">
        <v>3.43</v>
      </c>
      <c r="Y847" s="2">
        <v>2.4900000000000002</v>
      </c>
      <c r="Z847" s="2">
        <v>12.06</v>
      </c>
      <c r="AA847" s="2">
        <v>20.5</v>
      </c>
      <c r="AB847" s="2">
        <v>2.34</v>
      </c>
      <c r="AC847" s="2">
        <v>29.93</v>
      </c>
      <c r="AD847" s="2">
        <v>4.04</v>
      </c>
      <c r="AE847" s="2">
        <v>31.42</v>
      </c>
      <c r="AF847" s="2">
        <v>67.959999999999994</v>
      </c>
      <c r="AG847" s="2">
        <v>10.69</v>
      </c>
      <c r="AH847" s="4">
        <f t="shared" si="13"/>
        <v>174.69000000000003</v>
      </c>
    </row>
    <row r="848" spans="1:34" x14ac:dyDescent="0.2">
      <c r="A848" s="3">
        <v>33724</v>
      </c>
      <c r="B848" s="2">
        <v>-2.94</v>
      </c>
      <c r="C848" s="2">
        <v>14.14</v>
      </c>
      <c r="D848" s="2">
        <v>-7.06</v>
      </c>
      <c r="E848" s="2">
        <v>-48.62</v>
      </c>
      <c r="F848" s="2">
        <v>9.86</v>
      </c>
      <c r="G848" s="2">
        <v>-33.44</v>
      </c>
      <c r="H848" s="2">
        <v>5.08</v>
      </c>
      <c r="I848" s="2">
        <v>34.08</v>
      </c>
      <c r="J848" s="2">
        <v>-11.74</v>
      </c>
      <c r="K848" s="2">
        <v>2.73</v>
      </c>
      <c r="L848" s="2">
        <v>12.63</v>
      </c>
      <c r="M848" s="2">
        <v>7.35</v>
      </c>
      <c r="N848" s="2">
        <v>23.66</v>
      </c>
      <c r="O848" s="2">
        <v>12.34</v>
      </c>
      <c r="P848" s="2">
        <v>35.15</v>
      </c>
      <c r="Q848" s="2">
        <v>0.33</v>
      </c>
      <c r="R848" s="2">
        <v>14</v>
      </c>
      <c r="S848" s="2">
        <v>10.51</v>
      </c>
      <c r="T848" s="2">
        <v>11.17</v>
      </c>
      <c r="U848" s="2">
        <v>9.61</v>
      </c>
      <c r="V848" s="2">
        <v>19.34</v>
      </c>
      <c r="W848" s="2">
        <v>0</v>
      </c>
      <c r="X848" s="2">
        <v>4.17</v>
      </c>
      <c r="Y848" s="2">
        <v>3.52</v>
      </c>
      <c r="Z848" s="2">
        <v>1.1000000000000001</v>
      </c>
      <c r="AA848" s="2">
        <v>4.4400000000000004</v>
      </c>
      <c r="AB848" s="2">
        <v>1.44</v>
      </c>
      <c r="AC848" s="2">
        <v>0</v>
      </c>
      <c r="AD848" s="2">
        <v>4.3899999999999997</v>
      </c>
      <c r="AE848" s="2">
        <v>3.92</v>
      </c>
      <c r="AF848" s="2">
        <v>84.09</v>
      </c>
      <c r="AG848" s="2">
        <v>14.64</v>
      </c>
      <c r="AH848" s="4">
        <f t="shared" si="13"/>
        <v>118.17999999999999</v>
      </c>
    </row>
    <row r="849" spans="1:34" x14ac:dyDescent="0.2">
      <c r="A849" s="3">
        <v>33755</v>
      </c>
      <c r="B849" s="2">
        <v>-2.41</v>
      </c>
      <c r="C849" s="2">
        <v>17.190000000000001</v>
      </c>
      <c r="D849" s="2">
        <v>-16.93</v>
      </c>
      <c r="E849" s="2">
        <v>-11.61</v>
      </c>
      <c r="F849" s="2">
        <v>18.03</v>
      </c>
      <c r="G849" s="2">
        <v>-0.51</v>
      </c>
      <c r="H849" s="2">
        <v>8.8800000000000008</v>
      </c>
      <c r="I849" s="2">
        <v>34.54</v>
      </c>
      <c r="J849" s="2">
        <v>-11.48</v>
      </c>
      <c r="K849" s="2">
        <v>35.01</v>
      </c>
      <c r="L849" s="2">
        <v>-2.4300000000000002</v>
      </c>
      <c r="M849" s="2">
        <v>10.56</v>
      </c>
      <c r="N849" s="2">
        <v>32.340000000000003</v>
      </c>
      <c r="O849" s="2">
        <v>30.49</v>
      </c>
      <c r="P849" s="2">
        <v>46.75</v>
      </c>
      <c r="Q849" s="2">
        <v>-8.1300000000000008</v>
      </c>
      <c r="R849" s="2">
        <v>15.53</v>
      </c>
      <c r="S849" s="2">
        <v>22.06</v>
      </c>
      <c r="T849" s="2">
        <v>14.34</v>
      </c>
      <c r="U849" s="2">
        <v>8.42</v>
      </c>
      <c r="V849" s="2">
        <v>30.04</v>
      </c>
      <c r="W849" s="2">
        <v>4.88</v>
      </c>
      <c r="X849" s="2">
        <v>7.04</v>
      </c>
      <c r="Y849" s="2">
        <v>5.73</v>
      </c>
      <c r="Z849" s="2">
        <v>0.48</v>
      </c>
      <c r="AA849" s="2">
        <v>3.58</v>
      </c>
      <c r="AB849" s="2">
        <v>0.43</v>
      </c>
      <c r="AC849" s="2">
        <v>0</v>
      </c>
      <c r="AD849" s="2">
        <v>6.23</v>
      </c>
      <c r="AE849" s="2">
        <v>0</v>
      </c>
      <c r="AF849" s="2">
        <v>94.96</v>
      </c>
      <c r="AG849" s="2">
        <v>17.690000000000001</v>
      </c>
      <c r="AH849" s="4">
        <f t="shared" si="13"/>
        <v>270.68</v>
      </c>
    </row>
    <row r="850" spans="1:34" x14ac:dyDescent="0.2">
      <c r="A850" s="3">
        <v>33785</v>
      </c>
      <c r="B850" s="2">
        <v>-1.38</v>
      </c>
      <c r="C850" s="2">
        <v>20.49</v>
      </c>
      <c r="D850" s="2">
        <v>-7.26</v>
      </c>
      <c r="E850" s="2">
        <v>1.6</v>
      </c>
      <c r="F850" s="2">
        <v>17.239999999999998</v>
      </c>
      <c r="G850" s="2">
        <v>2.83</v>
      </c>
      <c r="H850" s="2">
        <v>15.38</v>
      </c>
      <c r="I850" s="2">
        <v>34.71</v>
      </c>
      <c r="J850" s="2">
        <v>-9.4</v>
      </c>
      <c r="K850" s="2">
        <v>59.16</v>
      </c>
      <c r="L850" s="2">
        <v>-3.21</v>
      </c>
      <c r="M850" s="2">
        <v>6.67</v>
      </c>
      <c r="N850" s="2">
        <v>34.92</v>
      </c>
      <c r="O850" s="2">
        <v>33.04</v>
      </c>
      <c r="P850" s="2">
        <v>88.11</v>
      </c>
      <c r="Q850" s="2">
        <v>6.28</v>
      </c>
      <c r="R850" s="2">
        <v>15.95</v>
      </c>
      <c r="S850" s="2">
        <v>24.48</v>
      </c>
      <c r="T850" s="2">
        <v>33.46</v>
      </c>
      <c r="U850" s="2">
        <v>20.43</v>
      </c>
      <c r="V850" s="2">
        <v>40.119999999999997</v>
      </c>
      <c r="W850" s="2">
        <v>18.62</v>
      </c>
      <c r="X850" s="2">
        <v>12.29</v>
      </c>
      <c r="Y850" s="2">
        <v>11.67</v>
      </c>
      <c r="Z850" s="2">
        <v>0</v>
      </c>
      <c r="AA850" s="2">
        <v>0</v>
      </c>
      <c r="AB850" s="2">
        <v>0.11</v>
      </c>
      <c r="AC850" s="2">
        <v>0</v>
      </c>
      <c r="AD850" s="2">
        <v>10.67</v>
      </c>
      <c r="AE850" s="2">
        <v>2.33</v>
      </c>
      <c r="AF850" s="2">
        <v>103.93</v>
      </c>
      <c r="AG850" s="2">
        <v>22.83</v>
      </c>
      <c r="AH850" s="4">
        <f t="shared" si="13"/>
        <v>433.61999999999995</v>
      </c>
    </row>
    <row r="851" spans="1:34" x14ac:dyDescent="0.2">
      <c r="A851" s="3">
        <v>33816</v>
      </c>
      <c r="B851" s="2">
        <v>-0.63</v>
      </c>
      <c r="C851" s="2">
        <v>18.149999999999999</v>
      </c>
      <c r="D851" s="2">
        <v>-1.73</v>
      </c>
      <c r="E851" s="2">
        <v>13.4</v>
      </c>
      <c r="F851" s="2">
        <v>30.59</v>
      </c>
      <c r="G851" s="2">
        <v>14.91</v>
      </c>
      <c r="H851" s="2">
        <v>17.55</v>
      </c>
      <c r="I851" s="2">
        <v>37.799999999999997</v>
      </c>
      <c r="J851" s="2">
        <v>-10.73</v>
      </c>
      <c r="K851" s="2">
        <v>59.9</v>
      </c>
      <c r="L851" s="2">
        <v>4.37</v>
      </c>
      <c r="M851" s="2">
        <v>12.28</v>
      </c>
      <c r="N851" s="2">
        <v>42.58</v>
      </c>
      <c r="O851" s="2">
        <v>70.599999999999994</v>
      </c>
      <c r="P851" s="2">
        <v>92.63</v>
      </c>
      <c r="Q851" s="2">
        <v>0.64</v>
      </c>
      <c r="R851" s="2">
        <v>10.97</v>
      </c>
      <c r="S851" s="2">
        <v>40.909999999999997</v>
      </c>
      <c r="T851" s="2">
        <v>32.17</v>
      </c>
      <c r="U851" s="2">
        <v>33.619999999999997</v>
      </c>
      <c r="V851" s="2">
        <v>50.79</v>
      </c>
      <c r="W851" s="2">
        <v>30.39</v>
      </c>
      <c r="X851" s="2">
        <v>17.43</v>
      </c>
      <c r="Y851" s="2">
        <v>17.190000000000001</v>
      </c>
      <c r="Z851" s="2">
        <v>0.28999999999999998</v>
      </c>
      <c r="AA851" s="2">
        <v>0</v>
      </c>
      <c r="AB851" s="2">
        <v>0.32</v>
      </c>
      <c r="AC851" s="2">
        <v>1.51</v>
      </c>
      <c r="AD851" s="2">
        <v>8.49</v>
      </c>
      <c r="AE851" s="2">
        <v>0</v>
      </c>
      <c r="AF851" s="2">
        <v>113.18</v>
      </c>
      <c r="AG851" s="2">
        <v>24.8</v>
      </c>
      <c r="AH851" s="4">
        <f t="shared" si="13"/>
        <v>570.76999999999987</v>
      </c>
    </row>
    <row r="852" spans="1:34" x14ac:dyDescent="0.2">
      <c r="A852" s="3">
        <v>33847</v>
      </c>
      <c r="B852" s="2">
        <v>-1.18</v>
      </c>
      <c r="C852" s="2">
        <v>21.91</v>
      </c>
      <c r="D852" s="2">
        <v>-1.69</v>
      </c>
      <c r="E852" s="2">
        <v>18.36</v>
      </c>
      <c r="F852" s="2">
        <v>24.26</v>
      </c>
      <c r="G852" s="2">
        <v>21.99</v>
      </c>
      <c r="H852" s="2">
        <v>17.670000000000002</v>
      </c>
      <c r="I852" s="2">
        <v>36.74</v>
      </c>
      <c r="J852" s="2">
        <v>-1.85</v>
      </c>
      <c r="K852" s="2">
        <v>56.04</v>
      </c>
      <c r="L852" s="2">
        <v>4.32</v>
      </c>
      <c r="M852" s="2">
        <v>10.58</v>
      </c>
      <c r="N852" s="2">
        <v>45.32</v>
      </c>
      <c r="O852" s="2">
        <v>77.67</v>
      </c>
      <c r="P852" s="2">
        <v>97.88</v>
      </c>
      <c r="Q852" s="2">
        <v>0.36</v>
      </c>
      <c r="R852" s="2">
        <v>9.99</v>
      </c>
      <c r="S852" s="2">
        <v>27.18</v>
      </c>
      <c r="T852" s="2">
        <v>34.36</v>
      </c>
      <c r="U852" s="2">
        <v>28.2</v>
      </c>
      <c r="V852" s="2">
        <v>56.51</v>
      </c>
      <c r="W852" s="2">
        <v>31.47</v>
      </c>
      <c r="X852" s="2">
        <v>19.73</v>
      </c>
      <c r="Y852" s="2">
        <v>19.62</v>
      </c>
      <c r="Z852" s="2">
        <v>2.4900000000000002</v>
      </c>
      <c r="AA852" s="2">
        <v>1.39</v>
      </c>
      <c r="AB852" s="2">
        <v>0</v>
      </c>
      <c r="AC852" s="2">
        <v>7.0000000000000007E-2</v>
      </c>
      <c r="AD852" s="2">
        <v>5.6</v>
      </c>
      <c r="AE852" s="2">
        <v>0.95</v>
      </c>
      <c r="AF852" s="2">
        <v>115.1</v>
      </c>
      <c r="AG852" s="2">
        <v>23.65</v>
      </c>
      <c r="AH852" s="4">
        <f t="shared" si="13"/>
        <v>584.62</v>
      </c>
    </row>
    <row r="853" spans="1:34" x14ac:dyDescent="0.2">
      <c r="A853" s="3">
        <v>33877</v>
      </c>
      <c r="B853" s="2">
        <v>-3.11</v>
      </c>
      <c r="C853" s="2">
        <v>19.91</v>
      </c>
      <c r="D853" s="2">
        <v>-5.0999999999999996</v>
      </c>
      <c r="E853" s="2">
        <v>4.26</v>
      </c>
      <c r="F853" s="2">
        <v>13.76</v>
      </c>
      <c r="G853" s="2">
        <v>12.34</v>
      </c>
      <c r="H853" s="2">
        <v>21.84</v>
      </c>
      <c r="I853" s="2">
        <v>39.49</v>
      </c>
      <c r="J853" s="2">
        <v>4.21</v>
      </c>
      <c r="K853" s="2">
        <v>-2.85</v>
      </c>
      <c r="L853" s="2">
        <v>6.71</v>
      </c>
      <c r="M853" s="2">
        <v>6.82</v>
      </c>
      <c r="N853" s="2">
        <v>27.44</v>
      </c>
      <c r="O853" s="2">
        <v>14.62</v>
      </c>
      <c r="P853" s="2">
        <v>27.94</v>
      </c>
      <c r="Q853" s="2">
        <v>6.33</v>
      </c>
      <c r="R853" s="2">
        <v>19.489999999999998</v>
      </c>
      <c r="S853" s="2">
        <v>-6.41</v>
      </c>
      <c r="T853" s="2">
        <v>8</v>
      </c>
      <c r="U853" s="2">
        <v>9.2899999999999991</v>
      </c>
      <c r="V853" s="2">
        <v>16.38</v>
      </c>
      <c r="W853" s="2">
        <v>26.1</v>
      </c>
      <c r="X853" s="2">
        <v>18.77</v>
      </c>
      <c r="Y853" s="2">
        <v>18.440000000000001</v>
      </c>
      <c r="Z853" s="2">
        <v>0</v>
      </c>
      <c r="AA853" s="2">
        <v>0</v>
      </c>
      <c r="AB853" s="2">
        <v>0</v>
      </c>
      <c r="AC853" s="2">
        <v>0.79</v>
      </c>
      <c r="AD853" s="2">
        <v>4.2699999999999996</v>
      </c>
      <c r="AE853" s="2">
        <v>0</v>
      </c>
      <c r="AF853" s="2">
        <v>107.21</v>
      </c>
      <c r="AG853" s="2">
        <v>20.170000000000002</v>
      </c>
      <c r="AH853" s="4">
        <f t="shared" si="13"/>
        <v>241.36</v>
      </c>
    </row>
    <row r="854" spans="1:34" x14ac:dyDescent="0.2">
      <c r="A854" s="3">
        <v>33908</v>
      </c>
      <c r="B854" s="2">
        <v>-3.68</v>
      </c>
      <c r="C854" s="2">
        <v>17.5</v>
      </c>
      <c r="D854" s="2">
        <v>-5.64</v>
      </c>
      <c r="E854" s="2">
        <v>-3.32</v>
      </c>
      <c r="F854" s="2">
        <v>11.2</v>
      </c>
      <c r="G854" s="2">
        <v>12.62</v>
      </c>
      <c r="H854" s="2">
        <v>15.26</v>
      </c>
      <c r="I854" s="2">
        <v>34.75</v>
      </c>
      <c r="J854" s="2">
        <v>13.25</v>
      </c>
      <c r="K854" s="2">
        <v>6.45</v>
      </c>
      <c r="L854" s="2">
        <v>7.01</v>
      </c>
      <c r="M854" s="2">
        <v>8.92</v>
      </c>
      <c r="N854" s="2">
        <v>20.260000000000002</v>
      </c>
      <c r="O854" s="2">
        <v>9.8800000000000008</v>
      </c>
      <c r="P854" s="2">
        <v>66.680000000000007</v>
      </c>
      <c r="Q854" s="2">
        <v>-2.4500000000000002</v>
      </c>
      <c r="R854" s="2">
        <v>7.89</v>
      </c>
      <c r="S854" s="2">
        <v>-12.37</v>
      </c>
      <c r="T854" s="2">
        <v>12.82</v>
      </c>
      <c r="U854" s="2">
        <v>1.41</v>
      </c>
      <c r="V854" s="2">
        <v>21.17</v>
      </c>
      <c r="W854" s="2">
        <v>22.19</v>
      </c>
      <c r="X854" s="2">
        <v>17.420000000000002</v>
      </c>
      <c r="Y854" s="2">
        <v>17.079999999999998</v>
      </c>
      <c r="Z854" s="2">
        <v>0</v>
      </c>
      <c r="AA854" s="2">
        <v>2.15</v>
      </c>
      <c r="AB854" s="2">
        <v>6.13</v>
      </c>
      <c r="AC854" s="2">
        <v>0</v>
      </c>
      <c r="AD854" s="2">
        <v>3.71</v>
      </c>
      <c r="AE854" s="2">
        <v>6.15</v>
      </c>
      <c r="AF854" s="2">
        <v>97.25</v>
      </c>
      <c r="AG854" s="2">
        <v>16.420000000000002</v>
      </c>
      <c r="AH854" s="4">
        <f t="shared" si="13"/>
        <v>239.61</v>
      </c>
    </row>
    <row r="855" spans="1:34" x14ac:dyDescent="0.2">
      <c r="A855" s="3">
        <v>33938</v>
      </c>
      <c r="B855" s="2">
        <v>-4.38</v>
      </c>
      <c r="C855" s="2">
        <v>12.18</v>
      </c>
      <c r="D855" s="2">
        <v>-7.63</v>
      </c>
      <c r="E855" s="2">
        <v>-10.06</v>
      </c>
      <c r="F855" s="2">
        <v>3.72</v>
      </c>
      <c r="G855" s="2">
        <v>-0.54</v>
      </c>
      <c r="H855" s="2">
        <v>11.63</v>
      </c>
      <c r="I855" s="2">
        <v>28.85</v>
      </c>
      <c r="J855" s="2">
        <v>12.51</v>
      </c>
      <c r="K855" s="2">
        <v>-0.2</v>
      </c>
      <c r="L855" s="2">
        <v>-0.49</v>
      </c>
      <c r="M855" s="2">
        <v>2.2000000000000002</v>
      </c>
      <c r="N855" s="2">
        <v>19.48</v>
      </c>
      <c r="O855" s="2">
        <v>15.83</v>
      </c>
      <c r="P855" s="2">
        <v>25.03</v>
      </c>
      <c r="Q855" s="2">
        <v>5.21</v>
      </c>
      <c r="R855" s="2">
        <v>12.19</v>
      </c>
      <c r="S855" s="2">
        <v>-4.33</v>
      </c>
      <c r="T855" s="2">
        <v>8.08</v>
      </c>
      <c r="U855" s="2">
        <v>5.3</v>
      </c>
      <c r="V855" s="2">
        <v>16.55</v>
      </c>
      <c r="W855" s="2">
        <v>15.43</v>
      </c>
      <c r="X855" s="2">
        <v>11.36</v>
      </c>
      <c r="Y855" s="2">
        <v>10.01</v>
      </c>
      <c r="Z855" s="2">
        <v>14.45</v>
      </c>
      <c r="AA855" s="2">
        <v>0</v>
      </c>
      <c r="AB855" s="2">
        <v>0</v>
      </c>
      <c r="AC855" s="2">
        <v>14.36</v>
      </c>
      <c r="AD855" s="2">
        <v>2.66</v>
      </c>
      <c r="AE855" s="2">
        <v>0.47</v>
      </c>
      <c r="AF855" s="2">
        <v>63.8</v>
      </c>
      <c r="AG855" s="2">
        <v>12.92</v>
      </c>
      <c r="AH855" s="4">
        <f t="shared" si="13"/>
        <v>151.13000000000002</v>
      </c>
    </row>
    <row r="856" spans="1:34" x14ac:dyDescent="0.2">
      <c r="A856" s="3">
        <v>33969</v>
      </c>
      <c r="B856" s="2">
        <v>-2.82</v>
      </c>
      <c r="C856" s="2">
        <v>25.55</v>
      </c>
      <c r="D856" s="2">
        <v>35.409999999999997</v>
      </c>
      <c r="E856" s="2">
        <v>90.06</v>
      </c>
      <c r="F856" s="2">
        <v>60.82</v>
      </c>
      <c r="G856" s="2">
        <v>90.28</v>
      </c>
      <c r="H856" s="2">
        <v>27.36</v>
      </c>
      <c r="I856" s="2">
        <v>40.450000000000003</v>
      </c>
      <c r="J856" s="2">
        <v>43.75</v>
      </c>
      <c r="K856" s="2">
        <v>32.369999999999997</v>
      </c>
      <c r="L856" s="2">
        <v>4.82</v>
      </c>
      <c r="M856" s="2">
        <v>17.28</v>
      </c>
      <c r="N856" s="2">
        <v>33.130000000000003</v>
      </c>
      <c r="O856" s="2">
        <v>13.52</v>
      </c>
      <c r="P856" s="2">
        <v>57.2</v>
      </c>
      <c r="Q856" s="2">
        <v>-3.61</v>
      </c>
      <c r="R856" s="2">
        <v>9.49</v>
      </c>
      <c r="S856" s="2">
        <v>15.6</v>
      </c>
      <c r="T856" s="2">
        <v>15.32</v>
      </c>
      <c r="U856" s="2">
        <v>5.6</v>
      </c>
      <c r="V856" s="2">
        <v>13.05</v>
      </c>
      <c r="W856" s="2">
        <v>11.73</v>
      </c>
      <c r="X856" s="2">
        <v>9.2100000000000009</v>
      </c>
      <c r="Y856" s="2">
        <v>9.07</v>
      </c>
      <c r="Z856" s="2">
        <v>2.06</v>
      </c>
      <c r="AA856" s="2">
        <v>13.76</v>
      </c>
      <c r="AB856" s="2">
        <v>3.01</v>
      </c>
      <c r="AC856" s="2">
        <v>2.23</v>
      </c>
      <c r="AD856" s="2">
        <v>2.54</v>
      </c>
      <c r="AE856" s="2">
        <v>42.04</v>
      </c>
      <c r="AF856" s="2">
        <v>58.62</v>
      </c>
      <c r="AG856" s="2">
        <v>11.2</v>
      </c>
      <c r="AH856" s="4">
        <f t="shared" si="13"/>
        <v>624.63</v>
      </c>
    </row>
    <row r="857" spans="1:34" x14ac:dyDescent="0.2">
      <c r="A857" s="3">
        <v>34000</v>
      </c>
      <c r="B857" s="2">
        <v>-3.35</v>
      </c>
      <c r="C857" s="2">
        <v>37.68</v>
      </c>
      <c r="D857" s="2">
        <v>72.11</v>
      </c>
      <c r="E857" s="2">
        <v>167.03</v>
      </c>
      <c r="F857" s="2">
        <v>107.99</v>
      </c>
      <c r="G857" s="2">
        <v>190.44</v>
      </c>
      <c r="H857" s="2">
        <v>36.5</v>
      </c>
      <c r="I857" s="2">
        <v>42.65</v>
      </c>
      <c r="J857" s="2">
        <v>132.22999999999999</v>
      </c>
      <c r="K857" s="2">
        <v>103.64</v>
      </c>
      <c r="L857" s="2">
        <v>25.42</v>
      </c>
      <c r="M857" s="2">
        <v>40.229999999999997</v>
      </c>
      <c r="N857" s="2">
        <v>73.260000000000005</v>
      </c>
      <c r="O857" s="2">
        <v>13.48</v>
      </c>
      <c r="P857" s="2">
        <v>150.63</v>
      </c>
      <c r="Q857" s="2">
        <v>-3.68</v>
      </c>
      <c r="R857" s="2">
        <v>9.61</v>
      </c>
      <c r="S857" s="2">
        <v>67.010000000000005</v>
      </c>
      <c r="T857" s="2">
        <v>38.07</v>
      </c>
      <c r="U857" s="2">
        <v>7.25</v>
      </c>
      <c r="V857" s="2">
        <v>31.99</v>
      </c>
      <c r="W857" s="2">
        <v>4.26</v>
      </c>
      <c r="X857" s="2">
        <v>22.2</v>
      </c>
      <c r="Y857" s="2">
        <v>21.03</v>
      </c>
      <c r="Z857" s="2">
        <v>35.89</v>
      </c>
      <c r="AA857" s="2">
        <v>59.93</v>
      </c>
      <c r="AB857" s="2">
        <v>15.61</v>
      </c>
      <c r="AC857" s="2">
        <v>14.71</v>
      </c>
      <c r="AD857" s="2">
        <v>2.46</v>
      </c>
      <c r="AE857" s="2">
        <v>65.069999999999993</v>
      </c>
      <c r="AF857" s="2">
        <v>61.67</v>
      </c>
      <c r="AG857" s="2">
        <v>9.8800000000000008</v>
      </c>
      <c r="AH857" s="4">
        <f t="shared" si="13"/>
        <v>1340.1899999999998</v>
      </c>
    </row>
    <row r="858" spans="1:34" x14ac:dyDescent="0.2">
      <c r="A858" s="3">
        <v>34028</v>
      </c>
      <c r="B858" s="2">
        <v>-3.5</v>
      </c>
      <c r="C858" s="2">
        <v>40.799999999999997</v>
      </c>
      <c r="D858" s="2">
        <v>25.32</v>
      </c>
      <c r="E858" s="2">
        <v>49.39</v>
      </c>
      <c r="F858" s="2">
        <v>44.74</v>
      </c>
      <c r="G858" s="2">
        <v>13.09</v>
      </c>
      <c r="H858" s="2">
        <v>22.48</v>
      </c>
      <c r="I858" s="2">
        <v>39.57</v>
      </c>
      <c r="J858" s="2">
        <v>63.41</v>
      </c>
      <c r="K858" s="2">
        <v>7.23</v>
      </c>
      <c r="L858" s="2">
        <v>-10.62</v>
      </c>
      <c r="M858" s="2">
        <v>-1.35</v>
      </c>
      <c r="N858" s="2">
        <v>23.93</v>
      </c>
      <c r="O858" s="2">
        <v>14.08</v>
      </c>
      <c r="P858" s="2">
        <v>92.08</v>
      </c>
      <c r="Q858" s="2">
        <v>0.52</v>
      </c>
      <c r="R858" s="2">
        <v>19.760000000000002</v>
      </c>
      <c r="S858" s="2">
        <v>28.33</v>
      </c>
      <c r="T858" s="2">
        <v>16.899999999999999</v>
      </c>
      <c r="U858" s="2">
        <v>9.67</v>
      </c>
      <c r="V858" s="2">
        <v>28.33</v>
      </c>
      <c r="W858" s="2">
        <v>0</v>
      </c>
      <c r="X858" s="2">
        <v>13.64</v>
      </c>
      <c r="Y858" s="2">
        <v>13.89</v>
      </c>
      <c r="Z858" s="2">
        <v>23.26</v>
      </c>
      <c r="AA858" s="2">
        <v>28.82</v>
      </c>
      <c r="AB858" s="2">
        <v>14.93</v>
      </c>
      <c r="AC858" s="2">
        <v>35.6</v>
      </c>
      <c r="AD858" s="2">
        <v>2.81</v>
      </c>
      <c r="AE858" s="2">
        <v>43.91</v>
      </c>
      <c r="AF858" s="2">
        <v>51.41</v>
      </c>
      <c r="AG858" s="2">
        <v>10.08</v>
      </c>
      <c r="AH858" s="4">
        <f t="shared" si="13"/>
        <v>524.15999999999985</v>
      </c>
    </row>
    <row r="859" spans="1:34" x14ac:dyDescent="0.2">
      <c r="A859" s="3">
        <v>34059</v>
      </c>
      <c r="B859" s="2">
        <v>14.43</v>
      </c>
      <c r="C859" s="2">
        <v>41.29</v>
      </c>
      <c r="D859" s="2">
        <v>-3.04</v>
      </c>
      <c r="E859" s="2">
        <v>70.989999999999995</v>
      </c>
      <c r="F859" s="2">
        <v>112.06</v>
      </c>
      <c r="G859" s="2">
        <v>16.37</v>
      </c>
      <c r="H859" s="2">
        <v>32.35</v>
      </c>
      <c r="I859" s="2">
        <v>50.11</v>
      </c>
      <c r="J859" s="2">
        <v>19.68</v>
      </c>
      <c r="K859" s="2">
        <v>-0.72</v>
      </c>
      <c r="L859" s="2">
        <v>-5.15</v>
      </c>
      <c r="M859" s="2">
        <v>1.99</v>
      </c>
      <c r="N859" s="2">
        <v>21.28</v>
      </c>
      <c r="O859" s="2">
        <v>16.940000000000001</v>
      </c>
      <c r="P859" s="2">
        <v>54.87</v>
      </c>
      <c r="Q859" s="2">
        <v>8.82</v>
      </c>
      <c r="R859" s="2">
        <v>25.02</v>
      </c>
      <c r="S859" s="2">
        <v>18.899999999999999</v>
      </c>
      <c r="T859" s="2">
        <v>22.23</v>
      </c>
      <c r="U859" s="2">
        <v>12.09</v>
      </c>
      <c r="V859" s="2">
        <v>28.85</v>
      </c>
      <c r="W859" s="2">
        <v>0</v>
      </c>
      <c r="X859" s="2">
        <v>16.39</v>
      </c>
      <c r="Y859" s="2">
        <v>15.57</v>
      </c>
      <c r="Z859" s="2">
        <v>4.74</v>
      </c>
      <c r="AA859" s="2">
        <v>1.74</v>
      </c>
      <c r="AB859" s="2">
        <v>2.33</v>
      </c>
      <c r="AC859" s="2">
        <v>18.09</v>
      </c>
      <c r="AD859" s="2">
        <v>4.57</v>
      </c>
      <c r="AE859" s="2">
        <v>26.2</v>
      </c>
      <c r="AF859" s="2">
        <v>60.66</v>
      </c>
      <c r="AG859" s="2">
        <v>10.69</v>
      </c>
      <c r="AH859" s="4">
        <f t="shared" si="13"/>
        <v>559.36</v>
      </c>
    </row>
    <row r="860" spans="1:34" x14ac:dyDescent="0.2">
      <c r="A860" s="3">
        <v>34089</v>
      </c>
      <c r="B860" s="2">
        <v>5.66</v>
      </c>
      <c r="C860" s="2">
        <v>29.07</v>
      </c>
      <c r="D860" s="2">
        <v>0.53</v>
      </c>
      <c r="E860" s="2">
        <v>-62.34</v>
      </c>
      <c r="F860" s="2">
        <v>-11.58</v>
      </c>
      <c r="G860" s="2">
        <v>-30.53</v>
      </c>
      <c r="H860" s="2">
        <v>6.33</v>
      </c>
      <c r="I860" s="2">
        <v>40.58</v>
      </c>
      <c r="J860" s="2">
        <v>-6.46</v>
      </c>
      <c r="K860" s="2">
        <v>-6.87</v>
      </c>
      <c r="L860" s="2">
        <v>19.010000000000002</v>
      </c>
      <c r="M860" s="2">
        <v>16.010000000000002</v>
      </c>
      <c r="N860" s="2">
        <v>39.19</v>
      </c>
      <c r="O860" s="2">
        <v>19.739999999999998</v>
      </c>
      <c r="P860" s="2">
        <v>28.6</v>
      </c>
      <c r="Q860" s="2">
        <v>17.22</v>
      </c>
      <c r="R860" s="2">
        <v>33.380000000000003</v>
      </c>
      <c r="S860" s="2">
        <v>-6.06</v>
      </c>
      <c r="T860" s="2">
        <v>11.49</v>
      </c>
      <c r="U860" s="2">
        <v>18.79</v>
      </c>
      <c r="V860" s="2">
        <v>47.53</v>
      </c>
      <c r="W860" s="2">
        <v>0</v>
      </c>
      <c r="X860" s="2">
        <v>20.190000000000001</v>
      </c>
      <c r="Y860" s="2">
        <v>19.71</v>
      </c>
      <c r="Z860" s="2">
        <v>0</v>
      </c>
      <c r="AA860" s="2">
        <v>0</v>
      </c>
      <c r="AB860" s="2">
        <v>0</v>
      </c>
      <c r="AC860" s="2">
        <v>1.65</v>
      </c>
      <c r="AD860" s="2">
        <v>6.5</v>
      </c>
      <c r="AE860" s="2">
        <v>5.03</v>
      </c>
      <c r="AF860" s="2">
        <v>75.06</v>
      </c>
      <c r="AG860" s="2">
        <v>14.64</v>
      </c>
      <c r="AH860" s="4">
        <f t="shared" si="13"/>
        <v>209.29</v>
      </c>
    </row>
    <row r="861" spans="1:34" x14ac:dyDescent="0.2">
      <c r="A861" s="3">
        <v>34120</v>
      </c>
      <c r="B861" s="2">
        <v>4.0199999999999996</v>
      </c>
      <c r="C861" s="2">
        <v>31.05</v>
      </c>
      <c r="D861" s="2">
        <v>-13.29</v>
      </c>
      <c r="E861" s="2">
        <v>-29.08</v>
      </c>
      <c r="F861" s="2">
        <v>-17.989999999999998</v>
      </c>
      <c r="G861" s="2">
        <v>-7.88</v>
      </c>
      <c r="H861" s="2">
        <v>10.06</v>
      </c>
      <c r="I861" s="2">
        <v>46.6</v>
      </c>
      <c r="J861" s="2">
        <v>-0.89</v>
      </c>
      <c r="K861" s="2">
        <v>12.14</v>
      </c>
      <c r="L861" s="2">
        <v>21.91</v>
      </c>
      <c r="M861" s="2">
        <v>8.2799999999999994</v>
      </c>
      <c r="N861" s="2">
        <v>24.46</v>
      </c>
      <c r="O861" s="2">
        <v>27.05</v>
      </c>
      <c r="P861" s="2">
        <v>87.11</v>
      </c>
      <c r="Q861" s="2">
        <v>15.35</v>
      </c>
      <c r="R861" s="2">
        <v>30.82</v>
      </c>
      <c r="S861" s="2">
        <v>-5.8</v>
      </c>
      <c r="T861" s="2">
        <v>13</v>
      </c>
      <c r="U861" s="2">
        <v>17.670000000000002</v>
      </c>
      <c r="V861" s="2">
        <v>61.89</v>
      </c>
      <c r="W861" s="2">
        <v>4.88</v>
      </c>
      <c r="X861" s="2">
        <v>25.15</v>
      </c>
      <c r="Y861" s="2">
        <v>24.01</v>
      </c>
      <c r="Z861" s="2">
        <v>0</v>
      </c>
      <c r="AA861" s="2">
        <v>0.52</v>
      </c>
      <c r="AB861" s="2">
        <v>0</v>
      </c>
      <c r="AC861" s="2">
        <v>0.72</v>
      </c>
      <c r="AD861" s="2">
        <v>11.69</v>
      </c>
      <c r="AE861" s="2">
        <v>4.38</v>
      </c>
      <c r="AF861" s="2">
        <v>84.77</v>
      </c>
      <c r="AG861" s="2">
        <v>17.690000000000001</v>
      </c>
      <c r="AH861" s="4">
        <f t="shared" si="13"/>
        <v>336.47999999999996</v>
      </c>
    </row>
    <row r="862" spans="1:34" x14ac:dyDescent="0.2">
      <c r="A862" s="3">
        <v>34150</v>
      </c>
      <c r="B862" s="2">
        <v>6.85</v>
      </c>
      <c r="C862" s="2">
        <v>31.45</v>
      </c>
      <c r="D862" s="2">
        <v>-2.89</v>
      </c>
      <c r="E862" s="2">
        <v>3.5</v>
      </c>
      <c r="F862" s="2">
        <v>9.1199999999999992</v>
      </c>
      <c r="G862" s="2">
        <v>-10.42</v>
      </c>
      <c r="H862" s="2">
        <v>17.38</v>
      </c>
      <c r="I862" s="2">
        <v>35.25</v>
      </c>
      <c r="J862" s="2">
        <v>-13.11</v>
      </c>
      <c r="K862" s="2">
        <v>50.88</v>
      </c>
      <c r="L862" s="2">
        <v>-5.05</v>
      </c>
      <c r="M862" s="2">
        <v>9.0299999999999994</v>
      </c>
      <c r="N862" s="2">
        <v>41.54</v>
      </c>
      <c r="O862" s="2">
        <v>32.909999999999997</v>
      </c>
      <c r="P862" s="2">
        <v>104.61</v>
      </c>
      <c r="Q862" s="2">
        <v>15.08</v>
      </c>
      <c r="R862" s="2">
        <v>38.5</v>
      </c>
      <c r="S862" s="2">
        <v>2.12</v>
      </c>
      <c r="T862" s="2">
        <v>23.18</v>
      </c>
      <c r="U862" s="2">
        <v>19.89</v>
      </c>
      <c r="V862" s="2">
        <v>66.099999999999994</v>
      </c>
      <c r="W862" s="2">
        <v>18.62</v>
      </c>
      <c r="X862" s="2">
        <v>32.11</v>
      </c>
      <c r="Y862" s="2">
        <v>31.71</v>
      </c>
      <c r="Z862" s="2">
        <v>1.77</v>
      </c>
      <c r="AA862" s="2">
        <v>0</v>
      </c>
      <c r="AB862" s="2">
        <v>0</v>
      </c>
      <c r="AC862" s="2">
        <v>0</v>
      </c>
      <c r="AD862" s="2">
        <v>10.27</v>
      </c>
      <c r="AE862" s="2">
        <v>5.03</v>
      </c>
      <c r="AF862" s="2">
        <v>92.77</v>
      </c>
      <c r="AG862" s="2">
        <v>22.83</v>
      </c>
      <c r="AH862" s="4">
        <f t="shared" si="13"/>
        <v>475.91999999999996</v>
      </c>
    </row>
    <row r="863" spans="1:34" x14ac:dyDescent="0.2">
      <c r="A863" s="3">
        <v>34181</v>
      </c>
      <c r="B863" s="2">
        <v>3.59</v>
      </c>
      <c r="C863" s="2">
        <v>24.55</v>
      </c>
      <c r="D863" s="2">
        <v>-12.09</v>
      </c>
      <c r="E863" s="2">
        <v>-8.9600000000000009</v>
      </c>
      <c r="F863" s="2">
        <v>11.66</v>
      </c>
      <c r="G863" s="2">
        <v>-2.88</v>
      </c>
      <c r="H863" s="2">
        <v>13.73</v>
      </c>
      <c r="I863" s="2">
        <v>39.21</v>
      </c>
      <c r="J863" s="2">
        <v>-15.4</v>
      </c>
      <c r="K863" s="2">
        <v>56.54</v>
      </c>
      <c r="L863" s="2">
        <v>-0.73</v>
      </c>
      <c r="M863" s="2">
        <v>11.43</v>
      </c>
      <c r="N863" s="2">
        <v>45.29</v>
      </c>
      <c r="O863" s="2">
        <v>36.03</v>
      </c>
      <c r="P863" s="2">
        <v>112.53</v>
      </c>
      <c r="Q863" s="2">
        <v>18.940000000000001</v>
      </c>
      <c r="R863" s="2">
        <v>38.28</v>
      </c>
      <c r="S863" s="2">
        <v>48.67</v>
      </c>
      <c r="T863" s="2">
        <v>35.619999999999997</v>
      </c>
      <c r="U863" s="2">
        <v>26.85</v>
      </c>
      <c r="V863" s="2">
        <v>51.53</v>
      </c>
      <c r="W863" s="2">
        <v>30.39</v>
      </c>
      <c r="X863" s="2">
        <v>39.01</v>
      </c>
      <c r="Y863" s="2">
        <v>38.97</v>
      </c>
      <c r="Z863" s="2">
        <v>0</v>
      </c>
      <c r="AA863" s="2">
        <v>0</v>
      </c>
      <c r="AB863" s="2">
        <v>0</v>
      </c>
      <c r="AC863" s="2">
        <v>0.43</v>
      </c>
      <c r="AD863" s="2">
        <v>7.74</v>
      </c>
      <c r="AE863" s="2">
        <v>0</v>
      </c>
      <c r="AF863" s="2">
        <v>101.03</v>
      </c>
      <c r="AG863" s="2">
        <v>24.8</v>
      </c>
      <c r="AH863" s="4">
        <f t="shared" si="13"/>
        <v>534.3900000000001</v>
      </c>
    </row>
    <row r="864" spans="1:34" x14ac:dyDescent="0.2">
      <c r="A864" s="3">
        <v>34212</v>
      </c>
      <c r="B864" s="2">
        <v>3.33</v>
      </c>
      <c r="C864" s="2">
        <v>27.32</v>
      </c>
      <c r="D864" s="2">
        <v>-8.68</v>
      </c>
      <c r="E864" s="2">
        <v>9.0500000000000007</v>
      </c>
      <c r="F864" s="2">
        <v>11.9</v>
      </c>
      <c r="G864" s="2">
        <v>4.2300000000000004</v>
      </c>
      <c r="H864" s="2">
        <v>18.510000000000002</v>
      </c>
      <c r="I864" s="2">
        <v>41.38</v>
      </c>
      <c r="J864" s="2">
        <v>2.08</v>
      </c>
      <c r="K864" s="2">
        <v>46.28</v>
      </c>
      <c r="L864" s="2">
        <v>4.2</v>
      </c>
      <c r="M864" s="2">
        <v>17.940000000000001</v>
      </c>
      <c r="N864" s="2">
        <v>40.93</v>
      </c>
      <c r="O864" s="2">
        <v>35.08</v>
      </c>
      <c r="P864" s="2">
        <v>92.06</v>
      </c>
      <c r="Q864" s="2">
        <v>12.67</v>
      </c>
      <c r="R864" s="2">
        <v>36.840000000000003</v>
      </c>
      <c r="S864" s="2">
        <v>-1.72</v>
      </c>
      <c r="T864" s="2">
        <v>41.85</v>
      </c>
      <c r="U864" s="2">
        <v>28.25</v>
      </c>
      <c r="V864" s="2">
        <v>43.73</v>
      </c>
      <c r="W864" s="2">
        <v>31.47</v>
      </c>
      <c r="X864" s="2">
        <v>41.67</v>
      </c>
      <c r="Y864" s="2">
        <v>41.78</v>
      </c>
      <c r="Z864" s="2">
        <v>0</v>
      </c>
      <c r="AA864" s="2">
        <v>5.4</v>
      </c>
      <c r="AB864" s="2">
        <v>0</v>
      </c>
      <c r="AC864" s="2">
        <v>3.73</v>
      </c>
      <c r="AD864" s="2">
        <v>6.44</v>
      </c>
      <c r="AE864" s="2">
        <v>0</v>
      </c>
      <c r="AF864" s="2">
        <v>102.75</v>
      </c>
      <c r="AG864" s="2">
        <v>23.65</v>
      </c>
      <c r="AH864" s="4">
        <f t="shared" si="13"/>
        <v>507.23</v>
      </c>
    </row>
    <row r="865" spans="1:34" x14ac:dyDescent="0.2">
      <c r="A865" s="3">
        <v>34242</v>
      </c>
      <c r="B865" s="2">
        <v>1.4</v>
      </c>
      <c r="C865" s="2">
        <v>27.81</v>
      </c>
      <c r="D865" s="2">
        <v>-2.21</v>
      </c>
      <c r="E865" s="2">
        <v>-8.7200000000000006</v>
      </c>
      <c r="F865" s="2">
        <v>-15.67</v>
      </c>
      <c r="G865" s="2">
        <v>1.44</v>
      </c>
      <c r="H865" s="2">
        <v>16.670000000000002</v>
      </c>
      <c r="I865" s="2">
        <v>44.02</v>
      </c>
      <c r="J865" s="2">
        <v>9.6</v>
      </c>
      <c r="K865" s="2">
        <v>5.85</v>
      </c>
      <c r="L865" s="2">
        <v>4.95</v>
      </c>
      <c r="M865" s="2">
        <v>18.100000000000001</v>
      </c>
      <c r="N865" s="2">
        <v>34.22</v>
      </c>
      <c r="O865" s="2">
        <v>21.95</v>
      </c>
      <c r="P865" s="2">
        <v>47.48</v>
      </c>
      <c r="Q865" s="2">
        <v>16.399999999999999</v>
      </c>
      <c r="R865" s="2">
        <v>33.56</v>
      </c>
      <c r="S865" s="2">
        <v>34.61</v>
      </c>
      <c r="T865" s="2">
        <v>11.1</v>
      </c>
      <c r="U865" s="2">
        <v>15.68</v>
      </c>
      <c r="V865" s="2">
        <v>24.86</v>
      </c>
      <c r="W865" s="2">
        <v>26.1</v>
      </c>
      <c r="X865" s="2">
        <v>39.18</v>
      </c>
      <c r="Y865" s="2">
        <v>39.07</v>
      </c>
      <c r="Z865" s="2">
        <v>0</v>
      </c>
      <c r="AA865" s="2">
        <v>0</v>
      </c>
      <c r="AB865" s="2">
        <v>0</v>
      </c>
      <c r="AC865" s="2">
        <v>0</v>
      </c>
      <c r="AD865" s="2">
        <v>4.79</v>
      </c>
      <c r="AE865" s="2">
        <v>0</v>
      </c>
      <c r="AF865" s="2">
        <v>95.7</v>
      </c>
      <c r="AG865" s="2">
        <v>20.170000000000002</v>
      </c>
      <c r="AH865" s="4">
        <f t="shared" si="13"/>
        <v>343.1</v>
      </c>
    </row>
    <row r="866" spans="1:34" x14ac:dyDescent="0.2">
      <c r="A866" s="3">
        <v>34273</v>
      </c>
      <c r="B866" s="2">
        <v>0.11</v>
      </c>
      <c r="C866" s="2">
        <v>22.36</v>
      </c>
      <c r="D866" s="2">
        <v>-4.91</v>
      </c>
      <c r="E866" s="2">
        <v>-15.83</v>
      </c>
      <c r="F866" s="2">
        <v>6.95</v>
      </c>
      <c r="G866" s="2">
        <v>0.41</v>
      </c>
      <c r="H866" s="2">
        <v>16.27</v>
      </c>
      <c r="I866" s="2">
        <v>45.1</v>
      </c>
      <c r="J866" s="2">
        <v>6.31</v>
      </c>
      <c r="K866" s="2">
        <v>3.72</v>
      </c>
      <c r="L866" s="2">
        <v>11.68</v>
      </c>
      <c r="M866" s="2">
        <v>5.46</v>
      </c>
      <c r="N866" s="2">
        <v>34.89</v>
      </c>
      <c r="O866" s="2">
        <v>14.67</v>
      </c>
      <c r="P866" s="2">
        <v>69.63</v>
      </c>
      <c r="Q866" s="2">
        <v>8.74</v>
      </c>
      <c r="R866" s="2">
        <v>16.98</v>
      </c>
      <c r="S866" s="2">
        <v>10.48</v>
      </c>
      <c r="T866" s="2">
        <v>17.8</v>
      </c>
      <c r="U866" s="2">
        <v>7.32</v>
      </c>
      <c r="V866" s="2">
        <v>24.93</v>
      </c>
      <c r="W866" s="2">
        <v>22.19</v>
      </c>
      <c r="X866" s="2">
        <v>17.28</v>
      </c>
      <c r="Y866" s="2">
        <v>17.190000000000001</v>
      </c>
      <c r="Z866" s="2">
        <v>3.52</v>
      </c>
      <c r="AA866" s="2">
        <v>3.62</v>
      </c>
      <c r="AB866" s="2">
        <v>1.35</v>
      </c>
      <c r="AC866" s="2">
        <v>2.92</v>
      </c>
      <c r="AD866" s="2">
        <v>3.53</v>
      </c>
      <c r="AE866" s="2">
        <v>20.7</v>
      </c>
      <c r="AF866" s="2">
        <v>97.96</v>
      </c>
      <c r="AG866" s="2">
        <v>16.420000000000002</v>
      </c>
      <c r="AH866" s="4">
        <f t="shared" si="13"/>
        <v>303.07</v>
      </c>
    </row>
    <row r="867" spans="1:34" x14ac:dyDescent="0.2">
      <c r="A867" s="3">
        <v>34303</v>
      </c>
      <c r="B867" s="2">
        <v>-1.43</v>
      </c>
      <c r="C867" s="2">
        <v>21.57</v>
      </c>
      <c r="D867" s="2">
        <v>-1.18</v>
      </c>
      <c r="E867" s="2">
        <v>-7.97</v>
      </c>
      <c r="F867" s="2">
        <v>7.46</v>
      </c>
      <c r="G867" s="2">
        <v>9.1199999999999992</v>
      </c>
      <c r="H867" s="2">
        <v>15.41</v>
      </c>
      <c r="I867" s="2">
        <v>41.95</v>
      </c>
      <c r="J867" s="2">
        <v>4.67</v>
      </c>
      <c r="K867" s="2">
        <v>-0.6</v>
      </c>
      <c r="L867" s="2">
        <v>-13.04</v>
      </c>
      <c r="M867" s="2">
        <v>-9.0399999999999991</v>
      </c>
      <c r="N867" s="2">
        <v>20.100000000000001</v>
      </c>
      <c r="O867" s="2">
        <v>20.99</v>
      </c>
      <c r="P867" s="2">
        <v>30.72</v>
      </c>
      <c r="Q867" s="2">
        <v>6.97</v>
      </c>
      <c r="R867" s="2">
        <v>15.86</v>
      </c>
      <c r="S867" s="2">
        <v>19.489999999999998</v>
      </c>
      <c r="T867" s="2">
        <v>18.100000000000001</v>
      </c>
      <c r="U867" s="2">
        <v>10.1</v>
      </c>
      <c r="V867" s="2">
        <v>16.010000000000002</v>
      </c>
      <c r="W867" s="2">
        <v>15.43</v>
      </c>
      <c r="X867" s="2">
        <v>11.34</v>
      </c>
      <c r="Y867" s="2">
        <v>10.15</v>
      </c>
      <c r="Z867" s="2">
        <v>6.05</v>
      </c>
      <c r="AA867" s="2">
        <v>4.22</v>
      </c>
      <c r="AB867" s="2">
        <v>2.67</v>
      </c>
      <c r="AC867" s="2">
        <v>6.49</v>
      </c>
      <c r="AD867" s="2">
        <v>2.39</v>
      </c>
      <c r="AE867" s="2">
        <v>26.01</v>
      </c>
      <c r="AF867" s="2">
        <v>64.510000000000005</v>
      </c>
      <c r="AG867" s="2">
        <v>12.92</v>
      </c>
      <c r="AH867" s="4">
        <f t="shared" si="13"/>
        <v>225.26</v>
      </c>
    </row>
    <row r="868" spans="1:34" x14ac:dyDescent="0.2">
      <c r="A868" s="3">
        <v>34334</v>
      </c>
      <c r="B868" s="2">
        <v>-0.28000000000000003</v>
      </c>
      <c r="C868" s="2">
        <v>23.98</v>
      </c>
      <c r="D868" s="2">
        <v>11.58</v>
      </c>
      <c r="E868" s="2">
        <v>30.73</v>
      </c>
      <c r="F868" s="2">
        <v>45.79</v>
      </c>
      <c r="G868" s="2">
        <v>23.3</v>
      </c>
      <c r="H868" s="2">
        <v>22.78</v>
      </c>
      <c r="I868" s="2">
        <v>43.04</v>
      </c>
      <c r="J868" s="2">
        <v>9.26</v>
      </c>
      <c r="K868" s="2">
        <v>5.4</v>
      </c>
      <c r="L868" s="2">
        <v>-3.76</v>
      </c>
      <c r="M868" s="2">
        <v>-1.05</v>
      </c>
      <c r="N868" s="2">
        <v>18.04</v>
      </c>
      <c r="O868" s="2">
        <v>21.84</v>
      </c>
      <c r="P868" s="2">
        <v>30.26</v>
      </c>
      <c r="Q868" s="2">
        <v>5.71</v>
      </c>
      <c r="R868" s="2">
        <v>14.43</v>
      </c>
      <c r="S868" s="2">
        <v>15.57</v>
      </c>
      <c r="T868" s="2">
        <v>19.97</v>
      </c>
      <c r="U868" s="2">
        <v>10.89</v>
      </c>
      <c r="V868" s="2">
        <v>12.53</v>
      </c>
      <c r="W868" s="2">
        <v>11.73</v>
      </c>
      <c r="X868" s="2">
        <v>9.19</v>
      </c>
      <c r="Y868" s="2">
        <v>9.26</v>
      </c>
      <c r="Z868" s="2">
        <v>3.42</v>
      </c>
      <c r="AA868" s="2">
        <v>8.99</v>
      </c>
      <c r="AB868" s="2">
        <v>4.7</v>
      </c>
      <c r="AC868" s="2">
        <v>6.5</v>
      </c>
      <c r="AD868" s="2">
        <v>2.38</v>
      </c>
      <c r="AE868" s="2">
        <v>24.89</v>
      </c>
      <c r="AF868" s="2">
        <v>59.46</v>
      </c>
      <c r="AG868" s="2">
        <v>11.2</v>
      </c>
      <c r="AH868" s="4">
        <f t="shared" si="13"/>
        <v>360.01</v>
      </c>
    </row>
    <row r="869" spans="1:34" x14ac:dyDescent="0.2">
      <c r="A869" s="3">
        <v>34365</v>
      </c>
      <c r="B869" s="2">
        <v>-8.3800000000000008</v>
      </c>
      <c r="C869" s="2">
        <v>18.68</v>
      </c>
      <c r="D869" s="2">
        <v>2.91</v>
      </c>
      <c r="E869" s="2">
        <v>-0.56999999999999995</v>
      </c>
      <c r="F869" s="2">
        <v>-5.56</v>
      </c>
      <c r="G869" s="2">
        <v>13.95</v>
      </c>
      <c r="H869" s="2">
        <v>9.2100000000000009</v>
      </c>
      <c r="I869" s="2">
        <v>37.19</v>
      </c>
      <c r="J869" s="2">
        <v>12.25</v>
      </c>
      <c r="K869" s="2">
        <v>14.44</v>
      </c>
      <c r="L869" s="2">
        <v>1.96</v>
      </c>
      <c r="M869" s="2">
        <v>3.24</v>
      </c>
      <c r="N869" s="2">
        <v>22.84</v>
      </c>
      <c r="O869" s="2">
        <v>16.329999999999998</v>
      </c>
      <c r="P869" s="2">
        <v>31.99</v>
      </c>
      <c r="Q869" s="2">
        <v>2.9</v>
      </c>
      <c r="R869" s="2">
        <v>14.43</v>
      </c>
      <c r="S869" s="2">
        <v>12.98</v>
      </c>
      <c r="T869" s="2">
        <v>14.04</v>
      </c>
      <c r="U869" s="2">
        <v>9.5299999999999994</v>
      </c>
      <c r="V869" s="2">
        <v>13.06</v>
      </c>
      <c r="W869" s="2">
        <v>4.26</v>
      </c>
      <c r="X869" s="2">
        <v>9.2200000000000006</v>
      </c>
      <c r="Y869" s="2">
        <v>8.16</v>
      </c>
      <c r="Z869" s="2">
        <v>6.79</v>
      </c>
      <c r="AA869" s="2">
        <v>7.78</v>
      </c>
      <c r="AB869" s="2">
        <v>4.63</v>
      </c>
      <c r="AC869" s="2">
        <v>9.49</v>
      </c>
      <c r="AD869" s="2">
        <v>2.31</v>
      </c>
      <c r="AE869" s="2">
        <v>23.4</v>
      </c>
      <c r="AF869" s="2">
        <v>69.790000000000006</v>
      </c>
      <c r="AG869" s="2">
        <v>9.8800000000000008</v>
      </c>
      <c r="AH869" s="4">
        <f t="shared" si="13"/>
        <v>237.42</v>
      </c>
    </row>
    <row r="870" spans="1:34" x14ac:dyDescent="0.2">
      <c r="A870" s="3">
        <v>34393</v>
      </c>
      <c r="B870" s="2">
        <v>-5.49</v>
      </c>
      <c r="C870" s="2">
        <v>24.52</v>
      </c>
      <c r="D870" s="2">
        <v>16.48</v>
      </c>
      <c r="E870" s="2">
        <v>36.03</v>
      </c>
      <c r="F870" s="2">
        <v>22.22</v>
      </c>
      <c r="G870" s="2">
        <v>42.49</v>
      </c>
      <c r="H870" s="2">
        <v>14.84</v>
      </c>
      <c r="I870" s="2">
        <v>39.020000000000003</v>
      </c>
      <c r="J870" s="2">
        <v>33.15</v>
      </c>
      <c r="K870" s="2">
        <v>33.65</v>
      </c>
      <c r="L870" s="2">
        <v>-2.2200000000000002</v>
      </c>
      <c r="M870" s="2">
        <v>3.23</v>
      </c>
      <c r="N870" s="2">
        <v>36.6</v>
      </c>
      <c r="O870" s="2">
        <v>18.36</v>
      </c>
      <c r="P870" s="2">
        <v>54.7</v>
      </c>
      <c r="Q870" s="2">
        <v>1.24</v>
      </c>
      <c r="R870" s="2">
        <v>13.38</v>
      </c>
      <c r="S870" s="2">
        <v>34.93</v>
      </c>
      <c r="T870" s="2">
        <v>22.96</v>
      </c>
      <c r="U870" s="2">
        <v>9.0299999999999994</v>
      </c>
      <c r="V870" s="2">
        <v>10.73</v>
      </c>
      <c r="W870" s="2">
        <v>0</v>
      </c>
      <c r="X870" s="2">
        <v>3.3</v>
      </c>
      <c r="Y870" s="2">
        <v>3.38</v>
      </c>
      <c r="Z870" s="2">
        <v>6.93</v>
      </c>
      <c r="AA870" s="2">
        <v>7.35</v>
      </c>
      <c r="AB870" s="2">
        <v>4.6399999999999997</v>
      </c>
      <c r="AC870" s="2">
        <v>9.07</v>
      </c>
      <c r="AD870" s="2">
        <v>2.6</v>
      </c>
      <c r="AE870" s="2">
        <v>7.64</v>
      </c>
      <c r="AF870" s="2">
        <v>58.18</v>
      </c>
      <c r="AG870" s="2">
        <v>10.08</v>
      </c>
      <c r="AH870" s="4">
        <f t="shared" si="13"/>
        <v>459.85</v>
      </c>
    </row>
    <row r="871" spans="1:34" x14ac:dyDescent="0.2">
      <c r="A871" s="3">
        <v>34424</v>
      </c>
      <c r="B871" s="2">
        <v>0.23</v>
      </c>
      <c r="C871" s="2">
        <v>16.760000000000002</v>
      </c>
      <c r="D871" s="2">
        <v>-13.37</v>
      </c>
      <c r="E871" s="2">
        <v>-30.33</v>
      </c>
      <c r="F871" s="2">
        <v>-0.96</v>
      </c>
      <c r="G871" s="2">
        <v>-18.84</v>
      </c>
      <c r="H871" s="2">
        <v>10.3</v>
      </c>
      <c r="I871" s="2">
        <v>39.56</v>
      </c>
      <c r="J871" s="2">
        <v>2.9</v>
      </c>
      <c r="K871" s="2">
        <v>-0.48</v>
      </c>
      <c r="L871" s="2">
        <v>18.78</v>
      </c>
      <c r="M871" s="2">
        <v>3.13</v>
      </c>
      <c r="N871" s="2">
        <v>26.18</v>
      </c>
      <c r="O871" s="2">
        <v>21.73</v>
      </c>
      <c r="P871" s="2">
        <v>45.8</v>
      </c>
      <c r="Q871" s="2">
        <v>4.62</v>
      </c>
      <c r="R871" s="2">
        <v>8.8800000000000008</v>
      </c>
      <c r="S871" s="2">
        <v>7.19</v>
      </c>
      <c r="T871" s="2">
        <v>23.87</v>
      </c>
      <c r="U871" s="2">
        <v>8</v>
      </c>
      <c r="V871" s="2">
        <v>17.48</v>
      </c>
      <c r="W871" s="2">
        <v>0</v>
      </c>
      <c r="X871" s="2">
        <v>4.1399999999999997</v>
      </c>
      <c r="Y871" s="2">
        <v>3.38</v>
      </c>
      <c r="Z871" s="2">
        <v>5.85</v>
      </c>
      <c r="AA871" s="2">
        <v>5.0199999999999996</v>
      </c>
      <c r="AB871" s="2">
        <v>2.14</v>
      </c>
      <c r="AC871" s="2">
        <v>9.06</v>
      </c>
      <c r="AD871" s="2">
        <v>4.34</v>
      </c>
      <c r="AE871" s="2">
        <v>30.76</v>
      </c>
      <c r="AF871" s="2">
        <v>68.66</v>
      </c>
      <c r="AG871" s="2">
        <v>10.69</v>
      </c>
      <c r="AH871" s="4">
        <f t="shared" si="13"/>
        <v>191.43</v>
      </c>
    </row>
    <row r="872" spans="1:34" x14ac:dyDescent="0.2">
      <c r="A872" s="3">
        <v>34454</v>
      </c>
      <c r="B872" s="2">
        <v>1.23</v>
      </c>
      <c r="C872" s="2">
        <v>20.47</v>
      </c>
      <c r="D872" s="2">
        <v>22.24</v>
      </c>
      <c r="E872" s="2">
        <v>2.83</v>
      </c>
      <c r="F872" s="2">
        <v>35.85</v>
      </c>
      <c r="G872" s="2">
        <v>-8.9600000000000009</v>
      </c>
      <c r="H872" s="2">
        <v>15.43</v>
      </c>
      <c r="I872" s="2">
        <v>43.98</v>
      </c>
      <c r="J872" s="2">
        <v>2.67</v>
      </c>
      <c r="K872" s="2">
        <v>0.45</v>
      </c>
      <c r="L872" s="2">
        <v>1.75</v>
      </c>
      <c r="M872" s="2">
        <v>11.14</v>
      </c>
      <c r="N872" s="2">
        <v>23.61</v>
      </c>
      <c r="O872" s="2">
        <v>22.26</v>
      </c>
      <c r="P872" s="2">
        <v>28.83</v>
      </c>
      <c r="Q872" s="2">
        <v>3.86</v>
      </c>
      <c r="R872" s="2">
        <v>19.12</v>
      </c>
      <c r="S872" s="2">
        <v>15.14</v>
      </c>
      <c r="T872" s="2">
        <v>14</v>
      </c>
      <c r="U872" s="2">
        <v>16.510000000000002</v>
      </c>
      <c r="V872" s="2">
        <v>12.83</v>
      </c>
      <c r="W872" s="2">
        <v>0</v>
      </c>
      <c r="X872" s="2">
        <v>5.05</v>
      </c>
      <c r="Y872" s="2">
        <v>4.53</v>
      </c>
      <c r="Z872" s="2">
        <v>2.56</v>
      </c>
      <c r="AA872" s="2">
        <v>1.65</v>
      </c>
      <c r="AB872" s="2">
        <v>1.36</v>
      </c>
      <c r="AC872" s="2">
        <v>3.31</v>
      </c>
      <c r="AD872" s="2">
        <v>5.27</v>
      </c>
      <c r="AE872" s="2">
        <v>16.13</v>
      </c>
      <c r="AF872" s="2">
        <v>84.95</v>
      </c>
      <c r="AG872" s="2">
        <v>14.64</v>
      </c>
      <c r="AH872" s="4">
        <f t="shared" si="13"/>
        <v>305.23999999999995</v>
      </c>
    </row>
    <row r="873" spans="1:34" x14ac:dyDescent="0.2">
      <c r="A873" s="3">
        <v>34485</v>
      </c>
      <c r="B873" s="2">
        <v>3.07</v>
      </c>
      <c r="C873" s="2">
        <v>20.3</v>
      </c>
      <c r="D873" s="2">
        <v>2.57</v>
      </c>
      <c r="E873" s="2">
        <v>22.2</v>
      </c>
      <c r="F873" s="2">
        <v>13.49</v>
      </c>
      <c r="G873" s="2">
        <v>10.5</v>
      </c>
      <c r="H873" s="2">
        <v>17.149999999999999</v>
      </c>
      <c r="I873" s="2">
        <v>37.6</v>
      </c>
      <c r="J873" s="2">
        <v>-0.72</v>
      </c>
      <c r="K873" s="2">
        <v>19.239999999999998</v>
      </c>
      <c r="L873" s="2">
        <v>-1</v>
      </c>
      <c r="M873" s="2">
        <v>8.1199999999999992</v>
      </c>
      <c r="N873" s="2">
        <v>32.29</v>
      </c>
      <c r="O873" s="2">
        <v>21.59</v>
      </c>
      <c r="P873" s="2">
        <v>52.99</v>
      </c>
      <c r="Q873" s="2">
        <v>-4.67</v>
      </c>
      <c r="R873" s="2">
        <v>13.74</v>
      </c>
      <c r="S873" s="2">
        <v>6.04</v>
      </c>
      <c r="T873" s="2">
        <v>15.12</v>
      </c>
      <c r="U873" s="2">
        <v>12.86</v>
      </c>
      <c r="V873" s="2">
        <v>23.96</v>
      </c>
      <c r="W873" s="2">
        <v>4.88</v>
      </c>
      <c r="X873" s="2">
        <v>7.83</v>
      </c>
      <c r="Y873" s="2">
        <v>6.62</v>
      </c>
      <c r="Z873" s="2">
        <v>0.64</v>
      </c>
      <c r="AA873" s="2">
        <v>0.79</v>
      </c>
      <c r="AB873" s="2">
        <v>0.76</v>
      </c>
      <c r="AC873" s="2">
        <v>1.2</v>
      </c>
      <c r="AD873" s="2">
        <v>7.51</v>
      </c>
      <c r="AE873" s="2">
        <v>0</v>
      </c>
      <c r="AF873" s="2">
        <v>95.94</v>
      </c>
      <c r="AG873" s="2">
        <v>17.690000000000001</v>
      </c>
      <c r="AH873" s="4">
        <f t="shared" si="13"/>
        <v>326.44</v>
      </c>
    </row>
    <row r="874" spans="1:34" x14ac:dyDescent="0.2">
      <c r="A874" s="3">
        <v>34515</v>
      </c>
      <c r="B874" s="2">
        <v>3.72</v>
      </c>
      <c r="C874" s="2">
        <v>19.329999999999998</v>
      </c>
      <c r="D874" s="2">
        <v>6.96</v>
      </c>
      <c r="E874" s="2">
        <v>21.99</v>
      </c>
      <c r="F874" s="2">
        <v>31.73</v>
      </c>
      <c r="G874" s="2">
        <v>-1.67</v>
      </c>
      <c r="H874" s="2">
        <v>20.55</v>
      </c>
      <c r="I874" s="2">
        <v>36.46</v>
      </c>
      <c r="J874" s="2">
        <v>-7.81</v>
      </c>
      <c r="K874" s="2">
        <v>52.51</v>
      </c>
      <c r="L874" s="2">
        <v>1.04</v>
      </c>
      <c r="M874" s="2">
        <v>6.69</v>
      </c>
      <c r="N874" s="2">
        <v>43.42</v>
      </c>
      <c r="O874" s="2">
        <v>34.700000000000003</v>
      </c>
      <c r="P874" s="2">
        <v>99.66</v>
      </c>
      <c r="Q874" s="2">
        <v>7.01</v>
      </c>
      <c r="R874" s="2">
        <v>20.53</v>
      </c>
      <c r="S874" s="2">
        <v>4.21</v>
      </c>
      <c r="T874" s="2">
        <v>38.520000000000003</v>
      </c>
      <c r="U874" s="2">
        <v>17.87</v>
      </c>
      <c r="V874" s="2">
        <v>42.13</v>
      </c>
      <c r="W874" s="2">
        <v>18.62</v>
      </c>
      <c r="X874" s="2">
        <v>12.83</v>
      </c>
      <c r="Y874" s="2">
        <v>12.29</v>
      </c>
      <c r="Z874" s="2">
        <v>0.21</v>
      </c>
      <c r="AA874" s="2">
        <v>0.28000000000000003</v>
      </c>
      <c r="AB874" s="2">
        <v>0.42</v>
      </c>
      <c r="AC874" s="2">
        <v>0.74</v>
      </c>
      <c r="AD874" s="2">
        <v>9.58</v>
      </c>
      <c r="AE874" s="2">
        <v>0.75</v>
      </c>
      <c r="AF874" s="2">
        <v>105</v>
      </c>
      <c r="AG874" s="2">
        <v>22.83</v>
      </c>
      <c r="AH874" s="4">
        <f t="shared" si="13"/>
        <v>499.5499999999999</v>
      </c>
    </row>
    <row r="875" spans="1:34" x14ac:dyDescent="0.2">
      <c r="A875" s="3">
        <v>34546</v>
      </c>
      <c r="B875" s="2">
        <v>4.75</v>
      </c>
      <c r="C875" s="2">
        <v>22.74</v>
      </c>
      <c r="D875" s="2">
        <v>15.63</v>
      </c>
      <c r="E875" s="2">
        <v>45.18</v>
      </c>
      <c r="F875" s="2">
        <v>42.96</v>
      </c>
      <c r="G875" s="2">
        <v>15.76</v>
      </c>
      <c r="H875" s="2">
        <v>25.45</v>
      </c>
      <c r="I875" s="2">
        <v>40.909999999999997</v>
      </c>
      <c r="J875" s="2">
        <v>-6.57</v>
      </c>
      <c r="K875" s="2">
        <v>52.65</v>
      </c>
      <c r="L875" s="2">
        <v>9.9</v>
      </c>
      <c r="M875" s="2">
        <v>14.28</v>
      </c>
      <c r="N875" s="2">
        <v>45.62</v>
      </c>
      <c r="O875" s="2">
        <v>46.05</v>
      </c>
      <c r="P875" s="2">
        <v>105.23</v>
      </c>
      <c r="Q875" s="2">
        <v>3.58</v>
      </c>
      <c r="R875" s="2">
        <v>22.44</v>
      </c>
      <c r="S875" s="2">
        <v>18.260000000000002</v>
      </c>
      <c r="T875" s="2">
        <v>42.22</v>
      </c>
      <c r="U875" s="2">
        <v>28.42</v>
      </c>
      <c r="V875" s="2">
        <v>43.16</v>
      </c>
      <c r="W875" s="2">
        <v>30.39</v>
      </c>
      <c r="X875" s="2">
        <v>17.78</v>
      </c>
      <c r="Y875" s="2">
        <v>17.73</v>
      </c>
      <c r="Z875" s="2">
        <v>0.19</v>
      </c>
      <c r="AA875" s="2">
        <v>2.17</v>
      </c>
      <c r="AB875" s="2">
        <v>0.64</v>
      </c>
      <c r="AC875" s="2">
        <v>2.02</v>
      </c>
      <c r="AD875" s="2">
        <v>8.5399999999999991</v>
      </c>
      <c r="AE875" s="2">
        <v>1.68</v>
      </c>
      <c r="AF875" s="2">
        <v>114.35</v>
      </c>
      <c r="AG875" s="2">
        <v>24.8</v>
      </c>
      <c r="AH875" s="4">
        <f t="shared" si="13"/>
        <v>638.61999999999989</v>
      </c>
    </row>
    <row r="876" spans="1:34" x14ac:dyDescent="0.2">
      <c r="A876" s="3">
        <v>34577</v>
      </c>
      <c r="B876" s="2">
        <v>3.94</v>
      </c>
      <c r="C876" s="2">
        <v>21.94</v>
      </c>
      <c r="D876" s="2">
        <v>7.51</v>
      </c>
      <c r="E876" s="2">
        <v>34.35</v>
      </c>
      <c r="F876" s="2">
        <v>26.73</v>
      </c>
      <c r="G876" s="2">
        <v>11.52</v>
      </c>
      <c r="H876" s="2">
        <v>21.97</v>
      </c>
      <c r="I876" s="2">
        <v>37.869999999999997</v>
      </c>
      <c r="J876" s="2">
        <v>0.97</v>
      </c>
      <c r="K876" s="2">
        <v>51.82</v>
      </c>
      <c r="L876" s="2">
        <v>6.29</v>
      </c>
      <c r="M876" s="2">
        <v>11.26</v>
      </c>
      <c r="N876" s="2">
        <v>39.159999999999997</v>
      </c>
      <c r="O876" s="2">
        <v>54.3</v>
      </c>
      <c r="P876" s="2">
        <v>102.84</v>
      </c>
      <c r="Q876" s="2">
        <v>5.09</v>
      </c>
      <c r="R876" s="2">
        <v>16.739999999999998</v>
      </c>
      <c r="S876" s="2">
        <v>19.29</v>
      </c>
      <c r="T876" s="2">
        <v>43.42</v>
      </c>
      <c r="U876" s="2">
        <v>25.38</v>
      </c>
      <c r="V876" s="2">
        <v>47.33</v>
      </c>
      <c r="W876" s="2">
        <v>31.47</v>
      </c>
      <c r="X876" s="2">
        <v>20.03</v>
      </c>
      <c r="Y876" s="2">
        <v>20.170000000000002</v>
      </c>
      <c r="Z876" s="2">
        <v>0.86</v>
      </c>
      <c r="AA876" s="2">
        <v>5.3</v>
      </c>
      <c r="AB876" s="2">
        <v>0.76</v>
      </c>
      <c r="AC876" s="2">
        <v>2.98</v>
      </c>
      <c r="AD876" s="2">
        <v>6.41</v>
      </c>
      <c r="AE876" s="2">
        <v>0</v>
      </c>
      <c r="AF876" s="2">
        <v>116.29</v>
      </c>
      <c r="AG876" s="2">
        <v>23.65</v>
      </c>
      <c r="AH876" s="4">
        <f t="shared" si="13"/>
        <v>589.72</v>
      </c>
    </row>
    <row r="877" spans="1:34" x14ac:dyDescent="0.2">
      <c r="A877" s="3">
        <v>34607</v>
      </c>
      <c r="B877" s="2">
        <v>1.29</v>
      </c>
      <c r="C877" s="2">
        <v>26.25</v>
      </c>
      <c r="D877" s="2">
        <v>1.78</v>
      </c>
      <c r="E877" s="2">
        <v>10.88</v>
      </c>
      <c r="F877" s="2">
        <v>23.28</v>
      </c>
      <c r="G877" s="2">
        <v>11.44</v>
      </c>
      <c r="H877" s="2">
        <v>25.5</v>
      </c>
      <c r="I877" s="2">
        <v>45.72</v>
      </c>
      <c r="J877" s="2">
        <v>11.05</v>
      </c>
      <c r="K877" s="2">
        <v>-2.2799999999999998</v>
      </c>
      <c r="L877" s="2">
        <v>1.1200000000000001</v>
      </c>
      <c r="M877" s="2">
        <v>6.38</v>
      </c>
      <c r="N877" s="2">
        <v>26.17</v>
      </c>
      <c r="O877" s="2">
        <v>19.09</v>
      </c>
      <c r="P877" s="2">
        <v>33.24</v>
      </c>
      <c r="Q877" s="2">
        <v>6.94</v>
      </c>
      <c r="R877" s="2">
        <v>19.82</v>
      </c>
      <c r="S877" s="2">
        <v>1.7</v>
      </c>
      <c r="T877" s="2">
        <v>10.35</v>
      </c>
      <c r="U877" s="2">
        <v>12.56</v>
      </c>
      <c r="V877" s="2">
        <v>16.03</v>
      </c>
      <c r="W877" s="2">
        <v>26.1</v>
      </c>
      <c r="X877" s="2">
        <v>18.73</v>
      </c>
      <c r="Y877" s="2">
        <v>18.670000000000002</v>
      </c>
      <c r="Z877" s="2">
        <v>0.97</v>
      </c>
      <c r="AA877" s="2">
        <v>5.68</v>
      </c>
      <c r="AB877" s="2">
        <v>0.95</v>
      </c>
      <c r="AC877" s="2">
        <v>2.27</v>
      </c>
      <c r="AD877" s="2">
        <v>4.7300000000000004</v>
      </c>
      <c r="AE877" s="2">
        <v>0</v>
      </c>
      <c r="AF877" s="2">
        <v>108.49</v>
      </c>
      <c r="AG877" s="2">
        <v>20.170000000000002</v>
      </c>
      <c r="AH877" s="4">
        <f t="shared" si="13"/>
        <v>308.31000000000006</v>
      </c>
    </row>
    <row r="878" spans="1:34" x14ac:dyDescent="0.2">
      <c r="A878" s="3">
        <v>34638</v>
      </c>
      <c r="B878" s="2">
        <v>-2.25</v>
      </c>
      <c r="C878" s="2">
        <v>18.170000000000002</v>
      </c>
      <c r="D878" s="2">
        <v>-13.98</v>
      </c>
      <c r="E878" s="2">
        <v>-26.43</v>
      </c>
      <c r="F878" s="2">
        <v>17.04</v>
      </c>
      <c r="G878" s="2">
        <v>-3.68</v>
      </c>
      <c r="H878" s="2">
        <v>15.43</v>
      </c>
      <c r="I878" s="2">
        <v>34.03</v>
      </c>
      <c r="J878" s="2">
        <v>3.92</v>
      </c>
      <c r="K878" s="2">
        <v>5.77</v>
      </c>
      <c r="L878" s="2">
        <v>5.12</v>
      </c>
      <c r="M878" s="2">
        <v>5.61</v>
      </c>
      <c r="N878" s="2">
        <v>22.6</v>
      </c>
      <c r="O878" s="2">
        <v>13.99</v>
      </c>
      <c r="P878" s="2">
        <v>55.27</v>
      </c>
      <c r="Q878" s="2">
        <v>0.93</v>
      </c>
      <c r="R878" s="2">
        <v>10.8</v>
      </c>
      <c r="S878" s="2">
        <v>4.3899999999999997</v>
      </c>
      <c r="T878" s="2">
        <v>17.29</v>
      </c>
      <c r="U878" s="2">
        <v>0.96</v>
      </c>
      <c r="V878" s="2">
        <v>20.9</v>
      </c>
      <c r="W878" s="2">
        <v>22.19</v>
      </c>
      <c r="X878" s="2">
        <v>17.28</v>
      </c>
      <c r="Y878" s="2">
        <v>17.190000000000001</v>
      </c>
      <c r="Z878" s="2">
        <v>3.52</v>
      </c>
      <c r="AA878" s="2">
        <v>3.62</v>
      </c>
      <c r="AB878" s="2">
        <v>1.35</v>
      </c>
      <c r="AC878" s="2">
        <v>2.92</v>
      </c>
      <c r="AD878" s="2">
        <v>3.53</v>
      </c>
      <c r="AE878" s="2">
        <v>2.33</v>
      </c>
      <c r="AF878" s="2">
        <v>97.96</v>
      </c>
      <c r="AG878" s="2">
        <v>16.420000000000002</v>
      </c>
      <c r="AH878" s="4">
        <f t="shared" si="13"/>
        <v>205.88</v>
      </c>
    </row>
    <row r="879" spans="1:34" x14ac:dyDescent="0.2">
      <c r="A879" s="3">
        <v>34668</v>
      </c>
      <c r="B879" s="2">
        <v>-1.51</v>
      </c>
      <c r="C879" s="2">
        <v>21.36</v>
      </c>
      <c r="D879" s="2">
        <v>14.05</v>
      </c>
      <c r="E879" s="2">
        <v>26.89</v>
      </c>
      <c r="F879" s="2">
        <v>31.45</v>
      </c>
      <c r="G879" s="2">
        <v>32.5</v>
      </c>
      <c r="H879" s="2">
        <v>20.66</v>
      </c>
      <c r="I879" s="2">
        <v>41.21</v>
      </c>
      <c r="J879" s="2">
        <v>16.05</v>
      </c>
      <c r="K879" s="2">
        <v>8.77</v>
      </c>
      <c r="L879" s="2">
        <v>-1.05</v>
      </c>
      <c r="M879" s="2">
        <v>5.28</v>
      </c>
      <c r="N879" s="2">
        <v>19.21</v>
      </c>
      <c r="O879" s="2">
        <v>17.11</v>
      </c>
      <c r="P879" s="2">
        <v>35.22</v>
      </c>
      <c r="Q879" s="2">
        <v>0.12</v>
      </c>
      <c r="R879" s="2">
        <v>11.35</v>
      </c>
      <c r="S879" s="2">
        <v>13.98</v>
      </c>
      <c r="T879" s="2">
        <v>11.15</v>
      </c>
      <c r="U879" s="2">
        <v>8.39</v>
      </c>
      <c r="V879" s="2">
        <v>11.72</v>
      </c>
      <c r="W879" s="2">
        <v>15.43</v>
      </c>
      <c r="X879" s="2">
        <v>11.34</v>
      </c>
      <c r="Y879" s="2">
        <v>10.15</v>
      </c>
      <c r="Z879" s="2">
        <v>6.05</v>
      </c>
      <c r="AA879" s="2">
        <v>4.22</v>
      </c>
      <c r="AB879" s="2">
        <v>2.67</v>
      </c>
      <c r="AC879" s="2">
        <v>6.49</v>
      </c>
      <c r="AD879" s="2">
        <v>2.39</v>
      </c>
      <c r="AE879" s="2">
        <v>2.2400000000000002</v>
      </c>
      <c r="AF879" s="2">
        <v>64.510000000000005</v>
      </c>
      <c r="AG879" s="2">
        <v>12.92</v>
      </c>
      <c r="AH879" s="4">
        <f t="shared" si="13"/>
        <v>343.91000000000008</v>
      </c>
    </row>
    <row r="880" spans="1:34" x14ac:dyDescent="0.2">
      <c r="A880" s="3">
        <v>34699</v>
      </c>
      <c r="B880" s="2">
        <v>-2.34</v>
      </c>
      <c r="C880" s="2">
        <v>23.38</v>
      </c>
      <c r="D880" s="2">
        <v>18.95</v>
      </c>
      <c r="E880" s="2">
        <v>46.9</v>
      </c>
      <c r="F880" s="2">
        <v>42.92</v>
      </c>
      <c r="G880" s="2">
        <v>27.5</v>
      </c>
      <c r="H880" s="2">
        <v>18.760000000000002</v>
      </c>
      <c r="I880" s="2">
        <v>41.02</v>
      </c>
      <c r="J880" s="2">
        <v>15.46</v>
      </c>
      <c r="K880" s="2">
        <v>-0.8</v>
      </c>
      <c r="L880" s="2">
        <v>-1.67</v>
      </c>
      <c r="M880" s="2">
        <v>-0.49</v>
      </c>
      <c r="N880" s="2">
        <v>14.74</v>
      </c>
      <c r="O880" s="2">
        <v>17.86</v>
      </c>
      <c r="P880" s="2">
        <v>30.82</v>
      </c>
      <c r="Q880" s="2">
        <v>-0.05</v>
      </c>
      <c r="R880" s="2">
        <v>11.6</v>
      </c>
      <c r="S880" s="2">
        <v>10.47</v>
      </c>
      <c r="T880" s="2">
        <v>10.67</v>
      </c>
      <c r="U880" s="2">
        <v>9.15</v>
      </c>
      <c r="V880" s="2">
        <v>11.21</v>
      </c>
      <c r="W880" s="2">
        <v>11.73</v>
      </c>
      <c r="X880" s="2">
        <v>9.19</v>
      </c>
      <c r="Y880" s="2">
        <v>9.26</v>
      </c>
      <c r="Z880" s="2">
        <v>3.42</v>
      </c>
      <c r="AA880" s="2">
        <v>8.99</v>
      </c>
      <c r="AB880" s="2">
        <v>4.7</v>
      </c>
      <c r="AC880" s="2">
        <v>6.5</v>
      </c>
      <c r="AD880" s="2">
        <v>2.38</v>
      </c>
      <c r="AE880" s="2">
        <v>18.920000000000002</v>
      </c>
      <c r="AF880" s="2">
        <v>59.46</v>
      </c>
      <c r="AG880" s="2">
        <v>11.2</v>
      </c>
      <c r="AH880" s="4">
        <f t="shared" si="13"/>
        <v>346.06</v>
      </c>
    </row>
    <row r="881" spans="1:34" x14ac:dyDescent="0.2">
      <c r="A881" s="3">
        <v>34730</v>
      </c>
      <c r="B881" s="2">
        <v>6.57</v>
      </c>
      <c r="C881" s="2">
        <v>72.02</v>
      </c>
      <c r="D881" s="2">
        <v>154.44</v>
      </c>
      <c r="E881" s="2">
        <v>419.48</v>
      </c>
      <c r="F881" s="2">
        <v>284.27999999999997</v>
      </c>
      <c r="G881" s="2">
        <v>350.54</v>
      </c>
      <c r="H881" s="2">
        <v>59.75</v>
      </c>
      <c r="I881" s="2">
        <v>55.1</v>
      </c>
      <c r="J881" s="2">
        <v>169.85</v>
      </c>
      <c r="K881" s="2">
        <v>144.69</v>
      </c>
      <c r="L881" s="2">
        <v>48.05</v>
      </c>
      <c r="M881" s="2">
        <v>67.47</v>
      </c>
      <c r="N881" s="2">
        <v>102.38</v>
      </c>
      <c r="O881" s="2">
        <v>18.809999999999999</v>
      </c>
      <c r="P881" s="2">
        <v>203.91</v>
      </c>
      <c r="Q881" s="2">
        <v>-3.95</v>
      </c>
      <c r="R881" s="2">
        <v>10.08</v>
      </c>
      <c r="S881" s="2">
        <v>96.47</v>
      </c>
      <c r="T881" s="2">
        <v>105.64</v>
      </c>
      <c r="U881" s="2">
        <v>10.84</v>
      </c>
      <c r="V881" s="2">
        <v>41.44</v>
      </c>
      <c r="W881" s="2">
        <v>4.26</v>
      </c>
      <c r="X881" s="2">
        <v>9.2200000000000006</v>
      </c>
      <c r="Y881" s="2">
        <v>8.16</v>
      </c>
      <c r="Z881" s="2">
        <v>6.79</v>
      </c>
      <c r="AA881" s="2">
        <v>7.78</v>
      </c>
      <c r="AB881" s="2">
        <v>4.63</v>
      </c>
      <c r="AC881" s="2">
        <v>9.49</v>
      </c>
      <c r="AD881" s="2">
        <v>2.31</v>
      </c>
      <c r="AE881" s="2">
        <v>1.68</v>
      </c>
      <c r="AF881" s="2">
        <v>69.790000000000006</v>
      </c>
      <c r="AG881" s="2">
        <v>9.8800000000000008</v>
      </c>
      <c r="AH881" s="4">
        <f t="shared" si="13"/>
        <v>2417.8599999999997</v>
      </c>
    </row>
    <row r="882" spans="1:34" x14ac:dyDescent="0.2">
      <c r="A882" s="3">
        <v>34758</v>
      </c>
      <c r="B882" s="2">
        <v>10.91</v>
      </c>
      <c r="C882" s="2">
        <v>36.65</v>
      </c>
      <c r="D882" s="2">
        <v>-39.479999999999997</v>
      </c>
      <c r="E882" s="2">
        <v>-88.58</v>
      </c>
      <c r="F882" s="2">
        <v>10.85</v>
      </c>
      <c r="G882" s="2">
        <v>-52.02</v>
      </c>
      <c r="H882" s="2">
        <v>11.15</v>
      </c>
      <c r="I882" s="2">
        <v>38.58</v>
      </c>
      <c r="J882" s="2">
        <v>-6.92</v>
      </c>
      <c r="K882" s="2">
        <v>-58.08</v>
      </c>
      <c r="L882" s="2">
        <v>2.5</v>
      </c>
      <c r="M882" s="2">
        <v>1.19</v>
      </c>
      <c r="N882" s="2">
        <v>-8.52</v>
      </c>
      <c r="O882" s="2">
        <v>22.16</v>
      </c>
      <c r="P882" s="2">
        <v>16.329999999999998</v>
      </c>
      <c r="Q882" s="2">
        <v>5.26</v>
      </c>
      <c r="R882" s="2">
        <v>22.84</v>
      </c>
      <c r="S882" s="2">
        <v>-20.98</v>
      </c>
      <c r="T882" s="2">
        <v>17.79</v>
      </c>
      <c r="U882" s="2">
        <v>11.74</v>
      </c>
      <c r="V882" s="2">
        <v>17.170000000000002</v>
      </c>
      <c r="W882" s="2">
        <v>0</v>
      </c>
      <c r="X882" s="2">
        <v>3.3</v>
      </c>
      <c r="Y882" s="2">
        <v>3.38</v>
      </c>
      <c r="Z882" s="2">
        <v>6.93</v>
      </c>
      <c r="AA882" s="2">
        <v>7.35</v>
      </c>
      <c r="AB882" s="2">
        <v>4.6399999999999997</v>
      </c>
      <c r="AC882" s="2">
        <v>9.07</v>
      </c>
      <c r="AD882" s="2">
        <v>2.6</v>
      </c>
      <c r="AE882" s="2">
        <v>20.7</v>
      </c>
      <c r="AF882" s="2">
        <v>58.18</v>
      </c>
      <c r="AG882" s="2">
        <v>10.08</v>
      </c>
      <c r="AH882" s="4">
        <f t="shared" si="13"/>
        <v>-49.460000000000008</v>
      </c>
    </row>
    <row r="883" spans="1:34" x14ac:dyDescent="0.2">
      <c r="A883" s="3">
        <v>34789</v>
      </c>
      <c r="B883" s="2">
        <v>22.71</v>
      </c>
      <c r="C883" s="2">
        <v>71.89</v>
      </c>
      <c r="D883" s="2">
        <v>70.98</v>
      </c>
      <c r="E883" s="2">
        <v>274.32</v>
      </c>
      <c r="F883" s="2">
        <v>316.11</v>
      </c>
      <c r="G883" s="2">
        <v>175.78</v>
      </c>
      <c r="H883" s="2">
        <v>43.85</v>
      </c>
      <c r="I883" s="2">
        <v>66.400000000000006</v>
      </c>
      <c r="J883" s="2">
        <v>109.59</v>
      </c>
      <c r="K883" s="2">
        <v>171.64</v>
      </c>
      <c r="L883" s="2">
        <v>44.6</v>
      </c>
      <c r="M883" s="2">
        <v>91.55</v>
      </c>
      <c r="N883" s="2">
        <v>145.29</v>
      </c>
      <c r="O883" s="2">
        <v>23</v>
      </c>
      <c r="P883" s="2">
        <v>264.42</v>
      </c>
      <c r="Q883" s="2">
        <v>5.49</v>
      </c>
      <c r="R883" s="2">
        <v>12.5</v>
      </c>
      <c r="S883" s="2">
        <v>100.14</v>
      </c>
      <c r="T883" s="2">
        <v>141.72</v>
      </c>
      <c r="U883" s="2">
        <v>13.87</v>
      </c>
      <c r="V883" s="2">
        <v>66.41</v>
      </c>
      <c r="W883" s="2">
        <v>0</v>
      </c>
      <c r="X883" s="2">
        <v>4.1399999999999997</v>
      </c>
      <c r="Y883" s="2">
        <v>3.38</v>
      </c>
      <c r="Z883" s="2">
        <v>5.85</v>
      </c>
      <c r="AA883" s="2">
        <v>5.0199999999999996</v>
      </c>
      <c r="AB883" s="2">
        <v>2.14</v>
      </c>
      <c r="AC883" s="2">
        <v>9.06</v>
      </c>
      <c r="AD883" s="2">
        <v>4.34</v>
      </c>
      <c r="AE883" s="2">
        <v>57.52</v>
      </c>
      <c r="AF883" s="2">
        <v>68.66</v>
      </c>
      <c r="AG883" s="2">
        <v>10.69</v>
      </c>
      <c r="AH883" s="4">
        <f t="shared" si="13"/>
        <v>2232.2599999999998</v>
      </c>
    </row>
    <row r="884" spans="1:34" x14ac:dyDescent="0.2">
      <c r="A884" s="3">
        <v>34819</v>
      </c>
      <c r="B884" s="2">
        <v>11.85</v>
      </c>
      <c r="C884" s="2">
        <v>34.28</v>
      </c>
      <c r="D884" s="2">
        <v>-34.79</v>
      </c>
      <c r="E884" s="2">
        <v>-137.88</v>
      </c>
      <c r="F884" s="2">
        <v>-124.67</v>
      </c>
      <c r="G884" s="2">
        <v>-149.58000000000001</v>
      </c>
      <c r="H884" s="2">
        <v>20.89</v>
      </c>
      <c r="I884" s="2">
        <v>55.73</v>
      </c>
      <c r="J884" s="2">
        <v>7.68</v>
      </c>
      <c r="K884" s="2">
        <v>-7.5</v>
      </c>
      <c r="L884" s="2">
        <v>27.67</v>
      </c>
      <c r="M884" s="2">
        <v>19.559999999999999</v>
      </c>
      <c r="N884" s="2">
        <v>38.200000000000003</v>
      </c>
      <c r="O884" s="2">
        <v>26.69</v>
      </c>
      <c r="P884" s="2">
        <v>117.81</v>
      </c>
      <c r="Q884" s="2">
        <v>22.36</v>
      </c>
      <c r="R884" s="2">
        <v>30.07</v>
      </c>
      <c r="S884" s="2">
        <v>16.5</v>
      </c>
      <c r="T884" s="2">
        <v>17.440000000000001</v>
      </c>
      <c r="U884" s="2">
        <v>19.100000000000001</v>
      </c>
      <c r="V884" s="2">
        <v>33.840000000000003</v>
      </c>
      <c r="W884" s="2">
        <v>0</v>
      </c>
      <c r="X884" s="2">
        <v>5.05</v>
      </c>
      <c r="Y884" s="2">
        <v>4.53</v>
      </c>
      <c r="Z884" s="2">
        <v>2.56</v>
      </c>
      <c r="AA884" s="2">
        <v>1.65</v>
      </c>
      <c r="AB884" s="2">
        <v>1.36</v>
      </c>
      <c r="AC884" s="2">
        <v>3.31</v>
      </c>
      <c r="AD884" s="2">
        <v>5.27</v>
      </c>
      <c r="AE884" s="2">
        <v>1.68</v>
      </c>
      <c r="AF884" s="2">
        <v>84.95</v>
      </c>
      <c r="AG884" s="2">
        <v>14.64</v>
      </c>
      <c r="AH884" s="4">
        <f t="shared" si="13"/>
        <v>45.250000000000057</v>
      </c>
    </row>
    <row r="885" spans="1:34" x14ac:dyDescent="0.2">
      <c r="A885" s="3">
        <v>34850</v>
      </c>
      <c r="B885" s="2">
        <v>11.74</v>
      </c>
      <c r="C885" s="2">
        <v>39.86</v>
      </c>
      <c r="D885" s="2">
        <v>-23.04</v>
      </c>
      <c r="E885" s="2">
        <v>-39.700000000000003</v>
      </c>
      <c r="F885" s="2">
        <v>28.04</v>
      </c>
      <c r="G885" s="2">
        <v>-24.2</v>
      </c>
      <c r="H885" s="2">
        <v>21.72</v>
      </c>
      <c r="I885" s="2">
        <v>61.61</v>
      </c>
      <c r="J885" s="2">
        <v>19.489999999999998</v>
      </c>
      <c r="K885" s="2">
        <v>48.87</v>
      </c>
      <c r="L885" s="2">
        <v>29.89</v>
      </c>
      <c r="M885" s="2">
        <v>36.659999999999997</v>
      </c>
      <c r="N885" s="2">
        <v>66.02</v>
      </c>
      <c r="O885" s="2">
        <v>30.23</v>
      </c>
      <c r="P885" s="2">
        <v>154.27000000000001</v>
      </c>
      <c r="Q885" s="2">
        <v>22.85</v>
      </c>
      <c r="R885" s="2">
        <v>23.5</v>
      </c>
      <c r="S885" s="2">
        <v>15.64</v>
      </c>
      <c r="T885" s="2">
        <v>25.61</v>
      </c>
      <c r="U885" s="2">
        <v>17.27</v>
      </c>
      <c r="V885" s="2">
        <v>40.76</v>
      </c>
      <c r="W885" s="2">
        <v>4.88</v>
      </c>
      <c r="X885" s="2">
        <v>7.83</v>
      </c>
      <c r="Y885" s="2">
        <v>6.62</v>
      </c>
      <c r="Z885" s="2">
        <v>0.64</v>
      </c>
      <c r="AA885" s="2">
        <v>0.79</v>
      </c>
      <c r="AB885" s="2">
        <v>0.76</v>
      </c>
      <c r="AC885" s="2">
        <v>1.2</v>
      </c>
      <c r="AD885" s="2">
        <v>7.51</v>
      </c>
      <c r="AE885" s="2">
        <v>1.4</v>
      </c>
      <c r="AF885" s="2">
        <v>95.94</v>
      </c>
      <c r="AG885" s="2">
        <v>17.690000000000001</v>
      </c>
      <c r="AH885" s="4">
        <f t="shared" si="13"/>
        <v>607.09</v>
      </c>
    </row>
    <row r="886" spans="1:34" x14ac:dyDescent="0.2">
      <c r="A886" s="3">
        <v>34880</v>
      </c>
      <c r="B886" s="2">
        <v>6.57</v>
      </c>
      <c r="C886" s="2">
        <v>32.31</v>
      </c>
      <c r="D886" s="2">
        <v>-17.55</v>
      </c>
      <c r="E886" s="2">
        <v>-68.45</v>
      </c>
      <c r="F886" s="2">
        <v>-80.37</v>
      </c>
      <c r="G886" s="2">
        <v>-50.54</v>
      </c>
      <c r="H886" s="2">
        <v>11.88</v>
      </c>
      <c r="I886" s="2">
        <v>47.32</v>
      </c>
      <c r="J886" s="2">
        <v>-28.67</v>
      </c>
      <c r="K886" s="2">
        <v>-18.399999999999999</v>
      </c>
      <c r="L886" s="2">
        <v>-26.2</v>
      </c>
      <c r="M886" s="2">
        <v>-15.53</v>
      </c>
      <c r="N886" s="2">
        <v>7.56</v>
      </c>
      <c r="O886" s="2">
        <v>31.36</v>
      </c>
      <c r="P886" s="2">
        <v>114.78</v>
      </c>
      <c r="Q886" s="2">
        <v>17.36</v>
      </c>
      <c r="R886" s="2">
        <v>37.840000000000003</v>
      </c>
      <c r="S886" s="2">
        <v>-5.99</v>
      </c>
      <c r="T886" s="2">
        <v>72.709999999999994</v>
      </c>
      <c r="U886" s="2">
        <v>17.07</v>
      </c>
      <c r="V886" s="2">
        <v>44.06</v>
      </c>
      <c r="W886" s="2">
        <v>18.62</v>
      </c>
      <c r="X886" s="2">
        <v>12.83</v>
      </c>
      <c r="Y886" s="2">
        <v>12.29</v>
      </c>
      <c r="Z886" s="2">
        <v>0.21</v>
      </c>
      <c r="AA886" s="2">
        <v>0.28000000000000003</v>
      </c>
      <c r="AB886" s="2">
        <v>0.42</v>
      </c>
      <c r="AC886" s="2">
        <v>0.74</v>
      </c>
      <c r="AD886" s="2">
        <v>9.58</v>
      </c>
      <c r="AE886" s="2">
        <v>0.56000000000000005</v>
      </c>
      <c r="AF886" s="2">
        <v>105</v>
      </c>
      <c r="AG886" s="2">
        <v>22.83</v>
      </c>
      <c r="AH886" s="4">
        <f t="shared" si="13"/>
        <v>129.12000000000003</v>
      </c>
    </row>
    <row r="887" spans="1:34" x14ac:dyDescent="0.2">
      <c r="A887" s="3">
        <v>34911</v>
      </c>
      <c r="B887" s="2">
        <v>6.73</v>
      </c>
      <c r="C887" s="2">
        <v>30.02</v>
      </c>
      <c r="D887" s="2">
        <v>-7.02</v>
      </c>
      <c r="E887" s="2">
        <v>-30.66</v>
      </c>
      <c r="F887" s="2">
        <v>-55.55</v>
      </c>
      <c r="G887" s="2">
        <v>-25.98</v>
      </c>
      <c r="H887" s="2">
        <v>7.71</v>
      </c>
      <c r="I887" s="2">
        <v>43.15</v>
      </c>
      <c r="J887" s="2">
        <v>-28.87</v>
      </c>
      <c r="K887" s="2">
        <v>58.27</v>
      </c>
      <c r="L887" s="2">
        <v>-14.78</v>
      </c>
      <c r="M887" s="2">
        <v>5.18</v>
      </c>
      <c r="N887" s="2">
        <v>76.790000000000006</v>
      </c>
      <c r="O887" s="2">
        <v>40.61</v>
      </c>
      <c r="P887" s="2">
        <v>121.64</v>
      </c>
      <c r="Q887" s="2">
        <v>22.46</v>
      </c>
      <c r="R887" s="2">
        <v>42.67</v>
      </c>
      <c r="S887" s="2">
        <v>1.94</v>
      </c>
      <c r="T887" s="2">
        <v>50.22</v>
      </c>
      <c r="U887" s="2">
        <v>18.41</v>
      </c>
      <c r="V887" s="2">
        <v>45.56</v>
      </c>
      <c r="W887" s="2">
        <v>30.39</v>
      </c>
      <c r="X887" s="2">
        <v>17.78</v>
      </c>
      <c r="Y887" s="2">
        <v>17.73</v>
      </c>
      <c r="Z887" s="2">
        <v>0.19</v>
      </c>
      <c r="AA887" s="2">
        <v>2.17</v>
      </c>
      <c r="AB887" s="2">
        <v>0.64</v>
      </c>
      <c r="AC887" s="2">
        <v>2.02</v>
      </c>
      <c r="AD887" s="2">
        <v>8.5399999999999991</v>
      </c>
      <c r="AE887" s="2">
        <v>0</v>
      </c>
      <c r="AF887" s="2">
        <v>114.35</v>
      </c>
      <c r="AG887" s="2">
        <v>24.8</v>
      </c>
      <c r="AH887" s="4">
        <f t="shared" si="13"/>
        <v>408.5</v>
      </c>
    </row>
    <row r="888" spans="1:34" x14ac:dyDescent="0.2">
      <c r="A888" s="3">
        <v>34942</v>
      </c>
      <c r="B888" s="2">
        <v>5.01</v>
      </c>
      <c r="C888" s="2">
        <v>31.11</v>
      </c>
      <c r="D888" s="2">
        <v>-7.97</v>
      </c>
      <c r="E888" s="2">
        <v>-18.47</v>
      </c>
      <c r="F888" s="2">
        <v>-5.68</v>
      </c>
      <c r="G888" s="2">
        <v>-11.53</v>
      </c>
      <c r="H888" s="2">
        <v>11.76</v>
      </c>
      <c r="I888" s="2">
        <v>44.44</v>
      </c>
      <c r="J888" s="2">
        <v>-39.42</v>
      </c>
      <c r="K888" s="2">
        <v>-42.39</v>
      </c>
      <c r="L888" s="2">
        <v>-26.04</v>
      </c>
      <c r="M888" s="2">
        <v>-24.39</v>
      </c>
      <c r="N888" s="2">
        <v>7.62</v>
      </c>
      <c r="O888" s="2">
        <v>37.04</v>
      </c>
      <c r="P888" s="2">
        <v>79.819999999999993</v>
      </c>
      <c r="Q888" s="2">
        <v>13.11</v>
      </c>
      <c r="R888" s="2">
        <v>44.73</v>
      </c>
      <c r="S888" s="2">
        <v>-6.27</v>
      </c>
      <c r="T888" s="2">
        <v>50.71</v>
      </c>
      <c r="U888" s="2">
        <v>25.01</v>
      </c>
      <c r="V888" s="2">
        <v>45.83</v>
      </c>
      <c r="W888" s="2">
        <v>31.47</v>
      </c>
      <c r="X888" s="2">
        <v>20.03</v>
      </c>
      <c r="Y888" s="2">
        <v>20.170000000000002</v>
      </c>
      <c r="Z888" s="2">
        <v>0.86</v>
      </c>
      <c r="AA888" s="2">
        <v>5.3</v>
      </c>
      <c r="AB888" s="2">
        <v>0.76</v>
      </c>
      <c r="AC888" s="2">
        <v>2.98</v>
      </c>
      <c r="AD888" s="2">
        <v>6.41</v>
      </c>
      <c r="AE888" s="2">
        <v>0.37</v>
      </c>
      <c r="AF888" s="2">
        <v>116.29</v>
      </c>
      <c r="AG888" s="2">
        <v>23.65</v>
      </c>
      <c r="AH888" s="4">
        <f t="shared" si="13"/>
        <v>214.02999999999997</v>
      </c>
    </row>
    <row r="889" spans="1:34" x14ac:dyDescent="0.2">
      <c r="A889" s="3">
        <v>34972</v>
      </c>
      <c r="B889" s="2">
        <v>2.81</v>
      </c>
      <c r="C889" s="2">
        <v>32.74</v>
      </c>
      <c r="D889" s="2">
        <v>-2.86</v>
      </c>
      <c r="E889" s="2">
        <v>-20.81</v>
      </c>
      <c r="F889" s="2">
        <v>10.17</v>
      </c>
      <c r="G889" s="2">
        <v>-4.59</v>
      </c>
      <c r="H889" s="2">
        <v>22.92</v>
      </c>
      <c r="I889" s="2">
        <v>53.6</v>
      </c>
      <c r="J889" s="2">
        <v>-8.9600000000000009</v>
      </c>
      <c r="K889" s="2">
        <v>-19.739999999999998</v>
      </c>
      <c r="L889" s="2">
        <v>-1.19</v>
      </c>
      <c r="M889" s="2">
        <v>5.46</v>
      </c>
      <c r="N889" s="2">
        <v>31.67</v>
      </c>
      <c r="O889" s="2">
        <v>25.93</v>
      </c>
      <c r="P889" s="2">
        <v>35.729999999999997</v>
      </c>
      <c r="Q889" s="2">
        <v>14.68</v>
      </c>
      <c r="R889" s="2">
        <v>37.130000000000003</v>
      </c>
      <c r="S889" s="2">
        <v>34.67</v>
      </c>
      <c r="T889" s="2">
        <v>16.71</v>
      </c>
      <c r="U889" s="2">
        <v>21.85</v>
      </c>
      <c r="V889" s="2">
        <v>34.79</v>
      </c>
      <c r="W889" s="2">
        <v>26.1</v>
      </c>
      <c r="X889" s="2">
        <v>18.73</v>
      </c>
      <c r="Y889" s="2">
        <v>18.670000000000002</v>
      </c>
      <c r="Z889" s="2">
        <v>0.97</v>
      </c>
      <c r="AA889" s="2">
        <v>5.68</v>
      </c>
      <c r="AB889" s="2">
        <v>0.95</v>
      </c>
      <c r="AC889" s="2">
        <v>2.27</v>
      </c>
      <c r="AD889" s="2">
        <v>4.7300000000000004</v>
      </c>
      <c r="AE889" s="2">
        <v>1.1200000000000001</v>
      </c>
      <c r="AF889" s="2">
        <v>108.49</v>
      </c>
      <c r="AG889" s="2">
        <v>20.170000000000002</v>
      </c>
      <c r="AH889" s="4">
        <f t="shared" si="13"/>
        <v>322.71000000000004</v>
      </c>
    </row>
    <row r="890" spans="1:34" x14ac:dyDescent="0.2">
      <c r="A890" s="3">
        <v>35003</v>
      </c>
      <c r="B890" s="2">
        <v>-1.29</v>
      </c>
      <c r="C890" s="2">
        <v>29.3</v>
      </c>
      <c r="D890" s="2">
        <v>-7.57</v>
      </c>
      <c r="E890" s="2">
        <v>-46.09</v>
      </c>
      <c r="F890" s="2">
        <v>-15.12</v>
      </c>
      <c r="G890" s="2">
        <v>-6.24</v>
      </c>
      <c r="H890" s="2">
        <v>12.74</v>
      </c>
      <c r="I890" s="2">
        <v>46.83</v>
      </c>
      <c r="J890" s="2">
        <v>-3.85</v>
      </c>
      <c r="K890" s="2">
        <v>1.84</v>
      </c>
      <c r="L890" s="2">
        <v>1.68</v>
      </c>
      <c r="M890" s="2">
        <v>8.18</v>
      </c>
      <c r="N890" s="2">
        <v>35.630000000000003</v>
      </c>
      <c r="O890" s="2">
        <v>18.63</v>
      </c>
      <c r="P890" s="2">
        <v>73.8</v>
      </c>
      <c r="Q890" s="2">
        <v>9.15</v>
      </c>
      <c r="R890" s="2">
        <v>20.09</v>
      </c>
      <c r="S890" s="2">
        <v>3.02</v>
      </c>
      <c r="T890" s="2">
        <v>24.86</v>
      </c>
      <c r="U890" s="2">
        <v>12.48</v>
      </c>
      <c r="V890" s="2">
        <v>29.02</v>
      </c>
      <c r="W890" s="2">
        <v>22.19</v>
      </c>
      <c r="X890" s="2">
        <v>17.28</v>
      </c>
      <c r="Y890" s="2">
        <v>17.190000000000001</v>
      </c>
      <c r="Z890" s="2">
        <v>3.52</v>
      </c>
      <c r="AA890" s="2">
        <v>3.62</v>
      </c>
      <c r="AB890" s="2">
        <v>1.35</v>
      </c>
      <c r="AC890" s="2">
        <v>2.92</v>
      </c>
      <c r="AD890" s="2">
        <v>3.53</v>
      </c>
      <c r="AE890" s="2">
        <v>10.35</v>
      </c>
      <c r="AF890" s="2">
        <v>97.96</v>
      </c>
      <c r="AG890" s="2">
        <v>16.420000000000002</v>
      </c>
      <c r="AH890" s="4">
        <f t="shared" si="13"/>
        <v>247.09000000000003</v>
      </c>
    </row>
    <row r="891" spans="1:34" x14ac:dyDescent="0.2">
      <c r="A891" s="3">
        <v>35033</v>
      </c>
      <c r="B891" s="2">
        <v>-0.22</v>
      </c>
      <c r="C891" s="2">
        <v>26.26</v>
      </c>
      <c r="D891" s="2">
        <v>-1.88</v>
      </c>
      <c r="E891" s="2">
        <v>-22.7</v>
      </c>
      <c r="F891" s="2">
        <v>-11.71</v>
      </c>
      <c r="G891" s="2">
        <v>-2.3199999999999998</v>
      </c>
      <c r="H891" s="2">
        <v>14.13</v>
      </c>
      <c r="I891" s="2">
        <v>41.57</v>
      </c>
      <c r="J891" s="2">
        <v>-9.19</v>
      </c>
      <c r="K891" s="2">
        <v>-9.9600000000000009</v>
      </c>
      <c r="L891" s="2">
        <v>-19.02</v>
      </c>
      <c r="M891" s="2">
        <v>-19.440000000000001</v>
      </c>
      <c r="N891" s="2">
        <v>22.61</v>
      </c>
      <c r="O891" s="2">
        <v>23.23</v>
      </c>
      <c r="P891" s="2">
        <v>30.94</v>
      </c>
      <c r="Q891" s="2">
        <v>10.35</v>
      </c>
      <c r="R891" s="2">
        <v>18.39</v>
      </c>
      <c r="S891" s="2">
        <v>22.13</v>
      </c>
      <c r="T891" s="2">
        <v>13.6</v>
      </c>
      <c r="U891" s="2">
        <v>15.84</v>
      </c>
      <c r="V891" s="2">
        <v>22.7</v>
      </c>
      <c r="W891" s="2">
        <v>15.43</v>
      </c>
      <c r="X891" s="2">
        <v>11.34</v>
      </c>
      <c r="Y891" s="2">
        <v>10.15</v>
      </c>
      <c r="Z891" s="2">
        <v>6.05</v>
      </c>
      <c r="AA891" s="2">
        <v>4.22</v>
      </c>
      <c r="AB891" s="2">
        <v>2.67</v>
      </c>
      <c r="AC891" s="2">
        <v>6.49</v>
      </c>
      <c r="AD891" s="2">
        <v>2.39</v>
      </c>
      <c r="AE891" s="2">
        <v>3.64</v>
      </c>
      <c r="AF891" s="2">
        <v>64.510000000000005</v>
      </c>
      <c r="AG891" s="2">
        <v>12.92</v>
      </c>
      <c r="AH891" s="4">
        <f t="shared" si="13"/>
        <v>165.30999999999997</v>
      </c>
    </row>
    <row r="892" spans="1:34" x14ac:dyDescent="0.2">
      <c r="A892" s="3">
        <v>35064</v>
      </c>
      <c r="B892" s="2">
        <v>1.88</v>
      </c>
      <c r="C892" s="2">
        <v>34.049999999999997</v>
      </c>
      <c r="D892" s="2">
        <v>41.29</v>
      </c>
      <c r="E892" s="2">
        <v>89.66</v>
      </c>
      <c r="F892" s="2">
        <v>77.680000000000007</v>
      </c>
      <c r="G892" s="2">
        <v>96.93</v>
      </c>
      <c r="H892" s="2">
        <v>34.22</v>
      </c>
      <c r="I892" s="2">
        <v>50.11</v>
      </c>
      <c r="J892" s="2">
        <v>38.53</v>
      </c>
      <c r="K892" s="2">
        <v>25.72</v>
      </c>
      <c r="L892" s="2">
        <v>-2.39</v>
      </c>
      <c r="M892" s="2">
        <v>10.9</v>
      </c>
      <c r="N892" s="2">
        <v>28.06</v>
      </c>
      <c r="O892" s="2">
        <v>25.14</v>
      </c>
      <c r="P892" s="2">
        <v>38.33</v>
      </c>
      <c r="Q892" s="2">
        <v>0.77</v>
      </c>
      <c r="R892" s="2">
        <v>15.67</v>
      </c>
      <c r="S892" s="2">
        <v>45.77</v>
      </c>
      <c r="T892" s="2">
        <v>16.32</v>
      </c>
      <c r="U892" s="2">
        <v>12.77</v>
      </c>
      <c r="V892" s="2">
        <v>12.35</v>
      </c>
      <c r="W892" s="2">
        <v>11.73</v>
      </c>
      <c r="X892" s="2">
        <v>9.19</v>
      </c>
      <c r="Y892" s="2">
        <v>9.26</v>
      </c>
      <c r="Z892" s="2">
        <v>3.42</v>
      </c>
      <c r="AA892" s="2">
        <v>8.99</v>
      </c>
      <c r="AB892" s="2">
        <v>4.7</v>
      </c>
      <c r="AC892" s="2">
        <v>6.5</v>
      </c>
      <c r="AD892" s="2">
        <v>2.38</v>
      </c>
      <c r="AE892" s="2">
        <v>18.829999999999998</v>
      </c>
      <c r="AF892" s="2">
        <v>59.46</v>
      </c>
      <c r="AG892" s="2">
        <v>11.2</v>
      </c>
      <c r="AH892" s="4">
        <f t="shared" si="13"/>
        <v>693.76</v>
      </c>
    </row>
    <row r="893" spans="1:34" x14ac:dyDescent="0.2">
      <c r="A893" s="3">
        <v>35095</v>
      </c>
      <c r="B893" s="2">
        <v>-5.09</v>
      </c>
      <c r="C893" s="2">
        <v>34.29</v>
      </c>
      <c r="D893" s="2">
        <v>30.54</v>
      </c>
      <c r="E893" s="2">
        <v>54</v>
      </c>
      <c r="F893" s="2">
        <v>40.61</v>
      </c>
      <c r="G893" s="2">
        <v>97.57</v>
      </c>
      <c r="H893" s="2">
        <v>20.96</v>
      </c>
      <c r="I893" s="2">
        <v>39.78</v>
      </c>
      <c r="J893" s="2">
        <v>59.88</v>
      </c>
      <c r="K893" s="2">
        <v>46.47</v>
      </c>
      <c r="L893" s="2">
        <v>2.06</v>
      </c>
      <c r="M893" s="2">
        <v>8.7799999999999994</v>
      </c>
      <c r="N893" s="2">
        <v>38.869999999999997</v>
      </c>
      <c r="O893" s="2">
        <v>22.5</v>
      </c>
      <c r="P893" s="2">
        <v>51.71</v>
      </c>
      <c r="Q893" s="2">
        <v>-1.1299999999999999</v>
      </c>
      <c r="R893" s="2">
        <v>16.79</v>
      </c>
      <c r="S893" s="2">
        <v>56.77</v>
      </c>
      <c r="T893" s="2">
        <v>7.14</v>
      </c>
      <c r="U893" s="2">
        <v>13.8</v>
      </c>
      <c r="V893" s="2">
        <v>12.61</v>
      </c>
      <c r="W893" s="2">
        <v>4.26</v>
      </c>
      <c r="X893" s="2">
        <v>9.2200000000000006</v>
      </c>
      <c r="Y893" s="2">
        <v>8.16</v>
      </c>
      <c r="Z893" s="2">
        <v>6.79</v>
      </c>
      <c r="AA893" s="2">
        <v>7.78</v>
      </c>
      <c r="AB893" s="2">
        <v>4.63</v>
      </c>
      <c r="AC893" s="2">
        <v>9.49</v>
      </c>
      <c r="AD893" s="2">
        <v>2.31</v>
      </c>
      <c r="AE893" s="2">
        <v>7.83</v>
      </c>
      <c r="AF893" s="2">
        <v>69.790000000000006</v>
      </c>
      <c r="AG893" s="2">
        <v>9.8800000000000008</v>
      </c>
      <c r="AH893" s="4">
        <f t="shared" si="13"/>
        <v>648.90999999999985</v>
      </c>
    </row>
    <row r="894" spans="1:34" x14ac:dyDescent="0.2">
      <c r="A894" s="3">
        <v>35124</v>
      </c>
      <c r="B894" s="2">
        <v>11.06</v>
      </c>
      <c r="C894" s="2">
        <v>54.06</v>
      </c>
      <c r="D894" s="2">
        <v>56.99</v>
      </c>
      <c r="E894" s="2">
        <v>181.09</v>
      </c>
      <c r="F894" s="2">
        <v>212.97</v>
      </c>
      <c r="G894" s="2">
        <v>183.05</v>
      </c>
      <c r="H894" s="2">
        <v>42.29</v>
      </c>
      <c r="I894" s="2">
        <v>54.39</v>
      </c>
      <c r="J894" s="2">
        <v>117.99</v>
      </c>
      <c r="K894" s="2">
        <v>77.28</v>
      </c>
      <c r="L894" s="2">
        <v>67.02</v>
      </c>
      <c r="M894" s="2">
        <v>64.099999999999994</v>
      </c>
      <c r="N894" s="2">
        <v>71.13</v>
      </c>
      <c r="O894" s="2">
        <v>19.149999999999999</v>
      </c>
      <c r="P894" s="2">
        <v>96.25</v>
      </c>
      <c r="Q894" s="2">
        <v>-3.76</v>
      </c>
      <c r="R894" s="2">
        <v>18.829999999999998</v>
      </c>
      <c r="S894" s="2">
        <v>26.99</v>
      </c>
      <c r="T894" s="2">
        <v>36.64</v>
      </c>
      <c r="U894" s="2">
        <v>15.19</v>
      </c>
      <c r="V894" s="2">
        <v>22.42</v>
      </c>
      <c r="W894" s="2">
        <v>0</v>
      </c>
      <c r="X894" s="2">
        <v>3.3</v>
      </c>
      <c r="Y894" s="2">
        <v>3.38</v>
      </c>
      <c r="Z894" s="2">
        <v>6.93</v>
      </c>
      <c r="AA894" s="2">
        <v>7.35</v>
      </c>
      <c r="AB894" s="2">
        <v>4.6399999999999997</v>
      </c>
      <c r="AC894" s="2">
        <v>9.07</v>
      </c>
      <c r="AD894" s="2">
        <v>2.6</v>
      </c>
      <c r="AE894" s="2">
        <v>28.71</v>
      </c>
      <c r="AF894" s="2">
        <v>58.18</v>
      </c>
      <c r="AG894" s="2">
        <v>10.08</v>
      </c>
      <c r="AH894" s="4">
        <f t="shared" si="13"/>
        <v>1425.1300000000003</v>
      </c>
    </row>
    <row r="895" spans="1:34" x14ac:dyDescent="0.2">
      <c r="A895" s="3">
        <v>35155</v>
      </c>
      <c r="B895" s="2">
        <v>13.2</v>
      </c>
      <c r="C895" s="2">
        <v>39.6</v>
      </c>
      <c r="D895" s="2">
        <v>-23.75</v>
      </c>
      <c r="E895" s="2">
        <v>-40.35</v>
      </c>
      <c r="F895" s="2">
        <v>-41.77</v>
      </c>
      <c r="G895" s="2">
        <v>-69.84</v>
      </c>
      <c r="H895" s="2">
        <v>14.59</v>
      </c>
      <c r="I895" s="2">
        <v>51.25</v>
      </c>
      <c r="J895" s="2">
        <v>28.89</v>
      </c>
      <c r="K895" s="2">
        <v>12.83</v>
      </c>
      <c r="L895" s="2">
        <v>41.46</v>
      </c>
      <c r="M895" s="2">
        <v>20.18</v>
      </c>
      <c r="N895" s="2">
        <v>49.4</v>
      </c>
      <c r="O895" s="2">
        <v>23.56</v>
      </c>
      <c r="P895" s="2">
        <v>54.06</v>
      </c>
      <c r="Q895" s="2">
        <v>15.26</v>
      </c>
      <c r="R895" s="2">
        <v>20.91</v>
      </c>
      <c r="S895" s="2">
        <v>14.49</v>
      </c>
      <c r="T895" s="2">
        <v>23.23</v>
      </c>
      <c r="U895" s="2">
        <v>16.149999999999999</v>
      </c>
      <c r="V895" s="2">
        <v>24.45</v>
      </c>
      <c r="W895" s="2">
        <v>0</v>
      </c>
      <c r="X895" s="2">
        <v>4.1399999999999997</v>
      </c>
      <c r="Y895" s="2">
        <v>3.38</v>
      </c>
      <c r="Z895" s="2">
        <v>5.85</v>
      </c>
      <c r="AA895" s="2">
        <v>5.0199999999999996</v>
      </c>
      <c r="AB895" s="2">
        <v>2.14</v>
      </c>
      <c r="AC895" s="2">
        <v>9.06</v>
      </c>
      <c r="AD895" s="2">
        <v>4.34</v>
      </c>
      <c r="AE895" s="2">
        <v>42.04</v>
      </c>
      <c r="AF895" s="2">
        <v>68.66</v>
      </c>
      <c r="AG895" s="2">
        <v>10.69</v>
      </c>
      <c r="AH895" s="4">
        <f t="shared" si="13"/>
        <v>287.79999999999995</v>
      </c>
    </row>
    <row r="896" spans="1:34" x14ac:dyDescent="0.2">
      <c r="A896" s="3">
        <v>35185</v>
      </c>
      <c r="B896" s="2">
        <v>5.95</v>
      </c>
      <c r="C896" s="2">
        <v>26.75</v>
      </c>
      <c r="D896" s="2">
        <v>-4.3099999999999996</v>
      </c>
      <c r="E896" s="2">
        <v>-80.48</v>
      </c>
      <c r="F896" s="2">
        <v>-4.0999999999999996</v>
      </c>
      <c r="G896" s="2">
        <v>-52.25</v>
      </c>
      <c r="H896" s="2">
        <v>12.7</v>
      </c>
      <c r="I896" s="2">
        <v>51.01</v>
      </c>
      <c r="J896" s="2">
        <v>-10.79</v>
      </c>
      <c r="K896" s="2">
        <v>-12.95</v>
      </c>
      <c r="L896" s="2">
        <v>-22.85</v>
      </c>
      <c r="M896" s="2">
        <v>-14.61</v>
      </c>
      <c r="N896" s="2">
        <v>36.619999999999997</v>
      </c>
      <c r="O896" s="2">
        <v>30.3</v>
      </c>
      <c r="P896" s="2">
        <v>61.28</v>
      </c>
      <c r="Q896" s="2">
        <v>15.49</v>
      </c>
      <c r="R896" s="2">
        <v>17.91</v>
      </c>
      <c r="S896" s="2">
        <v>-9.1999999999999993</v>
      </c>
      <c r="T896" s="2">
        <v>25.27</v>
      </c>
      <c r="U896" s="2">
        <v>29.62</v>
      </c>
      <c r="V896" s="2">
        <v>28.89</v>
      </c>
      <c r="W896" s="2">
        <v>0</v>
      </c>
      <c r="X896" s="2">
        <v>5.05</v>
      </c>
      <c r="Y896" s="2">
        <v>4.53</v>
      </c>
      <c r="Z896" s="2">
        <v>2.56</v>
      </c>
      <c r="AA896" s="2">
        <v>1.65</v>
      </c>
      <c r="AB896" s="2">
        <v>1.36</v>
      </c>
      <c r="AC896" s="2">
        <v>3.31</v>
      </c>
      <c r="AD896" s="2">
        <v>5.27</v>
      </c>
      <c r="AE896" s="2">
        <v>12.31</v>
      </c>
      <c r="AF896" s="2">
        <v>84.95</v>
      </c>
      <c r="AG896" s="2">
        <v>14.64</v>
      </c>
      <c r="AH896" s="4">
        <f t="shared" si="13"/>
        <v>130.25</v>
      </c>
    </row>
    <row r="897" spans="1:34" x14ac:dyDescent="0.2">
      <c r="A897" s="3">
        <v>35216</v>
      </c>
      <c r="B897" s="2">
        <v>9.5</v>
      </c>
      <c r="C897" s="2">
        <v>36.58</v>
      </c>
      <c r="D897" s="2">
        <v>-3.78</v>
      </c>
      <c r="E897" s="2">
        <v>4.93</v>
      </c>
      <c r="F897" s="2">
        <v>4.8099999999999996</v>
      </c>
      <c r="G897" s="2">
        <v>-3.09</v>
      </c>
      <c r="H897" s="2">
        <v>24.66</v>
      </c>
      <c r="I897" s="2">
        <v>57.79</v>
      </c>
      <c r="J897" s="2">
        <v>10.18</v>
      </c>
      <c r="K897" s="2">
        <v>32.130000000000003</v>
      </c>
      <c r="L897" s="2">
        <v>7.88</v>
      </c>
      <c r="M897" s="2">
        <v>24.99</v>
      </c>
      <c r="N897" s="2">
        <v>45.76</v>
      </c>
      <c r="O897" s="2">
        <v>33.68</v>
      </c>
      <c r="P897" s="2">
        <v>117.11</v>
      </c>
      <c r="Q897" s="2">
        <v>15.56</v>
      </c>
      <c r="R897" s="2">
        <v>25.77</v>
      </c>
      <c r="S897" s="2">
        <v>-10.99</v>
      </c>
      <c r="T897" s="2">
        <v>52.14</v>
      </c>
      <c r="U897" s="2">
        <v>22.76</v>
      </c>
      <c r="V897" s="2">
        <v>34.729999999999997</v>
      </c>
      <c r="W897" s="2">
        <v>4.88</v>
      </c>
      <c r="X897" s="2">
        <v>7.83</v>
      </c>
      <c r="Y897" s="2">
        <v>6.62</v>
      </c>
      <c r="Z897" s="2">
        <v>0.64</v>
      </c>
      <c r="AA897" s="2">
        <v>0.79</v>
      </c>
      <c r="AB897" s="2">
        <v>0.76</v>
      </c>
      <c r="AC897" s="2">
        <v>1.2</v>
      </c>
      <c r="AD897" s="2">
        <v>7.51</v>
      </c>
      <c r="AE897" s="2">
        <v>0.09</v>
      </c>
      <c r="AF897" s="2">
        <v>95.94</v>
      </c>
      <c r="AG897" s="2">
        <v>17.690000000000001</v>
      </c>
      <c r="AH897" s="4">
        <f t="shared" si="13"/>
        <v>543.09999999999991</v>
      </c>
    </row>
    <row r="898" spans="1:34" x14ac:dyDescent="0.2">
      <c r="A898" s="3">
        <v>35246</v>
      </c>
      <c r="B898" s="2">
        <v>8.0399999999999991</v>
      </c>
      <c r="C898" s="2">
        <v>29.96</v>
      </c>
      <c r="D898" s="2">
        <v>-5.03</v>
      </c>
      <c r="E898" s="2">
        <v>-12.83</v>
      </c>
      <c r="F898" s="2">
        <v>-43.67</v>
      </c>
      <c r="G898" s="2">
        <v>-31.78</v>
      </c>
      <c r="H898" s="2">
        <v>5.67</v>
      </c>
      <c r="I898" s="2">
        <v>38.659999999999997</v>
      </c>
      <c r="J898" s="2">
        <v>-39.68</v>
      </c>
      <c r="K898" s="2">
        <v>-1.21</v>
      </c>
      <c r="L898" s="2">
        <v>-27.27</v>
      </c>
      <c r="M898" s="2">
        <v>-18.14</v>
      </c>
      <c r="N898" s="2">
        <v>19.420000000000002</v>
      </c>
      <c r="O898" s="2">
        <v>32.15</v>
      </c>
      <c r="P898" s="2">
        <v>79.650000000000006</v>
      </c>
      <c r="Q898" s="2">
        <v>14.01</v>
      </c>
      <c r="R898" s="2">
        <v>34.28</v>
      </c>
      <c r="S898" s="2">
        <v>-18.649999999999999</v>
      </c>
      <c r="T898" s="2">
        <v>61.03</v>
      </c>
      <c r="U898" s="2">
        <v>19.16</v>
      </c>
      <c r="V898" s="2">
        <v>35.82</v>
      </c>
      <c r="W898" s="2">
        <v>18.62</v>
      </c>
      <c r="X898" s="2">
        <v>12.83</v>
      </c>
      <c r="Y898" s="2">
        <v>12.29</v>
      </c>
      <c r="Z898" s="2">
        <v>0.21</v>
      </c>
      <c r="AA898" s="2">
        <v>0.28000000000000003</v>
      </c>
      <c r="AB898" s="2">
        <v>0.42</v>
      </c>
      <c r="AC898" s="2">
        <v>0.74</v>
      </c>
      <c r="AD898" s="2">
        <v>9.58</v>
      </c>
      <c r="AE898" s="2">
        <v>0.37</v>
      </c>
      <c r="AF898" s="2">
        <v>105</v>
      </c>
      <c r="AG898" s="2">
        <v>22.83</v>
      </c>
      <c r="AH898" s="4">
        <f t="shared" si="13"/>
        <v>179.59</v>
      </c>
    </row>
    <row r="899" spans="1:34" x14ac:dyDescent="0.2">
      <c r="A899" s="3">
        <v>35277</v>
      </c>
      <c r="B899" s="2">
        <v>8.02</v>
      </c>
      <c r="C899" s="2">
        <v>29.13</v>
      </c>
      <c r="D899" s="2">
        <v>-0.68</v>
      </c>
      <c r="E899" s="2">
        <v>9.1</v>
      </c>
      <c r="F899" s="2">
        <v>20.62</v>
      </c>
      <c r="G899" s="2">
        <v>-7.47</v>
      </c>
      <c r="H899" s="2">
        <v>16.670000000000002</v>
      </c>
      <c r="I899" s="2">
        <v>45.31</v>
      </c>
      <c r="J899" s="2">
        <v>-28.73</v>
      </c>
      <c r="K899" s="2">
        <v>24.44</v>
      </c>
      <c r="L899" s="2">
        <v>-14.11</v>
      </c>
      <c r="M899" s="2">
        <v>0.19</v>
      </c>
      <c r="N899" s="2">
        <v>49.09</v>
      </c>
      <c r="O899" s="2">
        <v>42.96</v>
      </c>
      <c r="P899" s="2">
        <v>74.12</v>
      </c>
      <c r="Q899" s="2">
        <v>15.3</v>
      </c>
      <c r="R899" s="2">
        <v>38.159999999999997</v>
      </c>
      <c r="S899" s="2">
        <v>-17.91</v>
      </c>
      <c r="T899" s="2">
        <v>50.34</v>
      </c>
      <c r="U899" s="2">
        <v>23.36</v>
      </c>
      <c r="V899" s="2">
        <v>37.770000000000003</v>
      </c>
      <c r="W899" s="2">
        <v>30.39</v>
      </c>
      <c r="X899" s="2">
        <v>17.78</v>
      </c>
      <c r="Y899" s="2">
        <v>17.73</v>
      </c>
      <c r="Z899" s="2">
        <v>0.19</v>
      </c>
      <c r="AA899" s="2">
        <v>2.17</v>
      </c>
      <c r="AB899" s="2">
        <v>0.64</v>
      </c>
      <c r="AC899" s="2">
        <v>2.02</v>
      </c>
      <c r="AD899" s="2">
        <v>8.5399999999999991</v>
      </c>
      <c r="AE899" s="2">
        <v>1.4</v>
      </c>
      <c r="AF899" s="2">
        <v>114.35</v>
      </c>
      <c r="AG899" s="2">
        <v>24.8</v>
      </c>
      <c r="AH899" s="4">
        <f t="shared" ref="AH899:AH962" si="14">SUM(B899:V899)</f>
        <v>415.67999999999995</v>
      </c>
    </row>
    <row r="900" spans="1:34" x14ac:dyDescent="0.2">
      <c r="A900" s="3">
        <v>35308</v>
      </c>
      <c r="B900" s="2">
        <v>7.01</v>
      </c>
      <c r="C900" s="2">
        <v>31.26</v>
      </c>
      <c r="D900" s="2">
        <v>-0.52</v>
      </c>
      <c r="E900" s="2">
        <v>11.81</v>
      </c>
      <c r="F900" s="2">
        <v>7.17</v>
      </c>
      <c r="G900" s="2">
        <v>8.9499999999999993</v>
      </c>
      <c r="H900" s="2">
        <v>17.940000000000001</v>
      </c>
      <c r="I900" s="2">
        <v>51.01</v>
      </c>
      <c r="J900" s="2">
        <v>-5.4</v>
      </c>
      <c r="K900" s="2">
        <v>31.76</v>
      </c>
      <c r="L900" s="2">
        <v>-7.96</v>
      </c>
      <c r="M900" s="2">
        <v>10.43</v>
      </c>
      <c r="N900" s="2">
        <v>55.24</v>
      </c>
      <c r="O900" s="2">
        <v>37.74</v>
      </c>
      <c r="P900" s="2">
        <v>84.83</v>
      </c>
      <c r="Q900" s="2">
        <v>11.56</v>
      </c>
      <c r="R900" s="2">
        <v>39.46</v>
      </c>
      <c r="S900" s="2">
        <v>17.5</v>
      </c>
      <c r="T900" s="2">
        <v>52.93</v>
      </c>
      <c r="U900" s="2">
        <v>23.32</v>
      </c>
      <c r="V900" s="2">
        <v>37.79</v>
      </c>
      <c r="W900" s="2">
        <v>31.47</v>
      </c>
      <c r="X900" s="2">
        <v>20.03</v>
      </c>
      <c r="Y900" s="2">
        <v>20.170000000000002</v>
      </c>
      <c r="Z900" s="2">
        <v>0.86</v>
      </c>
      <c r="AA900" s="2">
        <v>5.3</v>
      </c>
      <c r="AB900" s="2">
        <v>0.76</v>
      </c>
      <c r="AC900" s="2">
        <v>2.98</v>
      </c>
      <c r="AD900" s="2">
        <v>6.41</v>
      </c>
      <c r="AE900" s="2">
        <v>6.34</v>
      </c>
      <c r="AF900" s="2">
        <v>116.29</v>
      </c>
      <c r="AG900" s="2">
        <v>23.65</v>
      </c>
      <c r="AH900" s="4">
        <f t="shared" si="14"/>
        <v>523.82999999999993</v>
      </c>
    </row>
    <row r="901" spans="1:34" x14ac:dyDescent="0.2">
      <c r="A901" s="3">
        <v>35338</v>
      </c>
      <c r="B901" s="2">
        <v>3.63</v>
      </c>
      <c r="C901" s="2">
        <v>32.06</v>
      </c>
      <c r="D901" s="2">
        <v>0.89</v>
      </c>
      <c r="E901" s="2">
        <v>-10.84</v>
      </c>
      <c r="F901" s="2">
        <v>-4.66</v>
      </c>
      <c r="G901" s="2">
        <v>-1.96</v>
      </c>
      <c r="H901" s="2">
        <v>18.329999999999998</v>
      </c>
      <c r="I901" s="2">
        <v>50.19</v>
      </c>
      <c r="J901" s="2">
        <v>2.4500000000000002</v>
      </c>
      <c r="K901" s="2">
        <v>7.31</v>
      </c>
      <c r="L901" s="2">
        <v>-6.4</v>
      </c>
      <c r="M901" s="2">
        <v>9.91</v>
      </c>
      <c r="N901" s="2">
        <v>45.48</v>
      </c>
      <c r="O901" s="2">
        <v>28.07</v>
      </c>
      <c r="P901" s="2">
        <v>35.56</v>
      </c>
      <c r="Q901" s="2">
        <v>9.19</v>
      </c>
      <c r="R901" s="2">
        <v>31.89</v>
      </c>
      <c r="S901" s="2">
        <v>21.55</v>
      </c>
      <c r="T901" s="2">
        <v>14.13</v>
      </c>
      <c r="U901" s="2">
        <v>21.18</v>
      </c>
      <c r="V901" s="2">
        <v>26.43</v>
      </c>
      <c r="W901" s="2">
        <v>26.1</v>
      </c>
      <c r="X901" s="2">
        <v>18.73</v>
      </c>
      <c r="Y901" s="2">
        <v>18.670000000000002</v>
      </c>
      <c r="Z901" s="2">
        <v>0.97</v>
      </c>
      <c r="AA901" s="2">
        <v>5.68</v>
      </c>
      <c r="AB901" s="2">
        <v>0.95</v>
      </c>
      <c r="AC901" s="2">
        <v>2.27</v>
      </c>
      <c r="AD901" s="2">
        <v>4.7300000000000004</v>
      </c>
      <c r="AE901" s="2">
        <v>0.09</v>
      </c>
      <c r="AF901" s="2">
        <v>108.49</v>
      </c>
      <c r="AG901" s="2">
        <v>20.170000000000002</v>
      </c>
      <c r="AH901" s="4">
        <f t="shared" si="14"/>
        <v>334.39</v>
      </c>
    </row>
    <row r="902" spans="1:34" x14ac:dyDescent="0.2">
      <c r="A902" s="3">
        <v>35369</v>
      </c>
      <c r="B902" s="2">
        <v>0.56000000000000005</v>
      </c>
      <c r="C902" s="2">
        <v>25.14</v>
      </c>
      <c r="D902" s="2">
        <v>-2.95</v>
      </c>
      <c r="E902" s="2">
        <v>-26.4</v>
      </c>
      <c r="F902" s="2">
        <v>-0.94</v>
      </c>
      <c r="G902" s="2">
        <v>-7.41</v>
      </c>
      <c r="H902" s="2">
        <v>15.24</v>
      </c>
      <c r="I902" s="2">
        <v>44.1</v>
      </c>
      <c r="J902" s="2">
        <v>9.94</v>
      </c>
      <c r="K902" s="2">
        <v>13.45</v>
      </c>
      <c r="L902" s="2">
        <v>4.0599999999999996</v>
      </c>
      <c r="M902" s="2">
        <v>11.65</v>
      </c>
      <c r="N902" s="2">
        <v>37</v>
      </c>
      <c r="O902" s="2">
        <v>22.24</v>
      </c>
      <c r="P902" s="2">
        <v>45.26</v>
      </c>
      <c r="Q902" s="2">
        <v>5.19</v>
      </c>
      <c r="R902" s="2">
        <v>18.41</v>
      </c>
      <c r="S902" s="2">
        <v>15.58</v>
      </c>
      <c r="T902" s="2">
        <v>21.36</v>
      </c>
      <c r="U902" s="2">
        <v>11.99</v>
      </c>
      <c r="V902" s="2">
        <v>24.06</v>
      </c>
      <c r="W902" s="2">
        <v>22.19</v>
      </c>
      <c r="X902" s="2">
        <v>17.28</v>
      </c>
      <c r="Y902" s="2">
        <v>17.190000000000001</v>
      </c>
      <c r="Z902" s="2">
        <v>3.52</v>
      </c>
      <c r="AA902" s="2">
        <v>3.62</v>
      </c>
      <c r="AB902" s="2">
        <v>1.35</v>
      </c>
      <c r="AC902" s="2">
        <v>2.92</v>
      </c>
      <c r="AD902" s="2">
        <v>3.53</v>
      </c>
      <c r="AE902" s="2">
        <v>1.77</v>
      </c>
      <c r="AF902" s="2">
        <v>97.96</v>
      </c>
      <c r="AG902" s="2">
        <v>16.420000000000002</v>
      </c>
      <c r="AH902" s="4">
        <f t="shared" si="14"/>
        <v>287.53000000000003</v>
      </c>
    </row>
    <row r="903" spans="1:34" x14ac:dyDescent="0.2">
      <c r="A903" s="3">
        <v>35399</v>
      </c>
      <c r="B903" s="2">
        <v>1.1399999999999999</v>
      </c>
      <c r="C903" s="2">
        <v>24.35</v>
      </c>
      <c r="D903" s="2">
        <v>8.61</v>
      </c>
      <c r="E903" s="2">
        <v>8.17</v>
      </c>
      <c r="F903" s="2">
        <v>11.22</v>
      </c>
      <c r="G903" s="2">
        <v>7.55</v>
      </c>
      <c r="H903" s="2">
        <v>19.559999999999999</v>
      </c>
      <c r="I903" s="2">
        <v>44.43</v>
      </c>
      <c r="J903" s="2">
        <v>15.42</v>
      </c>
      <c r="K903" s="2">
        <v>10.97</v>
      </c>
      <c r="L903" s="2">
        <v>1.79</v>
      </c>
      <c r="M903" s="2">
        <v>8.8800000000000008</v>
      </c>
      <c r="N903" s="2">
        <v>22.69</v>
      </c>
      <c r="O903" s="2">
        <v>22.41</v>
      </c>
      <c r="P903" s="2">
        <v>42.36</v>
      </c>
      <c r="Q903" s="2">
        <v>5.18</v>
      </c>
      <c r="R903" s="2">
        <v>17.170000000000002</v>
      </c>
      <c r="S903" s="2">
        <v>33.51</v>
      </c>
      <c r="T903" s="2">
        <v>11.95</v>
      </c>
      <c r="U903" s="2">
        <v>14.65</v>
      </c>
      <c r="V903" s="2">
        <v>23.75</v>
      </c>
      <c r="W903" s="2">
        <v>15.43</v>
      </c>
      <c r="X903" s="2">
        <v>11.34</v>
      </c>
      <c r="Y903" s="2">
        <v>10.15</v>
      </c>
      <c r="Z903" s="2">
        <v>6.05</v>
      </c>
      <c r="AA903" s="2">
        <v>4.22</v>
      </c>
      <c r="AB903" s="2">
        <v>2.67</v>
      </c>
      <c r="AC903" s="2">
        <v>6.49</v>
      </c>
      <c r="AD903" s="2">
        <v>2.39</v>
      </c>
      <c r="AE903" s="2">
        <v>11.84</v>
      </c>
      <c r="AF903" s="2">
        <v>64.510000000000005</v>
      </c>
      <c r="AG903" s="2">
        <v>12.92</v>
      </c>
      <c r="AH903" s="4">
        <f t="shared" si="14"/>
        <v>355.75999999999993</v>
      </c>
    </row>
    <row r="904" spans="1:34" x14ac:dyDescent="0.2">
      <c r="A904" s="3">
        <v>35430</v>
      </c>
      <c r="B904" s="2">
        <v>10.08</v>
      </c>
      <c r="C904" s="2">
        <v>43.15</v>
      </c>
      <c r="D904" s="2">
        <v>56.61</v>
      </c>
      <c r="E904" s="2">
        <v>201.29</v>
      </c>
      <c r="F904" s="2">
        <v>223.61</v>
      </c>
      <c r="G904" s="2">
        <v>140.24</v>
      </c>
      <c r="H904" s="2">
        <v>63.15</v>
      </c>
      <c r="I904" s="2">
        <v>68.23</v>
      </c>
      <c r="J904" s="2">
        <v>144.86000000000001</v>
      </c>
      <c r="K904" s="2">
        <v>136.81</v>
      </c>
      <c r="L904" s="2">
        <v>95</v>
      </c>
      <c r="M904" s="2">
        <v>93.07</v>
      </c>
      <c r="N904" s="2">
        <v>136.1</v>
      </c>
      <c r="O904" s="2">
        <v>22.27</v>
      </c>
      <c r="P904" s="2">
        <v>127.51</v>
      </c>
      <c r="Q904" s="2">
        <v>-2.04</v>
      </c>
      <c r="R904" s="2">
        <v>17.739999999999998</v>
      </c>
      <c r="S904" s="2">
        <v>73.33</v>
      </c>
      <c r="T904" s="2">
        <v>31.04</v>
      </c>
      <c r="U904" s="2">
        <v>18.32</v>
      </c>
      <c r="V904" s="2">
        <v>22.56</v>
      </c>
      <c r="W904" s="2">
        <v>11.73</v>
      </c>
      <c r="X904" s="2">
        <v>9.19</v>
      </c>
      <c r="Y904" s="2">
        <v>9.26</v>
      </c>
      <c r="Z904" s="2">
        <v>3.42</v>
      </c>
      <c r="AA904" s="2">
        <v>8.99</v>
      </c>
      <c r="AB904" s="2">
        <v>4.7</v>
      </c>
      <c r="AC904" s="2">
        <v>6.5</v>
      </c>
      <c r="AD904" s="2">
        <v>2.38</v>
      </c>
      <c r="AE904" s="2">
        <v>20.04</v>
      </c>
      <c r="AF904" s="2">
        <v>59.46</v>
      </c>
      <c r="AG904" s="2">
        <v>11.2</v>
      </c>
      <c r="AH904" s="4">
        <f t="shared" si="14"/>
        <v>1722.9299999999996</v>
      </c>
    </row>
    <row r="905" spans="1:34" x14ac:dyDescent="0.2">
      <c r="A905" s="3">
        <v>35461</v>
      </c>
      <c r="B905" s="2">
        <v>13.6</v>
      </c>
      <c r="C905" s="2">
        <v>58.92</v>
      </c>
      <c r="D905" s="2">
        <v>88.78</v>
      </c>
      <c r="E905" s="2">
        <v>290.68</v>
      </c>
      <c r="F905" s="2">
        <v>347.2</v>
      </c>
      <c r="G905" s="2">
        <v>282.27</v>
      </c>
      <c r="H905" s="2">
        <v>9.33</v>
      </c>
      <c r="I905" s="2">
        <v>61.09</v>
      </c>
      <c r="J905" s="2">
        <v>167.41</v>
      </c>
      <c r="K905" s="2">
        <v>206.63</v>
      </c>
      <c r="L905" s="2">
        <v>116.94</v>
      </c>
      <c r="M905" s="2">
        <v>138.33000000000001</v>
      </c>
      <c r="N905" s="2">
        <v>264.27999999999997</v>
      </c>
      <c r="O905" s="2">
        <v>20.72</v>
      </c>
      <c r="P905" s="2">
        <v>256.97000000000003</v>
      </c>
      <c r="Q905" s="2">
        <v>12.15</v>
      </c>
      <c r="R905" s="2">
        <v>28.23</v>
      </c>
      <c r="S905" s="2">
        <v>146.22999999999999</v>
      </c>
      <c r="T905" s="2">
        <v>74.260000000000005</v>
      </c>
      <c r="U905" s="2">
        <v>27.26</v>
      </c>
      <c r="V905" s="2">
        <v>32.42</v>
      </c>
      <c r="W905" s="2">
        <v>4.26</v>
      </c>
      <c r="X905" s="2">
        <v>9.2200000000000006</v>
      </c>
      <c r="Y905" s="2">
        <v>8.16</v>
      </c>
      <c r="Z905" s="2">
        <v>6.79</v>
      </c>
      <c r="AA905" s="2">
        <v>7.78</v>
      </c>
      <c r="AB905" s="2">
        <v>4.63</v>
      </c>
      <c r="AC905" s="2">
        <v>9.49</v>
      </c>
      <c r="AD905" s="2">
        <v>2.31</v>
      </c>
      <c r="AE905" s="2">
        <v>50.06</v>
      </c>
      <c r="AF905" s="2">
        <v>69.790000000000006</v>
      </c>
      <c r="AG905" s="2">
        <v>9.8800000000000008</v>
      </c>
      <c r="AH905" s="4">
        <f t="shared" si="14"/>
        <v>2643.7000000000003</v>
      </c>
    </row>
    <row r="906" spans="1:34" x14ac:dyDescent="0.2">
      <c r="A906" s="3">
        <v>35489</v>
      </c>
      <c r="B906" s="2">
        <v>6.54</v>
      </c>
      <c r="C906" s="2">
        <v>29.55</v>
      </c>
      <c r="D906" s="2">
        <v>-40.79</v>
      </c>
      <c r="E906" s="2">
        <v>-167.41</v>
      </c>
      <c r="F906" s="2">
        <v>-195.84</v>
      </c>
      <c r="G906" s="2">
        <v>-67.989999999999995</v>
      </c>
      <c r="H906" s="2">
        <v>14.22</v>
      </c>
      <c r="I906" s="2">
        <v>60.15</v>
      </c>
      <c r="J906" s="2">
        <v>-1.22</v>
      </c>
      <c r="K906" s="2">
        <v>-52.62</v>
      </c>
      <c r="L906" s="2">
        <v>-6.06</v>
      </c>
      <c r="M906" s="2">
        <v>-27.93</v>
      </c>
      <c r="N906" s="2">
        <v>59.9</v>
      </c>
      <c r="O906" s="2">
        <v>22.07</v>
      </c>
      <c r="P906" s="2">
        <v>103.84</v>
      </c>
      <c r="Q906" s="2">
        <v>30.31</v>
      </c>
      <c r="R906" s="2">
        <v>36.11</v>
      </c>
      <c r="S906" s="2">
        <v>-15.12</v>
      </c>
      <c r="T906" s="2">
        <v>46.71</v>
      </c>
      <c r="U906" s="2">
        <v>26.22</v>
      </c>
      <c r="V906" s="2">
        <v>28.25</v>
      </c>
      <c r="W906" s="2">
        <v>0</v>
      </c>
      <c r="X906" s="2">
        <v>3.3</v>
      </c>
      <c r="Y906" s="2">
        <v>3.38</v>
      </c>
      <c r="Z906" s="2">
        <v>6.93</v>
      </c>
      <c r="AA906" s="2">
        <v>7.35</v>
      </c>
      <c r="AB906" s="2">
        <v>4.6399999999999997</v>
      </c>
      <c r="AC906" s="2">
        <v>9.07</v>
      </c>
      <c r="AD906" s="2">
        <v>2.6</v>
      </c>
      <c r="AE906" s="2">
        <v>7.18</v>
      </c>
      <c r="AF906" s="2">
        <v>58.18</v>
      </c>
      <c r="AG906" s="2">
        <v>10.08</v>
      </c>
      <c r="AH906" s="4">
        <f t="shared" si="14"/>
        <v>-111.11000000000001</v>
      </c>
    </row>
    <row r="907" spans="1:34" x14ac:dyDescent="0.2">
      <c r="A907" s="3">
        <v>35520</v>
      </c>
      <c r="B907" s="2">
        <v>1.69</v>
      </c>
      <c r="C907" s="2">
        <v>24.4</v>
      </c>
      <c r="D907" s="2">
        <v>-26.58</v>
      </c>
      <c r="E907" s="2">
        <v>-103.77</v>
      </c>
      <c r="F907" s="2">
        <v>-112.4</v>
      </c>
      <c r="G907" s="2">
        <v>-102.82</v>
      </c>
      <c r="H907" s="2">
        <v>7.72</v>
      </c>
      <c r="I907" s="2">
        <v>51.67</v>
      </c>
      <c r="J907" s="2">
        <v>-42.09</v>
      </c>
      <c r="K907" s="2">
        <v>-86.41</v>
      </c>
      <c r="L907" s="2">
        <v>-70.97</v>
      </c>
      <c r="M907" s="2">
        <v>-68.27</v>
      </c>
      <c r="N907" s="2">
        <v>0.62</v>
      </c>
      <c r="O907" s="2">
        <v>23.35</v>
      </c>
      <c r="P907" s="2">
        <v>38</v>
      </c>
      <c r="Q907" s="2">
        <v>23.22</v>
      </c>
      <c r="R907" s="2">
        <v>41.24</v>
      </c>
      <c r="S907" s="2">
        <v>-6.78</v>
      </c>
      <c r="T907" s="2">
        <v>36.619999999999997</v>
      </c>
      <c r="U907" s="2">
        <v>19.649999999999999</v>
      </c>
      <c r="V907" s="2">
        <v>39.270000000000003</v>
      </c>
      <c r="W907" s="2">
        <v>0</v>
      </c>
      <c r="X907" s="2">
        <v>4.1399999999999997</v>
      </c>
      <c r="Y907" s="2">
        <v>3.38</v>
      </c>
      <c r="Z907" s="2">
        <v>5.85</v>
      </c>
      <c r="AA907" s="2">
        <v>5.0199999999999996</v>
      </c>
      <c r="AB907" s="2">
        <v>2.14</v>
      </c>
      <c r="AC907" s="2">
        <v>9.06</v>
      </c>
      <c r="AD907" s="2">
        <v>4.34</v>
      </c>
      <c r="AE907" s="2">
        <v>24.42</v>
      </c>
      <c r="AF907" s="2">
        <v>68.66</v>
      </c>
      <c r="AG907" s="2">
        <v>10.69</v>
      </c>
      <c r="AH907" s="4">
        <f t="shared" si="14"/>
        <v>-312.63999999999987</v>
      </c>
    </row>
    <row r="908" spans="1:34" x14ac:dyDescent="0.2">
      <c r="A908" s="3">
        <v>35550</v>
      </c>
      <c r="B908" s="2">
        <v>3.35</v>
      </c>
      <c r="C908" s="2">
        <v>26.26</v>
      </c>
      <c r="D908" s="2">
        <v>12.3</v>
      </c>
      <c r="E908" s="2">
        <v>-41.87</v>
      </c>
      <c r="F908" s="2">
        <v>-7.36</v>
      </c>
      <c r="G908" s="2">
        <v>-54.76</v>
      </c>
      <c r="H908" s="2">
        <v>6.23</v>
      </c>
      <c r="I908" s="2">
        <v>58.2</v>
      </c>
      <c r="J908" s="2">
        <v>-44.36</v>
      </c>
      <c r="K908" s="2">
        <v>-36.340000000000003</v>
      </c>
      <c r="L908" s="2">
        <v>-49.59</v>
      </c>
      <c r="M908" s="2">
        <v>-27.87</v>
      </c>
      <c r="N908" s="2">
        <v>30.23</v>
      </c>
      <c r="O908" s="2">
        <v>31.11</v>
      </c>
      <c r="P908" s="2">
        <v>34.130000000000003</v>
      </c>
      <c r="Q908" s="2">
        <v>10.82</v>
      </c>
      <c r="R908" s="2">
        <v>36.590000000000003</v>
      </c>
      <c r="S908" s="2">
        <v>-26.3</v>
      </c>
      <c r="T908" s="2">
        <v>20.51</v>
      </c>
      <c r="U908" s="2">
        <v>17.989999999999998</v>
      </c>
      <c r="V908" s="2">
        <v>27.51</v>
      </c>
      <c r="W908" s="2">
        <v>0</v>
      </c>
      <c r="X908" s="2">
        <v>5.05</v>
      </c>
      <c r="Y908" s="2">
        <v>4.53</v>
      </c>
      <c r="Z908" s="2">
        <v>2.56</v>
      </c>
      <c r="AA908" s="2">
        <v>1.65</v>
      </c>
      <c r="AB908" s="2">
        <v>1.36</v>
      </c>
      <c r="AC908" s="2">
        <v>3.31</v>
      </c>
      <c r="AD908" s="2">
        <v>5.27</v>
      </c>
      <c r="AE908" s="2">
        <v>5.31</v>
      </c>
      <c r="AF908" s="2">
        <v>84.95</v>
      </c>
      <c r="AG908" s="2">
        <v>14.64</v>
      </c>
      <c r="AH908" s="4">
        <f t="shared" si="14"/>
        <v>26.780000000000012</v>
      </c>
    </row>
    <row r="909" spans="1:34" x14ac:dyDescent="0.2">
      <c r="A909" s="3">
        <v>35581</v>
      </c>
      <c r="B909" s="2">
        <v>4.0999999999999996</v>
      </c>
      <c r="C909" s="2">
        <v>25.59</v>
      </c>
      <c r="D909" s="2">
        <v>-1</v>
      </c>
      <c r="E909" s="2">
        <v>-13.39</v>
      </c>
      <c r="F909" s="2">
        <v>-3.41</v>
      </c>
      <c r="G909" s="2">
        <v>-19</v>
      </c>
      <c r="H909" s="2">
        <v>13.35</v>
      </c>
      <c r="I909" s="2">
        <v>36.4</v>
      </c>
      <c r="J909" s="2">
        <v>-21.89</v>
      </c>
      <c r="K909" s="2">
        <v>7.78</v>
      </c>
      <c r="L909" s="2">
        <v>-9.85</v>
      </c>
      <c r="M909" s="2">
        <v>0.34</v>
      </c>
      <c r="N909" s="2">
        <v>32.15</v>
      </c>
      <c r="O909" s="2">
        <v>32.32</v>
      </c>
      <c r="P909" s="2">
        <v>84.27</v>
      </c>
      <c r="Q909" s="2">
        <v>11.58</v>
      </c>
      <c r="R909" s="2">
        <v>25.06</v>
      </c>
      <c r="S909" s="2">
        <v>-8.6</v>
      </c>
      <c r="T909" s="2">
        <v>42.11</v>
      </c>
      <c r="U909" s="2">
        <v>17.649999999999999</v>
      </c>
      <c r="V909" s="2">
        <v>36.22</v>
      </c>
      <c r="W909" s="2">
        <v>4.88</v>
      </c>
      <c r="X909" s="2">
        <v>7.83</v>
      </c>
      <c r="Y909" s="2">
        <v>6.62</v>
      </c>
      <c r="Z909" s="2">
        <v>0.64</v>
      </c>
      <c r="AA909" s="2">
        <v>0.79</v>
      </c>
      <c r="AB909" s="2">
        <v>0.76</v>
      </c>
      <c r="AC909" s="2">
        <v>1.2</v>
      </c>
      <c r="AD909" s="2">
        <v>7.51</v>
      </c>
      <c r="AE909" s="2">
        <v>1.68</v>
      </c>
      <c r="AF909" s="2">
        <v>95.94</v>
      </c>
      <c r="AG909" s="2">
        <v>17.690000000000001</v>
      </c>
      <c r="AH909" s="4">
        <f t="shared" si="14"/>
        <v>291.78000000000003</v>
      </c>
    </row>
    <row r="910" spans="1:34" x14ac:dyDescent="0.2">
      <c r="A910" s="3">
        <v>35611</v>
      </c>
      <c r="B910" s="2">
        <v>6.89</v>
      </c>
      <c r="C910" s="2">
        <v>31.49</v>
      </c>
      <c r="D910" s="2">
        <v>6.96</v>
      </c>
      <c r="E910" s="2">
        <v>12.03</v>
      </c>
      <c r="F910" s="2">
        <v>22.58</v>
      </c>
      <c r="G910" s="2">
        <v>-0.59</v>
      </c>
      <c r="H910" s="2">
        <v>22.64</v>
      </c>
      <c r="I910" s="2">
        <v>42.75</v>
      </c>
      <c r="J910" s="2">
        <v>-22.72</v>
      </c>
      <c r="K910" s="2">
        <v>24.2</v>
      </c>
      <c r="L910" s="2">
        <v>-11.31</v>
      </c>
      <c r="M910" s="2">
        <v>0.32</v>
      </c>
      <c r="N910" s="2">
        <v>42.85</v>
      </c>
      <c r="O910" s="2">
        <v>25.01</v>
      </c>
      <c r="P910" s="2">
        <v>83.79</v>
      </c>
      <c r="Q910" s="2">
        <v>12.56</v>
      </c>
      <c r="R910" s="2">
        <v>32.450000000000003</v>
      </c>
      <c r="S910" s="2">
        <v>-23.53</v>
      </c>
      <c r="T910" s="2">
        <v>67.319999999999993</v>
      </c>
      <c r="U910" s="2">
        <v>15.51</v>
      </c>
      <c r="V910" s="2">
        <v>37.83</v>
      </c>
      <c r="W910" s="2">
        <v>18.62</v>
      </c>
      <c r="X910" s="2">
        <v>12.83</v>
      </c>
      <c r="Y910" s="2">
        <v>12.29</v>
      </c>
      <c r="Z910" s="2">
        <v>0.21</v>
      </c>
      <c r="AA910" s="2">
        <v>0.28000000000000003</v>
      </c>
      <c r="AB910" s="2">
        <v>0.42</v>
      </c>
      <c r="AC910" s="2">
        <v>0.74</v>
      </c>
      <c r="AD910" s="2">
        <v>9.58</v>
      </c>
      <c r="AE910" s="2">
        <v>0</v>
      </c>
      <c r="AF910" s="2">
        <v>105</v>
      </c>
      <c r="AG910" s="2">
        <v>22.83</v>
      </c>
      <c r="AH910" s="4">
        <f t="shared" si="14"/>
        <v>429.03</v>
      </c>
    </row>
    <row r="911" spans="1:34" x14ac:dyDescent="0.2">
      <c r="A911" s="3">
        <v>35642</v>
      </c>
      <c r="B911" s="2">
        <v>6.84</v>
      </c>
      <c r="C911" s="2">
        <v>29.56</v>
      </c>
      <c r="D911" s="2">
        <v>8.75</v>
      </c>
      <c r="E911" s="2">
        <v>18.260000000000002</v>
      </c>
      <c r="F911" s="2">
        <v>42.86</v>
      </c>
      <c r="G911" s="2">
        <v>3.62</v>
      </c>
      <c r="H911" s="2">
        <v>27.25</v>
      </c>
      <c r="I911" s="2">
        <v>48.35</v>
      </c>
      <c r="J911" s="2">
        <v>-17.13</v>
      </c>
      <c r="K911" s="2">
        <v>37.479999999999997</v>
      </c>
      <c r="L911" s="2">
        <v>-11.38</v>
      </c>
      <c r="M911" s="2">
        <v>12.22</v>
      </c>
      <c r="N911" s="2">
        <v>57.64</v>
      </c>
      <c r="O911" s="2">
        <v>38.799999999999997</v>
      </c>
      <c r="P911" s="2">
        <v>73.58</v>
      </c>
      <c r="Q911" s="2">
        <v>15.52</v>
      </c>
      <c r="R911" s="2">
        <v>35.93</v>
      </c>
      <c r="S911" s="2">
        <v>-0.85</v>
      </c>
      <c r="T911" s="2">
        <v>55.59</v>
      </c>
      <c r="U911" s="2">
        <v>22.08</v>
      </c>
      <c r="V911" s="2">
        <v>42.6</v>
      </c>
      <c r="W911" s="2">
        <v>30.39</v>
      </c>
      <c r="X911" s="2">
        <v>17.78</v>
      </c>
      <c r="Y911" s="2">
        <v>17.73</v>
      </c>
      <c r="Z911" s="2">
        <v>0.19</v>
      </c>
      <c r="AA911" s="2">
        <v>2.17</v>
      </c>
      <c r="AB911" s="2">
        <v>0.64</v>
      </c>
      <c r="AC911" s="2">
        <v>2.02</v>
      </c>
      <c r="AD911" s="2">
        <v>8.5399999999999991</v>
      </c>
      <c r="AE911" s="2">
        <v>0</v>
      </c>
      <c r="AF911" s="2">
        <v>114.35</v>
      </c>
      <c r="AG911" s="2">
        <v>24.8</v>
      </c>
      <c r="AH911" s="4">
        <f t="shared" si="14"/>
        <v>547.56999999999994</v>
      </c>
    </row>
    <row r="912" spans="1:34" x14ac:dyDescent="0.2">
      <c r="A912" s="3">
        <v>35673</v>
      </c>
      <c r="B912" s="2">
        <v>4.42</v>
      </c>
      <c r="C912" s="2">
        <v>30.77</v>
      </c>
      <c r="D912" s="2">
        <v>3.54</v>
      </c>
      <c r="E912" s="2">
        <v>2.4</v>
      </c>
      <c r="F912" s="2">
        <v>8.42</v>
      </c>
      <c r="G912" s="2">
        <v>9.93</v>
      </c>
      <c r="H912" s="2">
        <v>18.989999999999998</v>
      </c>
      <c r="I912" s="2">
        <v>53.37</v>
      </c>
      <c r="J912" s="2">
        <v>-1.53</v>
      </c>
      <c r="K912" s="2">
        <v>42.86</v>
      </c>
      <c r="L912" s="2">
        <v>-4.5</v>
      </c>
      <c r="M912" s="2">
        <v>12.49</v>
      </c>
      <c r="N912" s="2">
        <v>61.44</v>
      </c>
      <c r="O912" s="2">
        <v>30.93</v>
      </c>
      <c r="P912" s="2">
        <v>88.45</v>
      </c>
      <c r="Q912" s="2">
        <v>11.37</v>
      </c>
      <c r="R912" s="2">
        <v>37.24</v>
      </c>
      <c r="S912" s="2">
        <v>7.66</v>
      </c>
      <c r="T912" s="2">
        <v>57.3</v>
      </c>
      <c r="U912" s="2">
        <v>24.37</v>
      </c>
      <c r="V912" s="2">
        <v>41.48</v>
      </c>
      <c r="W912" s="2">
        <v>31.47</v>
      </c>
      <c r="X912" s="2">
        <v>20.03</v>
      </c>
      <c r="Y912" s="2">
        <v>20.170000000000002</v>
      </c>
      <c r="Z912" s="2">
        <v>0.86</v>
      </c>
      <c r="AA912" s="2">
        <v>5.3</v>
      </c>
      <c r="AB912" s="2">
        <v>0.76</v>
      </c>
      <c r="AC912" s="2">
        <v>2.98</v>
      </c>
      <c r="AD912" s="2">
        <v>6.41</v>
      </c>
      <c r="AE912" s="2">
        <v>18.27</v>
      </c>
      <c r="AF912" s="2">
        <v>116.29</v>
      </c>
      <c r="AG912" s="2">
        <v>23.65</v>
      </c>
      <c r="AH912" s="4">
        <f t="shared" si="14"/>
        <v>541.40000000000009</v>
      </c>
    </row>
    <row r="913" spans="1:34" x14ac:dyDescent="0.2">
      <c r="A913" s="3">
        <v>35703</v>
      </c>
      <c r="B913" s="2">
        <v>1.79</v>
      </c>
      <c r="C913" s="2">
        <v>31.13</v>
      </c>
      <c r="D913" s="2">
        <v>1.79</v>
      </c>
      <c r="E913" s="2">
        <v>-12.75</v>
      </c>
      <c r="F913" s="2">
        <v>-2.97</v>
      </c>
      <c r="G913" s="2">
        <v>-2.16</v>
      </c>
      <c r="H913" s="2">
        <v>20.100000000000001</v>
      </c>
      <c r="I913" s="2">
        <v>54.3</v>
      </c>
      <c r="J913" s="2">
        <v>7.25</v>
      </c>
      <c r="K913" s="2">
        <v>10.06</v>
      </c>
      <c r="L913" s="2">
        <v>2.57</v>
      </c>
      <c r="M913" s="2">
        <v>10.29</v>
      </c>
      <c r="N913" s="2">
        <v>47.82</v>
      </c>
      <c r="O913" s="2">
        <v>28.5</v>
      </c>
      <c r="P913" s="2">
        <v>52.58</v>
      </c>
      <c r="Q913" s="2">
        <v>12.01</v>
      </c>
      <c r="R913" s="2">
        <v>32.53</v>
      </c>
      <c r="S913" s="2">
        <v>8.8000000000000007</v>
      </c>
      <c r="T913" s="2">
        <v>13.04</v>
      </c>
      <c r="U913" s="2">
        <v>21.96</v>
      </c>
      <c r="V913" s="2">
        <v>18.75</v>
      </c>
      <c r="W913" s="2">
        <v>26.1</v>
      </c>
      <c r="X913" s="2">
        <v>18.73</v>
      </c>
      <c r="Y913" s="2">
        <v>18.670000000000002</v>
      </c>
      <c r="Z913" s="2">
        <v>0.97</v>
      </c>
      <c r="AA913" s="2">
        <v>5.68</v>
      </c>
      <c r="AB913" s="2">
        <v>0.95</v>
      </c>
      <c r="AC913" s="2">
        <v>2.27</v>
      </c>
      <c r="AD913" s="2">
        <v>4.7300000000000004</v>
      </c>
      <c r="AE913" s="2">
        <v>0</v>
      </c>
      <c r="AF913" s="2">
        <v>108.49</v>
      </c>
      <c r="AG913" s="2">
        <v>20.170000000000002</v>
      </c>
      <c r="AH913" s="4">
        <f t="shared" si="14"/>
        <v>357.39000000000004</v>
      </c>
    </row>
    <row r="914" spans="1:34" x14ac:dyDescent="0.2">
      <c r="A914" s="3">
        <v>35734</v>
      </c>
      <c r="B914" s="2">
        <v>-0.03</v>
      </c>
      <c r="C914" s="2">
        <v>19.440000000000001</v>
      </c>
      <c r="D914" s="2">
        <v>-8.94</v>
      </c>
      <c r="E914" s="2">
        <v>-24.97</v>
      </c>
      <c r="F914" s="2">
        <v>8.67</v>
      </c>
      <c r="G914" s="2">
        <v>0.37</v>
      </c>
      <c r="H914" s="2">
        <v>19.059999999999999</v>
      </c>
      <c r="I914" s="2">
        <v>49.8</v>
      </c>
      <c r="J914" s="2">
        <v>1.7</v>
      </c>
      <c r="K914" s="2">
        <v>3.15</v>
      </c>
      <c r="L914" s="2">
        <v>12.83</v>
      </c>
      <c r="M914" s="2">
        <v>8.8800000000000008</v>
      </c>
      <c r="N914" s="2">
        <v>37.75</v>
      </c>
      <c r="O914" s="2">
        <v>14.97</v>
      </c>
      <c r="P914" s="2">
        <v>56.78</v>
      </c>
      <c r="Q914" s="2">
        <v>6.99</v>
      </c>
      <c r="R914" s="2">
        <v>20.329999999999998</v>
      </c>
      <c r="S914" s="2">
        <v>-13.58</v>
      </c>
      <c r="T914" s="2">
        <v>18.399999999999999</v>
      </c>
      <c r="U914" s="2">
        <v>14.46</v>
      </c>
      <c r="V914" s="2">
        <v>24.94</v>
      </c>
      <c r="W914" s="2">
        <v>22.19</v>
      </c>
      <c r="X914" s="2">
        <v>17.28</v>
      </c>
      <c r="Y914" s="2">
        <v>17.190000000000001</v>
      </c>
      <c r="Z914" s="2">
        <v>3.52</v>
      </c>
      <c r="AA914" s="2">
        <v>3.62</v>
      </c>
      <c r="AB914" s="2">
        <v>1.35</v>
      </c>
      <c r="AC914" s="2">
        <v>2.92</v>
      </c>
      <c r="AD914" s="2">
        <v>3.53</v>
      </c>
      <c r="AE914" s="2">
        <v>5.78</v>
      </c>
      <c r="AF914" s="2">
        <v>97.96</v>
      </c>
      <c r="AG914" s="2">
        <v>16.420000000000002</v>
      </c>
      <c r="AH914" s="4">
        <f t="shared" si="14"/>
        <v>271.00000000000006</v>
      </c>
    </row>
    <row r="915" spans="1:34" x14ac:dyDescent="0.2">
      <c r="A915" s="3">
        <v>35764</v>
      </c>
      <c r="B915" s="2">
        <v>0.87</v>
      </c>
      <c r="C915" s="2">
        <v>30.88</v>
      </c>
      <c r="D915" s="2">
        <v>31.46</v>
      </c>
      <c r="E915" s="2">
        <v>54.05</v>
      </c>
      <c r="F915" s="2">
        <v>34.85</v>
      </c>
      <c r="G915" s="2">
        <v>45.7</v>
      </c>
      <c r="H915" s="2">
        <v>26.31</v>
      </c>
      <c r="I915" s="2">
        <v>53.03</v>
      </c>
      <c r="J915" s="2">
        <v>25.71</v>
      </c>
      <c r="K915" s="2">
        <v>29.48</v>
      </c>
      <c r="L915" s="2">
        <v>-2.2599999999999998</v>
      </c>
      <c r="M915" s="2">
        <v>15.51</v>
      </c>
      <c r="N915" s="2">
        <v>34.090000000000003</v>
      </c>
      <c r="O915" s="2">
        <v>21.16</v>
      </c>
      <c r="P915" s="2">
        <v>45.56</v>
      </c>
      <c r="Q915" s="2">
        <v>1.94</v>
      </c>
      <c r="R915" s="2">
        <v>16.13</v>
      </c>
      <c r="S915" s="2">
        <v>21.58</v>
      </c>
      <c r="T915" s="2">
        <v>13.95</v>
      </c>
      <c r="U915" s="2">
        <v>14.38</v>
      </c>
      <c r="V915" s="2">
        <v>20.14</v>
      </c>
      <c r="W915" s="2">
        <v>15.43</v>
      </c>
      <c r="X915" s="2">
        <v>11.34</v>
      </c>
      <c r="Y915" s="2">
        <v>10.15</v>
      </c>
      <c r="Z915" s="2">
        <v>6.05</v>
      </c>
      <c r="AA915" s="2">
        <v>4.22</v>
      </c>
      <c r="AB915" s="2">
        <v>2.67</v>
      </c>
      <c r="AC915" s="2">
        <v>6.49</v>
      </c>
      <c r="AD915" s="2">
        <v>2.39</v>
      </c>
      <c r="AE915" s="2">
        <v>8.67</v>
      </c>
      <c r="AF915" s="2">
        <v>64.510000000000005</v>
      </c>
      <c r="AG915" s="2">
        <v>12.92</v>
      </c>
      <c r="AH915" s="4">
        <f t="shared" si="14"/>
        <v>534.52</v>
      </c>
    </row>
    <row r="916" spans="1:34" x14ac:dyDescent="0.2">
      <c r="A916" s="3">
        <v>35795</v>
      </c>
      <c r="B916" s="2">
        <v>-0.31</v>
      </c>
      <c r="C916" s="2">
        <v>29.51</v>
      </c>
      <c r="D916" s="2">
        <v>20.37</v>
      </c>
      <c r="E916" s="2">
        <v>27.41</v>
      </c>
      <c r="F916" s="2">
        <v>21.59</v>
      </c>
      <c r="G916" s="2">
        <v>26.52</v>
      </c>
      <c r="H916" s="2">
        <v>15.64</v>
      </c>
      <c r="I916" s="2">
        <v>48.7</v>
      </c>
      <c r="J916" s="2">
        <v>21.48</v>
      </c>
      <c r="K916" s="2">
        <v>13.83</v>
      </c>
      <c r="L916" s="2">
        <v>-8.92</v>
      </c>
      <c r="M916" s="2">
        <v>1.3</v>
      </c>
      <c r="N916" s="2">
        <v>20.92</v>
      </c>
      <c r="O916" s="2">
        <v>20.91</v>
      </c>
      <c r="P916" s="2">
        <v>37.81</v>
      </c>
      <c r="Q916" s="2">
        <v>4.74</v>
      </c>
      <c r="R916" s="2">
        <v>16.899999999999999</v>
      </c>
      <c r="S916" s="2">
        <v>33.29</v>
      </c>
      <c r="T916" s="2">
        <v>19.28</v>
      </c>
      <c r="U916" s="2">
        <v>14.88</v>
      </c>
      <c r="V916" s="2">
        <v>7.83</v>
      </c>
      <c r="W916" s="2">
        <v>11.73</v>
      </c>
      <c r="X916" s="2">
        <v>9.19</v>
      </c>
      <c r="Y916" s="2">
        <v>9.26</v>
      </c>
      <c r="Z916" s="2">
        <v>3.42</v>
      </c>
      <c r="AA916" s="2">
        <v>8.99</v>
      </c>
      <c r="AB916" s="2">
        <v>4.7</v>
      </c>
      <c r="AC916" s="2">
        <v>6.5</v>
      </c>
      <c r="AD916" s="2">
        <v>2.38</v>
      </c>
      <c r="AE916" s="2">
        <v>14.64</v>
      </c>
      <c r="AF916" s="2">
        <v>59.46</v>
      </c>
      <c r="AG916" s="2">
        <v>11.2</v>
      </c>
      <c r="AH916" s="4">
        <f t="shared" si="14"/>
        <v>393.68</v>
      </c>
    </row>
    <row r="917" spans="1:34" x14ac:dyDescent="0.2">
      <c r="A917" s="3">
        <v>35826</v>
      </c>
      <c r="B917" s="2">
        <v>4.12</v>
      </c>
      <c r="C917" s="2">
        <v>50.69</v>
      </c>
      <c r="D917" s="2">
        <v>79.59</v>
      </c>
      <c r="E917" s="2">
        <v>243.64</v>
      </c>
      <c r="F917" s="2">
        <v>194.81</v>
      </c>
      <c r="G917" s="2">
        <v>184.17</v>
      </c>
      <c r="H917" s="2">
        <v>38.94</v>
      </c>
      <c r="I917" s="2">
        <v>55.81</v>
      </c>
      <c r="J917" s="2">
        <v>122.36</v>
      </c>
      <c r="K917" s="2">
        <v>89.22</v>
      </c>
      <c r="L917" s="2">
        <v>43.57</v>
      </c>
      <c r="M917" s="2">
        <v>43.47</v>
      </c>
      <c r="N917" s="2">
        <v>67.040000000000006</v>
      </c>
      <c r="O917" s="2">
        <v>15.28</v>
      </c>
      <c r="P917" s="2">
        <v>90.44</v>
      </c>
      <c r="Q917" s="2">
        <v>-5.51</v>
      </c>
      <c r="R917" s="2">
        <v>19</v>
      </c>
      <c r="S917" s="2">
        <v>64.540000000000006</v>
      </c>
      <c r="T917" s="2">
        <v>13.84</v>
      </c>
      <c r="U917" s="2">
        <v>16.18</v>
      </c>
      <c r="V917" s="2">
        <v>17.829999999999998</v>
      </c>
      <c r="W917" s="2">
        <v>4.26</v>
      </c>
      <c r="X917" s="2">
        <v>9.2200000000000006</v>
      </c>
      <c r="Y917" s="2">
        <v>8.16</v>
      </c>
      <c r="Z917" s="2">
        <v>6.79</v>
      </c>
      <c r="AA917" s="2">
        <v>7.78</v>
      </c>
      <c r="AB917" s="2">
        <v>4.63</v>
      </c>
      <c r="AC917" s="2">
        <v>9.49</v>
      </c>
      <c r="AD917" s="2">
        <v>2.31</v>
      </c>
      <c r="AE917" s="2">
        <v>37.47</v>
      </c>
      <c r="AF917" s="2">
        <v>69.790000000000006</v>
      </c>
      <c r="AG917" s="2">
        <v>9.8800000000000008</v>
      </c>
      <c r="AH917" s="4">
        <f t="shared" si="14"/>
        <v>1449.0299999999995</v>
      </c>
    </row>
    <row r="918" spans="1:34" x14ac:dyDescent="0.2">
      <c r="A918" s="3">
        <v>35854</v>
      </c>
      <c r="B918" s="2">
        <v>17.41</v>
      </c>
      <c r="C918" s="2">
        <v>92</v>
      </c>
      <c r="D918" s="2">
        <v>149.69999999999999</v>
      </c>
      <c r="E918" s="2">
        <v>379.65</v>
      </c>
      <c r="F918" s="2">
        <v>338.77</v>
      </c>
      <c r="G918" s="2">
        <v>336.69</v>
      </c>
      <c r="H918" s="2">
        <v>22.18</v>
      </c>
      <c r="I918" s="2">
        <v>67.52</v>
      </c>
      <c r="J918" s="2">
        <v>195.57</v>
      </c>
      <c r="K918" s="2">
        <v>213.6</v>
      </c>
      <c r="L918" s="2">
        <v>80.52</v>
      </c>
      <c r="M918" s="2">
        <v>120.16</v>
      </c>
      <c r="N918" s="2">
        <v>224.05</v>
      </c>
      <c r="O918" s="2">
        <v>20.02</v>
      </c>
      <c r="P918" s="2">
        <v>317.68</v>
      </c>
      <c r="Q918" s="2">
        <v>0.6</v>
      </c>
      <c r="R918" s="2">
        <v>26.49</v>
      </c>
      <c r="S918" s="2">
        <v>147.53</v>
      </c>
      <c r="T918" s="2">
        <v>256.43</v>
      </c>
      <c r="U918" s="2">
        <v>19.55</v>
      </c>
      <c r="V918" s="2">
        <v>71.95</v>
      </c>
      <c r="W918" s="2">
        <v>0</v>
      </c>
      <c r="X918" s="2">
        <v>3.3</v>
      </c>
      <c r="Y918" s="2">
        <v>3.38</v>
      </c>
      <c r="Z918" s="2">
        <v>6.93</v>
      </c>
      <c r="AA918" s="2">
        <v>7.35</v>
      </c>
      <c r="AB918" s="2">
        <v>4.6399999999999997</v>
      </c>
      <c r="AC918" s="2">
        <v>9.07</v>
      </c>
      <c r="AD918" s="2">
        <v>2.6</v>
      </c>
      <c r="AE918" s="2">
        <v>13.52</v>
      </c>
      <c r="AF918" s="2">
        <v>58.18</v>
      </c>
      <c r="AG918" s="2">
        <v>10.08</v>
      </c>
      <c r="AH918" s="4">
        <f t="shared" si="14"/>
        <v>3098.0699999999997</v>
      </c>
    </row>
    <row r="919" spans="1:34" x14ac:dyDescent="0.2">
      <c r="A919" s="3">
        <v>35885</v>
      </c>
      <c r="B919" s="2">
        <v>19.649999999999999</v>
      </c>
      <c r="C919" s="2">
        <v>55.92</v>
      </c>
      <c r="D919" s="2">
        <v>-36.869999999999997</v>
      </c>
      <c r="E919" s="2">
        <v>-113.84</v>
      </c>
      <c r="F919" s="2">
        <v>-45.76</v>
      </c>
      <c r="G919" s="2">
        <v>-42.22</v>
      </c>
      <c r="H919" s="2">
        <v>38.049999999999997</v>
      </c>
      <c r="I919" s="2">
        <v>73.099999999999994</v>
      </c>
      <c r="J919" s="2">
        <v>16.64</v>
      </c>
      <c r="K919" s="2">
        <v>-57.78</v>
      </c>
      <c r="L919" s="2">
        <v>-2.73</v>
      </c>
      <c r="M919" s="2">
        <v>-16.760000000000002</v>
      </c>
      <c r="N919" s="2">
        <v>28.82</v>
      </c>
      <c r="O919" s="2">
        <v>26.47</v>
      </c>
      <c r="P919" s="2">
        <v>156.38999999999999</v>
      </c>
      <c r="Q919" s="2">
        <v>16</v>
      </c>
      <c r="R919" s="2">
        <v>32.450000000000003</v>
      </c>
      <c r="S919" s="2">
        <v>94.92</v>
      </c>
      <c r="T919" s="2">
        <v>65.45</v>
      </c>
      <c r="U919" s="2">
        <v>18.190000000000001</v>
      </c>
      <c r="V919" s="2">
        <v>29.64</v>
      </c>
      <c r="W919" s="2">
        <v>0</v>
      </c>
      <c r="X919" s="2">
        <v>4.1399999999999997</v>
      </c>
      <c r="Y919" s="2">
        <v>3.38</v>
      </c>
      <c r="Z919" s="2">
        <v>5.85</v>
      </c>
      <c r="AA919" s="2">
        <v>5.0199999999999996</v>
      </c>
      <c r="AB919" s="2">
        <v>2.14</v>
      </c>
      <c r="AC919" s="2">
        <v>9.06</v>
      </c>
      <c r="AD919" s="2">
        <v>4.34</v>
      </c>
      <c r="AE919" s="2">
        <v>21.07</v>
      </c>
      <c r="AF919" s="2">
        <v>68.66</v>
      </c>
      <c r="AG919" s="2">
        <v>10.69</v>
      </c>
      <c r="AH919" s="4">
        <f t="shared" si="14"/>
        <v>355.72999999999996</v>
      </c>
    </row>
    <row r="920" spans="1:34" x14ac:dyDescent="0.2">
      <c r="A920" s="3">
        <v>35915</v>
      </c>
      <c r="B920" s="2">
        <v>12.56</v>
      </c>
      <c r="C920" s="2">
        <v>44.37</v>
      </c>
      <c r="D920" s="2">
        <v>-21.58</v>
      </c>
      <c r="E920" s="2">
        <v>-123.44</v>
      </c>
      <c r="F920" s="2">
        <v>-44.65</v>
      </c>
      <c r="G920" s="2">
        <v>-140.03</v>
      </c>
      <c r="H920" s="2">
        <v>19.940000000000001</v>
      </c>
      <c r="I920" s="2">
        <v>65.67</v>
      </c>
      <c r="J920" s="2">
        <v>-1.52</v>
      </c>
      <c r="K920" s="2">
        <v>18.690000000000001</v>
      </c>
      <c r="L920" s="2">
        <v>1.24</v>
      </c>
      <c r="M920" s="2">
        <v>9.6199999999999992</v>
      </c>
      <c r="N920" s="2">
        <v>97.43</v>
      </c>
      <c r="O920" s="2">
        <v>30.29</v>
      </c>
      <c r="P920" s="2">
        <v>112.24</v>
      </c>
      <c r="Q920" s="2">
        <v>27.6</v>
      </c>
      <c r="R920" s="2">
        <v>44.26</v>
      </c>
      <c r="S920" s="2">
        <v>35.69</v>
      </c>
      <c r="T920" s="2">
        <v>51.27</v>
      </c>
      <c r="U920" s="2">
        <v>25.41</v>
      </c>
      <c r="V920" s="2">
        <v>39.19</v>
      </c>
      <c r="W920" s="2">
        <v>0</v>
      </c>
      <c r="X920" s="2">
        <v>5.05</v>
      </c>
      <c r="Y920" s="2">
        <v>4.53</v>
      </c>
      <c r="Z920" s="2">
        <v>2.56</v>
      </c>
      <c r="AA920" s="2">
        <v>1.65</v>
      </c>
      <c r="AB920" s="2">
        <v>1.36</v>
      </c>
      <c r="AC920" s="2">
        <v>3.31</v>
      </c>
      <c r="AD920" s="2">
        <v>5.27</v>
      </c>
      <c r="AE920" s="2">
        <v>1.96</v>
      </c>
      <c r="AF920" s="2">
        <v>84.95</v>
      </c>
      <c r="AG920" s="2">
        <v>14.64</v>
      </c>
      <c r="AH920" s="4">
        <f t="shared" si="14"/>
        <v>304.25000000000006</v>
      </c>
    </row>
    <row r="921" spans="1:34" x14ac:dyDescent="0.2">
      <c r="A921" s="3">
        <v>35946</v>
      </c>
      <c r="B921" s="2">
        <v>14.94</v>
      </c>
      <c r="C921" s="2">
        <v>50.51</v>
      </c>
      <c r="D921" s="2">
        <v>-0.09</v>
      </c>
      <c r="E921" s="2">
        <v>-7.33</v>
      </c>
      <c r="F921" s="2">
        <v>-9.34</v>
      </c>
      <c r="G921" s="2">
        <v>-37.32</v>
      </c>
      <c r="H921" s="2">
        <v>34.67</v>
      </c>
      <c r="I921" s="2">
        <v>71.180000000000007</v>
      </c>
      <c r="J921" s="2">
        <v>12.94</v>
      </c>
      <c r="K921" s="2">
        <v>37.729999999999997</v>
      </c>
      <c r="L921" s="2">
        <v>-3.26</v>
      </c>
      <c r="M921" s="2">
        <v>7.87</v>
      </c>
      <c r="N921" s="2">
        <v>63.09</v>
      </c>
      <c r="O921" s="2">
        <v>23.07</v>
      </c>
      <c r="P921" s="2">
        <v>135.61000000000001</v>
      </c>
      <c r="Q921" s="2">
        <v>21.58</v>
      </c>
      <c r="R921" s="2">
        <v>40.49</v>
      </c>
      <c r="S921" s="2">
        <v>32.29</v>
      </c>
      <c r="T921" s="2">
        <v>101.81</v>
      </c>
      <c r="U921" s="2">
        <v>22.65</v>
      </c>
      <c r="V921" s="2">
        <v>49.93</v>
      </c>
      <c r="W921" s="2">
        <v>4.88</v>
      </c>
      <c r="X921" s="2">
        <v>7.83</v>
      </c>
      <c r="Y921" s="2">
        <v>6.62</v>
      </c>
      <c r="Z921" s="2">
        <v>0.64</v>
      </c>
      <c r="AA921" s="2">
        <v>0.79</v>
      </c>
      <c r="AB921" s="2">
        <v>0.76</v>
      </c>
      <c r="AC921" s="2">
        <v>1.2</v>
      </c>
      <c r="AD921" s="2">
        <v>7.51</v>
      </c>
      <c r="AE921" s="2">
        <v>0.19</v>
      </c>
      <c r="AF921" s="2">
        <v>95.94</v>
      </c>
      <c r="AG921" s="2">
        <v>17.690000000000001</v>
      </c>
      <c r="AH921" s="4">
        <f t="shared" si="14"/>
        <v>663.02</v>
      </c>
    </row>
    <row r="922" spans="1:34" x14ac:dyDescent="0.2">
      <c r="A922" s="3">
        <v>35976</v>
      </c>
      <c r="B922" s="2">
        <v>13.65</v>
      </c>
      <c r="C922" s="2">
        <v>41.14</v>
      </c>
      <c r="D922" s="2">
        <v>2.52</v>
      </c>
      <c r="E922" s="2">
        <v>-37.53</v>
      </c>
      <c r="F922" s="2">
        <v>6.05</v>
      </c>
      <c r="G922" s="2">
        <v>-16.28</v>
      </c>
      <c r="H922" s="2">
        <v>19.05</v>
      </c>
      <c r="I922" s="2">
        <v>60.07</v>
      </c>
      <c r="J922" s="2">
        <v>-4.2</v>
      </c>
      <c r="K922" s="2">
        <v>49.93</v>
      </c>
      <c r="L922" s="2">
        <v>10.88</v>
      </c>
      <c r="M922" s="2">
        <v>23.24</v>
      </c>
      <c r="N922" s="2">
        <v>77.91</v>
      </c>
      <c r="O922" s="2">
        <v>19.940000000000001</v>
      </c>
      <c r="P922" s="2">
        <v>116.87</v>
      </c>
      <c r="Q922" s="2">
        <v>17.5</v>
      </c>
      <c r="R922" s="2">
        <v>39.369999999999997</v>
      </c>
      <c r="S922" s="2">
        <v>18.37</v>
      </c>
      <c r="T922" s="2">
        <v>121.43</v>
      </c>
      <c r="U922" s="2">
        <v>17.43</v>
      </c>
      <c r="V922" s="2">
        <v>55.64</v>
      </c>
      <c r="W922" s="2">
        <v>18.62</v>
      </c>
      <c r="X922" s="2">
        <v>12.83</v>
      </c>
      <c r="Y922" s="2">
        <v>12.29</v>
      </c>
      <c r="Z922" s="2">
        <v>0.21</v>
      </c>
      <c r="AA922" s="2">
        <v>0.28000000000000003</v>
      </c>
      <c r="AB922" s="2">
        <v>0.42</v>
      </c>
      <c r="AC922" s="2">
        <v>0.74</v>
      </c>
      <c r="AD922" s="2">
        <v>9.58</v>
      </c>
      <c r="AE922" s="2">
        <v>0.93</v>
      </c>
      <c r="AF922" s="2">
        <v>105</v>
      </c>
      <c r="AG922" s="2">
        <v>22.83</v>
      </c>
      <c r="AH922" s="4">
        <f t="shared" si="14"/>
        <v>652.98</v>
      </c>
    </row>
    <row r="923" spans="1:34" x14ac:dyDescent="0.2">
      <c r="A923" s="3">
        <v>36007</v>
      </c>
      <c r="B923" s="2">
        <v>10.52</v>
      </c>
      <c r="C923" s="2">
        <v>36.17</v>
      </c>
      <c r="D923" s="2">
        <v>-2.62</v>
      </c>
      <c r="E923" s="2">
        <v>-53.35</v>
      </c>
      <c r="F923" s="2">
        <v>-40.15</v>
      </c>
      <c r="G923" s="2">
        <v>-23.99</v>
      </c>
      <c r="H923" s="2">
        <v>8.65</v>
      </c>
      <c r="I923" s="2">
        <v>57.2</v>
      </c>
      <c r="J923" s="2">
        <v>-26.06</v>
      </c>
      <c r="K923" s="2">
        <v>10.5</v>
      </c>
      <c r="L923" s="2">
        <v>1.23</v>
      </c>
      <c r="M923" s="2">
        <v>3.43</v>
      </c>
      <c r="N923" s="2">
        <v>52.58</v>
      </c>
      <c r="O923" s="2">
        <v>32.200000000000003</v>
      </c>
      <c r="P923" s="2">
        <v>106.93</v>
      </c>
      <c r="Q923" s="2">
        <v>19.510000000000002</v>
      </c>
      <c r="R923" s="2">
        <v>40.86</v>
      </c>
      <c r="S923" s="2">
        <v>-18.41</v>
      </c>
      <c r="T923" s="2">
        <v>88.96</v>
      </c>
      <c r="U923" s="2">
        <v>19.79</v>
      </c>
      <c r="V923" s="2">
        <v>55.05</v>
      </c>
      <c r="W923" s="2">
        <v>30.39</v>
      </c>
      <c r="X923" s="2">
        <v>17.78</v>
      </c>
      <c r="Y923" s="2">
        <v>17.73</v>
      </c>
      <c r="Z923" s="2">
        <v>0.19</v>
      </c>
      <c r="AA923" s="2">
        <v>2.17</v>
      </c>
      <c r="AB923" s="2">
        <v>0.64</v>
      </c>
      <c r="AC923" s="2">
        <v>2.02</v>
      </c>
      <c r="AD923" s="2">
        <v>8.5399999999999991</v>
      </c>
      <c r="AE923" s="2">
        <v>0</v>
      </c>
      <c r="AF923" s="2">
        <v>114.35</v>
      </c>
      <c r="AG923" s="2">
        <v>24.8</v>
      </c>
      <c r="AH923" s="4">
        <f t="shared" si="14"/>
        <v>379.00000000000006</v>
      </c>
    </row>
    <row r="924" spans="1:34" x14ac:dyDescent="0.2">
      <c r="A924" s="3">
        <v>36038</v>
      </c>
      <c r="B924" s="2">
        <v>9.17</v>
      </c>
      <c r="C924" s="2">
        <v>36.68</v>
      </c>
      <c r="D924" s="2">
        <v>1.18</v>
      </c>
      <c r="E924" s="2">
        <v>-31.87</v>
      </c>
      <c r="F924" s="2">
        <v>-7.81</v>
      </c>
      <c r="G924" s="2">
        <v>6.7</v>
      </c>
      <c r="H924" s="2">
        <v>17.12</v>
      </c>
      <c r="I924" s="2">
        <v>61.43</v>
      </c>
      <c r="J924" s="2">
        <v>-33.409999999999997</v>
      </c>
      <c r="K924" s="2">
        <v>-44.52</v>
      </c>
      <c r="L924" s="2">
        <v>-17.440000000000001</v>
      </c>
      <c r="M924" s="2">
        <v>-19.649999999999999</v>
      </c>
      <c r="N924" s="2">
        <v>21.55</v>
      </c>
      <c r="O924" s="2">
        <v>23.61</v>
      </c>
      <c r="P924" s="2">
        <v>61.47</v>
      </c>
      <c r="Q924" s="2">
        <v>14.63</v>
      </c>
      <c r="R924" s="2">
        <v>43.74</v>
      </c>
      <c r="S924" s="2">
        <v>-25.46</v>
      </c>
      <c r="T924" s="2">
        <v>47.1</v>
      </c>
      <c r="U924" s="2">
        <v>23.99</v>
      </c>
      <c r="V924" s="2">
        <v>49.05</v>
      </c>
      <c r="W924" s="2">
        <v>31.47</v>
      </c>
      <c r="X924" s="2">
        <v>20.03</v>
      </c>
      <c r="Y924" s="2">
        <v>20.170000000000002</v>
      </c>
      <c r="Z924" s="2">
        <v>0.86</v>
      </c>
      <c r="AA924" s="2">
        <v>5.3</v>
      </c>
      <c r="AB924" s="2">
        <v>0.76</v>
      </c>
      <c r="AC924" s="2">
        <v>2.98</v>
      </c>
      <c r="AD924" s="2">
        <v>6.41</v>
      </c>
      <c r="AE924" s="2">
        <v>0</v>
      </c>
      <c r="AF924" s="2">
        <v>116.29</v>
      </c>
      <c r="AG924" s="2">
        <v>23.65</v>
      </c>
      <c r="AH924" s="4">
        <f t="shared" si="14"/>
        <v>237.26</v>
      </c>
    </row>
    <row r="925" spans="1:34" x14ac:dyDescent="0.2">
      <c r="A925" s="3">
        <v>36068</v>
      </c>
      <c r="B925" s="2">
        <v>6.31</v>
      </c>
      <c r="C925" s="2">
        <v>36.67</v>
      </c>
      <c r="D925" s="2">
        <v>2.33</v>
      </c>
      <c r="E925" s="2">
        <v>-28.95</v>
      </c>
      <c r="F925" s="2">
        <v>-3.43</v>
      </c>
      <c r="G925" s="2">
        <v>-2.0099999999999998</v>
      </c>
      <c r="H925" s="2">
        <v>23.6</v>
      </c>
      <c r="I925" s="2">
        <v>57.74</v>
      </c>
      <c r="J925" s="2">
        <v>-14.5</v>
      </c>
      <c r="K925" s="2">
        <v>-13.87</v>
      </c>
      <c r="L925" s="2">
        <v>-3.26</v>
      </c>
      <c r="M925" s="2">
        <v>3.05</v>
      </c>
      <c r="N925" s="2">
        <v>39.340000000000003</v>
      </c>
      <c r="O925" s="2">
        <v>23.48</v>
      </c>
      <c r="P925" s="2">
        <v>17.23</v>
      </c>
      <c r="Q925" s="2">
        <v>18.14</v>
      </c>
      <c r="R925" s="2">
        <v>35.950000000000003</v>
      </c>
      <c r="S925" s="2">
        <v>4.3600000000000003</v>
      </c>
      <c r="T925" s="2">
        <v>14.09</v>
      </c>
      <c r="U925" s="2">
        <v>25.3</v>
      </c>
      <c r="V925" s="2">
        <v>32.909999999999997</v>
      </c>
      <c r="W925" s="2">
        <v>26.1</v>
      </c>
      <c r="X925" s="2">
        <v>18.73</v>
      </c>
      <c r="Y925" s="2">
        <v>18.670000000000002</v>
      </c>
      <c r="Z925" s="2">
        <v>0.97</v>
      </c>
      <c r="AA925" s="2">
        <v>5.68</v>
      </c>
      <c r="AB925" s="2">
        <v>0.95</v>
      </c>
      <c r="AC925" s="2">
        <v>2.27</v>
      </c>
      <c r="AD925" s="2">
        <v>4.7300000000000004</v>
      </c>
      <c r="AE925" s="2">
        <v>0</v>
      </c>
      <c r="AF925" s="2">
        <v>108.49</v>
      </c>
      <c r="AG925" s="2">
        <v>20.170000000000002</v>
      </c>
      <c r="AH925" s="4">
        <f t="shared" si="14"/>
        <v>274.48</v>
      </c>
    </row>
    <row r="926" spans="1:34" x14ac:dyDescent="0.2">
      <c r="A926" s="3">
        <v>36099</v>
      </c>
      <c r="B926" s="2">
        <v>3.19</v>
      </c>
      <c r="C926" s="2">
        <v>30.15</v>
      </c>
      <c r="D926" s="2">
        <v>0.01</v>
      </c>
      <c r="E926" s="2">
        <v>-33.909999999999997</v>
      </c>
      <c r="F926" s="2">
        <v>-25.3</v>
      </c>
      <c r="G926" s="2">
        <v>-3.95</v>
      </c>
      <c r="H926" s="2">
        <v>16.71</v>
      </c>
      <c r="I926" s="2">
        <v>51.81</v>
      </c>
      <c r="J926" s="2">
        <v>-4</v>
      </c>
      <c r="K926" s="2">
        <v>-2.02</v>
      </c>
      <c r="L926" s="2">
        <v>-8.9499999999999993</v>
      </c>
      <c r="M926" s="2">
        <v>-0.79</v>
      </c>
      <c r="N926" s="2">
        <v>43.72</v>
      </c>
      <c r="O926" s="2">
        <v>19.260000000000002</v>
      </c>
      <c r="P926" s="2">
        <v>65.400000000000006</v>
      </c>
      <c r="Q926" s="2">
        <v>12.87</v>
      </c>
      <c r="R926" s="2">
        <v>20.13</v>
      </c>
      <c r="S926" s="2">
        <v>-9.5</v>
      </c>
      <c r="T926" s="2">
        <v>8.94</v>
      </c>
      <c r="U926" s="2">
        <v>14.67</v>
      </c>
      <c r="V926" s="2">
        <v>34.299999999999997</v>
      </c>
      <c r="W926" s="2">
        <v>22.19</v>
      </c>
      <c r="X926" s="2">
        <v>17.28</v>
      </c>
      <c r="Y926" s="2">
        <v>17.190000000000001</v>
      </c>
      <c r="Z926" s="2">
        <v>3.52</v>
      </c>
      <c r="AA926" s="2">
        <v>3.62</v>
      </c>
      <c r="AB926" s="2">
        <v>1.35</v>
      </c>
      <c r="AC926" s="2">
        <v>2.92</v>
      </c>
      <c r="AD926" s="2">
        <v>3.53</v>
      </c>
      <c r="AE926" s="2">
        <v>10.35</v>
      </c>
      <c r="AF926" s="2">
        <v>97.96</v>
      </c>
      <c r="AG926" s="2">
        <v>16.420000000000002</v>
      </c>
      <c r="AH926" s="4">
        <f t="shared" si="14"/>
        <v>232.74</v>
      </c>
    </row>
    <row r="927" spans="1:34" x14ac:dyDescent="0.2">
      <c r="A927" s="3">
        <v>36129</v>
      </c>
      <c r="B927" s="2">
        <v>7.4</v>
      </c>
      <c r="C927" s="2">
        <v>35.51</v>
      </c>
      <c r="D927" s="2">
        <v>27.78</v>
      </c>
      <c r="E927" s="2">
        <v>46.96</v>
      </c>
      <c r="F927" s="2">
        <v>16.95</v>
      </c>
      <c r="G927" s="2">
        <v>27.18</v>
      </c>
      <c r="H927" s="2">
        <v>30.62</v>
      </c>
      <c r="I927" s="2">
        <v>56.16</v>
      </c>
      <c r="J927" s="2">
        <v>-0.67</v>
      </c>
      <c r="K927" s="2">
        <v>-2.41</v>
      </c>
      <c r="L927" s="2">
        <v>-28.08</v>
      </c>
      <c r="M927" s="2">
        <v>-10.01</v>
      </c>
      <c r="N927" s="2">
        <v>30.74</v>
      </c>
      <c r="O927" s="2">
        <v>24.27</v>
      </c>
      <c r="P927" s="2">
        <v>69.73</v>
      </c>
      <c r="Q927" s="2">
        <v>9.1</v>
      </c>
      <c r="R927" s="2">
        <v>20.260000000000002</v>
      </c>
      <c r="S927" s="2">
        <v>9.11</v>
      </c>
      <c r="T927" s="2">
        <v>6.33</v>
      </c>
      <c r="U927" s="2">
        <v>23.9</v>
      </c>
      <c r="V927" s="2">
        <v>32.299999999999997</v>
      </c>
      <c r="W927" s="2">
        <v>15.43</v>
      </c>
      <c r="X927" s="2">
        <v>11.34</v>
      </c>
      <c r="Y927" s="2">
        <v>10.15</v>
      </c>
      <c r="Z927" s="2">
        <v>6.05</v>
      </c>
      <c r="AA927" s="2">
        <v>4.22</v>
      </c>
      <c r="AB927" s="2">
        <v>2.67</v>
      </c>
      <c r="AC927" s="2">
        <v>6.49</v>
      </c>
      <c r="AD927" s="2">
        <v>2.39</v>
      </c>
      <c r="AE927" s="2">
        <v>3.64</v>
      </c>
      <c r="AF927" s="2">
        <v>64.510000000000005</v>
      </c>
      <c r="AG927" s="2">
        <v>12.92</v>
      </c>
      <c r="AH927" s="4">
        <f t="shared" si="14"/>
        <v>433.13000000000005</v>
      </c>
    </row>
    <row r="928" spans="1:34" x14ac:dyDescent="0.2">
      <c r="A928" s="3">
        <v>36160</v>
      </c>
      <c r="B928" s="2">
        <v>7.51</v>
      </c>
      <c r="C928" s="2">
        <v>32.72</v>
      </c>
      <c r="D928" s="2">
        <v>11.02</v>
      </c>
      <c r="E928" s="2">
        <v>19.8</v>
      </c>
      <c r="F928" s="2">
        <v>63.41</v>
      </c>
      <c r="G928" s="2">
        <v>34.46</v>
      </c>
      <c r="H928" s="2">
        <v>32.64</v>
      </c>
      <c r="I928" s="2">
        <v>55.72</v>
      </c>
      <c r="J928" s="2">
        <v>10.52</v>
      </c>
      <c r="K928" s="2">
        <v>13.18</v>
      </c>
      <c r="L928" s="2">
        <v>0.71</v>
      </c>
      <c r="M928" s="2">
        <v>11</v>
      </c>
      <c r="N928" s="2">
        <v>34.93</v>
      </c>
      <c r="O928" s="2">
        <v>26.47</v>
      </c>
      <c r="P928" s="2">
        <v>81.33</v>
      </c>
      <c r="Q928" s="2">
        <v>8.09</v>
      </c>
      <c r="R928" s="2">
        <v>19.5</v>
      </c>
      <c r="S928" s="2">
        <v>-0.02</v>
      </c>
      <c r="T928" s="2">
        <v>5.16</v>
      </c>
      <c r="U928" s="2">
        <v>18.21</v>
      </c>
      <c r="V928" s="2">
        <v>23.41</v>
      </c>
      <c r="W928" s="2">
        <v>11.73</v>
      </c>
      <c r="X928" s="2">
        <v>9.19</v>
      </c>
      <c r="Y928" s="2">
        <v>9.26</v>
      </c>
      <c r="Z928" s="2">
        <v>3.42</v>
      </c>
      <c r="AA928" s="2">
        <v>8.99</v>
      </c>
      <c r="AB928" s="2">
        <v>4.7</v>
      </c>
      <c r="AC928" s="2">
        <v>6.5</v>
      </c>
      <c r="AD928" s="2">
        <v>2.38</v>
      </c>
      <c r="AE928" s="2">
        <v>18.829999999999998</v>
      </c>
      <c r="AF928" s="2">
        <v>59.46</v>
      </c>
      <c r="AG928" s="2">
        <v>11.2</v>
      </c>
      <c r="AH928" s="4">
        <f t="shared" si="14"/>
        <v>509.76999999999992</v>
      </c>
    </row>
    <row r="929" spans="1:34" x14ac:dyDescent="0.2">
      <c r="A929" s="3">
        <v>36191</v>
      </c>
      <c r="B929" s="2">
        <v>-2.12</v>
      </c>
      <c r="C929" s="2">
        <v>28.63</v>
      </c>
      <c r="D929" s="2">
        <v>3.56</v>
      </c>
      <c r="E929" s="2">
        <v>-14.85</v>
      </c>
      <c r="F929" s="2">
        <v>5.15</v>
      </c>
      <c r="G929" s="2">
        <v>16.73</v>
      </c>
      <c r="H929" s="2">
        <v>17.16</v>
      </c>
      <c r="I929" s="2">
        <v>50.2</v>
      </c>
      <c r="J929" s="2">
        <v>38.86</v>
      </c>
      <c r="K929" s="2">
        <v>42.84</v>
      </c>
      <c r="L929" s="2">
        <v>19.37</v>
      </c>
      <c r="M929" s="2">
        <v>18.329999999999998</v>
      </c>
      <c r="N929" s="2">
        <v>38.33</v>
      </c>
      <c r="O929" s="2">
        <v>19.329999999999998</v>
      </c>
      <c r="P929" s="2">
        <v>121.7</v>
      </c>
      <c r="Q929" s="2">
        <v>-1.59</v>
      </c>
      <c r="R929" s="2">
        <v>15.73</v>
      </c>
      <c r="S929" s="2">
        <v>108.73</v>
      </c>
      <c r="T929" s="2">
        <v>32.96</v>
      </c>
      <c r="U929" s="2">
        <v>15.99</v>
      </c>
      <c r="V929" s="2">
        <v>20.6</v>
      </c>
      <c r="W929" s="2">
        <v>4.26</v>
      </c>
      <c r="X929" s="2">
        <v>9.2200000000000006</v>
      </c>
      <c r="Y929" s="2">
        <v>8.16</v>
      </c>
      <c r="Z929" s="2">
        <v>6.79</v>
      </c>
      <c r="AA929" s="2">
        <v>7.78</v>
      </c>
      <c r="AB929" s="2">
        <v>4.63</v>
      </c>
      <c r="AC929" s="2">
        <v>9.49</v>
      </c>
      <c r="AD929" s="2">
        <v>2.31</v>
      </c>
      <c r="AE929" s="2">
        <v>7.83</v>
      </c>
      <c r="AF929" s="2">
        <v>69.790000000000006</v>
      </c>
      <c r="AG929" s="2">
        <v>9.8800000000000008</v>
      </c>
      <c r="AH929" s="4">
        <f t="shared" si="14"/>
        <v>595.6400000000001</v>
      </c>
    </row>
    <row r="930" spans="1:34" x14ac:dyDescent="0.2">
      <c r="A930" s="3">
        <v>36219</v>
      </c>
      <c r="B930" s="2">
        <v>4.66</v>
      </c>
      <c r="C930" s="2">
        <v>37.24</v>
      </c>
      <c r="D930" s="2">
        <v>43.72</v>
      </c>
      <c r="E930" s="2">
        <v>112.08</v>
      </c>
      <c r="F930" s="2">
        <v>122.17</v>
      </c>
      <c r="G930" s="2">
        <v>159.31</v>
      </c>
      <c r="H930" s="2">
        <v>32.68</v>
      </c>
      <c r="I930" s="2">
        <v>64.59</v>
      </c>
      <c r="J930" s="2">
        <v>70.83</v>
      </c>
      <c r="K930" s="2">
        <v>20.88</v>
      </c>
      <c r="L930" s="2">
        <v>50.42</v>
      </c>
      <c r="M930" s="2">
        <v>33.270000000000003</v>
      </c>
      <c r="N930" s="2">
        <v>28.67</v>
      </c>
      <c r="O930" s="2">
        <v>15.2</v>
      </c>
      <c r="P930" s="2">
        <v>18.07</v>
      </c>
      <c r="Q930" s="2">
        <v>4.51</v>
      </c>
      <c r="R930" s="2">
        <v>17.649999999999999</v>
      </c>
      <c r="S930" s="2">
        <v>-10.24</v>
      </c>
      <c r="T930" s="2">
        <v>3.7</v>
      </c>
      <c r="U930" s="2">
        <v>21.26</v>
      </c>
      <c r="V930" s="2">
        <v>27.92</v>
      </c>
      <c r="W930" s="2">
        <v>0</v>
      </c>
      <c r="X930" s="2">
        <v>3.3</v>
      </c>
      <c r="Y930" s="2">
        <v>3.38</v>
      </c>
      <c r="Z930" s="2">
        <v>6.93</v>
      </c>
      <c r="AA930" s="2">
        <v>7.35</v>
      </c>
      <c r="AB930" s="2">
        <v>4.6399999999999997</v>
      </c>
      <c r="AC930" s="2">
        <v>9.07</v>
      </c>
      <c r="AD930" s="2">
        <v>2.6</v>
      </c>
      <c r="AE930" s="2">
        <v>28.71</v>
      </c>
      <c r="AF930" s="2">
        <v>58.18</v>
      </c>
      <c r="AG930" s="2">
        <v>10.08</v>
      </c>
      <c r="AH930" s="4">
        <f t="shared" si="14"/>
        <v>878.59</v>
      </c>
    </row>
    <row r="931" spans="1:34" x14ac:dyDescent="0.2">
      <c r="A931" s="3">
        <v>36250</v>
      </c>
      <c r="B931" s="2">
        <v>11.25</v>
      </c>
      <c r="C931" s="2">
        <v>31.74</v>
      </c>
      <c r="D931" s="2">
        <v>6.47</v>
      </c>
      <c r="E931" s="2">
        <v>-3.05</v>
      </c>
      <c r="F931" s="2">
        <v>-16.63</v>
      </c>
      <c r="G931" s="2">
        <v>40.98</v>
      </c>
      <c r="H931" s="2">
        <v>21.88</v>
      </c>
      <c r="I931" s="2">
        <v>57.42</v>
      </c>
      <c r="J931" s="2">
        <v>0.89</v>
      </c>
      <c r="K931" s="2">
        <v>-1.03</v>
      </c>
      <c r="L931" s="2">
        <v>-11.61</v>
      </c>
      <c r="M931" s="2">
        <v>-3.46</v>
      </c>
      <c r="N931" s="2">
        <v>26.86</v>
      </c>
      <c r="O931" s="2">
        <v>18.04</v>
      </c>
      <c r="P931" s="2">
        <v>55.22</v>
      </c>
      <c r="Q931" s="2">
        <v>3.96</v>
      </c>
      <c r="R931" s="2">
        <v>14.71</v>
      </c>
      <c r="S931" s="2">
        <v>-7.21</v>
      </c>
      <c r="T931" s="2">
        <v>29.56</v>
      </c>
      <c r="U931" s="2">
        <v>9.66</v>
      </c>
      <c r="V931" s="2">
        <v>24.62</v>
      </c>
      <c r="W931" s="2">
        <v>0</v>
      </c>
      <c r="X931" s="2">
        <v>4.1399999999999997</v>
      </c>
      <c r="Y931" s="2">
        <v>3.38</v>
      </c>
      <c r="Z931" s="2">
        <v>5.85</v>
      </c>
      <c r="AA931" s="2">
        <v>5.0199999999999996</v>
      </c>
      <c r="AB931" s="2">
        <v>2.14</v>
      </c>
      <c r="AC931" s="2">
        <v>9.06</v>
      </c>
      <c r="AD931" s="2">
        <v>4.34</v>
      </c>
      <c r="AE931" s="2">
        <v>42.04</v>
      </c>
      <c r="AF931" s="2">
        <v>68.66</v>
      </c>
      <c r="AG931" s="2">
        <v>10.69</v>
      </c>
      <c r="AH931" s="4">
        <f t="shared" si="14"/>
        <v>310.27</v>
      </c>
    </row>
    <row r="932" spans="1:34" x14ac:dyDescent="0.2">
      <c r="A932" s="3">
        <v>36280</v>
      </c>
      <c r="B932" s="2">
        <v>5.01</v>
      </c>
      <c r="C932" s="2">
        <v>24.59</v>
      </c>
      <c r="D932" s="2">
        <v>-1.69</v>
      </c>
      <c r="E932" s="2">
        <v>-54.06</v>
      </c>
      <c r="F932" s="2">
        <v>-31.57</v>
      </c>
      <c r="G932" s="2">
        <v>-75.36</v>
      </c>
      <c r="H932" s="2">
        <v>6.84</v>
      </c>
      <c r="I932" s="2">
        <v>55.26</v>
      </c>
      <c r="J932" s="2">
        <v>-11.25</v>
      </c>
      <c r="K932" s="2">
        <v>11.45</v>
      </c>
      <c r="L932" s="2">
        <v>-16.66</v>
      </c>
      <c r="M932" s="2">
        <v>0.87</v>
      </c>
      <c r="N932" s="2">
        <v>16.21</v>
      </c>
      <c r="O932" s="2">
        <v>25.66</v>
      </c>
      <c r="P932" s="2">
        <v>18.420000000000002</v>
      </c>
      <c r="Q932" s="2">
        <v>2.75</v>
      </c>
      <c r="R932" s="2">
        <v>18.239999999999998</v>
      </c>
      <c r="S932" s="2">
        <v>5.85</v>
      </c>
      <c r="T932" s="2">
        <v>20.98</v>
      </c>
      <c r="U932" s="2">
        <v>12.79</v>
      </c>
      <c r="V932" s="2">
        <v>17.66</v>
      </c>
      <c r="W932" s="2">
        <v>0</v>
      </c>
      <c r="X932" s="2">
        <v>5.05</v>
      </c>
      <c r="Y932" s="2">
        <v>4.53</v>
      </c>
      <c r="Z932" s="2">
        <v>2.56</v>
      </c>
      <c r="AA932" s="2">
        <v>1.65</v>
      </c>
      <c r="AB932" s="2">
        <v>1.36</v>
      </c>
      <c r="AC932" s="2">
        <v>3.31</v>
      </c>
      <c r="AD932" s="2">
        <v>5.27</v>
      </c>
      <c r="AE932" s="2">
        <v>12.31</v>
      </c>
      <c r="AF932" s="2">
        <v>84.95</v>
      </c>
      <c r="AG932" s="2">
        <v>14.64</v>
      </c>
      <c r="AH932" s="4">
        <f t="shared" si="14"/>
        <v>51.990000000000009</v>
      </c>
    </row>
    <row r="933" spans="1:34" x14ac:dyDescent="0.2">
      <c r="A933" s="3">
        <v>36311</v>
      </c>
      <c r="B933" s="2">
        <v>6.05</v>
      </c>
      <c r="C933" s="2">
        <v>22.32</v>
      </c>
      <c r="D933" s="2">
        <v>-9.3800000000000008</v>
      </c>
      <c r="E933" s="2">
        <v>-26.1</v>
      </c>
      <c r="F933" s="2">
        <v>-15.91</v>
      </c>
      <c r="G933" s="2">
        <v>-32.090000000000003</v>
      </c>
      <c r="H933" s="2">
        <v>3.27</v>
      </c>
      <c r="I933" s="2">
        <v>51.58</v>
      </c>
      <c r="J933" s="2">
        <v>-18.809999999999999</v>
      </c>
      <c r="K933" s="2">
        <v>15.7</v>
      </c>
      <c r="L933" s="2">
        <v>-5.61</v>
      </c>
      <c r="M933" s="2">
        <v>1.44</v>
      </c>
      <c r="N933" s="2">
        <v>37.44</v>
      </c>
      <c r="O933" s="2">
        <v>21.25</v>
      </c>
      <c r="P933" s="2">
        <v>53.99</v>
      </c>
      <c r="Q933" s="2">
        <v>-0.11</v>
      </c>
      <c r="R933" s="2">
        <v>17.38</v>
      </c>
      <c r="S933" s="2">
        <v>-22.6</v>
      </c>
      <c r="T933" s="2">
        <v>45.28</v>
      </c>
      <c r="U933" s="2">
        <v>13.5</v>
      </c>
      <c r="V933" s="2">
        <v>40.89</v>
      </c>
      <c r="W933" s="2">
        <v>4.88</v>
      </c>
      <c r="X933" s="2">
        <v>7.83</v>
      </c>
      <c r="Y933" s="2">
        <v>6.62</v>
      </c>
      <c r="Z933" s="2">
        <v>0.64</v>
      </c>
      <c r="AA933" s="2">
        <v>0.79</v>
      </c>
      <c r="AB933" s="2">
        <v>0.76</v>
      </c>
      <c r="AC933" s="2">
        <v>1.2</v>
      </c>
      <c r="AD933" s="2">
        <v>7.51</v>
      </c>
      <c r="AE933" s="2">
        <v>0.09</v>
      </c>
      <c r="AF933" s="2">
        <v>95.94</v>
      </c>
      <c r="AG933" s="2">
        <v>17.690000000000001</v>
      </c>
      <c r="AH933" s="4">
        <f t="shared" si="14"/>
        <v>199.48000000000002</v>
      </c>
    </row>
    <row r="934" spans="1:34" x14ac:dyDescent="0.2">
      <c r="A934" s="3">
        <v>36341</v>
      </c>
      <c r="B934" s="2">
        <v>6.34</v>
      </c>
      <c r="C934" s="2">
        <v>27.17</v>
      </c>
      <c r="D934" s="2">
        <v>-1.01</v>
      </c>
      <c r="E934" s="2">
        <v>-16.350000000000001</v>
      </c>
      <c r="F934" s="2">
        <v>6.91</v>
      </c>
      <c r="G934" s="2">
        <v>-14.89</v>
      </c>
      <c r="H934" s="2">
        <v>14.08</v>
      </c>
      <c r="I934" s="2">
        <v>41.37</v>
      </c>
      <c r="J934" s="2">
        <v>-28.71</v>
      </c>
      <c r="K934" s="2">
        <v>20.18</v>
      </c>
      <c r="L934" s="2">
        <v>-12.11</v>
      </c>
      <c r="M934" s="2">
        <v>-4.97</v>
      </c>
      <c r="N934" s="2">
        <v>39.9</v>
      </c>
      <c r="O934" s="2">
        <v>19.88</v>
      </c>
      <c r="P934" s="2">
        <v>62.98</v>
      </c>
      <c r="Q934" s="2">
        <v>6.73</v>
      </c>
      <c r="R934" s="2">
        <v>23.5</v>
      </c>
      <c r="S934" s="2">
        <v>-12.81</v>
      </c>
      <c r="T934" s="2">
        <v>62.68</v>
      </c>
      <c r="U934" s="2">
        <v>15.32</v>
      </c>
      <c r="V934" s="2">
        <v>48.58</v>
      </c>
      <c r="W934" s="2">
        <v>18.62</v>
      </c>
      <c r="X934" s="2">
        <v>12.83</v>
      </c>
      <c r="Y934" s="2">
        <v>12.29</v>
      </c>
      <c r="Z934" s="2">
        <v>0.21</v>
      </c>
      <c r="AA934" s="2">
        <v>0.28000000000000003</v>
      </c>
      <c r="AB934" s="2">
        <v>0.42</v>
      </c>
      <c r="AC934" s="2">
        <v>0.74</v>
      </c>
      <c r="AD934" s="2">
        <v>9.58</v>
      </c>
      <c r="AE934" s="2">
        <v>0.37</v>
      </c>
      <c r="AF934" s="2">
        <v>105</v>
      </c>
      <c r="AG934" s="2">
        <v>22.83</v>
      </c>
      <c r="AH934" s="4">
        <f t="shared" si="14"/>
        <v>304.77</v>
      </c>
    </row>
    <row r="935" spans="1:34" x14ac:dyDescent="0.2">
      <c r="A935" s="3">
        <v>36372</v>
      </c>
      <c r="B935" s="2">
        <v>6.56</v>
      </c>
      <c r="C935" s="2">
        <v>26.19</v>
      </c>
      <c r="D935" s="2">
        <v>0.49</v>
      </c>
      <c r="E935" s="2">
        <v>-2.25</v>
      </c>
      <c r="F935" s="2">
        <v>50.24</v>
      </c>
      <c r="G935" s="2">
        <v>13.63</v>
      </c>
      <c r="H935" s="2">
        <v>25.94</v>
      </c>
      <c r="I935" s="2">
        <v>49.71</v>
      </c>
      <c r="J935" s="2">
        <v>-18.75</v>
      </c>
      <c r="K935" s="2">
        <v>37.64</v>
      </c>
      <c r="L935" s="2">
        <v>-8.27</v>
      </c>
      <c r="M935" s="2">
        <v>11.46</v>
      </c>
      <c r="N935" s="2">
        <v>57.89</v>
      </c>
      <c r="O935" s="2">
        <v>30.38</v>
      </c>
      <c r="P935" s="2">
        <v>72.56</v>
      </c>
      <c r="Q935" s="2">
        <v>7.96</v>
      </c>
      <c r="R935" s="2">
        <v>26.03</v>
      </c>
      <c r="S935" s="2">
        <v>-11.1</v>
      </c>
      <c r="T935" s="2">
        <v>56.24</v>
      </c>
      <c r="U935" s="2">
        <v>22.38</v>
      </c>
      <c r="V935" s="2">
        <v>48.77</v>
      </c>
      <c r="W935" s="2">
        <v>30.39</v>
      </c>
      <c r="X935" s="2">
        <v>17.78</v>
      </c>
      <c r="Y935" s="2">
        <v>17.73</v>
      </c>
      <c r="Z935" s="2">
        <v>0.19</v>
      </c>
      <c r="AA935" s="2">
        <v>2.17</v>
      </c>
      <c r="AB935" s="2">
        <v>0.64</v>
      </c>
      <c r="AC935" s="2">
        <v>2.02</v>
      </c>
      <c r="AD935" s="2">
        <v>8.5399999999999991</v>
      </c>
      <c r="AE935" s="2">
        <v>1.4</v>
      </c>
      <c r="AF935" s="2">
        <v>114.35</v>
      </c>
      <c r="AG935" s="2">
        <v>24.8</v>
      </c>
      <c r="AH935" s="4">
        <f t="shared" si="14"/>
        <v>503.69999999999993</v>
      </c>
    </row>
    <row r="936" spans="1:34" x14ac:dyDescent="0.2">
      <c r="A936" s="3">
        <v>36403</v>
      </c>
      <c r="B936" s="2">
        <v>4.5199999999999996</v>
      </c>
      <c r="C936" s="2">
        <v>26.5</v>
      </c>
      <c r="D936" s="2">
        <v>1.27</v>
      </c>
      <c r="E936" s="2">
        <v>-13.37</v>
      </c>
      <c r="F936" s="2">
        <v>-3.13</v>
      </c>
      <c r="G936" s="2">
        <v>10.01</v>
      </c>
      <c r="H936" s="2">
        <v>18.16</v>
      </c>
      <c r="I936" s="2">
        <v>52.68</v>
      </c>
      <c r="J936" s="2">
        <v>-6.74</v>
      </c>
      <c r="K936" s="2">
        <v>33.29</v>
      </c>
      <c r="L936" s="2">
        <v>-4.46</v>
      </c>
      <c r="M936" s="2">
        <v>12.48</v>
      </c>
      <c r="N936" s="2">
        <v>53.39</v>
      </c>
      <c r="O936" s="2">
        <v>19.45</v>
      </c>
      <c r="P936" s="2">
        <v>68.94</v>
      </c>
      <c r="Q936" s="2">
        <v>5.6</v>
      </c>
      <c r="R936" s="2">
        <v>26.11</v>
      </c>
      <c r="S936" s="2">
        <v>-4.45</v>
      </c>
      <c r="T936" s="2">
        <v>48.32</v>
      </c>
      <c r="U936" s="2">
        <v>26.35</v>
      </c>
      <c r="V936" s="2">
        <v>43.43</v>
      </c>
      <c r="W936" s="2">
        <v>31.47</v>
      </c>
      <c r="X936" s="2">
        <v>20.03</v>
      </c>
      <c r="Y936" s="2">
        <v>20.170000000000002</v>
      </c>
      <c r="Z936" s="2">
        <v>0.86</v>
      </c>
      <c r="AA936" s="2">
        <v>5.3</v>
      </c>
      <c r="AB936" s="2">
        <v>0.76</v>
      </c>
      <c r="AC936" s="2">
        <v>2.98</v>
      </c>
      <c r="AD936" s="2">
        <v>6.41</v>
      </c>
      <c r="AE936" s="2">
        <v>6.34</v>
      </c>
      <c r="AF936" s="2">
        <v>116.29</v>
      </c>
      <c r="AG936" s="2">
        <v>23.65</v>
      </c>
      <c r="AH936" s="4">
        <f t="shared" si="14"/>
        <v>418.35000000000008</v>
      </c>
    </row>
    <row r="937" spans="1:34" x14ac:dyDescent="0.2">
      <c r="A937" s="3">
        <v>36433</v>
      </c>
      <c r="B937" s="2">
        <v>2.25</v>
      </c>
      <c r="C937" s="2">
        <v>27.37</v>
      </c>
      <c r="D937" s="2">
        <v>3.11</v>
      </c>
      <c r="E937" s="2">
        <v>-17.03</v>
      </c>
      <c r="F937" s="2">
        <v>-2.2799999999999998</v>
      </c>
      <c r="G937" s="2">
        <v>5.25</v>
      </c>
      <c r="H937" s="2">
        <v>21.36</v>
      </c>
      <c r="I937" s="2">
        <v>53.63</v>
      </c>
      <c r="J937" s="2">
        <v>3.56</v>
      </c>
      <c r="K937" s="2">
        <v>8.36</v>
      </c>
      <c r="L937" s="2">
        <v>-6.43</v>
      </c>
      <c r="M937" s="2">
        <v>9.81</v>
      </c>
      <c r="N937" s="2">
        <v>43.98</v>
      </c>
      <c r="O937" s="2">
        <v>24.18</v>
      </c>
      <c r="P937" s="2">
        <v>26.66</v>
      </c>
      <c r="Q937" s="2">
        <v>7.15</v>
      </c>
      <c r="R937" s="2">
        <v>24.27</v>
      </c>
      <c r="S937" s="2">
        <v>-2.86</v>
      </c>
      <c r="T937" s="2">
        <v>13.63</v>
      </c>
      <c r="U937" s="2">
        <v>21.71</v>
      </c>
      <c r="V937" s="2">
        <v>25.97</v>
      </c>
      <c r="W937" s="2">
        <v>26.1</v>
      </c>
      <c r="X937" s="2">
        <v>18.73</v>
      </c>
      <c r="Y937" s="2">
        <v>18.670000000000002</v>
      </c>
      <c r="Z937" s="2">
        <v>0.97</v>
      </c>
      <c r="AA937" s="2">
        <v>5.68</v>
      </c>
      <c r="AB937" s="2">
        <v>0.95</v>
      </c>
      <c r="AC937" s="2">
        <v>2.27</v>
      </c>
      <c r="AD937" s="2">
        <v>4.7300000000000004</v>
      </c>
      <c r="AE937" s="2">
        <v>0.09</v>
      </c>
      <c r="AF937" s="2">
        <v>108.49</v>
      </c>
      <c r="AG937" s="2">
        <v>20.170000000000002</v>
      </c>
      <c r="AH937" s="4">
        <f t="shared" si="14"/>
        <v>293.64999999999998</v>
      </c>
    </row>
    <row r="938" spans="1:34" x14ac:dyDescent="0.2">
      <c r="A938" s="3">
        <v>36464</v>
      </c>
      <c r="B938" s="2">
        <v>0.35</v>
      </c>
      <c r="C938" s="2">
        <v>22.93</v>
      </c>
      <c r="D938" s="2">
        <v>1.91</v>
      </c>
      <c r="E938" s="2">
        <v>-13.43</v>
      </c>
      <c r="F938" s="2">
        <v>-1.34</v>
      </c>
      <c r="G938" s="2">
        <v>1.44</v>
      </c>
      <c r="H938" s="2">
        <v>19.27</v>
      </c>
      <c r="I938" s="2">
        <v>49.63</v>
      </c>
      <c r="J938" s="2">
        <v>0.25</v>
      </c>
      <c r="K938" s="2">
        <v>7.07</v>
      </c>
      <c r="L938" s="2">
        <v>1.3</v>
      </c>
      <c r="M938" s="2">
        <v>9.1300000000000008</v>
      </c>
      <c r="N938" s="2">
        <v>37.99</v>
      </c>
      <c r="O938" s="2">
        <v>17.98</v>
      </c>
      <c r="P938" s="2">
        <v>55.93</v>
      </c>
      <c r="Q938" s="2">
        <v>-0.7</v>
      </c>
      <c r="R938" s="2">
        <v>14.59</v>
      </c>
      <c r="S938" s="2">
        <v>-12.61</v>
      </c>
      <c r="T938" s="2">
        <v>25.68</v>
      </c>
      <c r="U938" s="2">
        <v>14.98</v>
      </c>
      <c r="V938" s="2">
        <v>21.32</v>
      </c>
      <c r="W938" s="2">
        <v>22.19</v>
      </c>
      <c r="X938" s="2">
        <v>17.28</v>
      </c>
      <c r="Y938" s="2">
        <v>17.190000000000001</v>
      </c>
      <c r="Z938" s="2">
        <v>3.52</v>
      </c>
      <c r="AA938" s="2">
        <v>3.62</v>
      </c>
      <c r="AB938" s="2">
        <v>1.35</v>
      </c>
      <c r="AC938" s="2">
        <v>2.92</v>
      </c>
      <c r="AD938" s="2">
        <v>3.53</v>
      </c>
      <c r="AE938" s="2">
        <v>0.75</v>
      </c>
      <c r="AF938" s="2">
        <v>97.96</v>
      </c>
      <c r="AG938" s="2">
        <v>16.420000000000002</v>
      </c>
      <c r="AH938" s="4">
        <f t="shared" si="14"/>
        <v>273.67</v>
      </c>
    </row>
    <row r="939" spans="1:34" x14ac:dyDescent="0.2">
      <c r="A939" s="3">
        <v>36494</v>
      </c>
      <c r="B939" s="2">
        <v>1.63</v>
      </c>
      <c r="C939" s="2">
        <v>23.47</v>
      </c>
      <c r="D939" s="2">
        <v>15.17</v>
      </c>
      <c r="E939" s="2">
        <v>23.47</v>
      </c>
      <c r="F939" s="2">
        <v>2.62</v>
      </c>
      <c r="G939" s="2">
        <v>12.67</v>
      </c>
      <c r="H939" s="2">
        <v>21.85</v>
      </c>
      <c r="I939" s="2">
        <v>45.29</v>
      </c>
      <c r="J939" s="2">
        <v>9.51</v>
      </c>
      <c r="K939" s="2">
        <v>3.78</v>
      </c>
      <c r="L939" s="2">
        <v>-7.78</v>
      </c>
      <c r="M939" s="2">
        <v>-0.7</v>
      </c>
      <c r="N939" s="2">
        <v>21.74</v>
      </c>
      <c r="O939" s="2">
        <v>21.72</v>
      </c>
      <c r="P939" s="2">
        <v>35.71</v>
      </c>
      <c r="Q939" s="2">
        <v>3.51</v>
      </c>
      <c r="R939" s="2">
        <v>12.41</v>
      </c>
      <c r="S939" s="2">
        <v>-9.65</v>
      </c>
      <c r="T939" s="2">
        <v>14.21</v>
      </c>
      <c r="U939" s="2">
        <v>15.45</v>
      </c>
      <c r="V939" s="2">
        <v>18.22</v>
      </c>
      <c r="W939" s="2">
        <v>15.43</v>
      </c>
      <c r="X939" s="2">
        <v>11.34</v>
      </c>
      <c r="Y939" s="2">
        <v>10.15</v>
      </c>
      <c r="Z939" s="2">
        <v>6.05</v>
      </c>
      <c r="AA939" s="2">
        <v>4.22</v>
      </c>
      <c r="AB939" s="2">
        <v>2.67</v>
      </c>
      <c r="AC939" s="2">
        <v>6.49</v>
      </c>
      <c r="AD939" s="2">
        <v>2.39</v>
      </c>
      <c r="AE939" s="2">
        <v>1.58</v>
      </c>
      <c r="AF939" s="2">
        <v>64.510000000000005</v>
      </c>
      <c r="AG939" s="2">
        <v>12.92</v>
      </c>
      <c r="AH939" s="4">
        <f t="shared" si="14"/>
        <v>284.29999999999995</v>
      </c>
    </row>
    <row r="940" spans="1:34" x14ac:dyDescent="0.2">
      <c r="A940" s="3">
        <v>36525</v>
      </c>
      <c r="B940" s="2">
        <v>1.48</v>
      </c>
      <c r="C940" s="2">
        <v>17.760000000000002</v>
      </c>
      <c r="D940" s="2">
        <v>3.99</v>
      </c>
      <c r="E940" s="2">
        <v>2.74</v>
      </c>
      <c r="F940" s="2">
        <v>-4.6399999999999997</v>
      </c>
      <c r="G940" s="2">
        <v>2.0099999999999998</v>
      </c>
      <c r="H940" s="2">
        <v>19.7</v>
      </c>
      <c r="I940" s="2">
        <v>42.52</v>
      </c>
      <c r="J940" s="2">
        <v>4.8899999999999997</v>
      </c>
      <c r="K940" s="2">
        <v>3.07</v>
      </c>
      <c r="L940" s="2">
        <v>-6.03</v>
      </c>
      <c r="M940" s="2">
        <v>-0.93</v>
      </c>
      <c r="N940" s="2">
        <v>21.06</v>
      </c>
      <c r="O940" s="2">
        <v>21.65</v>
      </c>
      <c r="P940" s="2">
        <v>32.49</v>
      </c>
      <c r="Q940" s="2">
        <v>5.39</v>
      </c>
      <c r="R940" s="2">
        <v>12.49</v>
      </c>
      <c r="S940" s="2">
        <v>-19.72</v>
      </c>
      <c r="T940" s="2">
        <v>13.61</v>
      </c>
      <c r="U940" s="2">
        <v>15.85</v>
      </c>
      <c r="V940" s="2">
        <v>15.96</v>
      </c>
      <c r="W940" s="2">
        <v>11.73</v>
      </c>
      <c r="X940" s="2">
        <v>9.19</v>
      </c>
      <c r="Y940" s="2">
        <v>9.26</v>
      </c>
      <c r="Z940" s="2">
        <v>3.42</v>
      </c>
      <c r="AA940" s="2">
        <v>8.99</v>
      </c>
      <c r="AB940" s="2">
        <v>4.7</v>
      </c>
      <c r="AC940" s="2">
        <v>6.5</v>
      </c>
      <c r="AD940" s="2">
        <v>2.38</v>
      </c>
      <c r="AE940" s="2">
        <v>7.92</v>
      </c>
      <c r="AF940" s="2">
        <v>59.46</v>
      </c>
      <c r="AG940" s="2">
        <v>11.2</v>
      </c>
      <c r="AH940" s="4">
        <f t="shared" si="14"/>
        <v>205.33999999999997</v>
      </c>
    </row>
    <row r="941" spans="1:34" x14ac:dyDescent="0.2">
      <c r="A941" s="3">
        <v>36556</v>
      </c>
      <c r="B941" s="2">
        <v>-4.0599999999999996</v>
      </c>
      <c r="C941" s="2">
        <v>26.02</v>
      </c>
      <c r="D941" s="2">
        <v>32.89</v>
      </c>
      <c r="E941" s="2">
        <v>67.540000000000006</v>
      </c>
      <c r="F941" s="2">
        <v>57.8</v>
      </c>
      <c r="G941" s="2">
        <v>64.239999999999995</v>
      </c>
      <c r="H941" s="2">
        <v>29.74</v>
      </c>
      <c r="I941" s="2">
        <v>50.64</v>
      </c>
      <c r="J941" s="2">
        <v>48.51</v>
      </c>
      <c r="K941" s="2">
        <v>56.29</v>
      </c>
      <c r="L941" s="2">
        <v>6.48</v>
      </c>
      <c r="M941" s="2">
        <v>14.59</v>
      </c>
      <c r="N941" s="2">
        <v>41.67</v>
      </c>
      <c r="O941" s="2">
        <v>19.52</v>
      </c>
      <c r="P941" s="2">
        <v>38.5</v>
      </c>
      <c r="Q941" s="2">
        <v>-5.82</v>
      </c>
      <c r="R941" s="2">
        <v>7.89</v>
      </c>
      <c r="S941" s="2">
        <v>-11.29</v>
      </c>
      <c r="T941" s="2">
        <v>15.99</v>
      </c>
      <c r="U941" s="2">
        <v>13.81</v>
      </c>
      <c r="V941" s="2">
        <v>16.55</v>
      </c>
      <c r="W941" s="2">
        <v>4.26</v>
      </c>
      <c r="X941" s="2">
        <v>9.2200000000000006</v>
      </c>
      <c r="Y941" s="2">
        <v>8.16</v>
      </c>
      <c r="Z941" s="2">
        <v>6.79</v>
      </c>
      <c r="AA941" s="2">
        <v>7.78</v>
      </c>
      <c r="AB941" s="2">
        <v>4.63</v>
      </c>
      <c r="AC941" s="2">
        <v>9.49</v>
      </c>
      <c r="AD941" s="2">
        <v>2.31</v>
      </c>
      <c r="AE941" s="2">
        <v>14.92</v>
      </c>
      <c r="AF941" s="2">
        <v>69.790000000000006</v>
      </c>
      <c r="AG941" s="2">
        <v>9.8800000000000008</v>
      </c>
      <c r="AH941" s="4">
        <f t="shared" si="14"/>
        <v>587.49999999999989</v>
      </c>
    </row>
    <row r="942" spans="1:34" x14ac:dyDescent="0.2">
      <c r="A942" s="3">
        <v>36585</v>
      </c>
      <c r="B942" s="2">
        <v>7.16</v>
      </c>
      <c r="C942" s="2">
        <v>39.57</v>
      </c>
      <c r="D942" s="2">
        <v>61.52</v>
      </c>
      <c r="E942" s="2">
        <v>213.76</v>
      </c>
      <c r="F942" s="2">
        <v>169.24</v>
      </c>
      <c r="G942" s="2">
        <v>158.24</v>
      </c>
      <c r="H942" s="2">
        <v>31.81</v>
      </c>
      <c r="I942" s="2">
        <v>60.25</v>
      </c>
      <c r="J942" s="2">
        <v>111.87</v>
      </c>
      <c r="K942" s="2">
        <v>90.67</v>
      </c>
      <c r="L942" s="2">
        <v>44.93</v>
      </c>
      <c r="M942" s="2">
        <v>52.2</v>
      </c>
      <c r="N942" s="2">
        <v>63.79</v>
      </c>
      <c r="O942" s="2">
        <v>21.98</v>
      </c>
      <c r="P942" s="2">
        <v>107.32</v>
      </c>
      <c r="Q942" s="2">
        <v>-4.82</v>
      </c>
      <c r="R942" s="2">
        <v>8.86</v>
      </c>
      <c r="S942" s="2">
        <v>57.37</v>
      </c>
      <c r="T942" s="2">
        <v>27.67</v>
      </c>
      <c r="U942" s="2">
        <v>14.79</v>
      </c>
      <c r="V942" s="2">
        <v>15.18</v>
      </c>
      <c r="W942" s="2">
        <v>0</v>
      </c>
      <c r="X942" s="2">
        <v>3.3</v>
      </c>
      <c r="Y942" s="2">
        <v>3.38</v>
      </c>
      <c r="Z942" s="2">
        <v>6.93</v>
      </c>
      <c r="AA942" s="2">
        <v>7.35</v>
      </c>
      <c r="AB942" s="2">
        <v>4.6399999999999997</v>
      </c>
      <c r="AC942" s="2">
        <v>9.07</v>
      </c>
      <c r="AD942" s="2">
        <v>2.6</v>
      </c>
      <c r="AE942" s="2">
        <v>19.579999999999998</v>
      </c>
      <c r="AF942" s="2">
        <v>58.18</v>
      </c>
      <c r="AG942" s="2">
        <v>10.08</v>
      </c>
      <c r="AH942" s="4">
        <f t="shared" si="14"/>
        <v>1353.3599999999997</v>
      </c>
    </row>
    <row r="943" spans="1:34" x14ac:dyDescent="0.2">
      <c r="A943" s="3">
        <v>36616</v>
      </c>
      <c r="B943" s="2">
        <v>12.29</v>
      </c>
      <c r="C943" s="2">
        <v>28.88</v>
      </c>
      <c r="D943" s="2">
        <v>-11.64</v>
      </c>
      <c r="E943" s="2">
        <v>1.72</v>
      </c>
      <c r="F943" s="2">
        <v>55.46</v>
      </c>
      <c r="G943" s="2">
        <v>-10.3</v>
      </c>
      <c r="H943" s="2">
        <v>9.9600000000000009</v>
      </c>
      <c r="I943" s="2">
        <v>55.29</v>
      </c>
      <c r="J943" s="2">
        <v>14.25</v>
      </c>
      <c r="K943" s="2">
        <v>1.42</v>
      </c>
      <c r="L943" s="2">
        <v>36.340000000000003</v>
      </c>
      <c r="M943" s="2">
        <v>22.54</v>
      </c>
      <c r="N943" s="2">
        <v>41.3</v>
      </c>
      <c r="O943" s="2">
        <v>20.93</v>
      </c>
      <c r="P943" s="2">
        <v>40.03</v>
      </c>
      <c r="Q943" s="2">
        <v>10.23</v>
      </c>
      <c r="R943" s="2">
        <v>16.13</v>
      </c>
      <c r="S943" s="2">
        <v>5.67</v>
      </c>
      <c r="T943" s="2">
        <v>28.93</v>
      </c>
      <c r="U943" s="2">
        <v>12.59</v>
      </c>
      <c r="V943" s="2">
        <v>39.15</v>
      </c>
      <c r="W943" s="2">
        <v>0</v>
      </c>
      <c r="X943" s="2">
        <v>4.1399999999999997</v>
      </c>
      <c r="Y943" s="2">
        <v>3.38</v>
      </c>
      <c r="Z943" s="2">
        <v>5.85</v>
      </c>
      <c r="AA943" s="2">
        <v>5.0199999999999996</v>
      </c>
      <c r="AB943" s="2">
        <v>2.14</v>
      </c>
      <c r="AC943" s="2">
        <v>9.06</v>
      </c>
      <c r="AD943" s="2">
        <v>4.34</v>
      </c>
      <c r="AE943" s="2">
        <v>17.149999999999999</v>
      </c>
      <c r="AF943" s="2">
        <v>68.66</v>
      </c>
      <c r="AG943" s="2">
        <v>10.69</v>
      </c>
      <c r="AH943" s="4">
        <f t="shared" si="14"/>
        <v>431.17</v>
      </c>
    </row>
    <row r="944" spans="1:34" x14ac:dyDescent="0.2">
      <c r="A944" s="3">
        <v>36646</v>
      </c>
      <c r="B944" s="2">
        <v>2.3199999999999998</v>
      </c>
      <c r="C944" s="2">
        <v>19.809999999999999</v>
      </c>
      <c r="D944" s="2">
        <v>-5.44</v>
      </c>
      <c r="E944" s="2">
        <v>-85.13</v>
      </c>
      <c r="F944" s="2">
        <v>-51.53</v>
      </c>
      <c r="G944" s="2">
        <v>-58.45</v>
      </c>
      <c r="H944" s="2">
        <v>16.559999999999999</v>
      </c>
      <c r="I944" s="2">
        <v>50.6</v>
      </c>
      <c r="J944" s="2">
        <v>-23.43</v>
      </c>
      <c r="K944" s="2">
        <v>-18.170000000000002</v>
      </c>
      <c r="L944" s="2">
        <v>-26.7</v>
      </c>
      <c r="M944" s="2">
        <v>-20.190000000000001</v>
      </c>
      <c r="N944" s="2">
        <v>22.22</v>
      </c>
      <c r="O944" s="2">
        <v>22.77</v>
      </c>
      <c r="P944" s="2">
        <v>26.42</v>
      </c>
      <c r="Q944" s="2">
        <v>9.23</v>
      </c>
      <c r="R944" s="2">
        <v>19.18</v>
      </c>
      <c r="S944" s="2">
        <v>-20.47</v>
      </c>
      <c r="T944" s="2">
        <v>21.16</v>
      </c>
      <c r="U944" s="2">
        <v>21.83</v>
      </c>
      <c r="V944" s="2">
        <v>19.87</v>
      </c>
      <c r="W944" s="2">
        <v>0</v>
      </c>
      <c r="X944" s="2">
        <v>5.05</v>
      </c>
      <c r="Y944" s="2">
        <v>4.53</v>
      </c>
      <c r="Z944" s="2">
        <v>2.56</v>
      </c>
      <c r="AA944" s="2">
        <v>1.65</v>
      </c>
      <c r="AB944" s="2">
        <v>1.36</v>
      </c>
      <c r="AC944" s="2">
        <v>3.31</v>
      </c>
      <c r="AD944" s="2">
        <v>5.27</v>
      </c>
      <c r="AE944" s="2">
        <v>1.31</v>
      </c>
      <c r="AF944" s="2">
        <v>84.95</v>
      </c>
      <c r="AG944" s="2">
        <v>14.64</v>
      </c>
      <c r="AH944" s="4">
        <f t="shared" si="14"/>
        <v>-57.539999999999978</v>
      </c>
    </row>
    <row r="945" spans="1:34" x14ac:dyDescent="0.2">
      <c r="A945" s="3">
        <v>36677</v>
      </c>
      <c r="B945" s="2">
        <v>4.3899999999999997</v>
      </c>
      <c r="C945" s="2">
        <v>21.42</v>
      </c>
      <c r="D945" s="2">
        <v>-7.24</v>
      </c>
      <c r="E945" s="2">
        <v>-42.16</v>
      </c>
      <c r="F945" s="2">
        <v>-28.48</v>
      </c>
      <c r="G945" s="2">
        <v>-16.62</v>
      </c>
      <c r="H945" s="2">
        <v>10.8</v>
      </c>
      <c r="I945" s="2">
        <v>50.89</v>
      </c>
      <c r="J945" s="2">
        <v>-18.04</v>
      </c>
      <c r="K945" s="2">
        <v>12.83</v>
      </c>
      <c r="L945" s="2">
        <v>-5.51</v>
      </c>
      <c r="M945" s="2">
        <v>-2.8</v>
      </c>
      <c r="N945" s="2">
        <v>36.270000000000003</v>
      </c>
      <c r="O945" s="2">
        <v>23.65</v>
      </c>
      <c r="P945" s="2">
        <v>65.58</v>
      </c>
      <c r="Q945" s="2">
        <v>6.2</v>
      </c>
      <c r="R945" s="2">
        <v>20.41</v>
      </c>
      <c r="S945" s="2">
        <v>-28.3</v>
      </c>
      <c r="T945" s="2">
        <v>30.34</v>
      </c>
      <c r="U945" s="2">
        <v>16.54</v>
      </c>
      <c r="V945" s="2">
        <v>41.02</v>
      </c>
      <c r="W945" s="2">
        <v>4.88</v>
      </c>
      <c r="X945" s="2">
        <v>7.83</v>
      </c>
      <c r="Y945" s="2">
        <v>6.62</v>
      </c>
      <c r="Z945" s="2">
        <v>0.64</v>
      </c>
      <c r="AA945" s="2">
        <v>0.79</v>
      </c>
      <c r="AB945" s="2">
        <v>0.76</v>
      </c>
      <c r="AC945" s="2">
        <v>1.2</v>
      </c>
      <c r="AD945" s="2">
        <v>7.51</v>
      </c>
      <c r="AE945" s="2">
        <v>0</v>
      </c>
      <c r="AF945" s="2">
        <v>95.94</v>
      </c>
      <c r="AG945" s="2">
        <v>17.690000000000001</v>
      </c>
      <c r="AH945" s="4">
        <f t="shared" si="14"/>
        <v>191.19</v>
      </c>
    </row>
    <row r="946" spans="1:34" x14ac:dyDescent="0.2">
      <c r="A946" s="3">
        <v>36707</v>
      </c>
      <c r="B946" s="2">
        <v>5.4</v>
      </c>
      <c r="C946" s="2">
        <v>24.66</v>
      </c>
      <c r="D946" s="2">
        <v>-2.82</v>
      </c>
      <c r="E946" s="2">
        <v>-25.31</v>
      </c>
      <c r="F946" s="2">
        <v>8.0299999999999994</v>
      </c>
      <c r="G946" s="2">
        <v>-11.15</v>
      </c>
      <c r="H946" s="2">
        <v>17.59</v>
      </c>
      <c r="I946" s="2">
        <v>40.26</v>
      </c>
      <c r="J946" s="2">
        <v>-26.38</v>
      </c>
      <c r="K946" s="2">
        <v>22.29</v>
      </c>
      <c r="L946" s="2">
        <v>-12.07</v>
      </c>
      <c r="M946" s="2">
        <v>2.35</v>
      </c>
      <c r="N946" s="2">
        <v>45.59</v>
      </c>
      <c r="O946" s="2">
        <v>24.99</v>
      </c>
      <c r="P946" s="2">
        <v>98.32</v>
      </c>
      <c r="Q946" s="2">
        <v>11.73</v>
      </c>
      <c r="R946" s="2">
        <v>31.33</v>
      </c>
      <c r="S946" s="2">
        <v>-27.07</v>
      </c>
      <c r="T946" s="2">
        <v>51.71</v>
      </c>
      <c r="U946" s="2">
        <v>16.899999999999999</v>
      </c>
      <c r="V946" s="2">
        <v>47.92</v>
      </c>
      <c r="W946" s="2">
        <v>18.62</v>
      </c>
      <c r="X946" s="2">
        <v>12.83</v>
      </c>
      <c r="Y946" s="2">
        <v>12.29</v>
      </c>
      <c r="Z946" s="2">
        <v>0.21</v>
      </c>
      <c r="AA946" s="2">
        <v>0.28000000000000003</v>
      </c>
      <c r="AB946" s="2">
        <v>0.42</v>
      </c>
      <c r="AC946" s="2">
        <v>0.74</v>
      </c>
      <c r="AD946" s="2">
        <v>9.58</v>
      </c>
      <c r="AE946" s="2">
        <v>0</v>
      </c>
      <c r="AF946" s="2">
        <v>105</v>
      </c>
      <c r="AG946" s="2">
        <v>22.83</v>
      </c>
      <c r="AH946" s="4">
        <f t="shared" si="14"/>
        <v>344.27</v>
      </c>
    </row>
    <row r="947" spans="1:34" x14ac:dyDescent="0.2">
      <c r="A947" s="3">
        <v>36738</v>
      </c>
      <c r="B947" s="2">
        <v>6.26</v>
      </c>
      <c r="C947" s="2">
        <v>23.93</v>
      </c>
      <c r="D947" s="2">
        <v>6.94</v>
      </c>
      <c r="E947" s="2">
        <v>-3.23</v>
      </c>
      <c r="F947" s="2">
        <v>29.22</v>
      </c>
      <c r="G947" s="2">
        <v>12.79</v>
      </c>
      <c r="H947" s="2">
        <v>25.24</v>
      </c>
      <c r="I947" s="2">
        <v>46.5</v>
      </c>
      <c r="J947" s="2">
        <v>-19.28</v>
      </c>
      <c r="K947" s="2">
        <v>36.68</v>
      </c>
      <c r="L947" s="2">
        <v>-10.93</v>
      </c>
      <c r="M947" s="2">
        <v>13.21</v>
      </c>
      <c r="N947" s="2">
        <v>53.93</v>
      </c>
      <c r="O947" s="2">
        <v>35.53</v>
      </c>
      <c r="P947" s="2">
        <v>87.64</v>
      </c>
      <c r="Q947" s="2">
        <v>6.77</v>
      </c>
      <c r="R947" s="2">
        <v>30.81</v>
      </c>
      <c r="S947" s="2">
        <v>-5.0999999999999996</v>
      </c>
      <c r="T947" s="2">
        <v>51.3</v>
      </c>
      <c r="U947" s="2">
        <v>28.12</v>
      </c>
      <c r="V947" s="2">
        <v>45.86</v>
      </c>
      <c r="W947" s="2">
        <v>30.39</v>
      </c>
      <c r="X947" s="2">
        <v>17.78</v>
      </c>
      <c r="Y947" s="2">
        <v>17.73</v>
      </c>
      <c r="Z947" s="2">
        <v>0.19</v>
      </c>
      <c r="AA947" s="2">
        <v>2.17</v>
      </c>
      <c r="AB947" s="2">
        <v>0.64</v>
      </c>
      <c r="AC947" s="2">
        <v>2.02</v>
      </c>
      <c r="AD947" s="2">
        <v>8.5399999999999991</v>
      </c>
      <c r="AE947" s="2">
        <v>0</v>
      </c>
      <c r="AF947" s="2">
        <v>114.35</v>
      </c>
      <c r="AG947" s="2">
        <v>24.8</v>
      </c>
      <c r="AH947" s="4">
        <f t="shared" si="14"/>
        <v>502.18999999999994</v>
      </c>
    </row>
    <row r="948" spans="1:34" x14ac:dyDescent="0.2">
      <c r="A948" s="3">
        <v>36769</v>
      </c>
      <c r="B948" s="2">
        <v>3.97</v>
      </c>
      <c r="C948" s="2">
        <v>24.15</v>
      </c>
      <c r="D948" s="2">
        <v>2.88</v>
      </c>
      <c r="E948" s="2">
        <v>-12.98</v>
      </c>
      <c r="F948" s="2">
        <v>6.56</v>
      </c>
      <c r="G948" s="2">
        <v>10.19</v>
      </c>
      <c r="H948" s="2">
        <v>19.14</v>
      </c>
      <c r="I948" s="2">
        <v>50.85</v>
      </c>
      <c r="J948" s="2">
        <v>-6.03</v>
      </c>
      <c r="K948" s="2">
        <v>30.41</v>
      </c>
      <c r="L948" s="2">
        <v>1.58</v>
      </c>
      <c r="M948" s="2">
        <v>17.600000000000001</v>
      </c>
      <c r="N948" s="2">
        <v>56.81</v>
      </c>
      <c r="O948" s="2">
        <v>23.4</v>
      </c>
      <c r="P948" s="2">
        <v>61.28</v>
      </c>
      <c r="Q948" s="2">
        <v>10.88</v>
      </c>
      <c r="R948" s="2">
        <v>30.21</v>
      </c>
      <c r="S948" s="2">
        <v>0.5</v>
      </c>
      <c r="T948" s="2">
        <v>42.79</v>
      </c>
      <c r="U948" s="2">
        <v>27.61</v>
      </c>
      <c r="V948" s="2">
        <v>37.83</v>
      </c>
      <c r="W948" s="2">
        <v>31.47</v>
      </c>
      <c r="X948" s="2">
        <v>20.03</v>
      </c>
      <c r="Y948" s="2">
        <v>20.170000000000002</v>
      </c>
      <c r="Z948" s="2">
        <v>0.86</v>
      </c>
      <c r="AA948" s="2">
        <v>5.3</v>
      </c>
      <c r="AB948" s="2">
        <v>0.76</v>
      </c>
      <c r="AC948" s="2">
        <v>2.98</v>
      </c>
      <c r="AD948" s="2">
        <v>6.41</v>
      </c>
      <c r="AE948" s="2">
        <v>0</v>
      </c>
      <c r="AF948" s="2">
        <v>116.29</v>
      </c>
      <c r="AG948" s="2">
        <v>23.65</v>
      </c>
      <c r="AH948" s="4">
        <f t="shared" si="14"/>
        <v>439.63</v>
      </c>
    </row>
    <row r="949" spans="1:34" x14ac:dyDescent="0.2">
      <c r="A949" s="3">
        <v>36799</v>
      </c>
      <c r="B949" s="2">
        <v>0.87</v>
      </c>
      <c r="C949" s="2">
        <v>25.7</v>
      </c>
      <c r="D949" s="2">
        <v>1.3</v>
      </c>
      <c r="E949" s="2">
        <v>-23.11</v>
      </c>
      <c r="F949" s="2">
        <v>-5.24</v>
      </c>
      <c r="G949" s="2">
        <v>5.41</v>
      </c>
      <c r="H949" s="2">
        <v>20.54</v>
      </c>
      <c r="I949" s="2">
        <v>52.7</v>
      </c>
      <c r="J949" s="2">
        <v>5.08</v>
      </c>
      <c r="K949" s="2">
        <v>10.39</v>
      </c>
      <c r="L949" s="2">
        <v>-3.18</v>
      </c>
      <c r="M949" s="2">
        <v>9.58</v>
      </c>
      <c r="N949" s="2">
        <v>43.77</v>
      </c>
      <c r="O949" s="2">
        <v>22.71</v>
      </c>
      <c r="P949" s="2">
        <v>25.13</v>
      </c>
      <c r="Q949" s="2">
        <v>11.04</v>
      </c>
      <c r="R949" s="2">
        <v>24.83</v>
      </c>
      <c r="S949" s="2">
        <v>-4.71</v>
      </c>
      <c r="T949" s="2">
        <v>12.79</v>
      </c>
      <c r="U949" s="2">
        <v>20.64</v>
      </c>
      <c r="V949" s="2">
        <v>20.51</v>
      </c>
      <c r="W949" s="2">
        <v>26.1</v>
      </c>
      <c r="X949" s="2">
        <v>18.73</v>
      </c>
      <c r="Y949" s="2">
        <v>18.670000000000002</v>
      </c>
      <c r="Z949" s="2">
        <v>0.97</v>
      </c>
      <c r="AA949" s="2">
        <v>5.68</v>
      </c>
      <c r="AB949" s="2">
        <v>0.95</v>
      </c>
      <c r="AC949" s="2">
        <v>2.27</v>
      </c>
      <c r="AD949" s="2">
        <v>4.7300000000000004</v>
      </c>
      <c r="AE949" s="2">
        <v>0</v>
      </c>
      <c r="AF949" s="2">
        <v>108.49</v>
      </c>
      <c r="AG949" s="2">
        <v>20.170000000000002</v>
      </c>
      <c r="AH949" s="4">
        <f t="shared" si="14"/>
        <v>276.74999999999994</v>
      </c>
    </row>
    <row r="950" spans="1:34" x14ac:dyDescent="0.2">
      <c r="A950" s="3">
        <v>36830</v>
      </c>
      <c r="B950" s="2">
        <v>0.31</v>
      </c>
      <c r="C950" s="2">
        <v>22.54</v>
      </c>
      <c r="D950" s="2">
        <v>1.91</v>
      </c>
      <c r="E950" s="2">
        <v>-5.32</v>
      </c>
      <c r="F950" s="2">
        <v>-0.97</v>
      </c>
      <c r="G950" s="2">
        <v>11.44</v>
      </c>
      <c r="H950" s="2">
        <v>19.23</v>
      </c>
      <c r="I950" s="2">
        <v>47.83</v>
      </c>
      <c r="J950" s="2">
        <v>17.32</v>
      </c>
      <c r="K950" s="2">
        <v>20.83</v>
      </c>
      <c r="L950" s="2">
        <v>3.63</v>
      </c>
      <c r="M950" s="2">
        <v>14.29</v>
      </c>
      <c r="N950" s="2">
        <v>41.61</v>
      </c>
      <c r="O950" s="2">
        <v>13.62</v>
      </c>
      <c r="P950" s="2">
        <v>36.979999999999997</v>
      </c>
      <c r="Q950" s="2">
        <v>2.12</v>
      </c>
      <c r="R950" s="2">
        <v>8.8000000000000007</v>
      </c>
      <c r="S950" s="2">
        <v>-7.89</v>
      </c>
      <c r="T950" s="2">
        <v>17.68</v>
      </c>
      <c r="U950" s="2">
        <v>11.19</v>
      </c>
      <c r="V950" s="2">
        <v>12.36</v>
      </c>
      <c r="W950" s="2">
        <v>22.19</v>
      </c>
      <c r="X950" s="2">
        <v>17.28</v>
      </c>
      <c r="Y950" s="2">
        <v>17.190000000000001</v>
      </c>
      <c r="Z950" s="2">
        <v>3.52</v>
      </c>
      <c r="AA950" s="2">
        <v>3.62</v>
      </c>
      <c r="AB950" s="2">
        <v>1.35</v>
      </c>
      <c r="AC950" s="2">
        <v>2.92</v>
      </c>
      <c r="AD950" s="2">
        <v>3.53</v>
      </c>
      <c r="AE950" s="2">
        <v>3.64</v>
      </c>
      <c r="AF950" s="2">
        <v>97.96</v>
      </c>
      <c r="AG950" s="2">
        <v>16.420000000000002</v>
      </c>
      <c r="AH950" s="4">
        <f t="shared" si="14"/>
        <v>289.51</v>
      </c>
    </row>
    <row r="951" spans="1:34" x14ac:dyDescent="0.2">
      <c r="A951" s="3">
        <v>36860</v>
      </c>
      <c r="B951" s="2">
        <v>-0.63</v>
      </c>
      <c r="C951" s="2">
        <v>15.62</v>
      </c>
      <c r="D951" s="2">
        <v>-1.21</v>
      </c>
      <c r="E951" s="2">
        <v>-13.66</v>
      </c>
      <c r="F951" s="2">
        <v>-12.07</v>
      </c>
      <c r="G951" s="2">
        <v>1.19</v>
      </c>
      <c r="H951" s="2">
        <v>16.13</v>
      </c>
      <c r="I951" s="2">
        <v>44.83</v>
      </c>
      <c r="J951" s="2">
        <v>0.92</v>
      </c>
      <c r="K951" s="2">
        <v>-6.27</v>
      </c>
      <c r="L951" s="2">
        <v>-11.74</v>
      </c>
      <c r="M951" s="2">
        <v>-6.81</v>
      </c>
      <c r="N951" s="2">
        <v>17.05</v>
      </c>
      <c r="O951" s="2">
        <v>20.3</v>
      </c>
      <c r="P951" s="2">
        <v>31.9</v>
      </c>
      <c r="Q951" s="2">
        <v>9.6</v>
      </c>
      <c r="R951" s="2">
        <v>14.58</v>
      </c>
      <c r="S951" s="2">
        <v>-5.39</v>
      </c>
      <c r="T951" s="2">
        <v>13.1</v>
      </c>
      <c r="U951" s="2">
        <v>14.18</v>
      </c>
      <c r="V951" s="2">
        <v>16.84</v>
      </c>
      <c r="W951" s="2">
        <v>15.43</v>
      </c>
      <c r="X951" s="2">
        <v>11.34</v>
      </c>
      <c r="Y951" s="2">
        <v>10.15</v>
      </c>
      <c r="Z951" s="2">
        <v>6.05</v>
      </c>
      <c r="AA951" s="2">
        <v>4.22</v>
      </c>
      <c r="AB951" s="2">
        <v>2.67</v>
      </c>
      <c r="AC951" s="2">
        <v>6.49</v>
      </c>
      <c r="AD951" s="2">
        <v>2.39</v>
      </c>
      <c r="AE951" s="2">
        <v>5.03</v>
      </c>
      <c r="AF951" s="2">
        <v>64.510000000000005</v>
      </c>
      <c r="AG951" s="2">
        <v>12.92</v>
      </c>
      <c r="AH951" s="4">
        <f t="shared" si="14"/>
        <v>158.45999999999998</v>
      </c>
    </row>
    <row r="952" spans="1:34" x14ac:dyDescent="0.2">
      <c r="A952" s="3">
        <v>36891</v>
      </c>
      <c r="B952" s="2">
        <v>-0.66</v>
      </c>
      <c r="C952" s="2">
        <v>15.95</v>
      </c>
      <c r="D952" s="2">
        <v>0.26</v>
      </c>
      <c r="E952" s="2">
        <v>-6.56</v>
      </c>
      <c r="F952" s="2">
        <v>-4.71</v>
      </c>
      <c r="G952" s="2">
        <v>4.95</v>
      </c>
      <c r="H952" s="2">
        <v>17.66</v>
      </c>
      <c r="I952" s="2">
        <v>42.98</v>
      </c>
      <c r="J952" s="2">
        <v>2.2799999999999998</v>
      </c>
      <c r="K952" s="2">
        <v>-0.21</v>
      </c>
      <c r="L952" s="2">
        <v>-7.11</v>
      </c>
      <c r="M952" s="2">
        <v>-2.12</v>
      </c>
      <c r="N952" s="2">
        <v>21.52</v>
      </c>
      <c r="O952" s="2">
        <v>22.68</v>
      </c>
      <c r="P952" s="2">
        <v>31.66</v>
      </c>
      <c r="Q952" s="2">
        <v>8.58</v>
      </c>
      <c r="R952" s="2">
        <v>13.7</v>
      </c>
      <c r="S952" s="2">
        <v>-9.81</v>
      </c>
      <c r="T952" s="2">
        <v>13.43</v>
      </c>
      <c r="U952" s="2">
        <v>15.51</v>
      </c>
      <c r="V952" s="2">
        <v>16.420000000000002</v>
      </c>
      <c r="W952" s="2">
        <v>11.73</v>
      </c>
      <c r="X952" s="2">
        <v>9.19</v>
      </c>
      <c r="Y952" s="2">
        <v>9.26</v>
      </c>
      <c r="Z952" s="2">
        <v>3.42</v>
      </c>
      <c r="AA952" s="2">
        <v>8.99</v>
      </c>
      <c r="AB952" s="2">
        <v>4.7</v>
      </c>
      <c r="AC952" s="2">
        <v>6.5</v>
      </c>
      <c r="AD952" s="2">
        <v>2.38</v>
      </c>
      <c r="AE952" s="2">
        <v>58.45</v>
      </c>
      <c r="AF952" s="2">
        <v>59.46</v>
      </c>
      <c r="AG952" s="2">
        <v>11.2</v>
      </c>
      <c r="AH952" s="4">
        <f t="shared" si="14"/>
        <v>196.40000000000003</v>
      </c>
    </row>
    <row r="953" spans="1:34" x14ac:dyDescent="0.2">
      <c r="A953" s="3">
        <v>36922</v>
      </c>
      <c r="B953" s="2">
        <v>-5.33</v>
      </c>
      <c r="C953" s="2">
        <v>23.66</v>
      </c>
      <c r="D953" s="2">
        <v>30.27</v>
      </c>
      <c r="E953" s="2">
        <v>43.08</v>
      </c>
      <c r="F953" s="2">
        <v>39.58</v>
      </c>
      <c r="G953" s="2">
        <v>36.04</v>
      </c>
      <c r="H953" s="2">
        <v>22.96</v>
      </c>
      <c r="I953" s="2">
        <v>43.58</v>
      </c>
      <c r="J953" s="2">
        <v>22.08</v>
      </c>
      <c r="K953" s="2">
        <v>45.12</v>
      </c>
      <c r="L953" s="2">
        <v>-3.19</v>
      </c>
      <c r="M953" s="2">
        <v>12.56</v>
      </c>
      <c r="N953" s="2">
        <v>39.299999999999997</v>
      </c>
      <c r="O953" s="2">
        <v>14.67</v>
      </c>
      <c r="P953" s="2">
        <v>57.68</v>
      </c>
      <c r="Q953" s="2">
        <v>-3.67</v>
      </c>
      <c r="R953" s="2">
        <v>7.96</v>
      </c>
      <c r="S953" s="2">
        <v>-10.86</v>
      </c>
      <c r="T953" s="2">
        <v>16.149999999999999</v>
      </c>
      <c r="U953" s="2">
        <v>12.4</v>
      </c>
      <c r="V953" s="2">
        <v>11.9</v>
      </c>
      <c r="W953" s="2">
        <v>4.26</v>
      </c>
      <c r="X953" s="2">
        <v>9.2200000000000006</v>
      </c>
      <c r="Y953" s="2">
        <v>8.16</v>
      </c>
      <c r="Z953" s="2">
        <v>6.79</v>
      </c>
      <c r="AA953" s="2">
        <v>7.78</v>
      </c>
      <c r="AB953" s="2">
        <v>4.63</v>
      </c>
      <c r="AC953" s="2">
        <v>9.49</v>
      </c>
      <c r="AD953" s="2">
        <v>2.31</v>
      </c>
      <c r="AE953" s="2">
        <v>41.3</v>
      </c>
      <c r="AF953" s="2">
        <v>69.790000000000006</v>
      </c>
      <c r="AG953" s="2">
        <v>9.8800000000000008</v>
      </c>
      <c r="AH953" s="4">
        <f t="shared" si="14"/>
        <v>455.93999999999988</v>
      </c>
    </row>
    <row r="954" spans="1:34" x14ac:dyDescent="0.2">
      <c r="A954" s="3">
        <v>36950</v>
      </c>
      <c r="B954" s="2">
        <v>-6.67</v>
      </c>
      <c r="C954" s="2">
        <v>23.4</v>
      </c>
      <c r="D954" s="2">
        <v>23.78</v>
      </c>
      <c r="E954" s="2">
        <v>34.51</v>
      </c>
      <c r="F954" s="2">
        <v>24.04</v>
      </c>
      <c r="G954" s="2">
        <v>70.42</v>
      </c>
      <c r="H954" s="2">
        <v>18.93</v>
      </c>
      <c r="I954" s="2">
        <v>41.48</v>
      </c>
      <c r="J954" s="2">
        <v>26.02</v>
      </c>
      <c r="K954" s="2">
        <v>14.08</v>
      </c>
      <c r="L954" s="2">
        <v>3.39</v>
      </c>
      <c r="M954" s="2">
        <v>9.08</v>
      </c>
      <c r="N954" s="2">
        <v>25.37</v>
      </c>
      <c r="O954" s="2">
        <v>15.83</v>
      </c>
      <c r="P954" s="2">
        <v>49.28</v>
      </c>
      <c r="Q954" s="2">
        <v>-1.39</v>
      </c>
      <c r="R954" s="2">
        <v>8.19</v>
      </c>
      <c r="S954" s="2">
        <v>-22.58</v>
      </c>
      <c r="T954" s="2">
        <v>28.59</v>
      </c>
      <c r="U954" s="2">
        <v>12.27</v>
      </c>
      <c r="V954" s="2">
        <v>11.5</v>
      </c>
      <c r="W954" s="2">
        <v>0</v>
      </c>
      <c r="X954" s="2">
        <v>3.3</v>
      </c>
      <c r="Y954" s="2">
        <v>3.38</v>
      </c>
      <c r="Z954" s="2">
        <v>6.93</v>
      </c>
      <c r="AA954" s="2">
        <v>7.35</v>
      </c>
      <c r="AB954" s="2">
        <v>4.6399999999999997</v>
      </c>
      <c r="AC954" s="2">
        <v>9.07</v>
      </c>
      <c r="AD954" s="2">
        <v>2.6</v>
      </c>
      <c r="AE954" s="2">
        <v>51.46</v>
      </c>
      <c r="AF954" s="2">
        <v>58.18</v>
      </c>
      <c r="AG954" s="2">
        <v>10.08</v>
      </c>
      <c r="AH954" s="4">
        <f t="shared" si="14"/>
        <v>409.51999999999992</v>
      </c>
    </row>
    <row r="955" spans="1:34" x14ac:dyDescent="0.2">
      <c r="A955" s="3">
        <v>36981</v>
      </c>
      <c r="B955" s="2">
        <v>1.51</v>
      </c>
      <c r="C955" s="2">
        <v>25.88</v>
      </c>
      <c r="D955" s="2">
        <v>1.78</v>
      </c>
      <c r="E955" s="2">
        <v>5.88</v>
      </c>
      <c r="F955" s="2">
        <v>11.05</v>
      </c>
      <c r="G955" s="2">
        <v>-6.2</v>
      </c>
      <c r="H955" s="2">
        <v>16.95</v>
      </c>
      <c r="I955" s="2">
        <v>43.73</v>
      </c>
      <c r="J955" s="2">
        <v>5.44</v>
      </c>
      <c r="K955" s="2">
        <v>12.87</v>
      </c>
      <c r="L955" s="2">
        <v>-5.66</v>
      </c>
      <c r="M955" s="2">
        <v>4.75</v>
      </c>
      <c r="N955" s="2">
        <v>29.37</v>
      </c>
      <c r="O955" s="2">
        <v>13.38</v>
      </c>
      <c r="P955" s="2">
        <v>43.86</v>
      </c>
      <c r="Q955" s="2">
        <v>3.47</v>
      </c>
      <c r="R955" s="2">
        <v>8.9600000000000009</v>
      </c>
      <c r="S955" s="2">
        <v>-13.64</v>
      </c>
      <c r="T955" s="2">
        <v>20.05</v>
      </c>
      <c r="U955" s="2">
        <v>10.95</v>
      </c>
      <c r="V955" s="2">
        <v>24.94</v>
      </c>
      <c r="W955" s="2">
        <v>0</v>
      </c>
      <c r="X955" s="2">
        <v>4.1399999999999997</v>
      </c>
      <c r="Y955" s="2">
        <v>3.38</v>
      </c>
      <c r="Z955" s="2">
        <v>5.85</v>
      </c>
      <c r="AA955" s="2">
        <v>5.0199999999999996</v>
      </c>
      <c r="AB955" s="2">
        <v>2.14</v>
      </c>
      <c r="AC955" s="2">
        <v>9.06</v>
      </c>
      <c r="AD955" s="2">
        <v>4.34</v>
      </c>
      <c r="AE955" s="2">
        <v>40.18</v>
      </c>
      <c r="AF955" s="2">
        <v>68.66</v>
      </c>
      <c r="AG955" s="2">
        <v>10.69</v>
      </c>
      <c r="AH955" s="4">
        <f t="shared" si="14"/>
        <v>259.32000000000005</v>
      </c>
    </row>
    <row r="956" spans="1:34" x14ac:dyDescent="0.2">
      <c r="A956" s="3">
        <v>37011</v>
      </c>
      <c r="B956" s="2">
        <v>1.93</v>
      </c>
      <c r="C956" s="2">
        <v>14.97</v>
      </c>
      <c r="D956" s="2">
        <v>3.04</v>
      </c>
      <c r="E956" s="2">
        <v>-23.46</v>
      </c>
      <c r="F956" s="2">
        <v>15.82</v>
      </c>
      <c r="G956" s="2">
        <v>-18.57</v>
      </c>
      <c r="H956" s="2">
        <v>11.88</v>
      </c>
      <c r="I956" s="2">
        <v>44.64</v>
      </c>
      <c r="J956" s="2">
        <v>0.75</v>
      </c>
      <c r="K956" s="2">
        <v>4.93</v>
      </c>
      <c r="L956" s="2">
        <v>13.56</v>
      </c>
      <c r="M956" s="2">
        <v>5.13</v>
      </c>
      <c r="N956" s="2">
        <v>9.1</v>
      </c>
      <c r="O956" s="2">
        <v>19.64</v>
      </c>
      <c r="P956" s="2">
        <v>25.83</v>
      </c>
      <c r="Q956" s="2">
        <v>1.23</v>
      </c>
      <c r="R956" s="2">
        <v>11.23</v>
      </c>
      <c r="S956" s="2">
        <v>6.65</v>
      </c>
      <c r="T956" s="2">
        <v>20.93</v>
      </c>
      <c r="U956" s="2">
        <v>9.6199999999999992</v>
      </c>
      <c r="V956" s="2">
        <v>18.05</v>
      </c>
      <c r="W956" s="2">
        <v>0</v>
      </c>
      <c r="X956" s="2">
        <v>5.05</v>
      </c>
      <c r="Y956" s="2">
        <v>4.53</v>
      </c>
      <c r="Z956" s="2">
        <v>2.56</v>
      </c>
      <c r="AA956" s="2">
        <v>1.65</v>
      </c>
      <c r="AB956" s="2">
        <v>1.36</v>
      </c>
      <c r="AC956" s="2">
        <v>3.31</v>
      </c>
      <c r="AD956" s="2">
        <v>5.27</v>
      </c>
      <c r="AE956" s="2">
        <v>32.630000000000003</v>
      </c>
      <c r="AF956" s="2">
        <v>84.95</v>
      </c>
      <c r="AG956" s="2">
        <v>14.64</v>
      </c>
      <c r="AH956" s="4">
        <f t="shared" si="14"/>
        <v>196.9</v>
      </c>
    </row>
    <row r="957" spans="1:34" x14ac:dyDescent="0.2">
      <c r="A957" s="3">
        <v>37042</v>
      </c>
      <c r="B957" s="2">
        <v>3.72</v>
      </c>
      <c r="C957" s="2">
        <v>18.89</v>
      </c>
      <c r="D957" s="2">
        <v>-3.5</v>
      </c>
      <c r="E957" s="2">
        <v>-5.98</v>
      </c>
      <c r="F957" s="2">
        <v>10.15</v>
      </c>
      <c r="G957" s="2">
        <v>-6.37</v>
      </c>
      <c r="H957" s="2">
        <v>12.51</v>
      </c>
      <c r="I957" s="2">
        <v>41.83</v>
      </c>
      <c r="J957" s="2">
        <v>-3.52</v>
      </c>
      <c r="K957" s="2">
        <v>26.74</v>
      </c>
      <c r="L957" s="2">
        <v>15.77</v>
      </c>
      <c r="M957" s="2">
        <v>13.13</v>
      </c>
      <c r="N957" s="2">
        <v>42.36</v>
      </c>
      <c r="O957" s="2">
        <v>18.89</v>
      </c>
      <c r="P957" s="2">
        <v>48.18</v>
      </c>
      <c r="Q957" s="2">
        <v>-3.56</v>
      </c>
      <c r="R957" s="2">
        <v>13.73</v>
      </c>
      <c r="S957" s="2">
        <v>-6.21</v>
      </c>
      <c r="T957" s="2">
        <v>27.2</v>
      </c>
      <c r="U957" s="2">
        <v>13.97</v>
      </c>
      <c r="V957" s="2">
        <v>29.31</v>
      </c>
      <c r="W957" s="2">
        <v>4.88</v>
      </c>
      <c r="X957" s="2">
        <v>7.83</v>
      </c>
      <c r="Y957" s="2">
        <v>6.62</v>
      </c>
      <c r="Z957" s="2">
        <v>0.64</v>
      </c>
      <c r="AA957" s="2">
        <v>0.79</v>
      </c>
      <c r="AB957" s="2">
        <v>0.76</v>
      </c>
      <c r="AC957" s="2">
        <v>1.2</v>
      </c>
      <c r="AD957" s="2">
        <v>7.51</v>
      </c>
      <c r="AE957" s="2">
        <v>4.1900000000000004</v>
      </c>
      <c r="AF957" s="2">
        <v>95.94</v>
      </c>
      <c r="AG957" s="2">
        <v>17.690000000000001</v>
      </c>
      <c r="AH957" s="4">
        <f t="shared" si="14"/>
        <v>307.24</v>
      </c>
    </row>
    <row r="958" spans="1:34" x14ac:dyDescent="0.2">
      <c r="A958" s="3">
        <v>37072</v>
      </c>
      <c r="B958" s="2">
        <v>5.99</v>
      </c>
      <c r="C958" s="2">
        <v>23.05</v>
      </c>
      <c r="D958" s="2">
        <v>-1.31</v>
      </c>
      <c r="E958" s="2">
        <v>7.57</v>
      </c>
      <c r="F958" s="2">
        <v>22.96</v>
      </c>
      <c r="G958" s="2">
        <v>8.6</v>
      </c>
      <c r="H958" s="2">
        <v>21.06</v>
      </c>
      <c r="I958" s="2">
        <v>40.31</v>
      </c>
      <c r="J958" s="2">
        <v>-12.65</v>
      </c>
      <c r="K958" s="2">
        <v>18.39</v>
      </c>
      <c r="L958" s="2">
        <v>-12.48</v>
      </c>
      <c r="M958" s="2">
        <v>2.5099999999999998</v>
      </c>
      <c r="N958" s="2">
        <v>39.15</v>
      </c>
      <c r="O958" s="2">
        <v>21.94</v>
      </c>
      <c r="P958" s="2">
        <v>92.13</v>
      </c>
      <c r="Q958" s="2">
        <v>8.74</v>
      </c>
      <c r="R958" s="2">
        <v>20.11</v>
      </c>
      <c r="S958" s="2">
        <v>-16.86</v>
      </c>
      <c r="T958" s="2">
        <v>47.3</v>
      </c>
      <c r="U958" s="2">
        <v>17.7</v>
      </c>
      <c r="V958" s="2">
        <v>58.68</v>
      </c>
      <c r="W958" s="2">
        <v>18.62</v>
      </c>
      <c r="X958" s="2">
        <v>12.83</v>
      </c>
      <c r="Y958" s="2">
        <v>12.29</v>
      </c>
      <c r="Z958" s="2">
        <v>0.21</v>
      </c>
      <c r="AA958" s="2">
        <v>0.28000000000000003</v>
      </c>
      <c r="AB958" s="2">
        <v>0.42</v>
      </c>
      <c r="AC958" s="2">
        <v>0.74</v>
      </c>
      <c r="AD958" s="2">
        <v>9.58</v>
      </c>
      <c r="AE958" s="2">
        <v>0.28000000000000003</v>
      </c>
      <c r="AF958" s="2">
        <v>105</v>
      </c>
      <c r="AG958" s="2">
        <v>22.83</v>
      </c>
      <c r="AH958" s="4">
        <f t="shared" si="14"/>
        <v>412.89000000000004</v>
      </c>
    </row>
    <row r="959" spans="1:34" x14ac:dyDescent="0.2">
      <c r="A959" s="3">
        <v>37103</v>
      </c>
      <c r="B959" s="2">
        <v>6.12</v>
      </c>
      <c r="C959" s="2">
        <v>21.93</v>
      </c>
      <c r="D959" s="2">
        <v>1.37</v>
      </c>
      <c r="E959" s="2">
        <v>14.03</v>
      </c>
      <c r="F959" s="2">
        <v>27.92</v>
      </c>
      <c r="G959" s="2">
        <v>22.04</v>
      </c>
      <c r="H959" s="2">
        <v>22.08</v>
      </c>
      <c r="I959" s="2">
        <v>44.41</v>
      </c>
      <c r="J959" s="2">
        <v>-14.2</v>
      </c>
      <c r="K959" s="2">
        <v>28.57</v>
      </c>
      <c r="L959" s="2">
        <v>0.03</v>
      </c>
      <c r="M959" s="2">
        <v>12.87</v>
      </c>
      <c r="N959" s="2">
        <v>52.18</v>
      </c>
      <c r="O959" s="2">
        <v>31.79</v>
      </c>
      <c r="P959" s="2">
        <v>64.959999999999994</v>
      </c>
      <c r="Q959" s="2">
        <v>5.68</v>
      </c>
      <c r="R959" s="2">
        <v>20.85</v>
      </c>
      <c r="S959" s="2">
        <v>0.04</v>
      </c>
      <c r="T959" s="2">
        <v>46.44</v>
      </c>
      <c r="U959" s="2">
        <v>23.09</v>
      </c>
      <c r="V959" s="2">
        <v>55.69</v>
      </c>
      <c r="W959" s="2">
        <v>30.39</v>
      </c>
      <c r="X959" s="2">
        <v>17.78</v>
      </c>
      <c r="Y959" s="2">
        <v>17.73</v>
      </c>
      <c r="Z959" s="2">
        <v>0.19</v>
      </c>
      <c r="AA959" s="2">
        <v>2.17</v>
      </c>
      <c r="AB959" s="2">
        <v>0.64</v>
      </c>
      <c r="AC959" s="2">
        <v>2.02</v>
      </c>
      <c r="AD959" s="2">
        <v>8.5399999999999991</v>
      </c>
      <c r="AE959" s="2">
        <v>0</v>
      </c>
      <c r="AF959" s="2">
        <v>114.35</v>
      </c>
      <c r="AG959" s="2">
        <v>24.8</v>
      </c>
      <c r="AH959" s="4">
        <f t="shared" si="14"/>
        <v>487.89</v>
      </c>
    </row>
    <row r="960" spans="1:34" x14ac:dyDescent="0.2">
      <c r="A960" s="3">
        <v>37134</v>
      </c>
      <c r="B960" s="2">
        <v>3.48</v>
      </c>
      <c r="C960" s="2">
        <v>22.25</v>
      </c>
      <c r="D960" s="2">
        <v>-2.88</v>
      </c>
      <c r="E960" s="2">
        <v>-2.13</v>
      </c>
      <c r="F960" s="2">
        <v>22.82</v>
      </c>
      <c r="G960" s="2">
        <v>18.05</v>
      </c>
      <c r="H960" s="2">
        <v>19.16</v>
      </c>
      <c r="I960" s="2">
        <v>48.05</v>
      </c>
      <c r="J960" s="2">
        <v>-5.47</v>
      </c>
      <c r="K960" s="2">
        <v>34.07</v>
      </c>
      <c r="L960" s="2">
        <v>0.57999999999999996</v>
      </c>
      <c r="M960" s="2">
        <v>14</v>
      </c>
      <c r="N960" s="2">
        <v>56.36</v>
      </c>
      <c r="O960" s="2">
        <v>21.66</v>
      </c>
      <c r="P960" s="2">
        <v>58.29</v>
      </c>
      <c r="Q960" s="2">
        <v>2.46</v>
      </c>
      <c r="R960" s="2">
        <v>17.920000000000002</v>
      </c>
      <c r="S960" s="2">
        <v>-4.9000000000000004</v>
      </c>
      <c r="T960" s="2">
        <v>40.200000000000003</v>
      </c>
      <c r="U960" s="2">
        <v>23.29</v>
      </c>
      <c r="V960" s="2">
        <v>41.3</v>
      </c>
      <c r="W960" s="2">
        <v>31.47</v>
      </c>
      <c r="X960" s="2">
        <v>20.03</v>
      </c>
      <c r="Y960" s="2">
        <v>20.170000000000002</v>
      </c>
      <c r="Z960" s="2">
        <v>0.86</v>
      </c>
      <c r="AA960" s="2">
        <v>5.3</v>
      </c>
      <c r="AB960" s="2">
        <v>0.76</v>
      </c>
      <c r="AC960" s="2">
        <v>2.98</v>
      </c>
      <c r="AD960" s="2">
        <v>6.41</v>
      </c>
      <c r="AE960" s="2">
        <v>0.19</v>
      </c>
      <c r="AF960" s="2">
        <v>116.29</v>
      </c>
      <c r="AG960" s="2">
        <v>23.65</v>
      </c>
      <c r="AH960" s="4">
        <f t="shared" si="14"/>
        <v>428.56000000000006</v>
      </c>
    </row>
    <row r="961" spans="1:34" x14ac:dyDescent="0.2">
      <c r="A961" s="3">
        <v>37164</v>
      </c>
      <c r="B961" s="2">
        <v>0.84</v>
      </c>
      <c r="C961" s="2">
        <v>24.08</v>
      </c>
      <c r="D961" s="2">
        <v>1.01</v>
      </c>
      <c r="E961" s="2">
        <v>-7.91</v>
      </c>
      <c r="F961" s="2">
        <v>11.13</v>
      </c>
      <c r="G961" s="2">
        <v>10.84</v>
      </c>
      <c r="H961" s="2">
        <v>20.83</v>
      </c>
      <c r="I961" s="2">
        <v>48.95</v>
      </c>
      <c r="J961" s="2">
        <v>7.23</v>
      </c>
      <c r="K961" s="2">
        <v>6.35</v>
      </c>
      <c r="L961" s="2">
        <v>-2.19</v>
      </c>
      <c r="M961" s="2">
        <v>8.5299999999999994</v>
      </c>
      <c r="N961" s="2">
        <v>41.1</v>
      </c>
      <c r="O961" s="2">
        <v>20.69</v>
      </c>
      <c r="P961" s="2">
        <v>26.36</v>
      </c>
      <c r="Q961" s="2">
        <v>7.79</v>
      </c>
      <c r="R961" s="2">
        <v>20.28</v>
      </c>
      <c r="S961" s="2">
        <v>-10.79</v>
      </c>
      <c r="T961" s="2">
        <v>10.86</v>
      </c>
      <c r="U961" s="2">
        <v>16.57</v>
      </c>
      <c r="V961" s="2">
        <v>21.31</v>
      </c>
      <c r="W961" s="2">
        <v>26.1</v>
      </c>
      <c r="X961" s="2">
        <v>18.73</v>
      </c>
      <c r="Y961" s="2">
        <v>18.670000000000002</v>
      </c>
      <c r="Z961" s="2">
        <v>0.97</v>
      </c>
      <c r="AA961" s="2">
        <v>5.68</v>
      </c>
      <c r="AB961" s="2">
        <v>0.95</v>
      </c>
      <c r="AC961" s="2">
        <v>2.27</v>
      </c>
      <c r="AD961" s="2">
        <v>4.7300000000000004</v>
      </c>
      <c r="AE961" s="2">
        <v>0</v>
      </c>
      <c r="AF961" s="2">
        <v>108.49</v>
      </c>
      <c r="AG961" s="2">
        <v>20.170000000000002</v>
      </c>
      <c r="AH961" s="4">
        <f t="shared" si="14"/>
        <v>283.85999999999996</v>
      </c>
    </row>
    <row r="962" spans="1:34" x14ac:dyDescent="0.2">
      <c r="A962" s="3">
        <v>37195</v>
      </c>
      <c r="B962" s="2">
        <v>-1.51</v>
      </c>
      <c r="C962" s="2">
        <v>17.98</v>
      </c>
      <c r="D962" s="2">
        <v>-4.71</v>
      </c>
      <c r="E962" s="2">
        <v>-12.8</v>
      </c>
      <c r="F962" s="2">
        <v>3.23</v>
      </c>
      <c r="G962" s="2">
        <v>5.85</v>
      </c>
      <c r="H962" s="2">
        <v>16.940000000000001</v>
      </c>
      <c r="I962" s="2">
        <v>44.85</v>
      </c>
      <c r="J962" s="2">
        <v>8.5299999999999994</v>
      </c>
      <c r="K962" s="2">
        <v>10.94</v>
      </c>
      <c r="L962" s="2">
        <v>6.37</v>
      </c>
      <c r="M962" s="2">
        <v>9.85</v>
      </c>
      <c r="N962" s="2">
        <v>30.51</v>
      </c>
      <c r="O962" s="2">
        <v>16.82</v>
      </c>
      <c r="P962" s="2">
        <v>41.83</v>
      </c>
      <c r="Q962" s="2">
        <v>1.97</v>
      </c>
      <c r="R962" s="2">
        <v>11.35</v>
      </c>
      <c r="S962" s="2">
        <v>-16.25</v>
      </c>
      <c r="T962" s="2">
        <v>14.67</v>
      </c>
      <c r="U962" s="2">
        <v>12.16</v>
      </c>
      <c r="V962" s="2">
        <v>20.9</v>
      </c>
      <c r="W962" s="2">
        <v>22.19</v>
      </c>
      <c r="X962" s="2">
        <v>17.28</v>
      </c>
      <c r="Y962" s="2">
        <v>17.190000000000001</v>
      </c>
      <c r="Z962" s="2">
        <v>3.52</v>
      </c>
      <c r="AA962" s="2">
        <v>3.62</v>
      </c>
      <c r="AB962" s="2">
        <v>1.35</v>
      </c>
      <c r="AC962" s="2">
        <v>2.92</v>
      </c>
      <c r="AD962" s="2">
        <v>3.53</v>
      </c>
      <c r="AE962" s="2">
        <v>8.67</v>
      </c>
      <c r="AF962" s="2">
        <v>97.96</v>
      </c>
      <c r="AG962" s="2">
        <v>16.420000000000002</v>
      </c>
      <c r="AH962" s="4">
        <f t="shared" si="14"/>
        <v>239.48</v>
      </c>
    </row>
    <row r="963" spans="1:34" x14ac:dyDescent="0.2">
      <c r="A963" s="3">
        <v>37225</v>
      </c>
      <c r="B963" s="2">
        <v>-0.96</v>
      </c>
      <c r="C963" s="2">
        <v>25.29</v>
      </c>
      <c r="D963" s="2">
        <v>34.17</v>
      </c>
      <c r="E963" s="2">
        <v>49.85</v>
      </c>
      <c r="F963" s="2">
        <v>36.71</v>
      </c>
      <c r="G963" s="2">
        <v>46.24</v>
      </c>
      <c r="H963" s="2">
        <v>25.41</v>
      </c>
      <c r="I963" s="2">
        <v>45.89</v>
      </c>
      <c r="J963" s="2">
        <v>17.21</v>
      </c>
      <c r="K963" s="2">
        <v>14.96</v>
      </c>
      <c r="L963" s="2">
        <v>-5.25</v>
      </c>
      <c r="M963" s="2">
        <v>5.03</v>
      </c>
      <c r="N963" s="2">
        <v>25.68</v>
      </c>
      <c r="O963" s="2">
        <v>17.2</v>
      </c>
      <c r="P963" s="2">
        <v>37.229999999999997</v>
      </c>
      <c r="Q963" s="2">
        <v>-2.88</v>
      </c>
      <c r="R963" s="2">
        <v>9.8000000000000007</v>
      </c>
      <c r="S963" s="2">
        <v>3.85</v>
      </c>
      <c r="T963" s="2">
        <v>12.65</v>
      </c>
      <c r="U963" s="2">
        <v>12.13</v>
      </c>
      <c r="V963" s="2">
        <v>15.62</v>
      </c>
      <c r="W963" s="2">
        <v>15.43</v>
      </c>
      <c r="X963" s="2">
        <v>11.34</v>
      </c>
      <c r="Y963" s="2">
        <v>10.15</v>
      </c>
      <c r="Z963" s="2">
        <v>6.05</v>
      </c>
      <c r="AA963" s="2">
        <v>4.22</v>
      </c>
      <c r="AB963" s="2">
        <v>2.67</v>
      </c>
      <c r="AC963" s="2">
        <v>6.49</v>
      </c>
      <c r="AD963" s="2">
        <v>2.39</v>
      </c>
      <c r="AE963" s="2">
        <v>15.38</v>
      </c>
      <c r="AF963" s="2">
        <v>64.510000000000005</v>
      </c>
      <c r="AG963" s="2">
        <v>12.92</v>
      </c>
      <c r="AH963" s="4">
        <f t="shared" ref="AH963:AH985" si="15">SUM(B963:V963)</f>
        <v>425.83</v>
      </c>
    </row>
    <row r="964" spans="1:34" x14ac:dyDescent="0.2">
      <c r="A964" s="3">
        <v>37256</v>
      </c>
      <c r="B964" s="2">
        <v>-0.37</v>
      </c>
      <c r="C964" s="2">
        <v>29.53</v>
      </c>
      <c r="D964" s="2">
        <v>54.94</v>
      </c>
      <c r="E964" s="2">
        <v>94.9</v>
      </c>
      <c r="F964" s="2">
        <v>75.180000000000007</v>
      </c>
      <c r="G964" s="2">
        <v>131.01</v>
      </c>
      <c r="H964" s="2">
        <v>28.77</v>
      </c>
      <c r="I964" s="2">
        <v>48.33</v>
      </c>
      <c r="J964" s="2">
        <v>68.61</v>
      </c>
      <c r="K964" s="2">
        <v>50.3</v>
      </c>
      <c r="L964" s="2">
        <v>2.75</v>
      </c>
      <c r="M964" s="2">
        <v>22.87</v>
      </c>
      <c r="N964" s="2">
        <v>37.21</v>
      </c>
      <c r="O964" s="2">
        <v>17.78</v>
      </c>
      <c r="P964" s="2">
        <v>56.54</v>
      </c>
      <c r="Q964" s="2">
        <v>-2.29</v>
      </c>
      <c r="R964" s="2">
        <v>10.6</v>
      </c>
      <c r="S964" s="2">
        <v>27.73</v>
      </c>
      <c r="T964" s="2">
        <v>12</v>
      </c>
      <c r="U964" s="2">
        <v>12.88</v>
      </c>
      <c r="V964" s="2">
        <v>15.27</v>
      </c>
      <c r="W964" s="2">
        <v>11.73</v>
      </c>
      <c r="X964" s="2">
        <v>9.19</v>
      </c>
      <c r="Y964" s="2">
        <v>9.26</v>
      </c>
      <c r="Z964" s="2">
        <v>3.42</v>
      </c>
      <c r="AA964" s="2">
        <v>8.99</v>
      </c>
      <c r="AB964" s="2">
        <v>4.7</v>
      </c>
      <c r="AC964" s="2">
        <v>6.5</v>
      </c>
      <c r="AD964" s="2">
        <v>2.38</v>
      </c>
      <c r="AE964" s="2">
        <v>30.86</v>
      </c>
      <c r="AF964" s="2">
        <v>59.46</v>
      </c>
      <c r="AG964" s="2">
        <v>11.2</v>
      </c>
      <c r="AH964" s="4">
        <f t="shared" si="15"/>
        <v>794.54</v>
      </c>
    </row>
    <row r="965" spans="1:34" x14ac:dyDescent="0.2">
      <c r="A965" s="3">
        <v>37287</v>
      </c>
      <c r="B965" s="2">
        <v>-3.06</v>
      </c>
      <c r="C965" s="2">
        <v>31.61</v>
      </c>
      <c r="D965" s="2">
        <v>21.52</v>
      </c>
      <c r="E965" s="2">
        <v>37.450000000000003</v>
      </c>
      <c r="F965" s="2">
        <v>57.6</v>
      </c>
      <c r="G965" s="2">
        <v>52.37</v>
      </c>
      <c r="H965" s="2">
        <v>11.17</v>
      </c>
      <c r="I965" s="2">
        <v>37.590000000000003</v>
      </c>
      <c r="J965" s="2">
        <v>10.52</v>
      </c>
      <c r="K965" s="2">
        <v>-8.5399999999999991</v>
      </c>
      <c r="L965" s="2">
        <v>-14.55</v>
      </c>
      <c r="M965" s="2">
        <v>-13.98</v>
      </c>
      <c r="N965" s="2">
        <v>13.42</v>
      </c>
      <c r="O965" s="2">
        <v>19.13</v>
      </c>
      <c r="P965" s="2">
        <v>27.26</v>
      </c>
      <c r="Q965" s="2">
        <v>1.72</v>
      </c>
      <c r="R965" s="2">
        <v>14.18</v>
      </c>
      <c r="S965" s="2">
        <v>-13.51</v>
      </c>
      <c r="T965" s="2">
        <v>12.44</v>
      </c>
      <c r="U965" s="2">
        <v>11.44</v>
      </c>
      <c r="V965" s="2">
        <v>20.47</v>
      </c>
      <c r="W965" s="2">
        <v>4.26</v>
      </c>
      <c r="X965" s="2">
        <v>9.2200000000000006</v>
      </c>
      <c r="Y965" s="2">
        <v>8.16</v>
      </c>
      <c r="Z965" s="2">
        <v>6.79</v>
      </c>
      <c r="AA965" s="2">
        <v>7.78</v>
      </c>
      <c r="AB965" s="2">
        <v>4.63</v>
      </c>
      <c r="AC965" s="2">
        <v>9.49</v>
      </c>
      <c r="AD965" s="2">
        <v>2.31</v>
      </c>
      <c r="AE965" s="2">
        <v>19.39</v>
      </c>
      <c r="AF965" s="2">
        <v>69.790000000000006</v>
      </c>
      <c r="AG965" s="2">
        <v>9.8800000000000008</v>
      </c>
      <c r="AH965" s="4">
        <f t="shared" si="15"/>
        <v>326.25</v>
      </c>
    </row>
    <row r="966" spans="1:34" x14ac:dyDescent="0.2">
      <c r="A966" s="3">
        <v>37315</v>
      </c>
      <c r="B966" s="2">
        <v>0.6</v>
      </c>
      <c r="C966" s="2">
        <v>19.809999999999999</v>
      </c>
      <c r="D966" s="2">
        <v>-13.9</v>
      </c>
      <c r="E966" s="2">
        <v>-46.6</v>
      </c>
      <c r="F966" s="2">
        <v>-9.99</v>
      </c>
      <c r="G966" s="2">
        <v>-36.31</v>
      </c>
      <c r="H966" s="2">
        <v>10.72</v>
      </c>
      <c r="I966" s="2">
        <v>40.19</v>
      </c>
      <c r="J966" s="2">
        <v>-2.59</v>
      </c>
      <c r="K966" s="2">
        <v>-6.36</v>
      </c>
      <c r="L966" s="2">
        <v>-5.63</v>
      </c>
      <c r="M966" s="2">
        <v>-4.8099999999999996</v>
      </c>
      <c r="N966" s="2">
        <v>23.15</v>
      </c>
      <c r="O966" s="2">
        <v>23.8</v>
      </c>
      <c r="P966" s="2">
        <v>37.549999999999997</v>
      </c>
      <c r="Q966" s="2">
        <v>4.25</v>
      </c>
      <c r="R966" s="2">
        <v>17.600000000000001</v>
      </c>
      <c r="S966" s="2">
        <v>-24.89</v>
      </c>
      <c r="T966" s="2">
        <v>14.88</v>
      </c>
      <c r="U966" s="2">
        <v>10.63</v>
      </c>
      <c r="V966" s="2">
        <v>17.53</v>
      </c>
      <c r="W966" s="2">
        <v>0</v>
      </c>
      <c r="X966" s="2">
        <v>3.3</v>
      </c>
      <c r="Y966" s="2">
        <v>3.38</v>
      </c>
      <c r="Z966" s="2">
        <v>6.93</v>
      </c>
      <c r="AA966" s="2">
        <v>7.35</v>
      </c>
      <c r="AB966" s="2">
        <v>4.6399999999999997</v>
      </c>
      <c r="AC966" s="2">
        <v>9.07</v>
      </c>
      <c r="AD966" s="2">
        <v>2.6</v>
      </c>
      <c r="AE966" s="2">
        <v>5.78</v>
      </c>
      <c r="AF966" s="2">
        <v>58.18</v>
      </c>
      <c r="AG966" s="2">
        <v>10.08</v>
      </c>
      <c r="AH966" s="4">
        <f t="shared" si="15"/>
        <v>69.629999999999967</v>
      </c>
    </row>
    <row r="967" spans="1:34" x14ac:dyDescent="0.2">
      <c r="A967" s="3">
        <v>37346</v>
      </c>
      <c r="B967" s="2">
        <v>2.4300000000000002</v>
      </c>
      <c r="C967" s="2">
        <v>21.25</v>
      </c>
      <c r="D967" s="2">
        <v>-3.22</v>
      </c>
      <c r="E967" s="2">
        <v>-6.41</v>
      </c>
      <c r="F967" s="2">
        <v>12.07</v>
      </c>
      <c r="G967" s="2">
        <v>-15.09</v>
      </c>
      <c r="H967" s="2">
        <v>19.63</v>
      </c>
      <c r="I967" s="2">
        <v>46.15</v>
      </c>
      <c r="J967" s="2">
        <v>10.3</v>
      </c>
      <c r="K967" s="2">
        <v>23.3</v>
      </c>
      <c r="L967" s="2">
        <v>4.8099999999999996</v>
      </c>
      <c r="M967" s="2">
        <v>12.27</v>
      </c>
      <c r="N967" s="2">
        <v>41.86</v>
      </c>
      <c r="O967" s="2">
        <v>15.15</v>
      </c>
      <c r="P967" s="2">
        <v>87.9</v>
      </c>
      <c r="Q967" s="2">
        <v>0.32</v>
      </c>
      <c r="R967" s="2">
        <v>8.41</v>
      </c>
      <c r="S967" s="2">
        <v>-17.32</v>
      </c>
      <c r="T967" s="2">
        <v>23.2</v>
      </c>
      <c r="U967" s="2">
        <v>5.63</v>
      </c>
      <c r="V967" s="2">
        <v>24.57</v>
      </c>
      <c r="W967" s="2">
        <v>0</v>
      </c>
      <c r="X967" s="2">
        <v>4.1399999999999997</v>
      </c>
      <c r="Y967" s="2">
        <v>3.38</v>
      </c>
      <c r="Z967" s="2">
        <v>5.85</v>
      </c>
      <c r="AA967" s="2">
        <v>5.0199999999999996</v>
      </c>
      <c r="AB967" s="2">
        <v>2.14</v>
      </c>
      <c r="AC967" s="2">
        <v>9.06</v>
      </c>
      <c r="AD967" s="2">
        <v>4.34</v>
      </c>
      <c r="AE967" s="2">
        <v>0.56000000000000005</v>
      </c>
      <c r="AF967" s="2">
        <v>68.66</v>
      </c>
      <c r="AG967" s="2">
        <v>10.69</v>
      </c>
      <c r="AH967" s="4">
        <f t="shared" si="15"/>
        <v>317.20999999999998</v>
      </c>
    </row>
    <row r="968" spans="1:34" x14ac:dyDescent="0.2">
      <c r="A968" s="3">
        <v>37376</v>
      </c>
      <c r="B968" s="2">
        <v>1.89</v>
      </c>
      <c r="C968" s="2">
        <v>21.7</v>
      </c>
      <c r="D968" s="2">
        <v>6.26</v>
      </c>
      <c r="E968" s="2">
        <v>-22.5</v>
      </c>
      <c r="F968" s="2">
        <v>20.53</v>
      </c>
      <c r="G968" s="2">
        <v>-19.05</v>
      </c>
      <c r="H968" s="2">
        <v>13.18</v>
      </c>
      <c r="I968" s="2">
        <v>45.18</v>
      </c>
      <c r="J968" s="2">
        <v>0.7</v>
      </c>
      <c r="K968" s="2">
        <v>16.14</v>
      </c>
      <c r="L968" s="2">
        <v>22.57</v>
      </c>
      <c r="M968" s="2">
        <v>15.14</v>
      </c>
      <c r="N968" s="2">
        <v>38.19</v>
      </c>
      <c r="O968" s="2">
        <v>19.850000000000001</v>
      </c>
      <c r="P968" s="2">
        <v>39.369999999999997</v>
      </c>
      <c r="Q968" s="2">
        <v>-3.46</v>
      </c>
      <c r="R968" s="2">
        <v>18.48</v>
      </c>
      <c r="S968" s="2">
        <v>0.59</v>
      </c>
      <c r="T968" s="2">
        <v>17.309999999999999</v>
      </c>
      <c r="U968" s="2">
        <v>15.15</v>
      </c>
      <c r="V968" s="2">
        <v>25.12</v>
      </c>
      <c r="W968" s="2">
        <v>0</v>
      </c>
      <c r="X968" s="2">
        <v>5.05</v>
      </c>
      <c r="Y968" s="2">
        <v>4.53</v>
      </c>
      <c r="Z968" s="2">
        <v>2.56</v>
      </c>
      <c r="AA968" s="2">
        <v>1.65</v>
      </c>
      <c r="AB968" s="2">
        <v>1.36</v>
      </c>
      <c r="AC968" s="2">
        <v>3.31</v>
      </c>
      <c r="AD968" s="2">
        <v>5.27</v>
      </c>
      <c r="AE968" s="2">
        <v>16.97</v>
      </c>
      <c r="AF968" s="2">
        <v>84.95</v>
      </c>
      <c r="AG968" s="2">
        <v>14.64</v>
      </c>
      <c r="AH968" s="4">
        <f t="shared" si="15"/>
        <v>292.33999999999997</v>
      </c>
    </row>
    <row r="969" spans="1:34" x14ac:dyDescent="0.2">
      <c r="A969" s="3">
        <v>37407</v>
      </c>
      <c r="B969" s="2">
        <v>5.38</v>
      </c>
      <c r="C969" s="2">
        <v>21.4</v>
      </c>
      <c r="D969" s="2">
        <v>1.34</v>
      </c>
      <c r="E969" s="2">
        <v>3.86</v>
      </c>
      <c r="F969" s="2">
        <v>6.28</v>
      </c>
      <c r="G969" s="2">
        <v>5</v>
      </c>
      <c r="H969" s="2">
        <v>15.83</v>
      </c>
      <c r="I969" s="2">
        <v>48.03</v>
      </c>
      <c r="J969" s="2">
        <v>3.34</v>
      </c>
      <c r="K969" s="2">
        <v>30.83</v>
      </c>
      <c r="L969" s="2">
        <v>6.92</v>
      </c>
      <c r="M969" s="2">
        <v>13.36</v>
      </c>
      <c r="N969" s="2">
        <v>37.700000000000003</v>
      </c>
      <c r="O969" s="2">
        <v>23.19</v>
      </c>
      <c r="P969" s="2">
        <v>68.11</v>
      </c>
      <c r="Q969" s="2">
        <v>-3.66</v>
      </c>
      <c r="R969" s="2">
        <v>14.93</v>
      </c>
      <c r="S969" s="2">
        <v>-5.87</v>
      </c>
      <c r="T969" s="2">
        <v>27.18</v>
      </c>
      <c r="U969" s="2">
        <v>16.05</v>
      </c>
      <c r="V969" s="2">
        <v>33.26</v>
      </c>
      <c r="W969" s="2">
        <v>4.88</v>
      </c>
      <c r="X969" s="2">
        <v>7.83</v>
      </c>
      <c r="Y969" s="2">
        <v>6.62</v>
      </c>
      <c r="Z969" s="2">
        <v>0.64</v>
      </c>
      <c r="AA969" s="2">
        <v>0.79</v>
      </c>
      <c r="AB969" s="2">
        <v>0.76</v>
      </c>
      <c r="AC969" s="2">
        <v>1.2</v>
      </c>
      <c r="AD969" s="2">
        <v>7.51</v>
      </c>
      <c r="AE969" s="2">
        <v>6.15</v>
      </c>
      <c r="AF969" s="2">
        <v>95.94</v>
      </c>
      <c r="AG969" s="2">
        <v>17.690000000000001</v>
      </c>
      <c r="AH969" s="4">
        <f t="shared" si="15"/>
        <v>372.46</v>
      </c>
    </row>
    <row r="970" spans="1:34" x14ac:dyDescent="0.2">
      <c r="A970" s="3">
        <v>37437</v>
      </c>
      <c r="B970" s="2">
        <v>6.57</v>
      </c>
      <c r="C970" s="2">
        <v>24.72</v>
      </c>
      <c r="D970" s="2">
        <v>0.21</v>
      </c>
      <c r="E970" s="2">
        <v>1.44</v>
      </c>
      <c r="F970" s="2">
        <v>31.05</v>
      </c>
      <c r="G970" s="2">
        <v>7.35</v>
      </c>
      <c r="H970" s="2">
        <v>20.25</v>
      </c>
      <c r="I970" s="2">
        <v>42.3</v>
      </c>
      <c r="J970" s="2">
        <v>-10.01</v>
      </c>
      <c r="K970" s="2">
        <v>22.83</v>
      </c>
      <c r="L970" s="2">
        <v>-7.42</v>
      </c>
      <c r="M970" s="2">
        <v>7.56</v>
      </c>
      <c r="N970" s="2">
        <v>36.42</v>
      </c>
      <c r="O970" s="2">
        <v>27.31</v>
      </c>
      <c r="P970" s="2">
        <v>103.55</v>
      </c>
      <c r="Q970" s="2">
        <v>8.19</v>
      </c>
      <c r="R970" s="2">
        <v>20.21</v>
      </c>
      <c r="S970" s="2">
        <v>-11.47</v>
      </c>
      <c r="T970" s="2">
        <v>48.56</v>
      </c>
      <c r="U970" s="2">
        <v>25.12</v>
      </c>
      <c r="V970" s="2">
        <v>53.63</v>
      </c>
      <c r="W970" s="2">
        <v>18.62</v>
      </c>
      <c r="X970" s="2">
        <v>12.83</v>
      </c>
      <c r="Y970" s="2">
        <v>12.29</v>
      </c>
      <c r="Z970" s="2">
        <v>0.21</v>
      </c>
      <c r="AA970" s="2">
        <v>0.28000000000000003</v>
      </c>
      <c r="AB970" s="2">
        <v>0.42</v>
      </c>
      <c r="AC970" s="2">
        <v>0.74</v>
      </c>
      <c r="AD970" s="2">
        <v>9.58</v>
      </c>
      <c r="AE970" s="2">
        <v>0.09</v>
      </c>
      <c r="AF970" s="2">
        <v>105</v>
      </c>
      <c r="AG970" s="2">
        <v>22.83</v>
      </c>
      <c r="AH970" s="4">
        <f t="shared" si="15"/>
        <v>458.36999999999995</v>
      </c>
    </row>
    <row r="971" spans="1:34" x14ac:dyDescent="0.2">
      <c r="A971" s="3">
        <v>37468</v>
      </c>
      <c r="B971" s="2">
        <v>6.84</v>
      </c>
      <c r="C971" s="2">
        <v>24.58</v>
      </c>
      <c r="D971" s="2">
        <v>3.83</v>
      </c>
      <c r="E971" s="2">
        <v>6.19</v>
      </c>
      <c r="F971" s="2">
        <v>40.22</v>
      </c>
      <c r="G971" s="2">
        <v>21.52</v>
      </c>
      <c r="H971" s="2">
        <v>23.74</v>
      </c>
      <c r="I971" s="2">
        <v>45.85</v>
      </c>
      <c r="J971" s="2">
        <v>-10.73</v>
      </c>
      <c r="K971" s="2">
        <v>27.44</v>
      </c>
      <c r="L971" s="2">
        <v>2.4</v>
      </c>
      <c r="M971" s="2">
        <v>15.87</v>
      </c>
      <c r="N971" s="2">
        <v>51.8</v>
      </c>
      <c r="O971" s="2">
        <v>37.270000000000003</v>
      </c>
      <c r="P971" s="2">
        <v>116.52</v>
      </c>
      <c r="Q971" s="2">
        <v>3.63</v>
      </c>
      <c r="R971" s="2">
        <v>22.31</v>
      </c>
      <c r="S971" s="2">
        <v>-10.65</v>
      </c>
      <c r="T971" s="2">
        <v>43.64</v>
      </c>
      <c r="U971" s="2">
        <v>36.520000000000003</v>
      </c>
      <c r="V971" s="2">
        <v>51.52</v>
      </c>
      <c r="W971" s="2">
        <v>30.39</v>
      </c>
      <c r="X971" s="2">
        <v>17.78</v>
      </c>
      <c r="Y971" s="2">
        <v>17.73</v>
      </c>
      <c r="Z971" s="2">
        <v>0.19</v>
      </c>
      <c r="AA971" s="2">
        <v>2.17</v>
      </c>
      <c r="AB971" s="2">
        <v>0.64</v>
      </c>
      <c r="AC971" s="2">
        <v>2.02</v>
      </c>
      <c r="AD971" s="2">
        <v>8.5399999999999991</v>
      </c>
      <c r="AE971" s="2">
        <v>0</v>
      </c>
      <c r="AF971" s="2">
        <v>114.35</v>
      </c>
      <c r="AG971" s="2">
        <v>24.8</v>
      </c>
      <c r="AH971" s="4">
        <f t="shared" si="15"/>
        <v>560.30999999999995</v>
      </c>
    </row>
    <row r="972" spans="1:34" x14ac:dyDescent="0.2">
      <c r="A972" s="3">
        <v>37499</v>
      </c>
      <c r="B972" s="2">
        <v>4.12</v>
      </c>
      <c r="C972" s="2">
        <v>24</v>
      </c>
      <c r="D972" s="2">
        <v>3.09</v>
      </c>
      <c r="E972" s="2">
        <v>-4.78</v>
      </c>
      <c r="F972" s="2">
        <v>19.170000000000002</v>
      </c>
      <c r="G972" s="2">
        <v>21.95</v>
      </c>
      <c r="H972" s="2">
        <v>16.37</v>
      </c>
      <c r="I972" s="2">
        <v>48.92</v>
      </c>
      <c r="J972" s="2">
        <v>-5.21</v>
      </c>
      <c r="K972" s="2">
        <v>31.22</v>
      </c>
      <c r="L972" s="2">
        <v>-1.42</v>
      </c>
      <c r="M972" s="2">
        <v>14.38</v>
      </c>
      <c r="N972" s="2">
        <v>52.6</v>
      </c>
      <c r="O972" s="2">
        <v>27.93</v>
      </c>
      <c r="P972" s="2">
        <v>97.16</v>
      </c>
      <c r="Q972" s="2">
        <v>1.73</v>
      </c>
      <c r="R972" s="2">
        <v>21.11</v>
      </c>
      <c r="S972" s="2">
        <v>-13.06</v>
      </c>
      <c r="T972" s="2">
        <v>37.93</v>
      </c>
      <c r="U972" s="2">
        <v>15.76</v>
      </c>
      <c r="V972" s="2">
        <v>40.33</v>
      </c>
      <c r="W972" s="2">
        <v>31.47</v>
      </c>
      <c r="X972" s="2">
        <v>20.03</v>
      </c>
      <c r="Y972" s="2">
        <v>20.170000000000002</v>
      </c>
      <c r="Z972" s="2">
        <v>0.86</v>
      </c>
      <c r="AA972" s="2">
        <v>5.3</v>
      </c>
      <c r="AB972" s="2">
        <v>0.76</v>
      </c>
      <c r="AC972" s="2">
        <v>2.98</v>
      </c>
      <c r="AD972" s="2">
        <v>6.41</v>
      </c>
      <c r="AE972" s="2">
        <v>0</v>
      </c>
      <c r="AF972" s="2">
        <v>116.29</v>
      </c>
      <c r="AG972" s="2">
        <v>23.65</v>
      </c>
      <c r="AH972" s="4">
        <f t="shared" si="15"/>
        <v>453.3</v>
      </c>
    </row>
    <row r="973" spans="1:34" x14ac:dyDescent="0.2">
      <c r="A973" s="3">
        <v>37529</v>
      </c>
      <c r="B973" s="2">
        <v>0.45</v>
      </c>
      <c r="C973" s="2">
        <v>25.16</v>
      </c>
      <c r="D973" s="2">
        <v>0.49</v>
      </c>
      <c r="E973" s="2">
        <v>-13.86</v>
      </c>
      <c r="F973" s="2">
        <v>8.44</v>
      </c>
      <c r="G973" s="2">
        <v>10.97</v>
      </c>
      <c r="H973" s="2">
        <v>19.71</v>
      </c>
      <c r="I973" s="2">
        <v>49.5</v>
      </c>
      <c r="J973" s="2">
        <v>5.89</v>
      </c>
      <c r="K973" s="2">
        <v>2.75</v>
      </c>
      <c r="L973" s="2">
        <v>-2.41</v>
      </c>
      <c r="M973" s="2">
        <v>8.84</v>
      </c>
      <c r="N973" s="2">
        <v>34.19</v>
      </c>
      <c r="O973" s="2">
        <v>21.75</v>
      </c>
      <c r="P973" s="2">
        <v>30.1</v>
      </c>
      <c r="Q973" s="2">
        <v>6.34</v>
      </c>
      <c r="R973" s="2">
        <v>20.12</v>
      </c>
      <c r="S973" s="2">
        <v>-11.56</v>
      </c>
      <c r="T973" s="2">
        <v>11.14</v>
      </c>
      <c r="U973" s="2">
        <v>15.64</v>
      </c>
      <c r="V973" s="2">
        <v>22.16</v>
      </c>
      <c r="W973" s="2">
        <v>26.1</v>
      </c>
      <c r="X973" s="2">
        <v>18.73</v>
      </c>
      <c r="Y973" s="2">
        <v>18.670000000000002</v>
      </c>
      <c r="Z973" s="2">
        <v>0.97</v>
      </c>
      <c r="AA973" s="2">
        <v>5.68</v>
      </c>
      <c r="AB973" s="2">
        <v>0.95</v>
      </c>
      <c r="AC973" s="2">
        <v>2.27</v>
      </c>
      <c r="AD973" s="2">
        <v>4.7300000000000004</v>
      </c>
      <c r="AE973" s="2">
        <v>0</v>
      </c>
      <c r="AF973" s="2">
        <v>108.49</v>
      </c>
      <c r="AG973" s="2">
        <v>20.170000000000002</v>
      </c>
      <c r="AH973" s="4">
        <f t="shared" si="15"/>
        <v>265.81</v>
      </c>
    </row>
    <row r="974" spans="1:34" x14ac:dyDescent="0.2">
      <c r="A974" s="3">
        <v>37560</v>
      </c>
      <c r="B974" s="2">
        <v>0.74</v>
      </c>
      <c r="C974" s="2">
        <v>22.63</v>
      </c>
      <c r="D974" s="2">
        <v>1.5</v>
      </c>
      <c r="E974" s="2">
        <v>-12.89</v>
      </c>
      <c r="F974" s="2">
        <v>3.35</v>
      </c>
      <c r="G974" s="2">
        <v>8.8000000000000007</v>
      </c>
      <c r="H974" s="2">
        <v>16.09</v>
      </c>
      <c r="I974" s="2">
        <v>40.07</v>
      </c>
      <c r="J974" s="2">
        <v>1.3</v>
      </c>
      <c r="K974" s="2">
        <v>7.96</v>
      </c>
      <c r="L974" s="2">
        <v>7.39</v>
      </c>
      <c r="M974" s="2">
        <v>10.58</v>
      </c>
      <c r="N974" s="2">
        <v>35.4</v>
      </c>
      <c r="O974" s="2">
        <v>19.63</v>
      </c>
      <c r="P974" s="2">
        <v>53.11</v>
      </c>
      <c r="Q974" s="2">
        <v>3.17</v>
      </c>
      <c r="R974" s="2">
        <v>13.63</v>
      </c>
      <c r="S974" s="2">
        <v>-13.67</v>
      </c>
      <c r="T974" s="2">
        <v>14.09</v>
      </c>
      <c r="U974" s="2">
        <v>11.79</v>
      </c>
      <c r="V974" s="2">
        <v>20.6</v>
      </c>
      <c r="W974" s="2">
        <v>22.19</v>
      </c>
      <c r="X974" s="2">
        <v>17.28</v>
      </c>
      <c r="Y974" s="2">
        <v>17.190000000000001</v>
      </c>
      <c r="Z974" s="2">
        <v>3.52</v>
      </c>
      <c r="AA974" s="2">
        <v>3.62</v>
      </c>
      <c r="AB974" s="2">
        <v>1.35</v>
      </c>
      <c r="AC974" s="2">
        <v>2.92</v>
      </c>
      <c r="AD974" s="2">
        <v>3.53</v>
      </c>
      <c r="AE974" s="2">
        <v>14.45</v>
      </c>
      <c r="AF974" s="2">
        <v>97.96</v>
      </c>
      <c r="AG974" s="2">
        <v>16.420000000000002</v>
      </c>
      <c r="AH974" s="4">
        <f t="shared" si="15"/>
        <v>265.27</v>
      </c>
    </row>
    <row r="975" spans="1:34" x14ac:dyDescent="0.2">
      <c r="A975" s="3">
        <v>37590</v>
      </c>
      <c r="B975" s="2">
        <v>-0.27</v>
      </c>
      <c r="C975" s="2">
        <v>18.57</v>
      </c>
      <c r="D975" s="2">
        <v>7.38</v>
      </c>
      <c r="E975" s="2">
        <v>11.53</v>
      </c>
      <c r="F975" s="2">
        <v>8.39</v>
      </c>
      <c r="G975" s="2">
        <v>21.91</v>
      </c>
      <c r="H975" s="2">
        <v>18.68</v>
      </c>
      <c r="I975" s="2">
        <v>41.18</v>
      </c>
      <c r="J975" s="2">
        <v>14.14</v>
      </c>
      <c r="K975" s="2">
        <v>20.96</v>
      </c>
      <c r="L975" s="2">
        <v>-1.99</v>
      </c>
      <c r="M975" s="2">
        <v>9.1999999999999993</v>
      </c>
      <c r="N975" s="2">
        <v>29.05</v>
      </c>
      <c r="O975" s="2">
        <v>18.45</v>
      </c>
      <c r="P975" s="2">
        <v>48.07</v>
      </c>
      <c r="Q975" s="2">
        <v>-2.6</v>
      </c>
      <c r="R975" s="2">
        <v>9.98</v>
      </c>
      <c r="S975" s="2">
        <v>38.6</v>
      </c>
      <c r="T975" s="2">
        <v>10.07</v>
      </c>
      <c r="U975" s="2">
        <v>11.07</v>
      </c>
      <c r="V975" s="2">
        <v>18.66</v>
      </c>
      <c r="W975" s="2">
        <v>15.43</v>
      </c>
      <c r="X975" s="2">
        <v>11.34</v>
      </c>
      <c r="Y975" s="2">
        <v>10.15</v>
      </c>
      <c r="Z975" s="2">
        <v>6.05</v>
      </c>
      <c r="AA975" s="2">
        <v>4.22</v>
      </c>
      <c r="AB975" s="2">
        <v>2.67</v>
      </c>
      <c r="AC975" s="2">
        <v>6.49</v>
      </c>
      <c r="AD975" s="2">
        <v>2.39</v>
      </c>
      <c r="AE975" s="2">
        <v>26.75</v>
      </c>
      <c r="AF975" s="2">
        <v>64.510000000000005</v>
      </c>
      <c r="AG975" s="2">
        <v>12.92</v>
      </c>
      <c r="AH975" s="4">
        <f t="shared" si="15"/>
        <v>351.03000000000003</v>
      </c>
    </row>
    <row r="976" spans="1:34" x14ac:dyDescent="0.2">
      <c r="A976" s="3">
        <v>37621</v>
      </c>
      <c r="B976" s="2">
        <v>2.91</v>
      </c>
      <c r="C976" s="2">
        <v>38.26</v>
      </c>
      <c r="D976" s="2">
        <v>79.38</v>
      </c>
      <c r="E976" s="2">
        <v>174.37</v>
      </c>
      <c r="F976" s="2">
        <v>120.62</v>
      </c>
      <c r="G976" s="2">
        <v>178.07</v>
      </c>
      <c r="H976" s="2">
        <v>46.55</v>
      </c>
      <c r="I976" s="2">
        <v>50.74</v>
      </c>
      <c r="J976" s="2">
        <v>83.05</v>
      </c>
      <c r="K976" s="2">
        <v>63.55</v>
      </c>
      <c r="L976" s="2">
        <v>4.12</v>
      </c>
      <c r="M976" s="2">
        <v>28.1</v>
      </c>
      <c r="N976" s="2">
        <v>41.03</v>
      </c>
      <c r="O976" s="2">
        <v>18.38</v>
      </c>
      <c r="P976" s="2">
        <v>47</v>
      </c>
      <c r="Q976" s="2">
        <v>-4.29</v>
      </c>
      <c r="R976" s="2">
        <v>10.28</v>
      </c>
      <c r="S976" s="2">
        <v>8.24</v>
      </c>
      <c r="T976" s="2">
        <v>11.55</v>
      </c>
      <c r="U976" s="2">
        <v>10.71</v>
      </c>
      <c r="V976" s="2">
        <v>17.510000000000002</v>
      </c>
      <c r="W976" s="2">
        <v>11.73</v>
      </c>
      <c r="X976" s="2">
        <v>9.19</v>
      </c>
      <c r="Y976" s="2">
        <v>9.26</v>
      </c>
      <c r="Z976" s="2">
        <v>3.42</v>
      </c>
      <c r="AA976" s="2">
        <v>8.99</v>
      </c>
      <c r="AB976" s="2">
        <v>4.7</v>
      </c>
      <c r="AC976" s="2">
        <v>6.5</v>
      </c>
      <c r="AD976" s="2">
        <v>2.38</v>
      </c>
      <c r="AE976" s="2">
        <v>20.6</v>
      </c>
      <c r="AF976" s="2">
        <v>59.46</v>
      </c>
      <c r="AG976" s="2">
        <v>11.2</v>
      </c>
      <c r="AH976" s="4">
        <f t="shared" si="15"/>
        <v>1030.1299999999999</v>
      </c>
    </row>
    <row r="977" spans="1:34" x14ac:dyDescent="0.2">
      <c r="A977" s="3">
        <v>37652</v>
      </c>
      <c r="B977" s="2">
        <v>2.27</v>
      </c>
      <c r="C977" s="2">
        <v>38.22</v>
      </c>
      <c r="D977" s="2">
        <v>23.07</v>
      </c>
      <c r="E977" s="2">
        <v>58.06</v>
      </c>
      <c r="F977" s="2">
        <v>47.31</v>
      </c>
      <c r="G977" s="2">
        <v>53.03</v>
      </c>
      <c r="H977" s="2">
        <v>17.739999999999998</v>
      </c>
      <c r="I977" s="2">
        <v>40.79</v>
      </c>
      <c r="J977" s="2">
        <v>-0.51</v>
      </c>
      <c r="K977" s="2">
        <v>-18.55</v>
      </c>
      <c r="L977" s="2">
        <v>-12.88</v>
      </c>
      <c r="M977" s="2">
        <v>-21.52</v>
      </c>
      <c r="N977" s="2">
        <v>10.87</v>
      </c>
      <c r="O977" s="2">
        <v>16.489999999999998</v>
      </c>
      <c r="P977" s="2">
        <v>28.43</v>
      </c>
      <c r="Q977" s="2">
        <v>3.48</v>
      </c>
      <c r="R977" s="2">
        <v>14.23</v>
      </c>
      <c r="S977" s="2">
        <v>-24.6</v>
      </c>
      <c r="T977" s="2">
        <v>10.31</v>
      </c>
      <c r="U977" s="2">
        <v>10.89</v>
      </c>
      <c r="V977" s="2">
        <v>25.37</v>
      </c>
      <c r="W977" s="2">
        <v>4.26</v>
      </c>
      <c r="X977" s="2">
        <v>9.2200000000000006</v>
      </c>
      <c r="Y977" s="2">
        <v>8.16</v>
      </c>
      <c r="Z977" s="2">
        <v>6.79</v>
      </c>
      <c r="AA977" s="2">
        <v>7.78</v>
      </c>
      <c r="AB977" s="2">
        <v>4.63</v>
      </c>
      <c r="AC977" s="2">
        <v>9.49</v>
      </c>
      <c r="AD977" s="2">
        <v>2.31</v>
      </c>
      <c r="AE977" s="2">
        <v>4.01</v>
      </c>
      <c r="AF977" s="2">
        <v>69.790000000000006</v>
      </c>
      <c r="AG977" s="2">
        <v>9.8800000000000008</v>
      </c>
      <c r="AH977" s="4">
        <f t="shared" si="15"/>
        <v>322.5</v>
      </c>
    </row>
    <row r="978" spans="1:34" x14ac:dyDescent="0.2">
      <c r="A978" s="3">
        <v>37680</v>
      </c>
      <c r="B978" s="2">
        <v>4.32</v>
      </c>
      <c r="C978" s="2">
        <v>27.77</v>
      </c>
      <c r="D978" s="2">
        <v>-17.02</v>
      </c>
      <c r="E978" s="2">
        <v>-56.92</v>
      </c>
      <c r="F978" s="2">
        <v>0.8</v>
      </c>
      <c r="G978" s="2">
        <v>-32.880000000000003</v>
      </c>
      <c r="H978" s="2">
        <v>10.41</v>
      </c>
      <c r="I978" s="2">
        <v>40.53</v>
      </c>
      <c r="J978" s="2">
        <v>-0.9</v>
      </c>
      <c r="K978" s="2">
        <v>5.77</v>
      </c>
      <c r="L978" s="2">
        <v>-2.06</v>
      </c>
      <c r="M978" s="2">
        <v>0.64</v>
      </c>
      <c r="N978" s="2">
        <v>27.96</v>
      </c>
      <c r="O978" s="2">
        <v>13.9</v>
      </c>
      <c r="P978" s="2">
        <v>46.88</v>
      </c>
      <c r="Q978" s="2">
        <v>-1.51</v>
      </c>
      <c r="R978" s="2">
        <v>12.56</v>
      </c>
      <c r="S978" s="2">
        <v>-18</v>
      </c>
      <c r="T978" s="2">
        <v>16.239999999999998</v>
      </c>
      <c r="U978" s="2">
        <v>8.7100000000000009</v>
      </c>
      <c r="V978" s="2">
        <v>11</v>
      </c>
      <c r="W978" s="2">
        <v>0</v>
      </c>
      <c r="X978" s="2">
        <v>3.3</v>
      </c>
      <c r="Y978" s="2">
        <v>3.38</v>
      </c>
      <c r="Z978" s="2">
        <v>6.93</v>
      </c>
      <c r="AA978" s="2">
        <v>7.35</v>
      </c>
      <c r="AB978" s="2">
        <v>4.6399999999999997</v>
      </c>
      <c r="AC978" s="2">
        <v>9.07</v>
      </c>
      <c r="AD978" s="2">
        <v>2.6</v>
      </c>
      <c r="AE978" s="2">
        <v>26.57</v>
      </c>
      <c r="AF978" s="2">
        <v>58.18</v>
      </c>
      <c r="AG978" s="2">
        <v>10.08</v>
      </c>
      <c r="AH978" s="4">
        <f t="shared" si="15"/>
        <v>98.199999999999989</v>
      </c>
    </row>
    <row r="979" spans="1:34" x14ac:dyDescent="0.2">
      <c r="A979" s="3">
        <v>37711</v>
      </c>
      <c r="B979" s="2">
        <v>2.09</v>
      </c>
      <c r="C979" s="2">
        <v>25.91</v>
      </c>
      <c r="D979" s="2">
        <v>-8.35</v>
      </c>
      <c r="E979" s="2">
        <v>-29.31</v>
      </c>
      <c r="F979" s="2">
        <v>-9.86</v>
      </c>
      <c r="G979" s="2">
        <v>-20.440000000000001</v>
      </c>
      <c r="H979" s="2">
        <v>9.5500000000000007</v>
      </c>
      <c r="I979" s="2">
        <v>41.51</v>
      </c>
      <c r="J979" s="2">
        <v>4.1500000000000004</v>
      </c>
      <c r="K979" s="2">
        <v>10.99</v>
      </c>
      <c r="L979" s="2">
        <v>2.38</v>
      </c>
      <c r="M979" s="2">
        <v>8.89</v>
      </c>
      <c r="N979" s="2">
        <v>25.08</v>
      </c>
      <c r="O979" s="2">
        <v>8.23</v>
      </c>
      <c r="P979" s="2">
        <v>72.5</v>
      </c>
      <c r="Q979" s="2">
        <v>0.18</v>
      </c>
      <c r="R979" s="2">
        <v>7.49</v>
      </c>
      <c r="S979" s="2">
        <v>-19.38</v>
      </c>
      <c r="T979" s="2">
        <v>24.26</v>
      </c>
      <c r="U979" s="2">
        <v>6.88</v>
      </c>
      <c r="V979" s="2">
        <v>21.77</v>
      </c>
      <c r="W979" s="2">
        <v>0</v>
      </c>
      <c r="X979" s="2">
        <v>4.1399999999999997</v>
      </c>
      <c r="Y979" s="2">
        <v>3.38</v>
      </c>
      <c r="Z979" s="2">
        <v>5.85</v>
      </c>
      <c r="AA979" s="2">
        <v>5.0199999999999996</v>
      </c>
      <c r="AB979" s="2">
        <v>2.14</v>
      </c>
      <c r="AC979" s="2">
        <v>9.06</v>
      </c>
      <c r="AD979" s="2">
        <v>4.34</v>
      </c>
      <c r="AE979" s="2">
        <v>24.61</v>
      </c>
      <c r="AF979" s="2">
        <v>68.66</v>
      </c>
      <c r="AG979" s="2">
        <v>10.69</v>
      </c>
      <c r="AH979" s="4">
        <f t="shared" si="15"/>
        <v>184.52</v>
      </c>
    </row>
    <row r="980" spans="1:34" x14ac:dyDescent="0.2">
      <c r="A980" s="3">
        <v>37741</v>
      </c>
      <c r="B980" s="2">
        <v>5.89</v>
      </c>
      <c r="C980" s="2">
        <v>29.79</v>
      </c>
      <c r="D980" s="2">
        <v>19.53</v>
      </c>
      <c r="E980" s="2">
        <v>18.87</v>
      </c>
      <c r="F980" s="2">
        <v>33.92</v>
      </c>
      <c r="G980" s="2">
        <v>2.58</v>
      </c>
      <c r="H980" s="2">
        <v>22.16</v>
      </c>
      <c r="I980" s="2">
        <v>48.4</v>
      </c>
      <c r="J980" s="2">
        <v>18.79</v>
      </c>
      <c r="K980" s="2">
        <v>19.5</v>
      </c>
      <c r="L980" s="2">
        <v>21.09</v>
      </c>
      <c r="M980" s="2">
        <v>21.17</v>
      </c>
      <c r="N980" s="2">
        <v>32.18</v>
      </c>
      <c r="O980" s="2">
        <v>18.190000000000001</v>
      </c>
      <c r="P980" s="2">
        <v>40.659999999999997</v>
      </c>
      <c r="Q980" s="2">
        <v>-1.71</v>
      </c>
      <c r="R980" s="2">
        <v>10.92</v>
      </c>
      <c r="S980" s="2">
        <v>-2.61</v>
      </c>
      <c r="T980" s="2">
        <v>19.5</v>
      </c>
      <c r="U980" s="2">
        <v>6.13</v>
      </c>
      <c r="V980" s="2">
        <v>16.88</v>
      </c>
      <c r="W980" s="2">
        <v>0</v>
      </c>
      <c r="X980" s="2">
        <v>5.05</v>
      </c>
      <c r="Y980" s="2">
        <v>4.53</v>
      </c>
      <c r="Z980" s="2">
        <v>2.56</v>
      </c>
      <c r="AA980" s="2">
        <v>1.65</v>
      </c>
      <c r="AB980" s="2">
        <v>1.36</v>
      </c>
      <c r="AC980" s="2">
        <v>3.31</v>
      </c>
      <c r="AD980" s="2">
        <v>5.27</v>
      </c>
      <c r="AE980" s="2">
        <v>1.58</v>
      </c>
      <c r="AF980" s="2">
        <v>84.95</v>
      </c>
      <c r="AG980" s="2">
        <v>14.64</v>
      </c>
      <c r="AH980" s="4">
        <f t="shared" si="15"/>
        <v>401.83000000000004</v>
      </c>
    </row>
    <row r="981" spans="1:34" x14ac:dyDescent="0.2">
      <c r="A981" s="3">
        <v>37772</v>
      </c>
      <c r="B981" s="2">
        <v>10.1</v>
      </c>
      <c r="C981" s="2">
        <v>31.65</v>
      </c>
      <c r="D981" s="2">
        <v>-4.76</v>
      </c>
      <c r="E981" s="2">
        <v>27.13</v>
      </c>
      <c r="F981" s="2">
        <v>42.91</v>
      </c>
      <c r="G981" s="2">
        <v>5.62</v>
      </c>
      <c r="H981" s="2">
        <v>23.99</v>
      </c>
      <c r="I981" s="2">
        <v>46.13</v>
      </c>
      <c r="J981" s="2">
        <v>4.4000000000000004</v>
      </c>
      <c r="K981" s="2">
        <v>20.39</v>
      </c>
      <c r="L981" s="2">
        <v>8.67</v>
      </c>
      <c r="M981" s="2">
        <v>12.47</v>
      </c>
      <c r="N981" s="2">
        <v>37.39</v>
      </c>
      <c r="O981" s="2">
        <v>18</v>
      </c>
      <c r="P981" s="2">
        <v>91.68</v>
      </c>
      <c r="Q981" s="2">
        <v>-4.25</v>
      </c>
      <c r="R981" s="2">
        <v>16.100000000000001</v>
      </c>
      <c r="S981" s="2">
        <v>10.15</v>
      </c>
      <c r="T981" s="2">
        <v>25.77</v>
      </c>
      <c r="U981" s="2">
        <v>17</v>
      </c>
      <c r="V981" s="2">
        <v>39.19</v>
      </c>
      <c r="W981" s="2">
        <v>4.88</v>
      </c>
      <c r="X981" s="2">
        <v>7.83</v>
      </c>
      <c r="Y981" s="2">
        <v>6.62</v>
      </c>
      <c r="Z981" s="2">
        <v>0.64</v>
      </c>
      <c r="AA981" s="2">
        <v>0.79</v>
      </c>
      <c r="AB981" s="2">
        <v>0.76</v>
      </c>
      <c r="AC981" s="2">
        <v>1.2</v>
      </c>
      <c r="AD981" s="2">
        <v>7.51</v>
      </c>
      <c r="AE981" s="2">
        <v>1.86</v>
      </c>
      <c r="AF981" s="2">
        <v>95.94</v>
      </c>
      <c r="AG981" s="2">
        <v>17.690000000000001</v>
      </c>
      <c r="AH981" s="4">
        <f t="shared" si="15"/>
        <v>479.72999999999996</v>
      </c>
    </row>
    <row r="982" spans="1:34" x14ac:dyDescent="0.2">
      <c r="A982" s="3">
        <v>37802</v>
      </c>
      <c r="B982" s="2">
        <v>6.2</v>
      </c>
      <c r="C982" s="2">
        <v>23.4</v>
      </c>
      <c r="D982" s="2">
        <v>-1.93</v>
      </c>
      <c r="E982" s="2">
        <v>-18.54</v>
      </c>
      <c r="F982" s="2">
        <v>9.4499999999999993</v>
      </c>
      <c r="G982" s="2">
        <v>-14.53</v>
      </c>
      <c r="H982" s="2">
        <v>13.31</v>
      </c>
      <c r="I982" s="2">
        <v>43.43</v>
      </c>
      <c r="J982" s="2">
        <v>-14.28</v>
      </c>
      <c r="K982" s="2">
        <v>21.42</v>
      </c>
      <c r="L982" s="2">
        <v>14.59</v>
      </c>
      <c r="M982" s="2">
        <v>10.35</v>
      </c>
      <c r="N982" s="2">
        <v>40.619999999999997</v>
      </c>
      <c r="O982" s="2">
        <v>24.2</v>
      </c>
      <c r="P982" s="2">
        <v>125.99</v>
      </c>
      <c r="Q982" s="2">
        <v>7.25</v>
      </c>
      <c r="R982" s="2">
        <v>22.87</v>
      </c>
      <c r="S982" s="2">
        <v>-8.9</v>
      </c>
      <c r="T982" s="2">
        <v>49.84</v>
      </c>
      <c r="U982" s="2">
        <v>16.72</v>
      </c>
      <c r="V982" s="2">
        <v>57.55</v>
      </c>
      <c r="W982" s="2">
        <v>18.62</v>
      </c>
      <c r="X982" s="2">
        <v>12.83</v>
      </c>
      <c r="Y982" s="2">
        <v>12.29</v>
      </c>
      <c r="Z982" s="2">
        <v>0.21</v>
      </c>
      <c r="AA982" s="2">
        <v>0.28000000000000003</v>
      </c>
      <c r="AB982" s="2">
        <v>0.42</v>
      </c>
      <c r="AC982" s="2">
        <v>0.74</v>
      </c>
      <c r="AD982" s="2">
        <v>9.58</v>
      </c>
      <c r="AE982" s="2">
        <v>0.37</v>
      </c>
      <c r="AF982" s="2">
        <v>105</v>
      </c>
      <c r="AG982" s="2">
        <v>22.83</v>
      </c>
      <c r="AH982" s="4">
        <f t="shared" si="15"/>
        <v>429.01000000000005</v>
      </c>
    </row>
    <row r="983" spans="1:34" x14ac:dyDescent="0.2">
      <c r="A983" s="3">
        <v>37833</v>
      </c>
      <c r="B983" s="2">
        <v>6.36</v>
      </c>
      <c r="C983" s="2">
        <v>25.2</v>
      </c>
      <c r="D983" s="2">
        <v>1.19</v>
      </c>
      <c r="E983" s="2">
        <v>4.6500000000000004</v>
      </c>
      <c r="F983" s="2">
        <v>46.58</v>
      </c>
      <c r="G983" s="2">
        <v>12.56</v>
      </c>
      <c r="H983" s="2">
        <v>21.82</v>
      </c>
      <c r="I983" s="2">
        <v>48</v>
      </c>
      <c r="J983" s="2">
        <v>-15.18</v>
      </c>
      <c r="K983" s="2">
        <v>23.14</v>
      </c>
      <c r="L983" s="2">
        <v>-2.33</v>
      </c>
      <c r="M983" s="2">
        <v>17.62</v>
      </c>
      <c r="N983" s="2">
        <v>46.66</v>
      </c>
      <c r="O983" s="2">
        <v>37.43</v>
      </c>
      <c r="P983" s="2">
        <v>115.95</v>
      </c>
      <c r="Q983" s="2">
        <v>5.5</v>
      </c>
      <c r="R983" s="2">
        <v>24.98</v>
      </c>
      <c r="S983" s="2">
        <v>-13.6</v>
      </c>
      <c r="T983" s="2">
        <v>45.28</v>
      </c>
      <c r="U983" s="2">
        <v>25.74</v>
      </c>
      <c r="V983" s="2">
        <v>53.1</v>
      </c>
      <c r="W983" s="2">
        <v>30.39</v>
      </c>
      <c r="X983" s="2">
        <v>17.78</v>
      </c>
      <c r="Y983" s="2">
        <v>17.73</v>
      </c>
      <c r="Z983" s="2">
        <v>0.19</v>
      </c>
      <c r="AA983" s="2">
        <v>2.17</v>
      </c>
      <c r="AB983" s="2">
        <v>0.64</v>
      </c>
      <c r="AC983" s="2">
        <v>2.02</v>
      </c>
      <c r="AD983" s="2">
        <v>8.5399999999999991</v>
      </c>
      <c r="AE983" s="2">
        <v>0</v>
      </c>
      <c r="AF983" s="2">
        <v>114.35</v>
      </c>
      <c r="AG983" s="2">
        <v>24.8</v>
      </c>
      <c r="AH983" s="4">
        <f t="shared" si="15"/>
        <v>530.65</v>
      </c>
    </row>
    <row r="984" spans="1:34" x14ac:dyDescent="0.2">
      <c r="A984" s="3">
        <v>37864</v>
      </c>
      <c r="B984" s="2">
        <v>4.5</v>
      </c>
      <c r="C984" s="2">
        <v>27.22</v>
      </c>
      <c r="D984" s="2">
        <v>0.97</v>
      </c>
      <c r="E984" s="2">
        <v>-9.25</v>
      </c>
      <c r="F984" s="2">
        <v>0.68</v>
      </c>
      <c r="G984" s="2">
        <v>17.739999999999998</v>
      </c>
      <c r="H984" s="2">
        <v>16.12</v>
      </c>
      <c r="I984" s="2">
        <v>49.29</v>
      </c>
      <c r="J984" s="2">
        <v>-4.3899999999999997</v>
      </c>
      <c r="K984" s="2">
        <v>16.850000000000001</v>
      </c>
      <c r="L984" s="2">
        <v>-0.97</v>
      </c>
      <c r="M984" s="2">
        <v>17.170000000000002</v>
      </c>
      <c r="N984" s="2">
        <v>52.54</v>
      </c>
      <c r="O984" s="2">
        <v>29.64</v>
      </c>
      <c r="P984" s="2">
        <v>98.52</v>
      </c>
      <c r="Q984" s="2">
        <v>2.08</v>
      </c>
      <c r="R984" s="2">
        <v>25.03</v>
      </c>
      <c r="S984" s="2">
        <v>-3.37</v>
      </c>
      <c r="T984" s="2">
        <v>37.78</v>
      </c>
      <c r="U984" s="2">
        <v>27.17</v>
      </c>
      <c r="V984" s="2">
        <v>45.73</v>
      </c>
      <c r="W984" s="2">
        <v>31.47</v>
      </c>
      <c r="X984" s="2">
        <v>20.03</v>
      </c>
      <c r="Y984" s="2">
        <v>20.170000000000002</v>
      </c>
      <c r="Z984" s="2">
        <v>0.86</v>
      </c>
      <c r="AA984" s="2">
        <v>5.3</v>
      </c>
      <c r="AB984" s="2">
        <v>0.76</v>
      </c>
      <c r="AC984" s="2">
        <v>2.98</v>
      </c>
      <c r="AD984" s="2">
        <v>6.41</v>
      </c>
      <c r="AE984" s="2">
        <v>0</v>
      </c>
      <c r="AF984" s="2">
        <v>116.29</v>
      </c>
      <c r="AG984" s="2">
        <v>23.65</v>
      </c>
      <c r="AH984" s="4">
        <f t="shared" si="15"/>
        <v>451.05</v>
      </c>
    </row>
    <row r="985" spans="1:34" x14ac:dyDescent="0.2">
      <c r="A985" s="3">
        <v>37894</v>
      </c>
      <c r="B985" s="2">
        <v>1.23</v>
      </c>
      <c r="C985" s="2">
        <v>26.96</v>
      </c>
      <c r="D985" s="2">
        <v>1.21</v>
      </c>
      <c r="E985" s="2">
        <v>-16.420000000000002</v>
      </c>
      <c r="F985" s="2">
        <v>-3.35</v>
      </c>
      <c r="G985" s="2">
        <v>5.45</v>
      </c>
      <c r="H985" s="2">
        <v>17.12</v>
      </c>
      <c r="I985" s="2">
        <v>47.61</v>
      </c>
      <c r="J985" s="2">
        <v>2.04</v>
      </c>
      <c r="K985" s="2">
        <v>7.16</v>
      </c>
      <c r="L985" s="2">
        <v>1.01</v>
      </c>
      <c r="M985" s="2">
        <v>10.74</v>
      </c>
      <c r="N985" s="2">
        <v>38.130000000000003</v>
      </c>
      <c r="O985" s="2">
        <v>24.34</v>
      </c>
      <c r="P985" s="2">
        <v>36.81</v>
      </c>
      <c r="Q985" s="2">
        <v>6.45</v>
      </c>
      <c r="R985" s="2">
        <v>23.16</v>
      </c>
      <c r="S985" s="2">
        <v>-7.59</v>
      </c>
      <c r="T985" s="2">
        <v>11</v>
      </c>
      <c r="U985" s="2">
        <v>17.440000000000001</v>
      </c>
      <c r="V985" s="2">
        <v>21.23</v>
      </c>
      <c r="W985" s="2">
        <v>26.1</v>
      </c>
      <c r="X985" s="2">
        <v>18.73</v>
      </c>
      <c r="Y985" s="2">
        <v>18.670000000000002</v>
      </c>
      <c r="Z985" s="2">
        <v>0.97</v>
      </c>
      <c r="AA985" s="2">
        <v>5.68</v>
      </c>
      <c r="AB985" s="2">
        <v>0.95</v>
      </c>
      <c r="AC985" s="2">
        <v>2.27</v>
      </c>
      <c r="AD985" s="2">
        <v>4.7300000000000004</v>
      </c>
      <c r="AE985" s="2">
        <v>0</v>
      </c>
      <c r="AF985" s="2">
        <v>108.49</v>
      </c>
      <c r="AG985" s="2">
        <v>20.170000000000002</v>
      </c>
      <c r="AH985" s="4">
        <f t="shared" si="15"/>
        <v>271.73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3FD1-BF76-1E44-93F9-5F6C4D23C5DF}">
  <dimension ref="A1:AH265"/>
  <sheetViews>
    <sheetView topLeftCell="A121" workbookViewId="0">
      <pane xSplit="1" topLeftCell="B1" activePane="topRight" state="frozen"/>
      <selection pane="topRight" activeCell="B121" sqref="B121"/>
    </sheetView>
  </sheetViews>
  <sheetFormatPr baseColWidth="10" defaultRowHeight="16" x14ac:dyDescent="0.2"/>
  <sheetData>
    <row r="1" spans="1:34" x14ac:dyDescent="0.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</row>
    <row r="2" spans="1:34" x14ac:dyDescent="0.2">
      <c r="A2" s="3">
        <v>34273</v>
      </c>
      <c r="B2" t="e">
        <v>#N/A</v>
      </c>
      <c r="C2" t="e">
        <v>#N/A</v>
      </c>
      <c r="D2" t="e">
        <v>#N/A</v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s="2">
        <v>21.871373999999999</v>
      </c>
      <c r="X2" s="2">
        <v>34.237675000000003</v>
      </c>
      <c r="Y2" s="2">
        <v>34.50676</v>
      </c>
      <c r="Z2" s="2">
        <v>3.8575970000000002</v>
      </c>
      <c r="AA2" s="2">
        <v>7.7683286999999996</v>
      </c>
      <c r="AB2" s="2">
        <v>2.1149559999999998</v>
      </c>
      <c r="AC2" s="2">
        <v>5.0674185999999999</v>
      </c>
      <c r="AD2" s="2">
        <v>2.54956</v>
      </c>
      <c r="AE2" s="2">
        <v>6.4396519999999997</v>
      </c>
      <c r="AF2" s="2">
        <v>90.748909999999995</v>
      </c>
      <c r="AG2" s="2">
        <v>16.451096</v>
      </c>
      <c r="AH2" s="4" t="e">
        <f t="shared" ref="AH2:AH34" si="0">SUM(B2:V2)</f>
        <v>#N/A</v>
      </c>
    </row>
    <row r="3" spans="1:34" x14ac:dyDescent="0.2">
      <c r="A3" s="3">
        <v>34303</v>
      </c>
      <c r="B3" t="e">
        <v>#N/A</v>
      </c>
      <c r="C3" t="e">
        <v>#N/A</v>
      </c>
      <c r="D3" t="e">
        <v>#N/A</v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s="2">
        <v>15.723259000000001</v>
      </c>
      <c r="X3" s="2">
        <v>26.030183999999998</v>
      </c>
      <c r="Y3" s="2">
        <v>25.059002</v>
      </c>
      <c r="Z3" s="2">
        <v>8.1357769999999991</v>
      </c>
      <c r="AA3" s="2">
        <v>9.7462300000000006</v>
      </c>
      <c r="AB3" s="2">
        <v>1.3269979999999999</v>
      </c>
      <c r="AC3" s="2">
        <v>6.3764386000000002</v>
      </c>
      <c r="AD3" s="2">
        <v>1.9304383000000001</v>
      </c>
      <c r="AE3" s="2">
        <v>19.537123000000001</v>
      </c>
      <c r="AF3" s="2">
        <v>62.024242000000001</v>
      </c>
      <c r="AG3" s="2">
        <v>12.948066000000001</v>
      </c>
      <c r="AH3" s="4" t="e">
        <f t="shared" si="0"/>
        <v>#N/A</v>
      </c>
    </row>
    <row r="4" spans="1:34" x14ac:dyDescent="0.2">
      <c r="A4" s="3">
        <v>34334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s="2">
        <v>11.548182000000001</v>
      </c>
      <c r="X4" s="2">
        <v>24.230063999999999</v>
      </c>
      <c r="Y4" s="2">
        <v>24.380075000000001</v>
      </c>
      <c r="Z4" s="2">
        <v>6.6131706000000001</v>
      </c>
      <c r="AA4" s="2">
        <v>14.045876</v>
      </c>
      <c r="AB4" s="2">
        <v>3.1878486000000001</v>
      </c>
      <c r="AC4" s="2">
        <v>3.1082306000000002</v>
      </c>
      <c r="AD4" s="2">
        <v>1.5775268</v>
      </c>
      <c r="AE4" s="2">
        <v>32.063409999999998</v>
      </c>
      <c r="AF4" s="2">
        <v>56.856470000000002</v>
      </c>
      <c r="AG4" s="2">
        <v>11.252831</v>
      </c>
      <c r="AH4" s="4" t="e">
        <f t="shared" si="0"/>
        <v>#N/A</v>
      </c>
    </row>
    <row r="5" spans="1:34" x14ac:dyDescent="0.2">
      <c r="A5" s="3">
        <v>34365</v>
      </c>
      <c r="B5" t="e">
        <v>#N/A</v>
      </c>
      <c r="C5" t="e">
        <v>#N/A</v>
      </c>
      <c r="D5" t="e">
        <v>#N/A</v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s="2">
        <v>4.4268580000000002</v>
      </c>
      <c r="X5" s="2">
        <v>28.829979000000002</v>
      </c>
      <c r="Y5" s="2">
        <v>28.533643999999999</v>
      </c>
      <c r="Z5" s="2">
        <v>13.602691999999999</v>
      </c>
      <c r="AA5" s="2">
        <v>10.965436</v>
      </c>
      <c r="AB5" s="2">
        <v>4.5064929999999999</v>
      </c>
      <c r="AC5" s="2">
        <v>17.174399999999999</v>
      </c>
      <c r="AD5" s="2">
        <v>1.7060796</v>
      </c>
      <c r="AE5" s="2">
        <v>39.981389999999998</v>
      </c>
      <c r="AF5" s="2">
        <v>67.217254999999994</v>
      </c>
      <c r="AG5" s="2">
        <v>9.7093209999999992</v>
      </c>
      <c r="AH5" s="4" t="e">
        <f t="shared" si="0"/>
        <v>#N/A</v>
      </c>
    </row>
    <row r="6" spans="1:34" x14ac:dyDescent="0.2">
      <c r="A6" s="3">
        <v>34393</v>
      </c>
      <c r="B6" t="e">
        <v>#N/A</v>
      </c>
      <c r="C6" t="e">
        <v>#N/A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s="2">
        <v>0.33782780000000001</v>
      </c>
      <c r="X6" s="2">
        <v>21.973268999999998</v>
      </c>
      <c r="Y6" s="2">
        <v>23.303250999999999</v>
      </c>
      <c r="Z6" s="2">
        <v>13.272817999999999</v>
      </c>
      <c r="AA6" s="2">
        <v>7.8001940000000003</v>
      </c>
      <c r="AB6" s="2">
        <v>5.9124403000000001</v>
      </c>
      <c r="AC6" s="2">
        <v>13.9424715</v>
      </c>
      <c r="AD6" s="2">
        <v>2.7209120000000002</v>
      </c>
      <c r="AE6" s="2">
        <v>28.297246999999999</v>
      </c>
      <c r="AF6" s="2">
        <v>57.093353</v>
      </c>
      <c r="AG6" s="2">
        <v>9.7976419999999997</v>
      </c>
      <c r="AH6" s="4" t="e">
        <f t="shared" si="0"/>
        <v>#N/A</v>
      </c>
    </row>
    <row r="7" spans="1:34" x14ac:dyDescent="0.2">
      <c r="A7" s="3">
        <v>34424</v>
      </c>
      <c r="B7" t="e">
        <v>#N/A</v>
      </c>
      <c r="C7" t="e">
        <v>#N/A</v>
      </c>
      <c r="D7" t="e">
        <v>#N/A</v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s="2">
        <v>0.12868544000000001</v>
      </c>
      <c r="X7" s="2">
        <v>23.730965000000001</v>
      </c>
      <c r="Y7" s="2">
        <v>23.548642999999998</v>
      </c>
      <c r="Z7" s="2">
        <v>4.0629616000000004</v>
      </c>
      <c r="AA7" s="2">
        <v>1.7345904000000001</v>
      </c>
      <c r="AB7" s="2">
        <v>3.4133431999999999</v>
      </c>
      <c r="AC7" s="2">
        <v>13.9684515</v>
      </c>
      <c r="AD7" s="2">
        <v>3.6903062000000002</v>
      </c>
      <c r="AE7" s="2">
        <v>11.070486000000001</v>
      </c>
      <c r="AF7" s="2">
        <v>67.667580000000001</v>
      </c>
      <c r="AG7" s="2">
        <v>10.850901</v>
      </c>
      <c r="AH7" s="4" t="e">
        <f t="shared" si="0"/>
        <v>#N/A</v>
      </c>
    </row>
    <row r="8" spans="1:34" x14ac:dyDescent="0.2">
      <c r="A8" s="3">
        <v>34454</v>
      </c>
      <c r="B8" t="e">
        <v>#N/A</v>
      </c>
      <c r="C8" t="e">
        <v>#N/A</v>
      </c>
      <c r="D8" t="e">
        <v>#N/A</v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s="2">
        <v>-0.19322466999999999</v>
      </c>
      <c r="X8" s="2">
        <v>24.901785</v>
      </c>
      <c r="Y8" s="2">
        <v>25.674071999999999</v>
      </c>
      <c r="Z8" s="2">
        <v>0.88401430000000003</v>
      </c>
      <c r="AA8" s="2">
        <v>5.6689230000000004</v>
      </c>
      <c r="AB8" s="2">
        <v>0.60516422999999997</v>
      </c>
      <c r="AC8" s="2">
        <v>-1.0090711000000001</v>
      </c>
      <c r="AD8" s="2">
        <v>5.4202136999999997</v>
      </c>
      <c r="AE8" s="2">
        <v>5.2255792999999997</v>
      </c>
      <c r="AF8" s="2">
        <v>81.238249999999994</v>
      </c>
      <c r="AG8" s="2">
        <v>14.458074</v>
      </c>
      <c r="AH8" s="4" t="e">
        <f t="shared" si="0"/>
        <v>#N/A</v>
      </c>
    </row>
    <row r="9" spans="1:34" x14ac:dyDescent="0.2">
      <c r="A9" s="3">
        <v>34485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s="2">
        <v>5.2186975000000002</v>
      </c>
      <c r="X9" s="2">
        <v>33.280864999999999</v>
      </c>
      <c r="Y9" s="2">
        <v>34.510742</v>
      </c>
      <c r="Z9" s="2">
        <v>1.0222042</v>
      </c>
      <c r="AA9" s="2">
        <v>6.250248</v>
      </c>
      <c r="AB9" s="2">
        <v>1.1904258000000001</v>
      </c>
      <c r="AC9" s="2">
        <v>-2.0146475000000001</v>
      </c>
      <c r="AD9" s="2">
        <v>8.8829379999999993</v>
      </c>
      <c r="AE9" s="2">
        <v>4.5844316000000003</v>
      </c>
      <c r="AF9" s="2">
        <v>90.61618</v>
      </c>
      <c r="AG9" s="2">
        <v>17.614422000000001</v>
      </c>
      <c r="AH9" s="4" t="e">
        <f t="shared" si="0"/>
        <v>#N/A</v>
      </c>
    </row>
    <row r="10" spans="1:34" x14ac:dyDescent="0.2">
      <c r="A10" s="3">
        <v>34515</v>
      </c>
      <c r="B10" t="e">
        <v>#N/A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s="2">
        <v>17.746855</v>
      </c>
      <c r="X10" s="2">
        <v>36.745384000000001</v>
      </c>
      <c r="Y10" s="2">
        <v>41.286743000000001</v>
      </c>
      <c r="Z10" s="2">
        <v>0.52024685999999998</v>
      </c>
      <c r="AA10" s="2">
        <v>2.1276237999999998</v>
      </c>
      <c r="AB10" s="2">
        <v>0.53960430000000004</v>
      </c>
      <c r="AC10" s="2">
        <v>-2.0504617999999999</v>
      </c>
      <c r="AD10" s="2">
        <v>9.7156839999999995</v>
      </c>
      <c r="AE10" s="2">
        <v>1.7422831000000001</v>
      </c>
      <c r="AF10" s="2">
        <v>101.72225</v>
      </c>
      <c r="AG10" s="2">
        <v>22.361197000000001</v>
      </c>
      <c r="AH10" s="4" t="e">
        <f t="shared" si="0"/>
        <v>#N/A</v>
      </c>
    </row>
    <row r="11" spans="1:34" x14ac:dyDescent="0.2">
      <c r="A11" s="3">
        <v>34546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s="2">
        <v>29.997274000000001</v>
      </c>
      <c r="X11" s="2">
        <v>34.963270000000001</v>
      </c>
      <c r="Y11" s="2">
        <v>43.488667</v>
      </c>
      <c r="Z11" s="2">
        <v>0.42083076000000003</v>
      </c>
      <c r="AA11" s="2">
        <v>5.2642384</v>
      </c>
      <c r="AB11" s="2">
        <v>0.44742910000000002</v>
      </c>
      <c r="AC11" s="2">
        <v>0.53462730000000003</v>
      </c>
      <c r="AD11" s="2">
        <v>9.4506829999999997</v>
      </c>
      <c r="AE11" s="2">
        <v>1.0462640000000001</v>
      </c>
      <c r="AF11" s="2">
        <v>110.3139</v>
      </c>
      <c r="AG11" s="2">
        <v>24.716736000000001</v>
      </c>
      <c r="AH11" s="4" t="e">
        <f t="shared" si="0"/>
        <v>#N/A</v>
      </c>
    </row>
    <row r="12" spans="1:34" x14ac:dyDescent="0.2">
      <c r="A12" s="3">
        <v>34577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s="2">
        <v>31.963166999999999</v>
      </c>
      <c r="X12" s="2">
        <v>36.998252999999998</v>
      </c>
      <c r="Y12" s="2">
        <v>44.66628</v>
      </c>
      <c r="Z12" s="2">
        <v>1.7241063000000001</v>
      </c>
      <c r="AA12" s="2">
        <v>0.72400509999999996</v>
      </c>
      <c r="AB12" s="2">
        <v>0.46418583000000002</v>
      </c>
      <c r="AC12" s="2">
        <v>2.6025705000000001</v>
      </c>
      <c r="AD12" s="2">
        <v>5.764818</v>
      </c>
      <c r="AE12" s="2">
        <v>2.4846919999999999</v>
      </c>
      <c r="AF12" s="2">
        <v>112.557686</v>
      </c>
      <c r="AG12" s="2">
        <v>23.873681999999999</v>
      </c>
      <c r="AH12" s="4" t="e">
        <f t="shared" si="0"/>
        <v>#N/A</v>
      </c>
    </row>
    <row r="13" spans="1:34" x14ac:dyDescent="0.2">
      <c r="A13" s="3">
        <v>34607</v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s="2">
        <v>26.832726999999998</v>
      </c>
      <c r="X13" s="2">
        <v>30.818027000000001</v>
      </c>
      <c r="Y13" s="2">
        <v>38.385254000000003</v>
      </c>
      <c r="Z13" s="2">
        <v>0.94447990000000004</v>
      </c>
      <c r="AA13" s="2">
        <v>1.7135720000000001</v>
      </c>
      <c r="AB13" s="2">
        <v>0.70172080000000003</v>
      </c>
      <c r="AC13" s="2">
        <v>3.1341667000000002</v>
      </c>
      <c r="AD13" s="2">
        <v>3.9035818999999998</v>
      </c>
      <c r="AE13" s="2">
        <v>2.6437056000000001</v>
      </c>
      <c r="AF13" s="2">
        <v>108.593636</v>
      </c>
      <c r="AG13" s="2">
        <v>19.991969999999998</v>
      </c>
      <c r="AH13" s="4" t="e">
        <f t="shared" si="0"/>
        <v>#N/A</v>
      </c>
    </row>
    <row r="14" spans="1:34" x14ac:dyDescent="0.2">
      <c r="A14" s="3">
        <v>34638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s="2">
        <v>21.416464000000001</v>
      </c>
      <c r="X14" s="2">
        <v>29.107106999999999</v>
      </c>
      <c r="Y14" s="2">
        <v>34.220542999999999</v>
      </c>
      <c r="Z14" s="2">
        <v>3.4227268999999998</v>
      </c>
      <c r="AA14" s="2">
        <v>1.3306954</v>
      </c>
      <c r="AB14" s="2">
        <v>1.2370657</v>
      </c>
      <c r="AC14" s="2">
        <v>4.5215920000000001</v>
      </c>
      <c r="AD14" s="2">
        <v>2.9939391999999998</v>
      </c>
      <c r="AE14" s="2">
        <v>12.116974000000001</v>
      </c>
      <c r="AF14" s="2">
        <v>102.32899500000001</v>
      </c>
      <c r="AG14" s="2">
        <v>16.588448</v>
      </c>
      <c r="AH14" s="4" t="e">
        <f t="shared" si="0"/>
        <v>#N/A</v>
      </c>
    </row>
    <row r="15" spans="1:34" x14ac:dyDescent="0.2">
      <c r="A15" s="3">
        <v>34668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s="2">
        <v>15.729963</v>
      </c>
      <c r="X15" s="2">
        <v>22.798311000000002</v>
      </c>
      <c r="Y15" s="2">
        <v>25.163979000000001</v>
      </c>
      <c r="Z15" s="2">
        <v>5.355442</v>
      </c>
      <c r="AA15" s="2">
        <v>3.8455311999999999</v>
      </c>
      <c r="AB15" s="2">
        <v>2.4856408000000001</v>
      </c>
      <c r="AC15" s="2">
        <v>6.9946694000000003</v>
      </c>
      <c r="AD15" s="2">
        <v>1.8317570000000001</v>
      </c>
      <c r="AE15" s="2">
        <v>15.334172000000001</v>
      </c>
      <c r="AF15" s="2">
        <v>74.528130000000004</v>
      </c>
      <c r="AG15" s="2">
        <v>13.099728000000001</v>
      </c>
      <c r="AH15" s="4" t="e">
        <f t="shared" si="0"/>
        <v>#N/A</v>
      </c>
    </row>
    <row r="16" spans="1:34" x14ac:dyDescent="0.2">
      <c r="A16" s="3">
        <v>34699</v>
      </c>
      <c r="B16" t="e">
        <v>#N/A</v>
      </c>
      <c r="C16" t="e">
        <v>#N/A</v>
      </c>
      <c r="D16" t="e">
        <v>#N/A</v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s="2">
        <v>11.776543999999999</v>
      </c>
      <c r="X16" s="2">
        <v>19.142690000000002</v>
      </c>
      <c r="Y16" s="2">
        <v>22.08821</v>
      </c>
      <c r="Z16" s="2">
        <v>5.0910719999999996</v>
      </c>
      <c r="AA16" s="2">
        <v>10.093208000000001</v>
      </c>
      <c r="AB16" s="2">
        <v>3.3434515</v>
      </c>
      <c r="AC16" s="2">
        <v>7.4048495000000001</v>
      </c>
      <c r="AD16" s="2">
        <v>1.7561126</v>
      </c>
      <c r="AE16" s="2">
        <v>19.660419999999998</v>
      </c>
      <c r="AF16" s="2">
        <v>67.942154000000002</v>
      </c>
      <c r="AG16" s="2">
        <v>11.161714</v>
      </c>
      <c r="AH16" s="4" t="e">
        <f t="shared" si="0"/>
        <v>#N/A</v>
      </c>
    </row>
    <row r="17" spans="1:34" x14ac:dyDescent="0.2">
      <c r="A17" s="3">
        <v>34730</v>
      </c>
      <c r="B17" t="e">
        <v>#N/A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s="2">
        <v>4.6499762999999996</v>
      </c>
      <c r="X17" s="2">
        <v>18.482593999999999</v>
      </c>
      <c r="Y17" s="2">
        <v>26.883305</v>
      </c>
      <c r="Z17" s="2">
        <v>9.2084279999999996</v>
      </c>
      <c r="AA17" s="2">
        <v>12.325879</v>
      </c>
      <c r="AB17" s="2">
        <v>4.1334730000000004</v>
      </c>
      <c r="AC17" s="2">
        <v>9.4527889999999992</v>
      </c>
      <c r="AD17" s="2">
        <v>1.6252040999999999</v>
      </c>
      <c r="AE17" s="2">
        <v>18.209616</v>
      </c>
      <c r="AF17" s="2">
        <v>74.879326000000006</v>
      </c>
      <c r="AG17" s="2">
        <v>9.843769</v>
      </c>
      <c r="AH17" s="4" t="e">
        <f t="shared" si="0"/>
        <v>#N/A</v>
      </c>
    </row>
    <row r="18" spans="1:34" x14ac:dyDescent="0.2">
      <c r="A18" s="3">
        <v>34758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s="2">
        <v>0.47591265999999999</v>
      </c>
      <c r="X18" s="2">
        <v>12.257130999999999</v>
      </c>
      <c r="Y18" s="2">
        <v>20.020496000000001</v>
      </c>
      <c r="Z18" s="2">
        <v>10.103261</v>
      </c>
      <c r="AA18" s="2">
        <v>8.0643899999999995</v>
      </c>
      <c r="AB18" s="2">
        <v>4.7188980000000003</v>
      </c>
      <c r="AC18" s="2">
        <v>13.759169</v>
      </c>
      <c r="AD18" s="2">
        <v>3.437732</v>
      </c>
      <c r="AE18" s="2">
        <v>14.277884</v>
      </c>
      <c r="AF18" s="2">
        <v>59.816513</v>
      </c>
      <c r="AG18" s="2">
        <v>10.142809</v>
      </c>
      <c r="AH18" s="4" t="e">
        <f t="shared" si="0"/>
        <v>#N/A</v>
      </c>
    </row>
    <row r="19" spans="1:34" x14ac:dyDescent="0.2">
      <c r="A19" s="3">
        <v>34789</v>
      </c>
      <c r="B19" t="e">
        <v>#N/A</v>
      </c>
      <c r="C19" t="e">
        <v>#N/A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s="2">
        <v>-3.2668203E-2</v>
      </c>
      <c r="X19" s="2">
        <v>11.232727000000001</v>
      </c>
      <c r="Y19" s="2">
        <v>19.125986000000001</v>
      </c>
      <c r="Z19" s="2">
        <v>4.1302469999999998</v>
      </c>
      <c r="AA19" s="2">
        <v>4.7294080000000003</v>
      </c>
      <c r="AB19" s="2">
        <v>3.4005546999999998</v>
      </c>
      <c r="AC19" s="2">
        <v>8.5871569999999995</v>
      </c>
      <c r="AD19" s="2">
        <v>3.893478</v>
      </c>
      <c r="AE19" s="2">
        <v>10.398158</v>
      </c>
      <c r="AF19" s="2">
        <v>70.715239999999994</v>
      </c>
      <c r="AG19" s="2">
        <v>10.803267</v>
      </c>
      <c r="AH19" s="4" t="e">
        <f t="shared" si="0"/>
        <v>#N/A</v>
      </c>
    </row>
    <row r="20" spans="1:34" x14ac:dyDescent="0.2">
      <c r="A20" s="3">
        <v>34819</v>
      </c>
      <c r="B20" t="e">
        <v>#N/A</v>
      </c>
      <c r="C20" t="e">
        <v>#N/A</v>
      </c>
      <c r="D20" t="e">
        <v>#N/A</v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  <c r="W20" s="2">
        <v>0.20539834000000001</v>
      </c>
      <c r="X20" s="2">
        <v>10.548881</v>
      </c>
      <c r="Y20" s="2">
        <v>19.436895</v>
      </c>
      <c r="Z20" s="2">
        <v>0.9690261</v>
      </c>
      <c r="AA20" s="2">
        <v>4.7410310000000004</v>
      </c>
      <c r="AB20" s="2">
        <v>1.9637806</v>
      </c>
      <c r="AC20" s="2">
        <v>-1.0466806</v>
      </c>
      <c r="AD20" s="2">
        <v>4.8580490000000003</v>
      </c>
      <c r="AE20" s="2">
        <v>5.5141090000000004</v>
      </c>
      <c r="AF20" s="2">
        <v>85.194820000000007</v>
      </c>
      <c r="AG20" s="2">
        <v>14.281435</v>
      </c>
      <c r="AH20" s="4" t="e">
        <f t="shared" si="0"/>
        <v>#N/A</v>
      </c>
    </row>
    <row r="21" spans="1:34" x14ac:dyDescent="0.2">
      <c r="A21" s="3">
        <v>34850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s="2">
        <v>5.0967326000000002</v>
      </c>
      <c r="X21" s="2">
        <v>15.934873</v>
      </c>
      <c r="Y21" s="2">
        <v>25.418285000000001</v>
      </c>
      <c r="Z21" s="2">
        <v>-1.4766998</v>
      </c>
      <c r="AA21" s="2">
        <v>-0.157522</v>
      </c>
      <c r="AB21" s="2">
        <v>0.70580286000000003</v>
      </c>
      <c r="AC21" s="2">
        <v>-1.1080806999999999</v>
      </c>
      <c r="AD21" s="2">
        <v>7.3903008000000003</v>
      </c>
      <c r="AE21" s="2">
        <v>1.3619471000000001</v>
      </c>
      <c r="AF21" s="2">
        <v>91.027839999999998</v>
      </c>
      <c r="AG21" s="2">
        <v>17.965817999999999</v>
      </c>
      <c r="AH21" s="4" t="e">
        <f t="shared" si="0"/>
        <v>#N/A</v>
      </c>
    </row>
    <row r="22" spans="1:34" x14ac:dyDescent="0.2">
      <c r="A22" s="3">
        <v>34880</v>
      </c>
      <c r="B22" t="e">
        <v>#N/A</v>
      </c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s="2">
        <v>18.896463000000001</v>
      </c>
      <c r="X22" s="2">
        <v>16.875139999999998</v>
      </c>
      <c r="Y22" s="2">
        <v>29.246693</v>
      </c>
      <c r="Z22" s="2">
        <v>-0.43407245999999999</v>
      </c>
      <c r="AA22" s="2">
        <v>0.76553506000000004</v>
      </c>
      <c r="AB22" s="2">
        <v>0.93607819999999997</v>
      </c>
      <c r="AC22" s="2">
        <v>-0.39796910000000002</v>
      </c>
      <c r="AD22" s="2">
        <v>9.3336380000000005</v>
      </c>
      <c r="AE22" s="2">
        <v>-1.5903472000000001</v>
      </c>
      <c r="AF22" s="2">
        <v>101.02014</v>
      </c>
      <c r="AG22" s="2">
        <v>22.640736</v>
      </c>
      <c r="AH22" s="4" t="e">
        <f t="shared" si="0"/>
        <v>#N/A</v>
      </c>
    </row>
    <row r="23" spans="1:34" x14ac:dyDescent="0.2">
      <c r="A23" s="3">
        <v>34911</v>
      </c>
      <c r="B23" t="e">
        <v>#N/A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s="2">
        <v>29.516404999999999</v>
      </c>
      <c r="X23" s="2">
        <v>16.457975000000001</v>
      </c>
      <c r="Y23" s="2">
        <v>32.069214000000002</v>
      </c>
      <c r="Z23" s="2">
        <v>0.33412847000000001</v>
      </c>
      <c r="AA23" s="2">
        <v>1.2789404</v>
      </c>
      <c r="AB23" s="2">
        <v>0.55407839999999997</v>
      </c>
      <c r="AC23" s="2">
        <v>0.23783992000000001</v>
      </c>
      <c r="AD23" s="2">
        <v>8.4021989999999995</v>
      </c>
      <c r="AE23" s="2">
        <v>-0.38448745000000001</v>
      </c>
      <c r="AF23" s="2">
        <v>107.15031399999999</v>
      </c>
      <c r="AG23" s="2">
        <v>25.003461999999999</v>
      </c>
      <c r="AH23" s="4" t="e">
        <f t="shared" si="0"/>
        <v>#N/A</v>
      </c>
    </row>
    <row r="24" spans="1:34" x14ac:dyDescent="0.2">
      <c r="A24" s="3">
        <v>34942</v>
      </c>
      <c r="B24" t="e">
        <v>#N/A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  <c r="W24" s="2">
        <v>31.511011</v>
      </c>
      <c r="X24" s="2">
        <v>17.869105999999999</v>
      </c>
      <c r="Y24" s="2">
        <v>31.589098</v>
      </c>
      <c r="Z24" s="2">
        <v>1.8677112</v>
      </c>
      <c r="AA24" s="2">
        <v>2.0699960000000002</v>
      </c>
      <c r="AB24" s="2">
        <v>1.1582361000000001</v>
      </c>
      <c r="AC24" s="2">
        <v>1.6430521</v>
      </c>
      <c r="AD24" s="2">
        <v>6.2160409999999997</v>
      </c>
      <c r="AE24" s="2">
        <v>1.5290429999999999</v>
      </c>
      <c r="AF24" s="2">
        <v>107.57795</v>
      </c>
      <c r="AG24" s="2">
        <v>24.466887</v>
      </c>
      <c r="AH24" s="4" t="e">
        <f t="shared" si="0"/>
        <v>#N/A</v>
      </c>
    </row>
    <row r="25" spans="1:34" x14ac:dyDescent="0.2">
      <c r="A25" s="3">
        <v>34972</v>
      </c>
      <c r="B25" t="e">
        <v>#N/A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  <c r="W25" s="2">
        <v>25.610626</v>
      </c>
      <c r="X25" s="2">
        <v>14.643549999999999</v>
      </c>
      <c r="Y25" s="2">
        <v>25.984874999999999</v>
      </c>
      <c r="Z25" s="2">
        <v>1.4488318</v>
      </c>
      <c r="AA25" s="2">
        <v>2.0900118000000001</v>
      </c>
      <c r="AB25" s="2">
        <v>0.77906489999999995</v>
      </c>
      <c r="AC25" s="2">
        <v>2.0885354999999999</v>
      </c>
      <c r="AD25" s="2">
        <v>3.6805344</v>
      </c>
      <c r="AE25" s="2">
        <v>5.1371092999999997</v>
      </c>
      <c r="AF25" s="2">
        <v>106.917244</v>
      </c>
      <c r="AG25" s="2">
        <v>19.893408000000001</v>
      </c>
      <c r="AH25" s="4" t="e">
        <f t="shared" si="0"/>
        <v>#N/A</v>
      </c>
    </row>
    <row r="26" spans="1:34" x14ac:dyDescent="0.2">
      <c r="A26" s="3">
        <v>35003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s="2">
        <v>21.859235999999999</v>
      </c>
      <c r="X26" s="2">
        <v>15.5687275</v>
      </c>
      <c r="Y26" s="2">
        <v>23.156936999999999</v>
      </c>
      <c r="Z26" s="2">
        <v>3.9643662000000002</v>
      </c>
      <c r="AA26" s="2">
        <v>4.0279464999999997</v>
      </c>
      <c r="AB26" s="2">
        <v>1.4555305000000001</v>
      </c>
      <c r="AC26" s="2">
        <v>2.2847602</v>
      </c>
      <c r="AD26" s="2">
        <v>2.3990909999999999</v>
      </c>
      <c r="AE26" s="2">
        <v>12.958983999999999</v>
      </c>
      <c r="AF26" s="2">
        <v>95.258930000000007</v>
      </c>
      <c r="AG26" s="2">
        <v>16.56625</v>
      </c>
      <c r="AH26" s="4" t="e">
        <f t="shared" si="0"/>
        <v>#N/A</v>
      </c>
    </row>
    <row r="27" spans="1:34" x14ac:dyDescent="0.2">
      <c r="A27" s="3">
        <v>35033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  <c r="W27" s="2">
        <v>15.86134</v>
      </c>
      <c r="X27" s="2">
        <v>15.215648</v>
      </c>
      <c r="Y27" s="2">
        <v>22.107264000000001</v>
      </c>
      <c r="Z27" s="2">
        <v>6.041131</v>
      </c>
      <c r="AA27" s="2">
        <v>6.6585890000000001</v>
      </c>
      <c r="AB27" s="2">
        <v>1.9772114999999999</v>
      </c>
      <c r="AC27" s="2">
        <v>7.3222145999999997</v>
      </c>
      <c r="AD27" s="2">
        <v>2.2104374999999998</v>
      </c>
      <c r="AE27" s="2">
        <v>17.193847999999999</v>
      </c>
      <c r="AF27" s="2">
        <v>74.8476</v>
      </c>
      <c r="AG27" s="2">
        <v>12.866083</v>
      </c>
      <c r="AH27" s="4" t="e">
        <f t="shared" si="0"/>
        <v>#N/A</v>
      </c>
    </row>
    <row r="28" spans="1:34" x14ac:dyDescent="0.2">
      <c r="A28" s="3">
        <v>35064</v>
      </c>
      <c r="B28" t="e">
        <v>#N/A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s="2">
        <v>11.380694999999999</v>
      </c>
      <c r="X28" s="2">
        <v>13.931168</v>
      </c>
      <c r="Y28" s="2">
        <v>16.215330000000002</v>
      </c>
      <c r="Z28" s="2">
        <v>5.7696433000000003</v>
      </c>
      <c r="AA28" s="2">
        <v>4.4719734000000004</v>
      </c>
      <c r="AB28" s="2">
        <v>1.6787635999999999</v>
      </c>
      <c r="AC28" s="2">
        <v>4.9078419999999996</v>
      </c>
      <c r="AD28" s="2">
        <v>2.1277746999999998</v>
      </c>
      <c r="AE28" s="2">
        <v>22.608699999999999</v>
      </c>
      <c r="AF28" s="2">
        <v>64.644419999999997</v>
      </c>
      <c r="AG28" s="2">
        <v>11.204782</v>
      </c>
      <c r="AH28" s="4" t="e">
        <f t="shared" si="0"/>
        <v>#N/A</v>
      </c>
    </row>
    <row r="29" spans="1:34" x14ac:dyDescent="0.2">
      <c r="A29" s="3">
        <v>35095</v>
      </c>
      <c r="B29" t="e">
        <v>#N/A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s="2">
        <v>4.9353575999999997</v>
      </c>
      <c r="X29" s="2">
        <v>15.553823</v>
      </c>
      <c r="Y29" s="2">
        <v>17.929482</v>
      </c>
      <c r="Z29" s="2">
        <v>6.0544032999999997</v>
      </c>
      <c r="AA29" s="2">
        <v>5.3860939999999999</v>
      </c>
      <c r="AB29" s="2">
        <v>2.1867192000000002</v>
      </c>
      <c r="AC29" s="2">
        <v>8.888852</v>
      </c>
      <c r="AD29" s="2">
        <v>2.0021092999999999</v>
      </c>
      <c r="AE29" s="2">
        <v>19.817509000000001</v>
      </c>
      <c r="AF29" s="2">
        <v>71.514610000000005</v>
      </c>
      <c r="AG29" s="2">
        <v>9.8034850000000002</v>
      </c>
      <c r="AH29" s="4" t="e">
        <f t="shared" si="0"/>
        <v>#N/A</v>
      </c>
    </row>
    <row r="30" spans="1:34" x14ac:dyDescent="0.2">
      <c r="A30" s="3">
        <v>35124</v>
      </c>
      <c r="B30" t="e">
        <v>#N/A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s="2">
        <v>0.79849060000000005</v>
      </c>
      <c r="X30" s="2">
        <v>16.004372</v>
      </c>
      <c r="Y30" s="2">
        <v>17.645813</v>
      </c>
      <c r="Z30" s="2">
        <v>6.3568769999999999</v>
      </c>
      <c r="AA30" s="2">
        <v>4.5634183999999998</v>
      </c>
      <c r="AB30" s="2">
        <v>2.4099336</v>
      </c>
      <c r="AC30" s="2">
        <v>11.793771</v>
      </c>
      <c r="AD30" s="2">
        <v>3.3401608</v>
      </c>
      <c r="AE30" s="2">
        <v>17.28051</v>
      </c>
      <c r="AF30" s="2">
        <v>61.060634999999998</v>
      </c>
      <c r="AG30" s="2">
        <v>10.14274</v>
      </c>
      <c r="AH30" s="4" t="e">
        <f t="shared" si="0"/>
        <v>#N/A</v>
      </c>
    </row>
    <row r="31" spans="1:34" x14ac:dyDescent="0.2">
      <c r="A31" s="3">
        <v>35155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s="2">
        <v>2.1805689E-2</v>
      </c>
      <c r="X31" s="2">
        <v>15.5962</v>
      </c>
      <c r="Y31" s="2">
        <v>13.730309500000001</v>
      </c>
      <c r="Z31" s="2">
        <v>3.1255394999999999</v>
      </c>
      <c r="AA31" s="2">
        <v>3.6293801999999999</v>
      </c>
      <c r="AB31" s="2">
        <v>3.6443979999999998</v>
      </c>
      <c r="AC31" s="2">
        <v>8.8000620000000005</v>
      </c>
      <c r="AD31" s="2">
        <v>4.1659600000000001</v>
      </c>
      <c r="AE31" s="2">
        <v>12.837922000000001</v>
      </c>
      <c r="AF31" s="2">
        <v>68.64564</v>
      </c>
      <c r="AG31" s="2">
        <v>10.9058075</v>
      </c>
      <c r="AH31" s="4" t="e">
        <f t="shared" si="0"/>
        <v>#N/A</v>
      </c>
    </row>
    <row r="32" spans="1:34" x14ac:dyDescent="0.2">
      <c r="A32" s="3">
        <v>35185</v>
      </c>
      <c r="B32" t="e">
        <v>#N/A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s="2">
        <v>0.74656579999999995</v>
      </c>
      <c r="X32" s="2">
        <v>15.896027999999999</v>
      </c>
      <c r="Y32" s="2">
        <v>14.368701</v>
      </c>
      <c r="Z32" s="2">
        <v>1.7544219999999999</v>
      </c>
      <c r="AA32" s="2">
        <v>4.0531597000000001</v>
      </c>
      <c r="AB32" s="2">
        <v>2.0240103999999999</v>
      </c>
      <c r="AC32" s="2">
        <v>0.72709029999999997</v>
      </c>
      <c r="AD32" s="2">
        <v>5.8921742000000004</v>
      </c>
      <c r="AE32" s="2">
        <v>5.4455514000000003</v>
      </c>
      <c r="AF32" s="2">
        <v>85.243549999999999</v>
      </c>
      <c r="AG32" s="2">
        <v>14.360695</v>
      </c>
      <c r="AH32" s="4" t="e">
        <f t="shared" si="0"/>
        <v>#N/A</v>
      </c>
    </row>
    <row r="33" spans="1:34" x14ac:dyDescent="0.2">
      <c r="A33" s="3">
        <v>35216</v>
      </c>
      <c r="B33" t="e">
        <v>#N/A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s="2">
        <v>4.7229285000000001</v>
      </c>
      <c r="X33" s="2">
        <v>22.212067000000001</v>
      </c>
      <c r="Y33" s="2">
        <v>23.253822</v>
      </c>
      <c r="Z33" s="2">
        <v>-0.13088582000000001</v>
      </c>
      <c r="AA33" s="2">
        <v>1.7599340999999999</v>
      </c>
      <c r="AB33" s="2">
        <v>1.029074</v>
      </c>
      <c r="AC33" s="2">
        <v>-0.63560749999999999</v>
      </c>
      <c r="AD33" s="2">
        <v>7.893834</v>
      </c>
      <c r="AE33" s="2">
        <v>0.52221720000000005</v>
      </c>
      <c r="AF33" s="2">
        <v>92.955410000000001</v>
      </c>
      <c r="AG33" s="2">
        <v>17.959855999999998</v>
      </c>
      <c r="AH33" s="4" t="e">
        <f t="shared" si="0"/>
        <v>#N/A</v>
      </c>
    </row>
    <row r="34" spans="1:34" x14ac:dyDescent="0.2">
      <c r="A34" s="3">
        <v>35246</v>
      </c>
      <c r="B34" t="e">
        <v>#N/A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s="2">
        <v>17.719653999999998</v>
      </c>
      <c r="X34" s="2">
        <v>24.184736000000001</v>
      </c>
      <c r="Y34" s="2">
        <v>24.913767</v>
      </c>
      <c r="Z34" s="2">
        <v>0.50945704999999997</v>
      </c>
      <c r="AA34" s="2">
        <v>4.5262035999999997</v>
      </c>
      <c r="AB34" s="2">
        <v>1.7743945999999999</v>
      </c>
      <c r="AC34" s="2">
        <v>-2.8965109999999999E-2</v>
      </c>
      <c r="AD34" s="2">
        <v>9.7446149999999996</v>
      </c>
      <c r="AE34" s="2">
        <v>-1.9473612</v>
      </c>
      <c r="AF34" s="2">
        <v>96.2256</v>
      </c>
      <c r="AG34" s="2">
        <v>22.560898000000002</v>
      </c>
      <c r="AH34" s="4" t="e">
        <f t="shared" si="0"/>
        <v>#N/A</v>
      </c>
    </row>
    <row r="35" spans="1:34" x14ac:dyDescent="0.2">
      <c r="A35" s="3">
        <v>35277</v>
      </c>
      <c r="B35" t="e">
        <v>#N/A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s="2">
        <v>28.430720000000001</v>
      </c>
      <c r="X35" s="2">
        <v>23.397874999999999</v>
      </c>
      <c r="Y35" s="2">
        <v>27.544751999999999</v>
      </c>
      <c r="Z35" s="2">
        <v>-0.50762779999999996</v>
      </c>
      <c r="AA35" s="2">
        <v>1.9190583000000001</v>
      </c>
      <c r="AB35" s="2">
        <v>0.97584360000000003</v>
      </c>
      <c r="AC35" s="2">
        <v>0.11822456000000001</v>
      </c>
      <c r="AD35" s="2">
        <v>9.7565159999999995</v>
      </c>
      <c r="AE35" s="2">
        <v>-2.8994626999999999</v>
      </c>
      <c r="AF35" s="2">
        <v>106.64406</v>
      </c>
      <c r="AG35" s="2">
        <v>24.408463999999999</v>
      </c>
      <c r="AH35" s="4" t="e">
        <f t="shared" ref="AH35:AH98" si="1">SUM(B35:V35)</f>
        <v>#N/A</v>
      </c>
    </row>
    <row r="36" spans="1:34" x14ac:dyDescent="0.2">
      <c r="A36" s="3">
        <v>35308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s="2">
        <v>31.717704999999999</v>
      </c>
      <c r="X36" s="2">
        <v>25.053325999999998</v>
      </c>
      <c r="Y36" s="2">
        <v>28.567115999999999</v>
      </c>
      <c r="Z36" s="2">
        <v>0.2237005</v>
      </c>
      <c r="AA36" s="2">
        <v>2.8164769999999999</v>
      </c>
      <c r="AB36" s="2">
        <v>1.6405433</v>
      </c>
      <c r="AC36" s="2">
        <v>1.7994941</v>
      </c>
      <c r="AD36" s="2">
        <v>6.6645760000000003</v>
      </c>
      <c r="AE36" s="2">
        <v>7.8463649999999996E-2</v>
      </c>
      <c r="AF36" s="2">
        <v>102.90687</v>
      </c>
      <c r="AG36" s="2">
        <v>24.794325000000001</v>
      </c>
      <c r="AH36" s="4" t="e">
        <f t="shared" si="1"/>
        <v>#N/A</v>
      </c>
    </row>
    <row r="37" spans="1:34" x14ac:dyDescent="0.2">
      <c r="A37" s="3">
        <v>35338</v>
      </c>
      <c r="B37" t="e">
        <v>#N/A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s="2">
        <v>26.508392000000001</v>
      </c>
      <c r="X37" s="2">
        <v>19.924906</v>
      </c>
      <c r="Y37" s="2">
        <v>22.290866999999999</v>
      </c>
      <c r="Z37" s="2">
        <v>2.5301879999999999</v>
      </c>
      <c r="AA37" s="2">
        <v>4.2584695999999997</v>
      </c>
      <c r="AB37" s="2">
        <v>1.2599262</v>
      </c>
      <c r="AC37" s="2">
        <v>2.4439497000000001</v>
      </c>
      <c r="AD37" s="2">
        <v>4.5828600000000002</v>
      </c>
      <c r="AE37" s="2">
        <v>3.6731132999999998</v>
      </c>
      <c r="AF37" s="2">
        <v>98.176659999999998</v>
      </c>
      <c r="AG37" s="2">
        <v>20.138037000000001</v>
      </c>
      <c r="AH37" s="4" t="e">
        <f t="shared" si="1"/>
        <v>#N/A</v>
      </c>
    </row>
    <row r="38" spans="1:34" x14ac:dyDescent="0.2">
      <c r="A38" s="3">
        <v>35369</v>
      </c>
      <c r="B38" t="e">
        <v>#N/A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s="2">
        <v>21.579231</v>
      </c>
      <c r="X38" s="2">
        <v>19.940135999999999</v>
      </c>
      <c r="Y38" s="2">
        <v>20.415534999999998</v>
      </c>
      <c r="Z38" s="2">
        <v>4.5543839999999998</v>
      </c>
      <c r="AA38" s="2">
        <v>3.8855138</v>
      </c>
      <c r="AB38" s="2">
        <v>2.0107078999999999</v>
      </c>
      <c r="AC38" s="2">
        <v>6.2890170000000003</v>
      </c>
      <c r="AD38" s="2">
        <v>3.1869504000000002</v>
      </c>
      <c r="AE38" s="2">
        <v>11.531302</v>
      </c>
      <c r="AF38" s="2">
        <v>87.732830000000007</v>
      </c>
      <c r="AG38" s="2">
        <v>16.392240000000001</v>
      </c>
      <c r="AH38" s="4" t="e">
        <f t="shared" si="1"/>
        <v>#N/A</v>
      </c>
    </row>
    <row r="39" spans="1:34" x14ac:dyDescent="0.2">
      <c r="A39" s="3">
        <v>35399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s="2">
        <v>15.596613</v>
      </c>
      <c r="X39" s="2">
        <v>18.602385000000002</v>
      </c>
      <c r="Y39" s="2">
        <v>19.788588000000001</v>
      </c>
      <c r="Z39" s="2">
        <v>5.4137579999999996</v>
      </c>
      <c r="AA39" s="2">
        <v>3.9891320000000001</v>
      </c>
      <c r="AB39" s="2">
        <v>1.9997643000000001</v>
      </c>
      <c r="AC39" s="2">
        <v>6.3518869999999996</v>
      </c>
      <c r="AD39" s="2">
        <v>2.0293918</v>
      </c>
      <c r="AE39" s="2">
        <v>19.817198000000001</v>
      </c>
      <c r="AF39" s="2">
        <v>66.706440000000001</v>
      </c>
      <c r="AG39" s="2">
        <v>12.853126</v>
      </c>
      <c r="AH39" s="4" t="e">
        <f t="shared" si="1"/>
        <v>#N/A</v>
      </c>
    </row>
    <row r="40" spans="1:34" x14ac:dyDescent="0.2">
      <c r="A40" s="3">
        <v>35430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s="2">
        <v>11.838994</v>
      </c>
      <c r="X40" s="2">
        <v>16.915603999999998</v>
      </c>
      <c r="Y40" s="2">
        <v>15.024004</v>
      </c>
      <c r="Z40" s="2">
        <v>6.1276307000000001</v>
      </c>
      <c r="AA40" s="2">
        <v>6.6558228000000002</v>
      </c>
      <c r="AB40" s="2">
        <v>3.0902297000000001</v>
      </c>
      <c r="AC40" s="2">
        <v>7.6869059999999996</v>
      </c>
      <c r="AD40" s="2">
        <v>1.4513593</v>
      </c>
      <c r="AE40" s="2">
        <v>29.778942000000001</v>
      </c>
      <c r="AF40" s="2">
        <v>60.726497999999999</v>
      </c>
      <c r="AG40" s="2">
        <v>11.199491500000001</v>
      </c>
      <c r="AH40" s="4" t="e">
        <f t="shared" si="1"/>
        <v>#N/A</v>
      </c>
    </row>
    <row r="41" spans="1:34" x14ac:dyDescent="0.2">
      <c r="A41" s="3">
        <v>35461</v>
      </c>
      <c r="B41" t="e">
        <v>#N/A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s="2">
        <v>5.345288</v>
      </c>
      <c r="X41" s="2">
        <v>18.43666</v>
      </c>
      <c r="Y41" s="2">
        <v>15.220254000000001</v>
      </c>
      <c r="Z41" s="2">
        <v>5.5225679999999997</v>
      </c>
      <c r="AA41" s="2">
        <v>6.6743145000000004</v>
      </c>
      <c r="AB41" s="2">
        <v>2.2053604</v>
      </c>
      <c r="AC41" s="2">
        <v>8.1170240000000007</v>
      </c>
      <c r="AD41" s="2">
        <v>1.8005928</v>
      </c>
      <c r="AE41" s="2">
        <v>29.469626999999999</v>
      </c>
      <c r="AF41" s="2">
        <v>68.047489999999996</v>
      </c>
      <c r="AG41" s="2">
        <v>9.8300520000000002</v>
      </c>
      <c r="AH41" s="4" t="e">
        <f t="shared" si="1"/>
        <v>#N/A</v>
      </c>
    </row>
    <row r="42" spans="1:34" x14ac:dyDescent="0.2">
      <c r="A42" s="3">
        <v>35489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s="2">
        <v>0.78166880000000005</v>
      </c>
      <c r="X42" s="2">
        <v>17.601711000000002</v>
      </c>
      <c r="Y42" s="2">
        <v>14.814420999999999</v>
      </c>
      <c r="Z42" s="2">
        <v>4.8481864999999997</v>
      </c>
      <c r="AA42" s="2">
        <v>5.599513</v>
      </c>
      <c r="AB42" s="2">
        <v>2.4958897000000002</v>
      </c>
      <c r="AC42" s="2">
        <v>9.9204329999999992</v>
      </c>
      <c r="AD42" s="2">
        <v>2.6933959000000001</v>
      </c>
      <c r="AE42" s="2">
        <v>18.698774</v>
      </c>
      <c r="AF42" s="2">
        <v>61.333869999999997</v>
      </c>
      <c r="AG42" s="2">
        <v>10.037169</v>
      </c>
      <c r="AH42" s="4" t="e">
        <f t="shared" si="1"/>
        <v>#N/A</v>
      </c>
    </row>
    <row r="43" spans="1:34" x14ac:dyDescent="0.2">
      <c r="A43" s="3">
        <v>35520</v>
      </c>
      <c r="B43" t="e">
        <v>#N/A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s="2">
        <v>-5.466522E-2</v>
      </c>
      <c r="X43" s="2">
        <v>18.44172</v>
      </c>
      <c r="Y43" s="2">
        <v>13.10005</v>
      </c>
      <c r="Z43" s="2">
        <v>3.4169160999999999</v>
      </c>
      <c r="AA43" s="2">
        <v>5.2409986999999996</v>
      </c>
      <c r="AB43" s="2">
        <v>3.0089435999999998</v>
      </c>
      <c r="AC43" s="2">
        <v>6.4668770000000002</v>
      </c>
      <c r="AD43" s="2">
        <v>4.1749735000000001</v>
      </c>
      <c r="AE43" s="2">
        <v>17.573996999999999</v>
      </c>
      <c r="AF43" s="2">
        <v>68.45899</v>
      </c>
      <c r="AG43" s="2">
        <v>10.740536000000001</v>
      </c>
      <c r="AH43" s="4" t="e">
        <f t="shared" si="1"/>
        <v>#N/A</v>
      </c>
    </row>
    <row r="44" spans="1:34" x14ac:dyDescent="0.2">
      <c r="A44" s="3">
        <v>35550</v>
      </c>
      <c r="B44" t="e">
        <v>#N/A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s="2">
        <v>0.65026534000000003</v>
      </c>
      <c r="X44" s="2">
        <v>19.232054000000002</v>
      </c>
      <c r="Y44" s="2">
        <v>15.600076</v>
      </c>
      <c r="Z44" s="2">
        <v>0.92241110000000004</v>
      </c>
      <c r="AA44" s="2">
        <v>3.7225904000000001</v>
      </c>
      <c r="AB44" s="2">
        <v>2.5959215000000002</v>
      </c>
      <c r="AC44" s="2">
        <v>0.84569289999999997</v>
      </c>
      <c r="AD44" s="2">
        <v>6.4161770000000002</v>
      </c>
      <c r="AE44" s="2">
        <v>7.2475877000000004</v>
      </c>
      <c r="AF44" s="2">
        <v>86.715230000000005</v>
      </c>
      <c r="AG44" s="2">
        <v>14.555692000000001</v>
      </c>
      <c r="AH44" s="4" t="e">
        <f t="shared" si="1"/>
        <v>#N/A</v>
      </c>
    </row>
    <row r="45" spans="1:34" x14ac:dyDescent="0.2">
      <c r="A45" s="3">
        <v>35581</v>
      </c>
      <c r="B45" t="e">
        <v>#N/A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s="2">
        <v>5.8526993000000003</v>
      </c>
      <c r="X45" s="2">
        <v>23.286311999999999</v>
      </c>
      <c r="Y45" s="2">
        <v>20.007650000000002</v>
      </c>
      <c r="Z45" s="2">
        <v>0.70074855999999996</v>
      </c>
      <c r="AA45" s="2">
        <v>4.8324655999999999</v>
      </c>
      <c r="AB45" s="2">
        <v>1.5260081000000001</v>
      </c>
      <c r="AC45" s="2">
        <v>0.56987049999999995</v>
      </c>
      <c r="AD45" s="2">
        <v>8.3437640000000002</v>
      </c>
      <c r="AE45" s="2">
        <v>1.3637897000000001</v>
      </c>
      <c r="AF45" s="2">
        <v>95.203445000000002</v>
      </c>
      <c r="AG45" s="2">
        <v>18.096616999999998</v>
      </c>
      <c r="AH45" s="4" t="e">
        <f t="shared" si="1"/>
        <v>#N/A</v>
      </c>
    </row>
    <row r="46" spans="1:34" x14ac:dyDescent="0.2">
      <c r="A46" s="3">
        <v>35611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  <c r="W46" s="2">
        <v>19.610302000000001</v>
      </c>
      <c r="X46" s="2">
        <v>23.798708000000001</v>
      </c>
      <c r="Y46" s="2">
        <v>21.222853000000001</v>
      </c>
      <c r="Z46" s="2">
        <v>0.20849841999999999</v>
      </c>
      <c r="AA46" s="2">
        <v>3.3535821000000001</v>
      </c>
      <c r="AB46" s="2">
        <v>1.7010221000000001</v>
      </c>
      <c r="AC46" s="2">
        <v>0.26700037999999998</v>
      </c>
      <c r="AD46" s="2">
        <v>9.8085850000000008</v>
      </c>
      <c r="AE46" s="2">
        <v>-0.94747870000000001</v>
      </c>
      <c r="AF46" s="2">
        <v>98.815470000000005</v>
      </c>
      <c r="AG46" s="2">
        <v>22.720151999999999</v>
      </c>
      <c r="AH46" s="4" t="e">
        <f t="shared" si="1"/>
        <v>#N/A</v>
      </c>
    </row>
    <row r="47" spans="1:34" x14ac:dyDescent="0.2">
      <c r="A47" s="3">
        <v>35642</v>
      </c>
      <c r="B47" t="e">
        <v>#N/A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s="2">
        <v>29.536760000000001</v>
      </c>
      <c r="X47" s="2">
        <v>22.128433000000001</v>
      </c>
      <c r="Y47" s="2">
        <v>26.005547</v>
      </c>
      <c r="Z47" s="2">
        <v>0.74521243999999998</v>
      </c>
      <c r="AA47" s="2">
        <v>3.2475475999999999</v>
      </c>
      <c r="AB47" s="2">
        <v>0.66335129999999998</v>
      </c>
      <c r="AC47" s="2">
        <v>1.3179734999999999</v>
      </c>
      <c r="AD47" s="2">
        <v>8.6375720000000005</v>
      </c>
      <c r="AE47" s="2">
        <v>-1.2179797000000001</v>
      </c>
      <c r="AF47" s="2">
        <v>107.99888</v>
      </c>
      <c r="AG47" s="2">
        <v>24.788864</v>
      </c>
      <c r="AH47" s="4" t="e">
        <f t="shared" si="1"/>
        <v>#N/A</v>
      </c>
    </row>
    <row r="48" spans="1:34" x14ac:dyDescent="0.2">
      <c r="A48" s="3">
        <v>35673</v>
      </c>
      <c r="B48" t="e">
        <v>#N/A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s="2">
        <v>29.749285</v>
      </c>
      <c r="X48" s="2">
        <v>23.745273999999998</v>
      </c>
      <c r="Y48" s="2">
        <v>26.933558000000001</v>
      </c>
      <c r="Z48" s="2">
        <v>1.3171238999999999</v>
      </c>
      <c r="AA48" s="2">
        <v>2.6080274999999999</v>
      </c>
      <c r="AB48" s="2">
        <v>0.81609326999999998</v>
      </c>
      <c r="AC48" s="2">
        <v>3.5735218999999998</v>
      </c>
      <c r="AD48" s="2">
        <v>6.5543680000000002</v>
      </c>
      <c r="AE48" s="2">
        <v>-1.3327817</v>
      </c>
      <c r="AF48" s="2">
        <v>108.62554</v>
      </c>
      <c r="AG48" s="2">
        <v>24.484055999999999</v>
      </c>
      <c r="AH48" s="4" t="e">
        <f t="shared" si="1"/>
        <v>#N/A</v>
      </c>
    </row>
    <row r="49" spans="1:34" x14ac:dyDescent="0.2">
      <c r="A49" s="3">
        <v>35703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s="2">
        <v>25.197496000000001</v>
      </c>
      <c r="X49" s="2">
        <v>19.707664000000001</v>
      </c>
      <c r="Y49" s="2">
        <v>21.598759000000001</v>
      </c>
      <c r="Z49" s="2">
        <v>1.7708858000000001</v>
      </c>
      <c r="AA49" s="2">
        <v>3.0777510000000001</v>
      </c>
      <c r="AB49" s="2">
        <v>0.24171192999999999</v>
      </c>
      <c r="AC49" s="2">
        <v>3.7822049</v>
      </c>
      <c r="AD49" s="2">
        <v>3.8936858000000001</v>
      </c>
      <c r="AE49" s="2">
        <v>2.1301397999999998</v>
      </c>
      <c r="AF49" s="2">
        <v>99.607020000000006</v>
      </c>
      <c r="AG49" s="2">
        <v>20.197915999999999</v>
      </c>
      <c r="AH49" s="4" t="e">
        <f t="shared" si="1"/>
        <v>#N/A</v>
      </c>
    </row>
    <row r="50" spans="1:34" x14ac:dyDescent="0.2">
      <c r="A50" s="3">
        <v>35734</v>
      </c>
      <c r="B50" t="e">
        <v>#N/A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s="2">
        <v>20.830249999999999</v>
      </c>
      <c r="X50" s="2">
        <v>18.799257000000001</v>
      </c>
      <c r="Y50" s="2">
        <v>21.150732000000001</v>
      </c>
      <c r="Z50" s="2">
        <v>4.1548065999999997</v>
      </c>
      <c r="AA50" s="2">
        <v>4.8955460000000004</v>
      </c>
      <c r="AB50" s="2">
        <v>1.7387098000000001</v>
      </c>
      <c r="AC50" s="2">
        <v>5.0920120000000004</v>
      </c>
      <c r="AD50" s="2">
        <v>2.5543013000000001</v>
      </c>
      <c r="AE50" s="2">
        <v>9.3822379999999992</v>
      </c>
      <c r="AF50" s="2">
        <v>92.035749999999993</v>
      </c>
      <c r="AG50" s="2">
        <v>16.683416000000001</v>
      </c>
      <c r="AH50" s="4" t="e">
        <f t="shared" si="1"/>
        <v>#N/A</v>
      </c>
    </row>
    <row r="51" spans="1:34" x14ac:dyDescent="0.2">
      <c r="A51" s="3">
        <v>35764</v>
      </c>
      <c r="B51" t="e">
        <v>#N/A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  <c r="W51" s="2">
        <v>15.987</v>
      </c>
      <c r="X51" s="2">
        <v>15.538951000000001</v>
      </c>
      <c r="Y51" s="2">
        <v>20.707048</v>
      </c>
      <c r="Z51" s="2">
        <v>6.4903069999999996</v>
      </c>
      <c r="AA51" s="2">
        <v>3.7606160000000002</v>
      </c>
      <c r="AB51" s="2">
        <v>2.2092930000000002</v>
      </c>
      <c r="AC51" s="2">
        <v>7.5816374</v>
      </c>
      <c r="AD51" s="2">
        <v>1.9968815</v>
      </c>
      <c r="AE51" s="2">
        <v>22.712956999999999</v>
      </c>
      <c r="AF51" s="2">
        <v>70.926010000000005</v>
      </c>
      <c r="AG51" s="2">
        <v>13.173899</v>
      </c>
      <c r="AH51" s="4" t="e">
        <f t="shared" si="1"/>
        <v>#N/A</v>
      </c>
    </row>
    <row r="52" spans="1:34" x14ac:dyDescent="0.2">
      <c r="A52" s="3">
        <v>35795</v>
      </c>
      <c r="B52" t="e">
        <v>#N/A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  <c r="W52" s="2">
        <v>11.572996</v>
      </c>
      <c r="X52" s="2">
        <v>13.669717</v>
      </c>
      <c r="Y52" s="2">
        <v>17.404104</v>
      </c>
      <c r="Z52" s="2">
        <v>3.3847146000000001</v>
      </c>
      <c r="AA52" s="2">
        <v>3.0557596999999999</v>
      </c>
      <c r="AB52" s="2">
        <v>1.9606908999999999</v>
      </c>
      <c r="AC52" s="2">
        <v>5.4308968000000002</v>
      </c>
      <c r="AD52" s="2">
        <v>1.8314433999999999</v>
      </c>
      <c r="AE52" s="2">
        <v>26.025621000000001</v>
      </c>
      <c r="AF52" s="2">
        <v>64.149699999999996</v>
      </c>
      <c r="AG52" s="2">
        <v>11.630489000000001</v>
      </c>
      <c r="AH52" s="4" t="e">
        <f t="shared" si="1"/>
        <v>#N/A</v>
      </c>
    </row>
    <row r="53" spans="1:34" x14ac:dyDescent="0.2">
      <c r="A53" s="3">
        <v>35826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  <c r="W53" s="2">
        <v>4.7531429999999997</v>
      </c>
      <c r="X53" s="2">
        <v>14.247154</v>
      </c>
      <c r="Y53" s="2">
        <v>15.907087000000001</v>
      </c>
      <c r="Z53" s="2">
        <v>3.4781439999999999</v>
      </c>
      <c r="AA53" s="2">
        <v>2.7742149999999999</v>
      </c>
      <c r="AB53" s="2">
        <v>1.8461068</v>
      </c>
      <c r="AC53" s="2">
        <v>6.8096027000000001</v>
      </c>
      <c r="AD53" s="2">
        <v>1.8782361999999999</v>
      </c>
      <c r="AE53" s="2">
        <v>26.318548</v>
      </c>
      <c r="AF53" s="2">
        <v>69.876630000000006</v>
      </c>
      <c r="AG53" s="2">
        <v>9.6372959999999992</v>
      </c>
      <c r="AH53" s="4" t="e">
        <f t="shared" si="1"/>
        <v>#N/A</v>
      </c>
    </row>
    <row r="54" spans="1:34" x14ac:dyDescent="0.2">
      <c r="A54" s="3">
        <v>35854</v>
      </c>
      <c r="B54" t="e">
        <v>#N/A</v>
      </c>
      <c r="C54" t="e">
        <v>#N/A</v>
      </c>
      <c r="D54" t="e">
        <v>#N/A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  <c r="W54" s="2">
        <v>0.47706156999999999</v>
      </c>
      <c r="X54" s="2">
        <v>14.224351</v>
      </c>
      <c r="Y54" s="2">
        <v>17.708566999999999</v>
      </c>
      <c r="Z54" s="2">
        <v>4.9439172999999998</v>
      </c>
      <c r="AA54" s="2">
        <v>5.8599667999999996</v>
      </c>
      <c r="AB54" s="2">
        <v>2.922228</v>
      </c>
      <c r="AC54" s="2">
        <v>7.807328</v>
      </c>
      <c r="AD54" s="2">
        <v>2.3978956</v>
      </c>
      <c r="AE54" s="2">
        <v>22.224947</v>
      </c>
      <c r="AF54" s="2">
        <v>63.940964000000001</v>
      </c>
      <c r="AG54" s="2">
        <v>9.8762240000000006</v>
      </c>
      <c r="AH54" s="4" t="e">
        <f t="shared" si="1"/>
        <v>#N/A</v>
      </c>
    </row>
    <row r="55" spans="1:34" x14ac:dyDescent="0.2">
      <c r="A55" s="3">
        <v>35885</v>
      </c>
      <c r="B55" t="e">
        <v>#N/A</v>
      </c>
      <c r="C55" t="e">
        <v>#N/A</v>
      </c>
      <c r="D55" t="e">
        <v>#N/A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s="2">
        <v>0.14648920000000001</v>
      </c>
      <c r="X55" s="2">
        <v>14.65743</v>
      </c>
      <c r="Y55" s="2">
        <v>14.2011</v>
      </c>
      <c r="Z55" s="2">
        <v>2.3022513</v>
      </c>
      <c r="AA55" s="2">
        <v>6.6281860000000004</v>
      </c>
      <c r="AB55" s="2">
        <v>2.3078080000000001</v>
      </c>
      <c r="AC55" s="2">
        <v>5.4259380000000004</v>
      </c>
      <c r="AD55" s="2">
        <v>3.676358</v>
      </c>
      <c r="AE55" s="2">
        <v>11.769496</v>
      </c>
      <c r="AF55" s="2">
        <v>70.232420000000005</v>
      </c>
      <c r="AG55" s="2">
        <v>10.458726</v>
      </c>
      <c r="AH55" s="4" t="e">
        <f t="shared" si="1"/>
        <v>#N/A</v>
      </c>
    </row>
    <row r="56" spans="1:34" x14ac:dyDescent="0.2">
      <c r="A56" s="3">
        <v>35915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s="2">
        <v>0.6907742</v>
      </c>
      <c r="X56" s="2">
        <v>13.492793000000001</v>
      </c>
      <c r="Y56" s="2">
        <v>16.161190000000001</v>
      </c>
      <c r="Z56" s="2">
        <v>1.1640942999999999</v>
      </c>
      <c r="AA56" s="2">
        <v>5.1096120000000003</v>
      </c>
      <c r="AB56" s="2">
        <v>1.8939469</v>
      </c>
      <c r="AC56" s="2">
        <v>1.6840858000000001</v>
      </c>
      <c r="AD56" s="2">
        <v>5.9186170000000002</v>
      </c>
      <c r="AE56" s="2">
        <v>4.9947590000000002</v>
      </c>
      <c r="AF56" s="2">
        <v>85.999459999999999</v>
      </c>
      <c r="AG56" s="2">
        <v>14.249969999999999</v>
      </c>
      <c r="AH56" s="4" t="e">
        <f t="shared" si="1"/>
        <v>#N/A</v>
      </c>
    </row>
    <row r="57" spans="1:34" x14ac:dyDescent="0.2">
      <c r="A57" s="3">
        <v>35946</v>
      </c>
      <c r="B57" t="e">
        <v>#N/A</v>
      </c>
      <c r="C57" t="e">
        <v>#N/A</v>
      </c>
      <c r="D57" t="e">
        <v>#N/A</v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s="2">
        <v>5.4408107000000001</v>
      </c>
      <c r="X57" s="2">
        <v>16.635254</v>
      </c>
      <c r="Y57" s="2">
        <v>18.963684000000001</v>
      </c>
      <c r="Z57" s="2">
        <v>1.8804672</v>
      </c>
      <c r="AA57" s="2">
        <v>4.8689833</v>
      </c>
      <c r="AB57" s="2">
        <v>2.2309508</v>
      </c>
      <c r="AC57" s="2">
        <v>0.48119876</v>
      </c>
      <c r="AD57" s="2">
        <v>8.5629390000000001</v>
      </c>
      <c r="AE57" s="2">
        <v>2.6484450000000002</v>
      </c>
      <c r="AF57" s="2">
        <v>94.032880000000006</v>
      </c>
      <c r="AG57" s="2">
        <v>17.670670000000001</v>
      </c>
      <c r="AH57" s="4" t="e">
        <f t="shared" si="1"/>
        <v>#N/A</v>
      </c>
    </row>
    <row r="58" spans="1:34" x14ac:dyDescent="0.2">
      <c r="A58" s="3">
        <v>35976</v>
      </c>
      <c r="B58" t="e">
        <v>#N/A</v>
      </c>
      <c r="C58" t="e">
        <v>#N/A</v>
      </c>
      <c r="D58" t="e">
        <v>#N/A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  <c r="W58" s="2">
        <v>18.556234</v>
      </c>
      <c r="X58" s="2">
        <v>16.388435000000001</v>
      </c>
      <c r="Y58" s="2">
        <v>19.983706999999999</v>
      </c>
      <c r="Z58" s="2">
        <v>1.0146930000000001</v>
      </c>
      <c r="AA58" s="2">
        <v>3.3321570999999999</v>
      </c>
      <c r="AB58" s="2">
        <v>1.5785819000000001</v>
      </c>
      <c r="AC58" s="2">
        <v>-4.527569E-2</v>
      </c>
      <c r="AD58" s="2">
        <v>10.488925</v>
      </c>
      <c r="AE58" s="2">
        <v>-0.40342453</v>
      </c>
      <c r="AF58" s="2">
        <v>99.627399999999994</v>
      </c>
      <c r="AG58" s="2">
        <v>22.669537999999999</v>
      </c>
      <c r="AH58" s="4" t="e">
        <f t="shared" si="1"/>
        <v>#N/A</v>
      </c>
    </row>
    <row r="59" spans="1:34" x14ac:dyDescent="0.2">
      <c r="A59" s="3">
        <v>36007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  <c r="W59" s="2">
        <v>28.304995999999999</v>
      </c>
      <c r="X59" s="2">
        <v>15.361340999999999</v>
      </c>
      <c r="Y59" s="2">
        <v>23.404810000000001</v>
      </c>
      <c r="Z59" s="2">
        <v>1.6662996999999999</v>
      </c>
      <c r="AA59" s="2">
        <v>3.5330140000000001</v>
      </c>
      <c r="AB59" s="2">
        <v>1.1160144000000001</v>
      </c>
      <c r="AC59" s="2">
        <v>1.2813272</v>
      </c>
      <c r="AD59" s="2">
        <v>9.4603900000000003</v>
      </c>
      <c r="AE59" s="2">
        <v>-1.5210797</v>
      </c>
      <c r="AF59" s="2">
        <v>109.130394</v>
      </c>
      <c r="AG59" s="2">
        <v>24.815514</v>
      </c>
      <c r="AH59" s="4" t="e">
        <f t="shared" si="1"/>
        <v>#N/A</v>
      </c>
    </row>
    <row r="60" spans="1:34" x14ac:dyDescent="0.2">
      <c r="A60" s="3">
        <v>36038</v>
      </c>
      <c r="B60" t="e">
        <v>#N/A</v>
      </c>
      <c r="C60" t="e">
        <v>#N/A</v>
      </c>
      <c r="D60" t="e">
        <v>#N/A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  <c r="W60" s="2">
        <v>30.459682000000001</v>
      </c>
      <c r="X60" s="2">
        <v>16.260876</v>
      </c>
      <c r="Y60" s="2">
        <v>25.614988</v>
      </c>
      <c r="Z60" s="2">
        <v>1.9190394</v>
      </c>
      <c r="AA60" s="2">
        <v>3.2169306</v>
      </c>
      <c r="AB60" s="2">
        <v>1.4935025</v>
      </c>
      <c r="AC60" s="2">
        <v>1.8075985000000001</v>
      </c>
      <c r="AD60" s="2">
        <v>5.7788310000000003</v>
      </c>
      <c r="AE60" s="2">
        <v>9.8681850000000002E-2</v>
      </c>
      <c r="AF60" s="2">
        <v>109.92901999999999</v>
      </c>
      <c r="AG60" s="2">
        <v>23.975088</v>
      </c>
      <c r="AH60" s="4" t="e">
        <f t="shared" si="1"/>
        <v>#N/A</v>
      </c>
    </row>
    <row r="61" spans="1:34" x14ac:dyDescent="0.2">
      <c r="A61" s="3">
        <v>36068</v>
      </c>
      <c r="B61" t="e">
        <v>#N/A</v>
      </c>
      <c r="C61" t="e">
        <v>#N/A</v>
      </c>
      <c r="D61" t="e">
        <v>#N/A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  <c r="W61" s="2">
        <v>25.433056000000001</v>
      </c>
      <c r="X61" s="2">
        <v>10.279662</v>
      </c>
      <c r="Y61" s="2">
        <v>17.974751999999999</v>
      </c>
      <c r="Z61" s="2">
        <v>4.0030950000000001</v>
      </c>
      <c r="AA61" s="2">
        <v>5.7913832999999997</v>
      </c>
      <c r="AB61" s="2">
        <v>2.1655562000000002</v>
      </c>
      <c r="AC61" s="2">
        <v>5.3376416999999998</v>
      </c>
      <c r="AD61" s="2">
        <v>4.3848269999999996</v>
      </c>
      <c r="AE61" s="2">
        <v>2.0738289999999999</v>
      </c>
      <c r="AF61" s="2">
        <v>100.69391</v>
      </c>
      <c r="AG61" s="2">
        <v>20.169577</v>
      </c>
      <c r="AH61" s="4" t="e">
        <f t="shared" si="1"/>
        <v>#N/A</v>
      </c>
    </row>
    <row r="62" spans="1:34" x14ac:dyDescent="0.2">
      <c r="A62" s="3">
        <v>36099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  <c r="W62" s="2">
        <v>20.955677000000001</v>
      </c>
      <c r="X62" s="2">
        <v>10.8205385</v>
      </c>
      <c r="Y62" s="2">
        <v>17.904862999999999</v>
      </c>
      <c r="Z62" s="2">
        <v>3.8680053000000001</v>
      </c>
      <c r="AA62" s="2">
        <v>3.8563185</v>
      </c>
      <c r="AB62" s="2">
        <v>1.6829911</v>
      </c>
      <c r="AC62" s="2">
        <v>5.7770299999999999</v>
      </c>
      <c r="AD62" s="2">
        <v>3.0416186000000001</v>
      </c>
      <c r="AE62" s="2">
        <v>10.116578000000001</v>
      </c>
      <c r="AF62" s="2">
        <v>95.101219999999998</v>
      </c>
      <c r="AG62" s="2">
        <v>16.502565000000001</v>
      </c>
      <c r="AH62" s="4" t="e">
        <f t="shared" si="1"/>
        <v>#N/A</v>
      </c>
    </row>
    <row r="63" spans="1:34" x14ac:dyDescent="0.2">
      <c r="A63" s="3">
        <v>36129</v>
      </c>
      <c r="B63" t="e">
        <v>#N/A</v>
      </c>
      <c r="C63" t="e">
        <v>#N/A</v>
      </c>
      <c r="D63" t="e">
        <v>#N/A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s="2">
        <v>16.176141999999999</v>
      </c>
      <c r="X63" s="2">
        <v>8.6834089999999993</v>
      </c>
      <c r="Y63" s="2">
        <v>15.3517685</v>
      </c>
      <c r="Z63" s="2">
        <v>4.6804705000000002</v>
      </c>
      <c r="AA63" s="2">
        <v>4.2030963999999997</v>
      </c>
      <c r="AB63" s="2">
        <v>1.8521882999999999</v>
      </c>
      <c r="AC63" s="2">
        <v>5.3776735999999996</v>
      </c>
      <c r="AD63" s="2">
        <v>1.9004207</v>
      </c>
      <c r="AE63" s="2">
        <v>16.800194000000001</v>
      </c>
      <c r="AF63" s="2">
        <v>74.649445</v>
      </c>
      <c r="AG63" s="2">
        <v>12.970008999999999</v>
      </c>
      <c r="AH63" s="4" t="e">
        <f t="shared" si="1"/>
        <v>#N/A</v>
      </c>
    </row>
    <row r="64" spans="1:34" x14ac:dyDescent="0.2">
      <c r="A64" s="3">
        <v>36160</v>
      </c>
      <c r="B64" t="e">
        <v>#N/A</v>
      </c>
      <c r="C64" t="e">
        <v>#N/A</v>
      </c>
      <c r="D64" t="e">
        <v>#N/A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s="2">
        <v>11.82841</v>
      </c>
      <c r="X64" s="2">
        <v>8.4702214999999992</v>
      </c>
      <c r="Y64" s="2">
        <v>13.169453000000001</v>
      </c>
      <c r="Z64" s="2">
        <v>5.5798826000000004</v>
      </c>
      <c r="AA64" s="2">
        <v>7.9959946000000004</v>
      </c>
      <c r="AB64" s="2">
        <v>2.2077277</v>
      </c>
      <c r="AC64" s="2">
        <v>6.9972405000000002</v>
      </c>
      <c r="AD64" s="2">
        <v>2.0184099999999998</v>
      </c>
      <c r="AE64" s="2">
        <v>24.851607999999999</v>
      </c>
      <c r="AF64" s="2">
        <v>66.129499999999993</v>
      </c>
      <c r="AG64" s="2">
        <v>11.092750000000001</v>
      </c>
      <c r="AH64" s="4" t="e">
        <f t="shared" si="1"/>
        <v>#N/A</v>
      </c>
    </row>
    <row r="65" spans="1:34" x14ac:dyDescent="0.2">
      <c r="A65" s="3">
        <v>36191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  <c r="W65" s="2">
        <v>4.8249936</v>
      </c>
      <c r="X65" s="2">
        <v>9.4908850000000005</v>
      </c>
      <c r="Y65" s="2">
        <v>13.552949</v>
      </c>
      <c r="Z65" s="2">
        <v>4.0021462000000003</v>
      </c>
      <c r="AA65" s="2">
        <v>5.0719799999999999</v>
      </c>
      <c r="AB65" s="2">
        <v>1.8868008000000001</v>
      </c>
      <c r="AC65" s="2">
        <v>4.5401449999999999</v>
      </c>
      <c r="AD65" s="2">
        <v>2.4799484999999999</v>
      </c>
      <c r="AE65" s="2">
        <v>27.336359000000002</v>
      </c>
      <c r="AF65" s="2">
        <v>75.379760000000005</v>
      </c>
      <c r="AG65" s="2">
        <v>10.022779</v>
      </c>
      <c r="AH65" s="4" t="e">
        <f t="shared" si="1"/>
        <v>#N/A</v>
      </c>
    </row>
    <row r="66" spans="1:34" x14ac:dyDescent="0.2">
      <c r="A66" s="3">
        <v>36219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s="2">
        <v>0.48991240000000003</v>
      </c>
      <c r="X66" s="2">
        <v>10.562476</v>
      </c>
      <c r="Y66" s="2">
        <v>13.708271999999999</v>
      </c>
      <c r="Z66" s="2">
        <v>3.3974937999999999</v>
      </c>
      <c r="AA66" s="2">
        <v>3.9794654999999999</v>
      </c>
      <c r="AB66" s="2">
        <v>1.9963888000000001</v>
      </c>
      <c r="AC66" s="2">
        <v>4.6837286999999996</v>
      </c>
      <c r="AD66" s="2">
        <v>2.5993998</v>
      </c>
      <c r="AE66" s="2">
        <v>19.994672999999999</v>
      </c>
      <c r="AF66" s="2">
        <v>68.646680000000003</v>
      </c>
      <c r="AG66" s="2">
        <v>10.074571000000001</v>
      </c>
      <c r="AH66" s="4" t="e">
        <f t="shared" si="1"/>
        <v>#N/A</v>
      </c>
    </row>
    <row r="67" spans="1:34" x14ac:dyDescent="0.2">
      <c r="A67" s="3">
        <v>36250</v>
      </c>
      <c r="B67" t="e">
        <v>#N/A</v>
      </c>
      <c r="C67" t="e">
        <v>#N/A</v>
      </c>
      <c r="D67" t="e">
        <v>#N/A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s="2">
        <v>1.22543285E-2</v>
      </c>
      <c r="X67" s="2">
        <v>10.044262</v>
      </c>
      <c r="Y67" s="2">
        <v>10.380474</v>
      </c>
      <c r="Z67" s="2">
        <v>2.7632759</v>
      </c>
      <c r="AA67" s="2">
        <v>4.1671139999999998</v>
      </c>
      <c r="AB67" s="2">
        <v>2.7079775000000001</v>
      </c>
      <c r="AC67" s="2">
        <v>4.6016729999999999</v>
      </c>
      <c r="AD67" s="2">
        <v>3.3717245999999998</v>
      </c>
      <c r="AE67" s="2">
        <v>14.001264000000001</v>
      </c>
      <c r="AF67" s="2">
        <v>74.826583999999997</v>
      </c>
      <c r="AG67" s="2">
        <v>10.637453000000001</v>
      </c>
      <c r="AH67" s="4" t="e">
        <f t="shared" si="1"/>
        <v>#N/A</v>
      </c>
    </row>
    <row r="68" spans="1:34" x14ac:dyDescent="0.2">
      <c r="A68" s="3">
        <v>36280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  <c r="W68" s="2">
        <v>0.21119818000000001</v>
      </c>
      <c r="X68" s="2">
        <v>10.016667999999999</v>
      </c>
      <c r="Y68" s="2">
        <v>11.961518</v>
      </c>
      <c r="Z68" s="2">
        <v>1.5383367999999999</v>
      </c>
      <c r="AA68" s="2">
        <v>3.4664478000000001</v>
      </c>
      <c r="AB68" s="2">
        <v>1.923465</v>
      </c>
      <c r="AC68" s="2">
        <v>1.9779472</v>
      </c>
      <c r="AD68" s="2">
        <v>5.4350389999999997</v>
      </c>
      <c r="AE68" s="2">
        <v>5.5174265</v>
      </c>
      <c r="AF68" s="2">
        <v>92.47063</v>
      </c>
      <c r="AG68" s="2">
        <v>14.313955999999999</v>
      </c>
      <c r="AH68" s="4" t="e">
        <f t="shared" si="1"/>
        <v>#N/A</v>
      </c>
    </row>
    <row r="69" spans="1:34" x14ac:dyDescent="0.2">
      <c r="A69" s="3">
        <v>36311</v>
      </c>
      <c r="B69" t="e">
        <v>#N/A</v>
      </c>
      <c r="C69" t="e">
        <v>#N/A</v>
      </c>
      <c r="D69" t="e">
        <v>#N/A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  <c r="W69" s="2">
        <v>5.4967885000000001</v>
      </c>
      <c r="X69" s="2">
        <v>12.054316999999999</v>
      </c>
      <c r="Y69" s="2">
        <v>14.869854</v>
      </c>
      <c r="Z69" s="2">
        <v>1.471376</v>
      </c>
      <c r="AA69" s="2">
        <v>4.1676080000000004</v>
      </c>
      <c r="AB69" s="2">
        <v>1.2776282999999999</v>
      </c>
      <c r="AC69" s="2">
        <v>0.42309343999999999</v>
      </c>
      <c r="AD69" s="2">
        <v>8.4387790000000003</v>
      </c>
      <c r="AE69" s="2">
        <v>0.93180423999999995</v>
      </c>
      <c r="AF69" s="2">
        <v>95.946539999999999</v>
      </c>
      <c r="AG69" s="2">
        <v>17.72214</v>
      </c>
      <c r="AH69" s="4" t="e">
        <f t="shared" si="1"/>
        <v>#N/A</v>
      </c>
    </row>
    <row r="70" spans="1:34" x14ac:dyDescent="0.2">
      <c r="A70" s="3">
        <v>36341</v>
      </c>
      <c r="B70" t="e">
        <v>#N/A</v>
      </c>
      <c r="C70" t="e">
        <v>#N/A</v>
      </c>
      <c r="D70" t="e">
        <v>#N/A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s="2">
        <v>19.460909000000001</v>
      </c>
      <c r="X70" s="2">
        <v>11.31955</v>
      </c>
      <c r="Y70" s="2">
        <v>15.924982999999999</v>
      </c>
      <c r="Z70" s="2">
        <v>0.68399732999999996</v>
      </c>
      <c r="AA70" s="2">
        <v>2.8491464</v>
      </c>
      <c r="AB70" s="2">
        <v>0.74449295000000004</v>
      </c>
      <c r="AC70" s="2">
        <v>0.89329829999999999</v>
      </c>
      <c r="AD70" s="2">
        <v>9.8268599999999999</v>
      </c>
      <c r="AE70" s="2">
        <v>0.22994423999999999</v>
      </c>
      <c r="AF70" s="2">
        <v>102.80459999999999</v>
      </c>
      <c r="AG70" s="2">
        <v>22.371725000000001</v>
      </c>
      <c r="AH70" s="4" t="e">
        <f t="shared" si="1"/>
        <v>#N/A</v>
      </c>
    </row>
    <row r="71" spans="1:34" x14ac:dyDescent="0.2">
      <c r="A71" s="3">
        <v>36372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s="2">
        <v>28.779033999999999</v>
      </c>
      <c r="X71" s="2">
        <v>11.983677999999999</v>
      </c>
      <c r="Y71" s="2">
        <v>19.777056000000002</v>
      </c>
      <c r="Z71" s="2">
        <v>1.5260990000000001</v>
      </c>
      <c r="AA71" s="2">
        <v>2.7792431999999998</v>
      </c>
      <c r="AB71" s="2">
        <v>0.29781750000000001</v>
      </c>
      <c r="AC71" s="2">
        <v>0.60849629999999999</v>
      </c>
      <c r="AD71" s="2">
        <v>8.3655889999999999</v>
      </c>
      <c r="AE71" s="2">
        <v>-1.6920626999999999</v>
      </c>
      <c r="AF71" s="2">
        <v>111.38875</v>
      </c>
      <c r="AG71" s="2">
        <v>25.066452000000002</v>
      </c>
      <c r="AH71" s="4" t="e">
        <f t="shared" si="1"/>
        <v>#N/A</v>
      </c>
    </row>
    <row r="72" spans="1:34" x14ac:dyDescent="0.2">
      <c r="A72" s="3">
        <v>36403</v>
      </c>
      <c r="B72" t="e">
        <v>#N/A</v>
      </c>
      <c r="C72" t="e">
        <v>#N/A</v>
      </c>
      <c r="D72" t="e">
        <v>#N/A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  <c r="W72" s="2">
        <v>31.205438999999998</v>
      </c>
      <c r="X72" s="2">
        <v>12.247674</v>
      </c>
      <c r="Y72" s="2">
        <v>21.91581</v>
      </c>
      <c r="Z72" s="2">
        <v>2.2599623000000002</v>
      </c>
      <c r="AA72" s="2">
        <v>3.4522363999999999</v>
      </c>
      <c r="AB72" s="2">
        <v>0.58313550000000003</v>
      </c>
      <c r="AC72" s="2">
        <v>3.2336586</v>
      </c>
      <c r="AD72" s="2">
        <v>5.3316039999999996</v>
      </c>
      <c r="AE72" s="2">
        <v>5.0639093000000003E-2</v>
      </c>
      <c r="AF72" s="2">
        <v>108.328835</v>
      </c>
      <c r="AG72" s="2">
        <v>24.572787999999999</v>
      </c>
      <c r="AH72" s="4" t="e">
        <f t="shared" si="1"/>
        <v>#N/A</v>
      </c>
    </row>
    <row r="73" spans="1:34" x14ac:dyDescent="0.2">
      <c r="A73" s="3">
        <v>36433</v>
      </c>
      <c r="B73" t="e">
        <v>#N/A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  <c r="W73" s="2">
        <v>25.531488</v>
      </c>
      <c r="X73" s="2">
        <v>7.7122440000000001</v>
      </c>
      <c r="Y73" s="2">
        <v>15.539502000000001</v>
      </c>
      <c r="Z73" s="2">
        <v>2.9673280000000002</v>
      </c>
      <c r="AA73" s="2">
        <v>3.3311532000000001</v>
      </c>
      <c r="AB73" s="2">
        <v>1.6524540999999999</v>
      </c>
      <c r="AC73" s="2">
        <v>4.3105599999999997</v>
      </c>
      <c r="AD73" s="2">
        <v>4.1970530000000004</v>
      </c>
      <c r="AE73" s="2">
        <v>2.9336788999999999</v>
      </c>
      <c r="AF73" s="2">
        <v>100.98421500000001</v>
      </c>
      <c r="AG73" s="2">
        <v>20.510033</v>
      </c>
      <c r="AH73" s="4" t="e">
        <f t="shared" si="1"/>
        <v>#N/A</v>
      </c>
    </row>
    <row r="74" spans="1:34" x14ac:dyDescent="0.2">
      <c r="A74" s="3">
        <v>36464</v>
      </c>
      <c r="B74" t="e">
        <v>#N/A</v>
      </c>
      <c r="C74" t="e">
        <v>#N/A</v>
      </c>
      <c r="D74" t="e">
        <v>#N/A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  <c r="W74" s="2">
        <v>21.810805999999999</v>
      </c>
      <c r="X74" s="2">
        <v>8.3611020000000007</v>
      </c>
      <c r="Y74" s="2">
        <v>16.160429000000001</v>
      </c>
      <c r="Z74" s="2">
        <v>4.7386670000000004</v>
      </c>
      <c r="AA74" s="2">
        <v>3.5867045000000002</v>
      </c>
      <c r="AB74" s="2">
        <v>1.2770773</v>
      </c>
      <c r="AC74" s="2">
        <v>4.8562975000000002</v>
      </c>
      <c r="AD74" s="2">
        <v>3.2676457999999999</v>
      </c>
      <c r="AE74" s="2">
        <v>8.3130210000000009</v>
      </c>
      <c r="AF74" s="2">
        <v>93.020256000000003</v>
      </c>
      <c r="AG74" s="2">
        <v>16.565570000000001</v>
      </c>
      <c r="AH74" s="4" t="e">
        <f t="shared" si="1"/>
        <v>#N/A</v>
      </c>
    </row>
    <row r="75" spans="1:34" x14ac:dyDescent="0.2">
      <c r="A75" s="3">
        <v>36494</v>
      </c>
      <c r="B75" t="e">
        <v>#N/A</v>
      </c>
      <c r="C75" t="e">
        <v>#N/A</v>
      </c>
      <c r="D75" t="e">
        <v>#N/A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  <c r="W75" s="2">
        <v>14.973948500000001</v>
      </c>
      <c r="X75" s="2">
        <v>6.3750415</v>
      </c>
      <c r="Y75" s="2">
        <v>13.248623</v>
      </c>
      <c r="Z75" s="2">
        <v>5.6744304000000003</v>
      </c>
      <c r="AA75" s="2">
        <v>4.54406</v>
      </c>
      <c r="AB75" s="2">
        <v>1.5283366</v>
      </c>
      <c r="AC75" s="2">
        <v>4.5155479999999999</v>
      </c>
      <c r="AD75" s="2">
        <v>2.2550485</v>
      </c>
      <c r="AE75" s="2">
        <v>17.291159</v>
      </c>
      <c r="AF75" s="2">
        <v>68.487174999999993</v>
      </c>
      <c r="AG75" s="2">
        <v>13.023016999999999</v>
      </c>
      <c r="AH75" s="4" t="e">
        <f t="shared" si="1"/>
        <v>#N/A</v>
      </c>
    </row>
    <row r="76" spans="1:34" x14ac:dyDescent="0.2">
      <c r="A76" s="3">
        <v>36525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  <c r="W76" s="2">
        <v>11.374566</v>
      </c>
      <c r="X76" s="2">
        <v>6.2990250000000003</v>
      </c>
      <c r="Y76" s="2">
        <v>11.724733000000001</v>
      </c>
      <c r="Z76" s="2">
        <v>4.1752719999999997</v>
      </c>
      <c r="AA76" s="2">
        <v>2.7800180000000001</v>
      </c>
      <c r="AB76" s="2">
        <v>1.9996805</v>
      </c>
      <c r="AC76" s="2">
        <v>5.7739630000000002</v>
      </c>
      <c r="AD76" s="2">
        <v>1.9693954</v>
      </c>
      <c r="AE76" s="2">
        <v>29.827262999999999</v>
      </c>
      <c r="AF76" s="2">
        <v>63.246139999999997</v>
      </c>
      <c r="AG76" s="2">
        <v>11.331403999999999</v>
      </c>
      <c r="AH76" s="4" t="e">
        <f t="shared" si="1"/>
        <v>#N/A</v>
      </c>
    </row>
    <row r="77" spans="1:34" x14ac:dyDescent="0.2">
      <c r="A77" s="3">
        <v>36556</v>
      </c>
      <c r="B77" t="e">
        <v>#N/A</v>
      </c>
      <c r="C77" t="e">
        <v>#N/A</v>
      </c>
      <c r="D77" t="e">
        <v>#N/A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s="2">
        <v>4.2508809999999997</v>
      </c>
      <c r="X77" s="2">
        <v>7.4435700000000002</v>
      </c>
      <c r="Y77" s="2">
        <v>12.6722</v>
      </c>
      <c r="Z77" s="2">
        <v>2.8138052999999998</v>
      </c>
      <c r="AA77" s="2">
        <v>4.5572065999999998</v>
      </c>
      <c r="AB77" s="2">
        <v>1.8836299999999999</v>
      </c>
      <c r="AC77" s="2">
        <v>6.0640162999999996</v>
      </c>
      <c r="AD77" s="2">
        <v>2.039901</v>
      </c>
      <c r="AE77" s="2">
        <v>27.123407</v>
      </c>
      <c r="AF77" s="2">
        <v>71.466480000000004</v>
      </c>
      <c r="AG77" s="2">
        <v>9.7649790000000003</v>
      </c>
      <c r="AH77" s="4" t="e">
        <f t="shared" si="1"/>
        <v>#N/A</v>
      </c>
    </row>
    <row r="78" spans="1:34" x14ac:dyDescent="0.2">
      <c r="A78" s="3">
        <v>36585</v>
      </c>
      <c r="B78" t="e">
        <v>#N/A</v>
      </c>
      <c r="C78" t="e">
        <v>#N/A</v>
      </c>
      <c r="D78" t="e">
        <v>#N/A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s="2">
        <v>0.59629600000000005</v>
      </c>
      <c r="X78" s="2">
        <v>8.6364470000000004</v>
      </c>
      <c r="Y78" s="2">
        <v>13.143955999999999</v>
      </c>
      <c r="Z78" s="2">
        <v>1.7748170000000001</v>
      </c>
      <c r="AA78" s="2">
        <v>1.8905696999999999</v>
      </c>
      <c r="AB78" s="2">
        <v>1.6942162999999999</v>
      </c>
      <c r="AC78" s="2">
        <v>5.0190979999999996</v>
      </c>
      <c r="AD78" s="2">
        <v>3.0561235</v>
      </c>
      <c r="AE78" s="2">
        <v>21.707204999999998</v>
      </c>
      <c r="AF78" s="2">
        <v>66.451369999999997</v>
      </c>
      <c r="AG78" s="2">
        <v>10.109505</v>
      </c>
      <c r="AH78" s="4" t="e">
        <f t="shared" si="1"/>
        <v>#N/A</v>
      </c>
    </row>
    <row r="79" spans="1:34" x14ac:dyDescent="0.2">
      <c r="A79" s="3">
        <v>36616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  <c r="W79" s="2">
        <v>8.473456E-2</v>
      </c>
      <c r="X79" s="2">
        <v>8.6382820000000002</v>
      </c>
      <c r="Y79" s="2">
        <v>11.111875</v>
      </c>
      <c r="Z79" s="2">
        <v>1.6473769</v>
      </c>
      <c r="AA79" s="2">
        <v>3.3202379</v>
      </c>
      <c r="AB79" s="2">
        <v>1.9138771999999999</v>
      </c>
      <c r="AC79" s="2">
        <v>3.4617909999999998</v>
      </c>
      <c r="AD79" s="2">
        <v>4.0569972999999999</v>
      </c>
      <c r="AE79" s="2">
        <v>14.093057</v>
      </c>
      <c r="AF79" s="2">
        <v>70.931880000000007</v>
      </c>
      <c r="AG79" s="2">
        <v>10.806661</v>
      </c>
      <c r="AH79" s="4" t="e">
        <f t="shared" si="1"/>
        <v>#N/A</v>
      </c>
    </row>
    <row r="80" spans="1:34" x14ac:dyDescent="0.2">
      <c r="A80" s="3">
        <v>36646</v>
      </c>
      <c r="B80" t="e">
        <v>#N/A</v>
      </c>
      <c r="C80" t="e">
        <v>#N/A</v>
      </c>
      <c r="D80" t="e">
        <v>#N/A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  <c r="W80" s="2">
        <v>0.19799003000000001</v>
      </c>
      <c r="X80" s="2">
        <v>9.8542419999999993</v>
      </c>
      <c r="Y80" s="2">
        <v>16.276634000000001</v>
      </c>
      <c r="Z80" s="2">
        <v>0.81196950000000001</v>
      </c>
      <c r="AA80" s="2">
        <v>5.4152969999999998</v>
      </c>
      <c r="AB80" s="2">
        <v>1.6301607</v>
      </c>
      <c r="AC80" s="2">
        <v>1.6643589000000001</v>
      </c>
      <c r="AD80" s="2">
        <v>5.7479987000000001</v>
      </c>
      <c r="AE80" s="2">
        <v>6.4734860000000003</v>
      </c>
      <c r="AF80" s="2">
        <v>90.721540000000005</v>
      </c>
      <c r="AG80" s="2">
        <v>14.243857999999999</v>
      </c>
      <c r="AH80" s="4" t="e">
        <f t="shared" si="1"/>
        <v>#N/A</v>
      </c>
    </row>
    <row r="81" spans="1:34" x14ac:dyDescent="0.2">
      <c r="A81" s="3">
        <v>36677</v>
      </c>
      <c r="B81" t="e">
        <v>#N/A</v>
      </c>
      <c r="C81" t="e">
        <v>#N/A</v>
      </c>
      <c r="D81" t="e">
        <v>#N/A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  <c r="W81" s="2">
        <v>6.0520896999999998</v>
      </c>
      <c r="X81" s="2">
        <v>12.380053</v>
      </c>
      <c r="Y81" s="2">
        <v>20.410119999999999</v>
      </c>
      <c r="Z81" s="2">
        <v>1.8977326999999999</v>
      </c>
      <c r="AA81" s="2">
        <v>6.3636939999999997</v>
      </c>
      <c r="AB81" s="2">
        <v>2.2574049999999999</v>
      </c>
      <c r="AC81" s="2">
        <v>1.9369981000000001</v>
      </c>
      <c r="AD81" s="2">
        <v>7.9773990000000001</v>
      </c>
      <c r="AE81" s="2">
        <v>0.81696360000000001</v>
      </c>
      <c r="AF81" s="2">
        <v>96.845749999999995</v>
      </c>
      <c r="AG81" s="2">
        <v>17.423338000000001</v>
      </c>
      <c r="AH81" s="4" t="e">
        <f t="shared" si="1"/>
        <v>#N/A</v>
      </c>
    </row>
    <row r="82" spans="1:34" x14ac:dyDescent="0.2">
      <c r="A82" s="3">
        <v>36707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  <c r="W82" s="2">
        <v>18.033881999999998</v>
      </c>
      <c r="X82" s="2">
        <v>10.257804</v>
      </c>
      <c r="Y82" s="2">
        <v>19.733044</v>
      </c>
      <c r="Z82" s="2">
        <v>0.95210799999999995</v>
      </c>
      <c r="AA82" s="2">
        <v>6.2413980000000002</v>
      </c>
      <c r="AB82" s="2">
        <v>1.6534051999999999</v>
      </c>
      <c r="AC82" s="2">
        <v>1.6812658</v>
      </c>
      <c r="AD82" s="2">
        <v>9.7483939999999993</v>
      </c>
      <c r="AE82" s="2">
        <v>-1.7469207</v>
      </c>
      <c r="AF82" s="2">
        <v>103.23549</v>
      </c>
      <c r="AG82" s="2">
        <v>22.39021</v>
      </c>
      <c r="AH82" s="4" t="e">
        <f t="shared" si="1"/>
        <v>#N/A</v>
      </c>
    </row>
    <row r="83" spans="1:34" x14ac:dyDescent="0.2">
      <c r="A83" s="3">
        <v>36738</v>
      </c>
      <c r="B83" t="e">
        <v>#N/A</v>
      </c>
      <c r="C83" t="e">
        <v>#N/A</v>
      </c>
      <c r="D83" t="e">
        <v>#N/A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  <c r="W83" s="2">
        <v>29.056795000000001</v>
      </c>
      <c r="X83" s="2">
        <v>10.7952175</v>
      </c>
      <c r="Y83" s="2">
        <v>23.747516999999998</v>
      </c>
      <c r="Z83" s="2">
        <v>1.6697348000000001</v>
      </c>
      <c r="AA83" s="2">
        <v>3.6098970000000001</v>
      </c>
      <c r="AB83" s="2">
        <v>1.1373991000000001</v>
      </c>
      <c r="AC83" s="2">
        <v>2.8742801999999998</v>
      </c>
      <c r="AD83" s="2">
        <v>8.2050660000000004</v>
      </c>
      <c r="AE83" s="2">
        <v>-1.7359688</v>
      </c>
      <c r="AF83" s="2">
        <v>115.16956</v>
      </c>
      <c r="AG83" s="2">
        <v>24.610109999999999</v>
      </c>
      <c r="AH83" s="4" t="e">
        <f t="shared" si="1"/>
        <v>#N/A</v>
      </c>
    </row>
    <row r="84" spans="1:34" x14ac:dyDescent="0.2">
      <c r="A84" s="3">
        <v>36769</v>
      </c>
      <c r="B84" t="e">
        <v>#N/A</v>
      </c>
      <c r="C84" t="e">
        <v>#N/A</v>
      </c>
      <c r="D84" t="e">
        <v>#N/A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s="2">
        <v>30.838352</v>
      </c>
      <c r="X84" s="2">
        <v>10.476872</v>
      </c>
      <c r="Y84" s="2">
        <v>24.688482</v>
      </c>
      <c r="Z84" s="2">
        <v>2.1289280000000002</v>
      </c>
      <c r="AA84" s="2">
        <v>4.0079985000000002</v>
      </c>
      <c r="AB84" s="2">
        <v>2.0254582999999999</v>
      </c>
      <c r="AC84" s="2">
        <v>3.6286763999999998</v>
      </c>
      <c r="AD84" s="2">
        <v>6.5776614999999996</v>
      </c>
      <c r="AE84" s="2">
        <v>-1.9856123E-2</v>
      </c>
      <c r="AF84" s="2">
        <v>102.754166</v>
      </c>
      <c r="AG84" s="2">
        <v>24.307196000000001</v>
      </c>
      <c r="AH84" s="4" t="e">
        <f t="shared" si="1"/>
        <v>#N/A</v>
      </c>
    </row>
    <row r="85" spans="1:34" x14ac:dyDescent="0.2">
      <c r="A85" s="3">
        <v>36799</v>
      </c>
      <c r="B85" t="e">
        <v>#N/A</v>
      </c>
      <c r="C85" t="e">
        <v>#N/A</v>
      </c>
      <c r="D85" t="e">
        <v>#N/A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s="2">
        <v>26.217227999999999</v>
      </c>
      <c r="X85" s="2">
        <v>7.3715706000000001</v>
      </c>
      <c r="Y85" s="2">
        <v>19.501004999999999</v>
      </c>
      <c r="Z85" s="2">
        <v>2.3378033999999999</v>
      </c>
      <c r="AA85" s="2">
        <v>3.0358596000000002</v>
      </c>
      <c r="AB85" s="2">
        <v>1.0250725999999999</v>
      </c>
      <c r="AC85" s="2">
        <v>3.7856133000000001</v>
      </c>
      <c r="AD85" s="2">
        <v>4.5489740000000003</v>
      </c>
      <c r="AE85" s="2">
        <v>2.5664144000000002</v>
      </c>
      <c r="AF85" s="2">
        <v>98.356575000000007</v>
      </c>
      <c r="AG85" s="2">
        <v>20.427488</v>
      </c>
      <c r="AH85" s="4" t="e">
        <f t="shared" si="1"/>
        <v>#N/A</v>
      </c>
    </row>
    <row r="86" spans="1:34" x14ac:dyDescent="0.2">
      <c r="A86" s="3">
        <v>36830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s="2">
        <v>21.28134</v>
      </c>
      <c r="X86" s="2">
        <v>8.1262740000000004</v>
      </c>
      <c r="Y86" s="2">
        <v>19.513641</v>
      </c>
      <c r="Z86" s="2">
        <v>2.7095389999999999</v>
      </c>
      <c r="AA86" s="2">
        <v>2.0224285000000002</v>
      </c>
      <c r="AB86" s="2">
        <v>1.0971</v>
      </c>
      <c r="AC86" s="2">
        <v>3.6448144999999998</v>
      </c>
      <c r="AD86" s="2">
        <v>3.3621265999999999</v>
      </c>
      <c r="AE86" s="2">
        <v>9.3643874999999994</v>
      </c>
      <c r="AF86" s="2">
        <v>85.971149999999994</v>
      </c>
      <c r="AG86" s="2">
        <v>16.689133000000002</v>
      </c>
      <c r="AH86" s="4" t="e">
        <f t="shared" si="1"/>
        <v>#N/A</v>
      </c>
    </row>
    <row r="87" spans="1:34" x14ac:dyDescent="0.2">
      <c r="A87" s="3">
        <v>36860</v>
      </c>
      <c r="B87" t="e">
        <v>#N/A</v>
      </c>
      <c r="C87" t="e">
        <v>#N/A</v>
      </c>
      <c r="D87" t="e">
        <v>#N/A</v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  <c r="W87" s="2">
        <v>15.440258999999999</v>
      </c>
      <c r="X87" s="2">
        <v>7.5923265999999998</v>
      </c>
      <c r="Y87" s="2">
        <v>16.720585</v>
      </c>
      <c r="Z87" s="2">
        <v>4.6405114999999997</v>
      </c>
      <c r="AA87" s="2">
        <v>3.6100051</v>
      </c>
      <c r="AB87" s="2">
        <v>1.4520974</v>
      </c>
      <c r="AC87" s="2">
        <v>4.7898430000000003</v>
      </c>
      <c r="AD87" s="2">
        <v>2.3621208999999999</v>
      </c>
      <c r="AE87" s="2">
        <v>19.926828</v>
      </c>
      <c r="AF87" s="2">
        <v>65.761030000000005</v>
      </c>
      <c r="AG87" s="2">
        <v>13.101976000000001</v>
      </c>
      <c r="AH87" s="4" t="e">
        <f t="shared" si="1"/>
        <v>#N/A</v>
      </c>
    </row>
    <row r="88" spans="1:34" x14ac:dyDescent="0.2">
      <c r="A88" s="3">
        <v>36891</v>
      </c>
      <c r="B88" t="e">
        <v>#N/A</v>
      </c>
      <c r="C88" t="e">
        <v>#N/A</v>
      </c>
      <c r="D88" t="e">
        <v>#N/A</v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  <c r="W88" s="2">
        <v>11.060191</v>
      </c>
      <c r="X88" s="2">
        <v>6.8783364000000002</v>
      </c>
      <c r="Y88" s="2">
        <v>14.230653999999999</v>
      </c>
      <c r="Z88" s="2">
        <v>4.0819729999999996</v>
      </c>
      <c r="AA88" s="2">
        <v>2.3097048</v>
      </c>
      <c r="AB88" s="2">
        <v>1.3791343</v>
      </c>
      <c r="AC88" s="2">
        <v>5.0901079999999999</v>
      </c>
      <c r="AD88" s="2">
        <v>1.7399804999999999</v>
      </c>
      <c r="AE88" s="2">
        <v>25.123868999999999</v>
      </c>
      <c r="AF88" s="2">
        <v>62.323869999999999</v>
      </c>
      <c r="AG88" s="2">
        <v>11.295356</v>
      </c>
      <c r="AH88" s="4" t="e">
        <f t="shared" si="1"/>
        <v>#N/A</v>
      </c>
    </row>
    <row r="89" spans="1:34" x14ac:dyDescent="0.2">
      <c r="A89" s="3">
        <v>36922</v>
      </c>
      <c r="B89" t="e">
        <v>#N/A</v>
      </c>
      <c r="C89" t="e">
        <v>#N/A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s="2">
        <v>4.9037848000000004</v>
      </c>
      <c r="X89" s="2">
        <v>7.9619527000000003</v>
      </c>
      <c r="Y89" s="2">
        <v>14.157916</v>
      </c>
      <c r="Z89" s="2">
        <v>3.6375644</v>
      </c>
      <c r="AA89" s="2">
        <v>2.8751907000000001</v>
      </c>
      <c r="AB89" s="2">
        <v>2.1268973</v>
      </c>
      <c r="AC89" s="2">
        <v>3.9097550000000001</v>
      </c>
      <c r="AD89" s="2">
        <v>1.6963634000000001</v>
      </c>
      <c r="AE89" s="2">
        <v>29.269316</v>
      </c>
      <c r="AF89" s="2">
        <v>72.639600000000002</v>
      </c>
      <c r="AG89" s="2">
        <v>9.6969159999999999</v>
      </c>
      <c r="AH89" s="4" t="e">
        <f t="shared" si="1"/>
        <v>#N/A</v>
      </c>
    </row>
    <row r="90" spans="1:34" x14ac:dyDescent="0.2">
      <c r="A90" s="3">
        <v>36950</v>
      </c>
      <c r="B90" t="e">
        <v>#N/A</v>
      </c>
      <c r="C90" t="e">
        <v>#N/A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  <c r="W90" s="2">
        <v>0.96311086000000001</v>
      </c>
      <c r="X90" s="2">
        <v>9.4346099999999993</v>
      </c>
      <c r="Y90" s="2">
        <v>13.537091</v>
      </c>
      <c r="Z90" s="2">
        <v>2.1714951999999998</v>
      </c>
      <c r="AA90" s="2">
        <v>3.5053331999999999</v>
      </c>
      <c r="AB90" s="2">
        <v>2.7673466000000002</v>
      </c>
      <c r="AC90" s="2">
        <v>2.9750649999999998</v>
      </c>
      <c r="AD90" s="2">
        <v>2.3199529999999999</v>
      </c>
      <c r="AE90" s="2">
        <v>23.048846999999999</v>
      </c>
      <c r="AF90" s="2">
        <v>67.538160000000005</v>
      </c>
      <c r="AG90" s="2">
        <v>9.8971710000000002</v>
      </c>
      <c r="AH90" s="4" t="e">
        <f t="shared" si="1"/>
        <v>#N/A</v>
      </c>
    </row>
    <row r="91" spans="1:34" x14ac:dyDescent="0.2">
      <c r="A91" s="3">
        <v>36981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s="2">
        <v>-0.40271214</v>
      </c>
      <c r="X91" s="2">
        <v>9.3969989999999992</v>
      </c>
      <c r="Y91" s="2">
        <v>13.312201999999999</v>
      </c>
      <c r="Z91" s="2">
        <v>2.1928800000000002</v>
      </c>
      <c r="AA91" s="2">
        <v>5.6769857000000004</v>
      </c>
      <c r="AB91" s="2">
        <v>3.4966504999999999</v>
      </c>
      <c r="AC91" s="2">
        <v>3.5662908999999998</v>
      </c>
      <c r="AD91" s="2">
        <v>3.5126947999999998</v>
      </c>
      <c r="AE91" s="2">
        <v>13.997673000000001</v>
      </c>
      <c r="AF91" s="2">
        <v>72.043809999999993</v>
      </c>
      <c r="AG91" s="2">
        <v>10.644479</v>
      </c>
      <c r="AH91" s="4" t="e">
        <f t="shared" si="1"/>
        <v>#N/A</v>
      </c>
    </row>
    <row r="92" spans="1:34" x14ac:dyDescent="0.2">
      <c r="A92" s="3">
        <v>37011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s="2">
        <v>0.21161553</v>
      </c>
      <c r="X92" s="2">
        <v>11.864599999999999</v>
      </c>
      <c r="Y92" s="2">
        <v>16.675364999999999</v>
      </c>
      <c r="Z92" s="2">
        <v>1.1515099</v>
      </c>
      <c r="AA92" s="2">
        <v>4.4505986999999996</v>
      </c>
      <c r="AB92" s="2">
        <v>1.7756289999999999</v>
      </c>
      <c r="AC92" s="2">
        <v>2.2579760000000002</v>
      </c>
      <c r="AD92" s="2">
        <v>5.0544539999999998</v>
      </c>
      <c r="AE92" s="2">
        <v>7.1493726000000004</v>
      </c>
      <c r="AF92" s="2">
        <v>90.980680000000007</v>
      </c>
      <c r="AG92" s="2">
        <v>14.171409000000001</v>
      </c>
      <c r="AH92" s="4" t="e">
        <f t="shared" si="1"/>
        <v>#N/A</v>
      </c>
    </row>
    <row r="93" spans="1:34" x14ac:dyDescent="0.2">
      <c r="A93" s="3">
        <v>37042</v>
      </c>
      <c r="B93" t="e">
        <v>#N/A</v>
      </c>
      <c r="C93" t="e">
        <v>#N/A</v>
      </c>
      <c r="D93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s="2">
        <v>5.6550750000000001</v>
      </c>
      <c r="X93" s="2">
        <v>13.15217</v>
      </c>
      <c r="Y93" s="2">
        <v>21.798690000000001</v>
      </c>
      <c r="Z93" s="2">
        <v>0.60502610000000001</v>
      </c>
      <c r="AA93" s="2">
        <v>3.8954735</v>
      </c>
      <c r="AB93" s="2">
        <v>1.2485888000000001</v>
      </c>
      <c r="AC93" s="2">
        <v>2.1934903000000001</v>
      </c>
      <c r="AD93" s="2">
        <v>7.3890666999999999</v>
      </c>
      <c r="AE93" s="2">
        <v>0.64056413999999995</v>
      </c>
      <c r="AF93" s="2">
        <v>96.706969999999998</v>
      </c>
      <c r="AG93" s="2">
        <v>17.726507000000002</v>
      </c>
      <c r="AH93" s="4" t="e">
        <f t="shared" si="1"/>
        <v>#N/A</v>
      </c>
    </row>
    <row r="94" spans="1:34" x14ac:dyDescent="0.2">
      <c r="A94" s="3">
        <v>37072</v>
      </c>
      <c r="B94" t="e">
        <v>#N/A</v>
      </c>
      <c r="C94" t="e">
        <v>#N/A</v>
      </c>
      <c r="D94" t="e">
        <v>#N/A</v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s="2">
        <v>17.587475000000001</v>
      </c>
      <c r="X94" s="2">
        <v>11.421253</v>
      </c>
      <c r="Y94" s="2">
        <v>22.072141999999999</v>
      </c>
      <c r="Z94" s="2">
        <v>0.96258867000000004</v>
      </c>
      <c r="AA94" s="2">
        <v>4.6337669999999997</v>
      </c>
      <c r="AB94" s="2">
        <v>2.0379722</v>
      </c>
      <c r="AC94" s="2">
        <v>2.9037112999999999</v>
      </c>
      <c r="AD94" s="2">
        <v>9.2830259999999996</v>
      </c>
      <c r="AE94" s="2">
        <v>-0.17914179</v>
      </c>
      <c r="AF94" s="2">
        <v>103.44243</v>
      </c>
      <c r="AG94" s="2">
        <v>22.571178</v>
      </c>
      <c r="AH94" s="4" t="e">
        <f t="shared" si="1"/>
        <v>#N/A</v>
      </c>
    </row>
    <row r="95" spans="1:34" x14ac:dyDescent="0.2">
      <c r="A95" s="3">
        <v>37103</v>
      </c>
      <c r="B95" t="e">
        <v>#N/A</v>
      </c>
      <c r="C95" t="e">
        <v>#N/A</v>
      </c>
      <c r="D95" t="e">
        <v>#N/A</v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s="2">
        <v>29.076971</v>
      </c>
      <c r="X95" s="2">
        <v>12.001791000000001</v>
      </c>
      <c r="Y95" s="2">
        <v>24.834980000000002</v>
      </c>
      <c r="Z95" s="2">
        <v>2.0539855999999999</v>
      </c>
      <c r="AA95" s="2">
        <v>3.6879217999999998</v>
      </c>
      <c r="AB95" s="2">
        <v>1.7660294000000001</v>
      </c>
      <c r="AC95" s="2">
        <v>1.6900644</v>
      </c>
      <c r="AD95" s="2">
        <v>9.1210229999999992</v>
      </c>
      <c r="AE95" s="2">
        <v>-0.15324792000000001</v>
      </c>
      <c r="AF95" s="2">
        <v>113.366806</v>
      </c>
      <c r="AG95" s="2">
        <v>24.770672000000001</v>
      </c>
      <c r="AH95" s="4" t="e">
        <f t="shared" si="1"/>
        <v>#N/A</v>
      </c>
    </row>
    <row r="96" spans="1:34" x14ac:dyDescent="0.2">
      <c r="A96" s="3">
        <v>37134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  <c r="W96" s="2">
        <v>30.718527000000002</v>
      </c>
      <c r="X96" s="2">
        <v>10.821363</v>
      </c>
      <c r="Y96" s="2">
        <v>24.394821</v>
      </c>
      <c r="Z96" s="2">
        <v>2.5795292999999999</v>
      </c>
      <c r="AA96" s="2">
        <v>2.6028660000000001</v>
      </c>
      <c r="AB96" s="2">
        <v>1.1812984</v>
      </c>
      <c r="AC96" s="2">
        <v>2.6425014</v>
      </c>
      <c r="AD96" s="2">
        <v>7.2408675999999996</v>
      </c>
      <c r="AE96" s="2">
        <v>1.7886164</v>
      </c>
      <c r="AF96" s="2">
        <v>107.284615</v>
      </c>
      <c r="AG96" s="2">
        <v>24.476997000000001</v>
      </c>
      <c r="AH96" s="4" t="e">
        <f t="shared" si="1"/>
        <v>#N/A</v>
      </c>
    </row>
    <row r="97" spans="1:34" x14ac:dyDescent="0.2">
      <c r="A97" s="3">
        <v>37164</v>
      </c>
      <c r="B97" t="e">
        <v>#N/A</v>
      </c>
      <c r="C97" t="e">
        <v>#N/A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s="2">
        <v>26.560794999999999</v>
      </c>
      <c r="X97" s="2">
        <v>7.2990813000000001</v>
      </c>
      <c r="Y97" s="2">
        <v>19.240632999999999</v>
      </c>
      <c r="Z97" s="2">
        <v>2.520956</v>
      </c>
      <c r="AA97" s="2">
        <v>2.8153540000000001</v>
      </c>
      <c r="AB97" s="2">
        <v>1.0359613000000001</v>
      </c>
      <c r="AC97" s="2">
        <v>4.5474724999999996</v>
      </c>
      <c r="AD97" s="2">
        <v>4.9726129999999999</v>
      </c>
      <c r="AE97" s="2">
        <v>3.9801383000000001</v>
      </c>
      <c r="AF97" s="2">
        <v>98.133349999999993</v>
      </c>
      <c r="AG97" s="2">
        <v>20.995867000000001</v>
      </c>
      <c r="AH97" s="4" t="e">
        <f t="shared" si="1"/>
        <v>#N/A</v>
      </c>
    </row>
    <row r="98" spans="1:34" x14ac:dyDescent="0.2">
      <c r="A98" s="3">
        <v>37195</v>
      </c>
      <c r="B98" t="e">
        <v>#N/A</v>
      </c>
      <c r="C98" t="e">
        <v>#N/A</v>
      </c>
      <c r="D98" t="e">
        <v>#N/A</v>
      </c>
      <c r="E98" t="e">
        <v>#N/A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s="2">
        <v>21.389482000000001</v>
      </c>
      <c r="X98" s="2">
        <v>7.7144193999999997</v>
      </c>
      <c r="Y98" s="2">
        <v>17.098516</v>
      </c>
      <c r="Z98" s="2">
        <v>2.9646509000000001</v>
      </c>
      <c r="AA98" s="2">
        <v>3.2180102000000002</v>
      </c>
      <c r="AB98" s="2">
        <v>1.3309411</v>
      </c>
      <c r="AC98" s="2">
        <v>4.2339487</v>
      </c>
      <c r="AD98" s="2">
        <v>3.3247848000000002</v>
      </c>
      <c r="AE98" s="2">
        <v>9.5246420000000001</v>
      </c>
      <c r="AF98" s="2">
        <v>86.906220000000005</v>
      </c>
      <c r="AG98" s="2">
        <v>16.510157</v>
      </c>
      <c r="AH98" s="4" t="e">
        <f t="shared" si="1"/>
        <v>#N/A</v>
      </c>
    </row>
    <row r="99" spans="1:34" x14ac:dyDescent="0.2">
      <c r="A99" s="3">
        <v>37225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s="2">
        <v>16.388721</v>
      </c>
      <c r="X99" s="2">
        <v>6.160622</v>
      </c>
      <c r="Y99" s="2">
        <v>14.665445999999999</v>
      </c>
      <c r="Z99" s="2">
        <v>4.0241069999999999</v>
      </c>
      <c r="AA99" s="2">
        <v>3.3259118000000001</v>
      </c>
      <c r="AB99" s="2">
        <v>1.5057031000000001</v>
      </c>
      <c r="AC99" s="2">
        <v>4.2819649999999996</v>
      </c>
      <c r="AD99" s="2">
        <v>2.1728418</v>
      </c>
      <c r="AE99" s="2">
        <v>20.011178999999998</v>
      </c>
      <c r="AF99" s="2">
        <v>65.493449999999996</v>
      </c>
      <c r="AG99" s="2">
        <v>13.154899</v>
      </c>
      <c r="AH99" s="4" t="e">
        <f t="shared" ref="AH99:AH162" si="2">SUM(B99:V99)</f>
        <v>#N/A</v>
      </c>
    </row>
    <row r="100" spans="1:34" x14ac:dyDescent="0.2">
      <c r="A100" s="3">
        <v>37256</v>
      </c>
      <c r="B100" t="e">
        <v>#N/A</v>
      </c>
      <c r="C100" t="e">
        <v>#N/A</v>
      </c>
      <c r="D100" t="e">
        <v>#N/A</v>
      </c>
      <c r="E100" t="e">
        <v>#N/A</v>
      </c>
      <c r="F100" t="e">
        <v>#N/A</v>
      </c>
      <c r="G100" t="e">
        <v>#N/A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  <c r="W100" s="2">
        <v>10.987000999999999</v>
      </c>
      <c r="X100" s="2">
        <v>3.7748225</v>
      </c>
      <c r="Y100" s="2">
        <v>9.5401159999999994</v>
      </c>
      <c r="Z100" s="2">
        <v>4.4887670000000002</v>
      </c>
      <c r="AA100" s="2">
        <v>3.8504044999999998</v>
      </c>
      <c r="AB100" s="2">
        <v>1.7061442</v>
      </c>
      <c r="AC100" s="2">
        <v>4.1383257000000002</v>
      </c>
      <c r="AD100" s="2">
        <v>2.2154457999999999</v>
      </c>
      <c r="AE100" s="2">
        <v>28.627721999999999</v>
      </c>
      <c r="AF100" s="2">
        <v>66.345249999999993</v>
      </c>
      <c r="AG100" s="2">
        <v>11.567195</v>
      </c>
      <c r="AH100" s="4" t="e">
        <f t="shared" si="2"/>
        <v>#N/A</v>
      </c>
    </row>
    <row r="101" spans="1:34" x14ac:dyDescent="0.2">
      <c r="A101" s="3">
        <v>37287</v>
      </c>
      <c r="B101" t="e">
        <v>#N/A</v>
      </c>
      <c r="C101" t="e">
        <v>#N/A</v>
      </c>
      <c r="D101" t="e">
        <v>#N/A</v>
      </c>
      <c r="E101" t="e">
        <v>#N/A</v>
      </c>
      <c r="F101" t="e">
        <v>#N/A</v>
      </c>
      <c r="G101" t="e">
        <v>#N/A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  <c r="W101" s="2">
        <v>4.5458302000000002</v>
      </c>
      <c r="X101" s="2">
        <v>4.8228235000000002</v>
      </c>
      <c r="Y101" s="2">
        <v>10.122653</v>
      </c>
      <c r="Z101" s="2">
        <v>3.9298617999999998</v>
      </c>
      <c r="AA101" s="2">
        <v>5.6399220000000003</v>
      </c>
      <c r="AB101" s="2">
        <v>2.7756891000000001</v>
      </c>
      <c r="AC101" s="2">
        <v>3.9438890999999998</v>
      </c>
      <c r="AD101" s="2">
        <v>2.5321075999999998</v>
      </c>
      <c r="AE101" s="2">
        <v>31.644452999999999</v>
      </c>
      <c r="AF101" s="2">
        <v>73.630619999999993</v>
      </c>
      <c r="AG101" s="2">
        <v>9.9376010000000008</v>
      </c>
      <c r="AH101" s="4" t="e">
        <f t="shared" si="2"/>
        <v>#N/A</v>
      </c>
    </row>
    <row r="102" spans="1:34" x14ac:dyDescent="0.2">
      <c r="A102" s="3">
        <v>37315</v>
      </c>
      <c r="B102" t="e">
        <v>#N/A</v>
      </c>
      <c r="C102" t="e">
        <v>#N/A</v>
      </c>
      <c r="D102" t="e">
        <v>#N/A</v>
      </c>
      <c r="E102" t="e">
        <v>#N/A</v>
      </c>
      <c r="F102" t="e">
        <v>#N/A</v>
      </c>
      <c r="G102" t="e">
        <v>#N/A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  <c r="W102" s="2">
        <v>0.28020825999999999</v>
      </c>
      <c r="X102" s="2">
        <v>5.2992990000000004</v>
      </c>
      <c r="Y102" s="2">
        <v>8.7809209999999993</v>
      </c>
      <c r="Z102" s="2">
        <v>2.7949955000000002</v>
      </c>
      <c r="AA102" s="2">
        <v>5.8974104000000001</v>
      </c>
      <c r="AB102" s="2">
        <v>3.3517744999999999</v>
      </c>
      <c r="AC102" s="2">
        <v>3.3077953</v>
      </c>
      <c r="AD102" s="2">
        <v>3.3934785999999999</v>
      </c>
      <c r="AE102" s="2">
        <v>24.200925999999999</v>
      </c>
      <c r="AF102" s="2">
        <v>69.136600000000001</v>
      </c>
      <c r="AG102" s="2">
        <v>10.054398000000001</v>
      </c>
      <c r="AH102" s="4" t="e">
        <f t="shared" si="2"/>
        <v>#N/A</v>
      </c>
    </row>
    <row r="103" spans="1:34" x14ac:dyDescent="0.2">
      <c r="A103" s="3">
        <v>37346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  <c r="W103" s="2">
        <v>-0.71749437000000005</v>
      </c>
      <c r="X103" s="2">
        <v>4.2201256999999996</v>
      </c>
      <c r="Y103" s="2">
        <v>7.5092109999999996</v>
      </c>
      <c r="Z103" s="2">
        <v>2.8246066999999999</v>
      </c>
      <c r="AA103" s="2">
        <v>5.5308237</v>
      </c>
      <c r="AB103" s="2">
        <v>2.0130469999999998</v>
      </c>
      <c r="AC103" s="2">
        <v>3.7612456999999999</v>
      </c>
      <c r="AD103" s="2">
        <v>4.1422650000000001</v>
      </c>
      <c r="AE103" s="2">
        <v>12.740481000000001</v>
      </c>
      <c r="AF103" s="2">
        <v>73.808234999999996</v>
      </c>
      <c r="AG103" s="2">
        <v>10.935264</v>
      </c>
      <c r="AH103" s="4" t="e">
        <f t="shared" si="2"/>
        <v>#N/A</v>
      </c>
    </row>
    <row r="104" spans="1:34" x14ac:dyDescent="0.2">
      <c r="A104" s="3">
        <v>37376</v>
      </c>
      <c r="B104" t="e">
        <v>#N/A</v>
      </c>
      <c r="C104" t="e">
        <v>#N/A</v>
      </c>
      <c r="D104" t="e">
        <v>#N/A</v>
      </c>
      <c r="E104" t="e">
        <v>#N/A</v>
      </c>
      <c r="F104" t="e">
        <v>#N/A</v>
      </c>
      <c r="G104" t="e">
        <v>#N/A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  <c r="W104" s="2">
        <v>0.50586945000000005</v>
      </c>
      <c r="X104" s="2">
        <v>5.2720130000000003</v>
      </c>
      <c r="Y104" s="2">
        <v>11.616377</v>
      </c>
      <c r="Z104" s="2">
        <v>0.94872350000000005</v>
      </c>
      <c r="AA104" s="2">
        <v>4.0601563000000001</v>
      </c>
      <c r="AB104" s="2">
        <v>1.2928816000000001</v>
      </c>
      <c r="AC104" s="2">
        <v>1.9610852999999999</v>
      </c>
      <c r="AD104" s="2">
        <v>5.6922516999999999</v>
      </c>
      <c r="AE104" s="2">
        <v>5.5933770000000003</v>
      </c>
      <c r="AF104" s="2">
        <v>90.802899999999994</v>
      </c>
      <c r="AG104" s="2">
        <v>14.200125</v>
      </c>
      <c r="AH104" s="4" t="e">
        <f t="shared" si="2"/>
        <v>#N/A</v>
      </c>
    </row>
    <row r="105" spans="1:34" x14ac:dyDescent="0.2">
      <c r="A105" s="3">
        <v>37407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s="2">
        <v>5.0524259999999996</v>
      </c>
      <c r="X105" s="2">
        <v>5.8556103999999998</v>
      </c>
      <c r="Y105" s="2">
        <v>13.636296</v>
      </c>
      <c r="Z105" s="2">
        <v>0.65652790000000005</v>
      </c>
      <c r="AA105" s="2">
        <v>3.5195340000000002</v>
      </c>
      <c r="AB105" s="2">
        <v>1.2125615999999999</v>
      </c>
      <c r="AC105" s="2">
        <v>3.1134107000000002</v>
      </c>
      <c r="AD105" s="2">
        <v>7.7292047000000004</v>
      </c>
      <c r="AE105" s="2">
        <v>0.15408014</v>
      </c>
      <c r="AF105" s="2">
        <v>101.28081</v>
      </c>
      <c r="AG105" s="2">
        <v>17.853590000000001</v>
      </c>
      <c r="AH105" s="4" t="e">
        <f t="shared" si="2"/>
        <v>#N/A</v>
      </c>
    </row>
    <row r="106" spans="1:34" x14ac:dyDescent="0.2">
      <c r="A106" s="3">
        <v>37437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s="2">
        <v>17.939897999999999</v>
      </c>
      <c r="X106" s="2">
        <v>4.872052</v>
      </c>
      <c r="Y106" s="2">
        <v>13.744612</v>
      </c>
      <c r="Z106" s="2">
        <v>1.2488873</v>
      </c>
      <c r="AA106" s="2">
        <v>3.8835397</v>
      </c>
      <c r="AB106" s="2">
        <v>1.3735265000000001</v>
      </c>
      <c r="AC106" s="2">
        <v>3.5179011999999998</v>
      </c>
      <c r="AD106" s="2">
        <v>10.876469</v>
      </c>
      <c r="AE106" s="2">
        <v>-2.5055006</v>
      </c>
      <c r="AF106" s="2">
        <v>104.806274</v>
      </c>
      <c r="AG106" s="2">
        <v>22.515588999999999</v>
      </c>
      <c r="AH106" s="4" t="e">
        <f t="shared" si="2"/>
        <v>#N/A</v>
      </c>
    </row>
    <row r="107" spans="1:34" x14ac:dyDescent="0.2">
      <c r="A107" s="3">
        <v>37468</v>
      </c>
      <c r="B107" t="e">
        <v>#N/A</v>
      </c>
      <c r="C107" t="e">
        <v>#N/A</v>
      </c>
      <c r="D107" t="e">
        <v>#N/A</v>
      </c>
      <c r="E107" t="e">
        <v>#N/A</v>
      </c>
      <c r="F107" t="e">
        <v>#N/A</v>
      </c>
      <c r="G107" t="e">
        <v>#N/A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  <c r="W107" s="2">
        <v>29.349534999999999</v>
      </c>
      <c r="X107" s="2">
        <v>6.1090549999999997</v>
      </c>
      <c r="Y107" s="2">
        <v>16.257631</v>
      </c>
      <c r="Z107" s="2">
        <v>1.3923417</v>
      </c>
      <c r="AA107" s="2">
        <v>3.2742121000000002</v>
      </c>
      <c r="AB107" s="2">
        <v>1.1814416999999999</v>
      </c>
      <c r="AC107" s="2">
        <v>2.7388682000000002</v>
      </c>
      <c r="AD107" s="2">
        <v>10.905366000000001</v>
      </c>
      <c r="AE107" s="2">
        <v>0.23493432</v>
      </c>
      <c r="AF107" s="2">
        <v>118.400375</v>
      </c>
      <c r="AG107" s="2">
        <v>24.652977</v>
      </c>
      <c r="AH107" s="4" t="e">
        <f t="shared" si="2"/>
        <v>#N/A</v>
      </c>
    </row>
    <row r="108" spans="1:34" x14ac:dyDescent="0.2">
      <c r="A108" s="3">
        <v>37499</v>
      </c>
      <c r="B108" t="e">
        <v>#N/A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s="2">
        <v>30.205454</v>
      </c>
      <c r="X108" s="2">
        <v>6.0287714000000001</v>
      </c>
      <c r="Y108" s="2">
        <v>16.313040000000001</v>
      </c>
      <c r="Z108" s="2">
        <v>2.5782745</v>
      </c>
      <c r="AA108" s="2">
        <v>3.153276</v>
      </c>
      <c r="AB108" s="2">
        <v>1.1991364</v>
      </c>
      <c r="AC108" s="2">
        <v>1.7809235999999999</v>
      </c>
      <c r="AD108" s="2">
        <v>7.3563004000000003</v>
      </c>
      <c r="AE108" s="2">
        <v>2.1250186000000002</v>
      </c>
      <c r="AF108" s="2">
        <v>104.50266999999999</v>
      </c>
      <c r="AG108" s="2">
        <v>24.05658</v>
      </c>
      <c r="AH108" s="4" t="e">
        <f t="shared" si="2"/>
        <v>#N/A</v>
      </c>
    </row>
    <row r="109" spans="1:34" x14ac:dyDescent="0.2">
      <c r="A109" s="3">
        <v>37529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  <c r="W109" s="2">
        <v>26.320893999999999</v>
      </c>
      <c r="X109" s="2">
        <v>4.0264316000000004</v>
      </c>
      <c r="Y109" s="2">
        <v>12.823342999999999</v>
      </c>
      <c r="Z109" s="2">
        <v>3.0859983</v>
      </c>
      <c r="AA109" s="2">
        <v>4.1375054999999996</v>
      </c>
      <c r="AB109" s="2">
        <v>1.0907887000000001</v>
      </c>
      <c r="AC109" s="2">
        <v>4.3919410000000001</v>
      </c>
      <c r="AD109" s="2">
        <v>4.2425556000000002</v>
      </c>
      <c r="AE109" s="2">
        <v>2.6232038000000002</v>
      </c>
      <c r="AF109" s="2">
        <v>100.11563</v>
      </c>
      <c r="AG109" s="2">
        <v>20.400528000000001</v>
      </c>
      <c r="AH109" s="4" t="e">
        <f t="shared" si="2"/>
        <v>#N/A</v>
      </c>
    </row>
    <row r="110" spans="1:34" x14ac:dyDescent="0.2">
      <c r="A110" s="3">
        <v>37560</v>
      </c>
      <c r="B110" t="e">
        <v>#N/A</v>
      </c>
      <c r="C110" t="e">
        <v>#N/A</v>
      </c>
      <c r="D110" t="e">
        <v>#N/A</v>
      </c>
      <c r="E110" t="e">
        <v>#N/A</v>
      </c>
      <c r="F110" t="e">
        <v>#N/A</v>
      </c>
      <c r="G110" t="e">
        <v>#N/A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  <c r="W110" s="2">
        <v>21.744606000000001</v>
      </c>
      <c r="X110" s="2">
        <v>4.9568047999999996</v>
      </c>
      <c r="Y110" s="2">
        <v>14.031297</v>
      </c>
      <c r="Z110" s="2">
        <v>4.9895496000000001</v>
      </c>
      <c r="AA110" s="2">
        <v>3.9108550000000002</v>
      </c>
      <c r="AB110" s="2">
        <v>1.9879355000000001</v>
      </c>
      <c r="AC110" s="2">
        <v>5.07369</v>
      </c>
      <c r="AD110" s="2">
        <v>3.22221</v>
      </c>
      <c r="AE110" s="2">
        <v>9.7130019999999995</v>
      </c>
      <c r="AF110" s="2">
        <v>89.106250000000003</v>
      </c>
      <c r="AG110" s="2">
        <v>16.568832</v>
      </c>
      <c r="AH110" s="4" t="e">
        <f t="shared" si="2"/>
        <v>#N/A</v>
      </c>
    </row>
    <row r="111" spans="1:34" x14ac:dyDescent="0.2">
      <c r="A111" s="3">
        <v>37590</v>
      </c>
      <c r="B111" t="e">
        <v>#N/A</v>
      </c>
      <c r="C111" t="e">
        <v>#N/A</v>
      </c>
      <c r="D111" t="e">
        <v>#N/A</v>
      </c>
      <c r="E111" t="e">
        <v>#N/A</v>
      </c>
      <c r="F111" t="e">
        <v>#N/A</v>
      </c>
      <c r="G111" t="e">
        <v>#N/A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  <c r="W111" s="2">
        <v>15.987462000000001</v>
      </c>
      <c r="X111" s="2">
        <v>4.0302239999999996</v>
      </c>
      <c r="Y111" s="2">
        <v>13.008141999999999</v>
      </c>
      <c r="Z111" s="2">
        <v>6.3229610000000003</v>
      </c>
      <c r="AA111" s="2">
        <v>4.4156994999999997</v>
      </c>
      <c r="AB111" s="2">
        <v>2.4846906999999998</v>
      </c>
      <c r="AC111" s="2">
        <v>5.4170730000000002</v>
      </c>
      <c r="AD111" s="2">
        <v>2.1452936999999999</v>
      </c>
      <c r="AE111" s="2">
        <v>24.529973999999999</v>
      </c>
      <c r="AF111" s="2">
        <v>62.521039999999999</v>
      </c>
      <c r="AG111" s="2">
        <v>13.143393</v>
      </c>
      <c r="AH111" s="4" t="e">
        <f t="shared" si="2"/>
        <v>#N/A</v>
      </c>
    </row>
    <row r="112" spans="1:34" x14ac:dyDescent="0.2">
      <c r="A112" s="3">
        <v>37621</v>
      </c>
      <c r="B112" t="e">
        <v>#N/A</v>
      </c>
      <c r="C112" t="e">
        <v>#N/A</v>
      </c>
      <c r="D112" t="e">
        <v>#N/A</v>
      </c>
      <c r="E112" t="e">
        <v>#N/A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s="2">
        <v>11.145066999999999</v>
      </c>
      <c r="X112" s="2">
        <v>3.6918730000000002</v>
      </c>
      <c r="Y112" s="2">
        <v>11.163150999999999</v>
      </c>
      <c r="Z112" s="2">
        <v>4.0027803999999998</v>
      </c>
      <c r="AA112" s="2">
        <v>4.7853656000000004</v>
      </c>
      <c r="AB112" s="2">
        <v>2.4370560000000001</v>
      </c>
      <c r="AC112" s="2">
        <v>5.2588444000000001</v>
      </c>
      <c r="AD112" s="2">
        <v>1.6420026999999999</v>
      </c>
      <c r="AE112" s="2">
        <v>27.097280000000001</v>
      </c>
      <c r="AF112" s="2">
        <v>59.517090000000003</v>
      </c>
      <c r="AG112" s="2">
        <v>11.195430999999999</v>
      </c>
      <c r="AH112" s="4" t="e">
        <f t="shared" si="2"/>
        <v>#N/A</v>
      </c>
    </row>
    <row r="113" spans="1:34" x14ac:dyDescent="0.2">
      <c r="A113" s="3">
        <v>37652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s="2">
        <v>5.1014813999999999</v>
      </c>
      <c r="X113" s="2">
        <v>3.6460202000000002</v>
      </c>
      <c r="Y113" s="2">
        <v>11.088549</v>
      </c>
      <c r="Z113" s="2">
        <v>4.3981104000000002</v>
      </c>
      <c r="AA113" s="2">
        <v>4.8459450000000004</v>
      </c>
      <c r="AB113" s="2">
        <v>2.6892939999999999</v>
      </c>
      <c r="AC113" s="2">
        <v>4.6936159999999996</v>
      </c>
      <c r="AD113" s="2">
        <v>1.7285804</v>
      </c>
      <c r="AE113" s="2">
        <v>28.301722999999999</v>
      </c>
      <c r="AF113" s="2">
        <v>65.015940000000001</v>
      </c>
      <c r="AG113" s="2">
        <v>9.8339929999999995</v>
      </c>
      <c r="AH113" s="4" t="e">
        <f t="shared" si="2"/>
        <v>#N/A</v>
      </c>
    </row>
    <row r="114" spans="1:34" x14ac:dyDescent="0.2">
      <c r="A114" s="3">
        <v>37680</v>
      </c>
      <c r="B114" t="e">
        <v>#N/A</v>
      </c>
      <c r="C114" t="e">
        <v>#N/A</v>
      </c>
      <c r="D114" t="e">
        <v>#N/A</v>
      </c>
      <c r="E114" t="e">
        <v>#N/A</v>
      </c>
      <c r="F114" t="e">
        <v>#N/A</v>
      </c>
      <c r="G114" t="e">
        <v>#N/A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  <c r="W114" s="2">
        <v>0.77537184999999997</v>
      </c>
      <c r="X114" s="2">
        <v>5.2178082000000003</v>
      </c>
      <c r="Y114" s="2">
        <v>12.333062</v>
      </c>
      <c r="Z114" s="2">
        <v>3.5004569999999999</v>
      </c>
      <c r="AA114" s="2">
        <v>5.0004416000000003</v>
      </c>
      <c r="AB114" s="2">
        <v>3.2144455999999999</v>
      </c>
      <c r="AC114" s="2">
        <v>5.5676093</v>
      </c>
      <c r="AD114" s="2">
        <v>2.0178653999999998</v>
      </c>
      <c r="AE114" s="2">
        <v>25.063393000000001</v>
      </c>
      <c r="AF114" s="2">
        <v>63.029246999999998</v>
      </c>
      <c r="AG114" s="2">
        <v>10.030756</v>
      </c>
      <c r="AH114" s="4" t="e">
        <f t="shared" si="2"/>
        <v>#N/A</v>
      </c>
    </row>
    <row r="115" spans="1:34" x14ac:dyDescent="0.2">
      <c r="A115" s="3">
        <v>37711</v>
      </c>
      <c r="B115" t="e">
        <v>#N/A</v>
      </c>
      <c r="C115" t="e">
        <v>#N/A</v>
      </c>
      <c r="D115" t="e">
        <v>#N/A</v>
      </c>
      <c r="E115" t="e">
        <v>#N/A</v>
      </c>
      <c r="F115" t="e">
        <v>#N/A</v>
      </c>
      <c r="G115" t="e">
        <v>#N/A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  <c r="W115" s="2">
        <v>-0.15962796000000001</v>
      </c>
      <c r="X115" s="2">
        <v>5.7764473000000001</v>
      </c>
      <c r="Y115" s="2">
        <v>13.289827000000001</v>
      </c>
      <c r="Z115" s="2">
        <v>2.1259749999999999</v>
      </c>
      <c r="AA115" s="2">
        <v>3.9041226</v>
      </c>
      <c r="AB115" s="2">
        <v>2.1513162000000001</v>
      </c>
      <c r="AC115" s="2">
        <v>3.7824170000000001</v>
      </c>
      <c r="AD115" s="2">
        <v>2.975428</v>
      </c>
      <c r="AE115" s="2">
        <v>14.420304</v>
      </c>
      <c r="AF115" s="2">
        <v>69.710260000000005</v>
      </c>
      <c r="AG115" s="2">
        <v>10.933445000000001</v>
      </c>
      <c r="AH115" s="4" t="e">
        <f t="shared" si="2"/>
        <v>#N/A</v>
      </c>
    </row>
    <row r="116" spans="1:34" x14ac:dyDescent="0.2">
      <c r="A116" s="3">
        <v>37741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  <c r="W116" s="2">
        <v>0.65031313999999996</v>
      </c>
      <c r="X116" s="2">
        <v>6.3741783999999999</v>
      </c>
      <c r="Y116" s="2">
        <v>15.123449000000001</v>
      </c>
      <c r="Z116" s="2">
        <v>1.1818738</v>
      </c>
      <c r="AA116" s="2">
        <v>3.9091206000000001</v>
      </c>
      <c r="AB116" s="2">
        <v>1.3134475999999999</v>
      </c>
      <c r="AC116" s="2">
        <v>2.1773289999999998</v>
      </c>
      <c r="AD116" s="2">
        <v>4.7039559999999998</v>
      </c>
      <c r="AE116" s="2">
        <v>6.8076340000000002</v>
      </c>
      <c r="AF116" s="2">
        <v>85.293059999999997</v>
      </c>
      <c r="AG116" s="2">
        <v>13.966100000000001</v>
      </c>
      <c r="AH116" s="4" t="e">
        <f t="shared" si="2"/>
        <v>#N/A</v>
      </c>
    </row>
    <row r="117" spans="1:34" x14ac:dyDescent="0.2">
      <c r="A117" s="3">
        <v>37772</v>
      </c>
      <c r="B117" t="e">
        <v>#N/A</v>
      </c>
      <c r="C117" t="e">
        <v>#N/A</v>
      </c>
      <c r="D117" t="e">
        <v>#N/A</v>
      </c>
      <c r="E117" t="e">
        <v>#N/A</v>
      </c>
      <c r="F117" t="e">
        <v>#N/A</v>
      </c>
      <c r="G117" t="e">
        <v>#N/A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  <c r="W117" s="2">
        <v>5.2090540000000001</v>
      </c>
      <c r="X117" s="2">
        <v>6.7377440000000002</v>
      </c>
      <c r="Y117" s="2">
        <v>18.153282000000001</v>
      </c>
      <c r="Z117" s="2">
        <v>1.3073752000000001</v>
      </c>
      <c r="AA117" s="2">
        <v>6.6728443999999998</v>
      </c>
      <c r="AB117" s="2">
        <v>2.0644095</v>
      </c>
      <c r="AC117" s="2">
        <v>2.8863626</v>
      </c>
      <c r="AD117" s="2">
        <v>7.5179577000000002</v>
      </c>
      <c r="AE117" s="2">
        <v>1.2987417999999999</v>
      </c>
      <c r="AF117" s="2">
        <v>95.776300000000006</v>
      </c>
      <c r="AG117" s="2">
        <v>17.620853</v>
      </c>
      <c r="AH117" s="4" t="e">
        <f t="shared" si="2"/>
        <v>#N/A</v>
      </c>
    </row>
    <row r="118" spans="1:34" x14ac:dyDescent="0.2">
      <c r="A118" s="3">
        <v>37802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  <c r="W118" s="2">
        <v>18.404935999999999</v>
      </c>
      <c r="X118" s="2">
        <v>4.7361126000000002</v>
      </c>
      <c r="Y118" s="2">
        <v>18.164214999999999</v>
      </c>
      <c r="Z118" s="2">
        <v>1.1019933</v>
      </c>
      <c r="AA118" s="2">
        <v>4.9697449999999996</v>
      </c>
      <c r="AB118" s="2">
        <v>2.1608347999999999</v>
      </c>
      <c r="AC118" s="2">
        <v>3.1335468</v>
      </c>
      <c r="AD118" s="2">
        <v>9.5443079999999991</v>
      </c>
      <c r="AE118" s="2">
        <v>5.3971814999999998E-3</v>
      </c>
      <c r="AF118" s="2">
        <v>102.38314</v>
      </c>
      <c r="AG118" s="2">
        <v>22.506525</v>
      </c>
      <c r="AH118" s="4" t="e">
        <f t="shared" si="2"/>
        <v>#N/A</v>
      </c>
    </row>
    <row r="119" spans="1:34" x14ac:dyDescent="0.2">
      <c r="A119" s="3">
        <v>37833</v>
      </c>
      <c r="B119" t="e">
        <v>#N/A</v>
      </c>
      <c r="C119" t="e">
        <v>#N/A</v>
      </c>
      <c r="D119" t="e">
        <v>#N/A</v>
      </c>
      <c r="E119" t="e">
        <v>#N/A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s="2">
        <v>29.796564</v>
      </c>
      <c r="X119" s="2">
        <v>6.7119799999999996</v>
      </c>
      <c r="Y119" s="2">
        <v>21.603459999999998</v>
      </c>
      <c r="Z119" s="2">
        <v>1.6211355999999999</v>
      </c>
      <c r="AA119" s="2">
        <v>3.7606760000000001</v>
      </c>
      <c r="AB119" s="2">
        <v>1.0407028</v>
      </c>
      <c r="AC119" s="2">
        <v>2.5362724999999999</v>
      </c>
      <c r="AD119" s="2">
        <v>9.7813060000000007</v>
      </c>
      <c r="AE119" s="2">
        <v>-0.35703911999999999</v>
      </c>
      <c r="AF119" s="2">
        <v>108.75677</v>
      </c>
      <c r="AG119" s="2">
        <v>25.163360000000001</v>
      </c>
      <c r="AH119" s="4" t="e">
        <f t="shared" si="2"/>
        <v>#N/A</v>
      </c>
    </row>
    <row r="120" spans="1:34" x14ac:dyDescent="0.2">
      <c r="A120" s="3">
        <v>37864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s="2">
        <v>30.237534</v>
      </c>
      <c r="X120" s="2">
        <v>5.328119</v>
      </c>
      <c r="Y120" s="2">
        <v>22.569994000000001</v>
      </c>
      <c r="Z120" s="2">
        <v>1.8537899</v>
      </c>
      <c r="AA120" s="2">
        <v>3.6961694</v>
      </c>
      <c r="AB120" s="2">
        <v>0.70466300000000004</v>
      </c>
      <c r="AC120" s="2">
        <v>3.2914626999999999</v>
      </c>
      <c r="AD120" s="2">
        <v>7.2008676999999999</v>
      </c>
      <c r="AE120" s="2">
        <v>-1.4346966000000001</v>
      </c>
      <c r="AF120" s="2">
        <v>101.95246</v>
      </c>
      <c r="AG120" s="2">
        <v>23.718472999999999</v>
      </c>
      <c r="AH120" s="4" t="e">
        <f t="shared" si="2"/>
        <v>#N/A</v>
      </c>
    </row>
    <row r="121" spans="1:34" x14ac:dyDescent="0.2">
      <c r="A121" s="3">
        <v>37894</v>
      </c>
      <c r="B121" t="e">
        <v>#N/A</v>
      </c>
      <c r="C121" t="e">
        <v>#N/A</v>
      </c>
      <c r="D121" t="e">
        <v>#N/A</v>
      </c>
      <c r="E121" t="e">
        <v>#N/A</v>
      </c>
      <c r="F121" t="e">
        <v>#N/A</v>
      </c>
      <c r="G121" t="e">
        <v>#N/A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  <c r="W121" s="2">
        <v>26.839758</v>
      </c>
      <c r="X121" s="2">
        <v>3.5017779999999998</v>
      </c>
      <c r="Y121" s="2">
        <v>20.074681999999999</v>
      </c>
      <c r="Z121" s="2">
        <v>4.4280559999999998</v>
      </c>
      <c r="AA121" s="2">
        <v>4.6429879999999999</v>
      </c>
      <c r="AB121" s="2">
        <v>0.79127259999999999</v>
      </c>
      <c r="AC121" s="2">
        <v>3.5981714999999999</v>
      </c>
      <c r="AD121" s="2">
        <v>5.2462735</v>
      </c>
      <c r="AE121" s="2">
        <v>2.5813096</v>
      </c>
      <c r="AF121" s="2">
        <v>94.587670000000003</v>
      </c>
      <c r="AG121" s="2">
        <v>20.527806999999999</v>
      </c>
      <c r="AH121" s="4" t="e">
        <f t="shared" si="2"/>
        <v>#N/A</v>
      </c>
    </row>
    <row r="122" spans="1:34" x14ac:dyDescent="0.2">
      <c r="A122" s="3">
        <v>37925</v>
      </c>
      <c r="B122" s="2">
        <v>1.3685628999999999</v>
      </c>
      <c r="C122" s="2">
        <v>26.754107999999999</v>
      </c>
      <c r="D122" s="2">
        <v>2.2593985000000001</v>
      </c>
      <c r="E122" s="2">
        <v>-3.5846507999999999</v>
      </c>
      <c r="F122" s="2">
        <v>4.8185089999999997</v>
      </c>
      <c r="G122" s="2">
        <v>36.090237000000002</v>
      </c>
      <c r="H122" s="2">
        <v>18.054736999999999</v>
      </c>
      <c r="I122" s="2">
        <v>46.652557000000002</v>
      </c>
      <c r="J122" s="2">
        <v>21.625952000000002</v>
      </c>
      <c r="K122" s="2">
        <v>18.659613</v>
      </c>
      <c r="L122" s="2">
        <v>25.528210000000001</v>
      </c>
      <c r="M122" s="2">
        <v>14.989055</v>
      </c>
      <c r="N122" s="2">
        <v>51.093389999999999</v>
      </c>
      <c r="O122" s="2">
        <v>21.103441</v>
      </c>
      <c r="P122" s="2">
        <v>64.503720000000001</v>
      </c>
      <c r="Q122" s="2">
        <v>4.8935905000000002</v>
      </c>
      <c r="R122" s="2">
        <v>18.228694999999998</v>
      </c>
      <c r="S122" s="2">
        <v>19.31541</v>
      </c>
      <c r="T122" s="2">
        <v>19.36185</v>
      </c>
      <c r="U122" s="2">
        <v>15.315272999999999</v>
      </c>
      <c r="V122" s="2">
        <v>24.403262999999999</v>
      </c>
      <c r="W122" s="2">
        <v>22.200682</v>
      </c>
      <c r="X122" s="2">
        <v>4.9927564000000002</v>
      </c>
      <c r="Y122" s="2">
        <v>20.492958000000002</v>
      </c>
      <c r="Z122" s="2">
        <v>5.3987125999999996</v>
      </c>
      <c r="AA122" s="2">
        <v>8.0322300000000002</v>
      </c>
      <c r="AB122" s="2">
        <v>3.9211159000000002</v>
      </c>
      <c r="AC122" s="2">
        <v>6.2909670000000002</v>
      </c>
      <c r="AD122" s="2">
        <v>3.7047430000000001</v>
      </c>
      <c r="AE122" s="2">
        <v>13.215246</v>
      </c>
      <c r="AF122" s="2">
        <v>86.430404999999993</v>
      </c>
      <c r="AG122" s="2">
        <v>16.525621000000001</v>
      </c>
      <c r="AH122" s="4">
        <f t="shared" si="2"/>
        <v>451.4349211</v>
      </c>
    </row>
    <row r="123" spans="1:34" x14ac:dyDescent="0.2">
      <c r="A123" s="3">
        <v>37955</v>
      </c>
      <c r="B123" s="2">
        <v>-0.17777371</v>
      </c>
      <c r="C123" s="2">
        <v>27.228287000000002</v>
      </c>
      <c r="D123" s="2">
        <v>19.277822</v>
      </c>
      <c r="E123" s="2">
        <v>18.565145000000001</v>
      </c>
      <c r="F123" s="2">
        <v>18.07959</v>
      </c>
      <c r="G123" s="2">
        <v>53.426555999999998</v>
      </c>
      <c r="H123" s="2">
        <v>20.897732000000001</v>
      </c>
      <c r="I123" s="2">
        <v>49.707245</v>
      </c>
      <c r="J123" s="2">
        <v>33.445847000000001</v>
      </c>
      <c r="K123" s="2">
        <v>15.520018</v>
      </c>
      <c r="L123" s="2">
        <v>16.101717000000001</v>
      </c>
      <c r="M123" s="2">
        <v>9.9353890000000007</v>
      </c>
      <c r="N123" s="2">
        <v>51.023699999999998</v>
      </c>
      <c r="O123" s="2">
        <v>20.84394</v>
      </c>
      <c r="P123" s="2">
        <v>70.103939999999994</v>
      </c>
      <c r="Q123" s="2">
        <v>4.7206545000000002</v>
      </c>
      <c r="R123" s="2">
        <v>19.810274</v>
      </c>
      <c r="S123" s="2">
        <v>28.633769999999998</v>
      </c>
      <c r="T123" s="2">
        <v>21.576971</v>
      </c>
      <c r="U123" s="2">
        <v>11.184931000000001</v>
      </c>
      <c r="V123" s="2">
        <v>20.428719999999998</v>
      </c>
      <c r="W123" s="2">
        <v>15.925618</v>
      </c>
      <c r="X123" s="2">
        <v>4.3662809999999999</v>
      </c>
      <c r="Y123" s="2">
        <v>18.378409999999999</v>
      </c>
      <c r="Z123" s="2">
        <v>6.6019397</v>
      </c>
      <c r="AA123" s="2">
        <v>8.3838004999999995</v>
      </c>
      <c r="AB123" s="2">
        <v>2.9371328000000001</v>
      </c>
      <c r="AC123" s="2">
        <v>6.9304785999999998</v>
      </c>
      <c r="AD123" s="2">
        <v>2.4642599999999999</v>
      </c>
      <c r="AE123" s="2">
        <v>22.923231000000001</v>
      </c>
      <c r="AF123" s="2">
        <v>64.670929999999998</v>
      </c>
      <c r="AG123" s="2">
        <v>12.980929</v>
      </c>
      <c r="AH123" s="4">
        <f t="shared" si="2"/>
        <v>530.33447479000006</v>
      </c>
    </row>
    <row r="124" spans="1:34" x14ac:dyDescent="0.2">
      <c r="A124" s="3">
        <v>37986</v>
      </c>
      <c r="B124" s="2">
        <v>0.74819212999999996</v>
      </c>
      <c r="C124" s="2">
        <v>29.684435000000001</v>
      </c>
      <c r="D124" s="2">
        <v>27.01362</v>
      </c>
      <c r="E124" s="2">
        <v>45.347250000000003</v>
      </c>
      <c r="F124" s="2">
        <v>24.606016</v>
      </c>
      <c r="G124" s="2">
        <v>74.148200000000003</v>
      </c>
      <c r="H124" s="2">
        <v>24.533842</v>
      </c>
      <c r="I124" s="2">
        <v>46.093162999999997</v>
      </c>
      <c r="J124" s="2">
        <v>39.202103000000001</v>
      </c>
      <c r="K124" s="2">
        <v>21.589897000000001</v>
      </c>
      <c r="L124" s="2">
        <v>7.672148</v>
      </c>
      <c r="M124" s="2">
        <v>10.357313</v>
      </c>
      <c r="N124" s="2">
        <v>40.613010000000003</v>
      </c>
      <c r="O124" s="2">
        <v>18.363921999999999</v>
      </c>
      <c r="P124" s="2">
        <v>38.996723000000003</v>
      </c>
      <c r="Q124" s="2">
        <v>2.2771610999999998</v>
      </c>
      <c r="R124" s="2">
        <v>12.565557500000001</v>
      </c>
      <c r="S124" s="2">
        <v>28.275137000000001</v>
      </c>
      <c r="T124" s="2">
        <v>10.710248</v>
      </c>
      <c r="U124" s="2">
        <v>10.788595000000001</v>
      </c>
      <c r="V124" s="2">
        <v>18.099262</v>
      </c>
      <c r="W124" s="2">
        <v>11.350642000000001</v>
      </c>
      <c r="X124" s="2">
        <v>4.1911974000000001</v>
      </c>
      <c r="Y124" s="2">
        <v>16.182896</v>
      </c>
      <c r="Z124" s="2">
        <v>4.6168003000000004</v>
      </c>
      <c r="AA124" s="2">
        <v>2.6816203999999999</v>
      </c>
      <c r="AB124" s="2">
        <v>2.8687092999999999</v>
      </c>
      <c r="AC124" s="2">
        <v>4.3336170000000003</v>
      </c>
      <c r="AD124" s="2">
        <v>2.0411098000000001</v>
      </c>
      <c r="AE124" s="2">
        <v>24.195473</v>
      </c>
      <c r="AF124" s="2">
        <v>59.628982999999998</v>
      </c>
      <c r="AG124" s="2">
        <v>11.109076</v>
      </c>
      <c r="AH124" s="4">
        <f t="shared" si="2"/>
        <v>531.68579472999988</v>
      </c>
    </row>
    <row r="125" spans="1:34" x14ac:dyDescent="0.2">
      <c r="A125" s="3">
        <v>38017</v>
      </c>
      <c r="B125" s="2">
        <v>0.49646722999999998</v>
      </c>
      <c r="C125" s="2">
        <v>30.536335000000001</v>
      </c>
      <c r="D125" s="2">
        <v>8.3776060000000001</v>
      </c>
      <c r="E125" s="2">
        <v>5.9171550000000002</v>
      </c>
      <c r="F125" s="2">
        <v>23.295614</v>
      </c>
      <c r="G125" s="2">
        <v>26.38841</v>
      </c>
      <c r="H125" s="2">
        <v>12.626642</v>
      </c>
      <c r="I125" s="2">
        <v>42.501860000000001</v>
      </c>
      <c r="J125" s="2">
        <v>22.032419999999998</v>
      </c>
      <c r="K125" s="2">
        <v>8.5013819999999996</v>
      </c>
      <c r="L125" s="2">
        <v>4.0888084999999998</v>
      </c>
      <c r="M125" s="2">
        <v>5.0835575999999998</v>
      </c>
      <c r="N125" s="2">
        <v>37.016517999999998</v>
      </c>
      <c r="O125" s="2">
        <v>18.390339999999998</v>
      </c>
      <c r="P125" s="2">
        <v>24.489767000000001</v>
      </c>
      <c r="Q125" s="2">
        <v>4.8052387000000003</v>
      </c>
      <c r="R125" s="2">
        <v>15.781370000000001</v>
      </c>
      <c r="S125" s="2">
        <v>7.7350310000000002</v>
      </c>
      <c r="T125" s="2">
        <v>16.129069999999999</v>
      </c>
      <c r="U125" s="2">
        <v>9.5884494999999994</v>
      </c>
      <c r="V125" s="2">
        <v>23.030038999999999</v>
      </c>
      <c r="W125" s="2">
        <v>4.3016290000000001</v>
      </c>
      <c r="X125" s="2">
        <v>4.4383692999999997</v>
      </c>
      <c r="Y125" s="2">
        <v>15.79832</v>
      </c>
      <c r="Z125" s="2">
        <v>3.9974414999999999</v>
      </c>
      <c r="AA125" s="2">
        <v>3.7096412000000001</v>
      </c>
      <c r="AB125" s="2">
        <v>2.3389920000000002</v>
      </c>
      <c r="AC125" s="2">
        <v>5.4301662000000004</v>
      </c>
      <c r="AD125" s="2">
        <v>1.8474847000000001</v>
      </c>
      <c r="AE125" s="2">
        <v>27.085570000000001</v>
      </c>
      <c r="AF125" s="2">
        <v>69.071759999999998</v>
      </c>
      <c r="AG125" s="2">
        <v>9.7608689999999996</v>
      </c>
      <c r="AH125" s="4">
        <f t="shared" si="2"/>
        <v>346.81208053000006</v>
      </c>
    </row>
    <row r="126" spans="1:34" x14ac:dyDescent="0.2">
      <c r="A126" s="3">
        <v>38046</v>
      </c>
      <c r="B126" s="2">
        <v>2.8808509999999999E-2</v>
      </c>
      <c r="C126" s="2">
        <v>22.510693</v>
      </c>
      <c r="D126" s="2">
        <v>-11.776415999999999</v>
      </c>
      <c r="E126" s="2">
        <v>-32.985332</v>
      </c>
      <c r="F126" s="2">
        <v>6.1283640000000004</v>
      </c>
      <c r="G126" s="2">
        <v>-11.829907</v>
      </c>
      <c r="H126" s="2">
        <v>11.644066</v>
      </c>
      <c r="I126" s="2">
        <v>37.581000000000003</v>
      </c>
      <c r="J126" s="2">
        <v>7.654941</v>
      </c>
      <c r="K126" s="2">
        <v>-1.2123984000000001</v>
      </c>
      <c r="L126" s="2">
        <v>1.8711684</v>
      </c>
      <c r="M126" s="2">
        <v>-0.68583804000000004</v>
      </c>
      <c r="N126" s="2">
        <v>30.467442999999999</v>
      </c>
      <c r="O126" s="2">
        <v>20.550858000000002</v>
      </c>
      <c r="P126" s="2">
        <v>15.834975</v>
      </c>
      <c r="Q126" s="2">
        <v>2.9783080000000002</v>
      </c>
      <c r="R126" s="2">
        <v>15.7003</v>
      </c>
      <c r="S126" s="2">
        <v>-11.041370000000001</v>
      </c>
      <c r="T126" s="2">
        <v>19.370943</v>
      </c>
      <c r="U126" s="2">
        <v>9.1572220000000009</v>
      </c>
      <c r="V126" s="2">
        <v>19.440021999999999</v>
      </c>
      <c r="W126" s="2">
        <v>-2.4928827000000001E-2</v>
      </c>
      <c r="X126" s="2">
        <v>5.7592809999999997</v>
      </c>
      <c r="Y126" s="2">
        <v>16.256668000000001</v>
      </c>
      <c r="Z126" s="2">
        <v>2.3412820999999999</v>
      </c>
      <c r="AA126" s="2">
        <v>3.3113928000000001</v>
      </c>
      <c r="AB126" s="2">
        <v>1.8873991999999999</v>
      </c>
      <c r="AC126" s="2">
        <v>4.5491675999999996</v>
      </c>
      <c r="AD126" s="2">
        <v>2.1206124000000002</v>
      </c>
      <c r="AE126" s="2">
        <v>20.986381999999999</v>
      </c>
      <c r="AF126" s="2">
        <v>66.903180000000006</v>
      </c>
      <c r="AG126" s="2">
        <v>10.230556</v>
      </c>
      <c r="AH126" s="4">
        <f t="shared" si="2"/>
        <v>151.38785046999999</v>
      </c>
    </row>
    <row r="127" spans="1:34" x14ac:dyDescent="0.2">
      <c r="A127" s="3">
        <v>38077</v>
      </c>
      <c r="B127" s="2">
        <v>0.52750300000000006</v>
      </c>
      <c r="C127" s="2">
        <v>21.323226999999999</v>
      </c>
      <c r="D127" s="2">
        <v>-6.6888385000000001</v>
      </c>
      <c r="E127" s="2">
        <v>-27.566749999999999</v>
      </c>
      <c r="F127" s="2">
        <v>0.21121762999999999</v>
      </c>
      <c r="G127" s="2">
        <v>-10.3750105</v>
      </c>
      <c r="H127" s="2">
        <v>13.491072000000001</v>
      </c>
      <c r="I127" s="2">
        <v>38.357379999999999</v>
      </c>
      <c r="J127" s="2">
        <v>8.2716019999999997</v>
      </c>
      <c r="K127" s="2">
        <v>7.6414970000000002</v>
      </c>
      <c r="L127" s="2">
        <v>6.4518319999999996</v>
      </c>
      <c r="M127" s="2">
        <v>5.2390299999999996</v>
      </c>
      <c r="N127" s="2">
        <v>32.600932999999998</v>
      </c>
      <c r="O127" s="2">
        <v>14.41661</v>
      </c>
      <c r="P127" s="2">
        <v>51.766277000000002</v>
      </c>
      <c r="Q127" s="2">
        <v>3.9241128000000001</v>
      </c>
      <c r="R127" s="2">
        <v>14.822520000000001</v>
      </c>
      <c r="S127" s="2">
        <v>-2.9277232</v>
      </c>
      <c r="T127" s="2">
        <v>14.881299</v>
      </c>
      <c r="U127" s="2">
        <v>9.6376439999999999</v>
      </c>
      <c r="V127" s="2">
        <v>21.906459999999999</v>
      </c>
      <c r="W127" s="2">
        <v>0.21657879999999999</v>
      </c>
      <c r="X127" s="2">
        <v>5.7690882999999999</v>
      </c>
      <c r="Y127" s="2">
        <v>16.427351000000002</v>
      </c>
      <c r="Z127" s="2">
        <v>1.6092287000000001</v>
      </c>
      <c r="AA127" s="2">
        <v>3.7750599999999999</v>
      </c>
      <c r="AB127" s="2">
        <v>1.5831983999999999</v>
      </c>
      <c r="AC127" s="2">
        <v>3.3864130000000001</v>
      </c>
      <c r="AD127" s="2">
        <v>3.4758089999999999</v>
      </c>
      <c r="AE127" s="2">
        <v>11.152900000000001</v>
      </c>
      <c r="AF127" s="2">
        <v>73.212969999999999</v>
      </c>
      <c r="AG127" s="2">
        <v>10.967705</v>
      </c>
      <c r="AH127" s="4">
        <f t="shared" si="2"/>
        <v>217.91189423000003</v>
      </c>
    </row>
    <row r="128" spans="1:34" x14ac:dyDescent="0.2">
      <c r="A128" s="3">
        <v>38107</v>
      </c>
      <c r="B128" s="2">
        <v>3.1096374999999998</v>
      </c>
      <c r="C128" s="2">
        <v>23.665929999999999</v>
      </c>
      <c r="D128" s="2">
        <v>8.7445350000000005E-2</v>
      </c>
      <c r="E128" s="2">
        <v>8.9544060000000005</v>
      </c>
      <c r="F128" s="2">
        <v>20.100529999999999</v>
      </c>
      <c r="G128" s="2">
        <v>1.9513419000000001</v>
      </c>
      <c r="H128" s="2">
        <v>15.09849</v>
      </c>
      <c r="I128" s="2">
        <v>45.460116999999997</v>
      </c>
      <c r="J128" s="2">
        <v>4.8020186000000002</v>
      </c>
      <c r="K128" s="2">
        <v>3.9308991</v>
      </c>
      <c r="L128" s="2">
        <v>8.4530410000000007</v>
      </c>
      <c r="M128" s="2">
        <v>6.8393660000000001</v>
      </c>
      <c r="N128" s="2">
        <v>29.791436999999998</v>
      </c>
      <c r="O128" s="2">
        <v>19.763071</v>
      </c>
      <c r="P128" s="2">
        <v>47.627173999999997</v>
      </c>
      <c r="Q128" s="2">
        <v>3.4075457999999998</v>
      </c>
      <c r="R128" s="2">
        <v>17.017813</v>
      </c>
      <c r="S128" s="2">
        <v>4.0415134000000004</v>
      </c>
      <c r="T128" s="2">
        <v>21.335491000000001</v>
      </c>
      <c r="U128" s="2">
        <v>11.647738</v>
      </c>
      <c r="V128" s="2">
        <v>21.366479999999999</v>
      </c>
      <c r="W128" s="2">
        <v>0.73969775000000004</v>
      </c>
      <c r="X128" s="2">
        <v>6.8970203000000003</v>
      </c>
      <c r="Y128" s="2">
        <v>18.407779999999999</v>
      </c>
      <c r="Z128" s="2">
        <v>1.0473104</v>
      </c>
      <c r="AA128" s="2">
        <v>4.1598386999999999</v>
      </c>
      <c r="AB128" s="2">
        <v>0.89538260000000003</v>
      </c>
      <c r="AC128" s="2">
        <v>2.5851698000000001</v>
      </c>
      <c r="AD128" s="2">
        <v>4.1821637000000003</v>
      </c>
      <c r="AE128" s="2">
        <v>7.2633229999999998</v>
      </c>
      <c r="AF128" s="2">
        <v>91.888885000000002</v>
      </c>
      <c r="AG128" s="2">
        <v>14.486623</v>
      </c>
      <c r="AH128" s="4">
        <f t="shared" si="2"/>
        <v>318.45148565000005</v>
      </c>
    </row>
    <row r="129" spans="1:34" x14ac:dyDescent="0.2">
      <c r="A129" s="3">
        <v>38138</v>
      </c>
      <c r="B129" s="2">
        <v>6.5686564000000001</v>
      </c>
      <c r="C129" s="2">
        <v>25.347760999999998</v>
      </c>
      <c r="D129" s="2">
        <v>-0.11472826999999999</v>
      </c>
      <c r="E129" s="2">
        <v>4.3350109999999997</v>
      </c>
      <c r="F129" s="2">
        <v>15.387978</v>
      </c>
      <c r="G129" s="2">
        <v>11.963944</v>
      </c>
      <c r="H129" s="2">
        <v>18.020244999999999</v>
      </c>
      <c r="I129" s="2">
        <v>43.54448</v>
      </c>
      <c r="J129" s="2">
        <v>2.4442210000000002</v>
      </c>
      <c r="K129" s="2">
        <v>12.153316</v>
      </c>
      <c r="L129" s="2">
        <v>2.5720534000000002</v>
      </c>
      <c r="M129" s="2">
        <v>3.7902912999999998</v>
      </c>
      <c r="N129" s="2">
        <v>33.702601999999999</v>
      </c>
      <c r="O129" s="2">
        <v>21.098199999999999</v>
      </c>
      <c r="P129" s="2">
        <v>50.975174000000003</v>
      </c>
      <c r="Q129" s="2">
        <v>2.0841845999999999</v>
      </c>
      <c r="R129" s="2">
        <v>16.363028</v>
      </c>
      <c r="S129" s="2">
        <v>10.5577345</v>
      </c>
      <c r="T129" s="2">
        <v>24.746904000000001</v>
      </c>
      <c r="U129" s="2">
        <v>21.782715</v>
      </c>
      <c r="V129" s="2">
        <v>31.200763999999999</v>
      </c>
      <c r="W129" s="2">
        <v>4.8096389999999998</v>
      </c>
      <c r="X129" s="2">
        <v>7.1879844999999998</v>
      </c>
      <c r="Y129" s="2">
        <v>19.113049</v>
      </c>
      <c r="Z129" s="2">
        <v>1.6690552000000001</v>
      </c>
      <c r="AA129" s="2">
        <v>4.5366770000000001</v>
      </c>
      <c r="AB129" s="2">
        <v>1.5551893000000001</v>
      </c>
      <c r="AC129" s="2">
        <v>2.3180184000000001</v>
      </c>
      <c r="AD129" s="2">
        <v>6.9233669999999998</v>
      </c>
      <c r="AE129" s="2">
        <v>1.344187</v>
      </c>
      <c r="AF129" s="2">
        <v>98.092070000000007</v>
      </c>
      <c r="AG129" s="2">
        <v>17.88749</v>
      </c>
      <c r="AH129" s="4">
        <f t="shared" si="2"/>
        <v>358.52453492999996</v>
      </c>
    </row>
    <row r="130" spans="1:34" x14ac:dyDescent="0.2">
      <c r="A130" s="3">
        <v>38168</v>
      </c>
      <c r="B130" s="2">
        <v>5.2082113999999997</v>
      </c>
      <c r="C130" s="2">
        <v>24.743265000000001</v>
      </c>
      <c r="D130" s="2">
        <v>-0.80029136000000001</v>
      </c>
      <c r="E130" s="2">
        <v>-7.6235556999999998</v>
      </c>
      <c r="F130" s="2">
        <v>14.869517999999999</v>
      </c>
      <c r="G130" s="2">
        <v>18.798266999999999</v>
      </c>
      <c r="H130" s="2">
        <v>16.989737999999999</v>
      </c>
      <c r="I130" s="2">
        <v>44.917343000000002</v>
      </c>
      <c r="J130" s="2">
        <v>-0.68838160000000004</v>
      </c>
      <c r="K130" s="2">
        <v>12.108568999999999</v>
      </c>
      <c r="L130" s="2">
        <v>10.376429999999999</v>
      </c>
      <c r="M130" s="2">
        <v>7.4984219999999997</v>
      </c>
      <c r="N130" s="2">
        <v>36.441800000000001</v>
      </c>
      <c r="O130" s="2">
        <v>27.104320000000001</v>
      </c>
      <c r="P130" s="2">
        <v>69.637140000000002</v>
      </c>
      <c r="Q130" s="2">
        <v>6.3284649999999996</v>
      </c>
      <c r="R130" s="2">
        <v>19.543858</v>
      </c>
      <c r="S130" s="2">
        <v>11.764357</v>
      </c>
      <c r="T130" s="2">
        <v>47.437767000000001</v>
      </c>
      <c r="U130" s="2">
        <v>20.801960000000001</v>
      </c>
      <c r="V130" s="2">
        <v>49.973824</v>
      </c>
      <c r="W130" s="2">
        <v>18.478214000000001</v>
      </c>
      <c r="X130" s="2">
        <v>5.3147406999999998</v>
      </c>
      <c r="Y130" s="2">
        <v>22.323505000000001</v>
      </c>
      <c r="Z130" s="2">
        <v>1.0556812</v>
      </c>
      <c r="AA130" s="2">
        <v>3.2210589999999999</v>
      </c>
      <c r="AB130" s="2">
        <v>1.9235758999999999</v>
      </c>
      <c r="AC130" s="2">
        <v>0.94870549999999998</v>
      </c>
      <c r="AD130" s="2">
        <v>9.8648849999999992</v>
      </c>
      <c r="AE130" s="2">
        <v>-0.66813016000000003</v>
      </c>
      <c r="AF130" s="2">
        <v>108.5487</v>
      </c>
      <c r="AG130" s="2">
        <v>22.24146</v>
      </c>
      <c r="AH130" s="4">
        <f t="shared" si="2"/>
        <v>435.43102574</v>
      </c>
    </row>
    <row r="131" spans="1:34" x14ac:dyDescent="0.2">
      <c r="A131" s="3">
        <v>38199</v>
      </c>
      <c r="B131" s="2">
        <v>3.261625</v>
      </c>
      <c r="C131" s="2">
        <v>23.809463999999998</v>
      </c>
      <c r="D131" s="2">
        <v>-8.5273990000000008</v>
      </c>
      <c r="E131" s="2">
        <v>-21.427900000000001</v>
      </c>
      <c r="F131" s="2">
        <v>0.41884795000000002</v>
      </c>
      <c r="G131" s="2">
        <v>-0.97263469999999996</v>
      </c>
      <c r="H131" s="2">
        <v>14.709156</v>
      </c>
      <c r="I131" s="2">
        <v>46.761740000000003</v>
      </c>
      <c r="J131" s="2">
        <v>-11.745514</v>
      </c>
      <c r="K131" s="2">
        <v>1.8162004</v>
      </c>
      <c r="L131" s="2">
        <v>-1.1028126</v>
      </c>
      <c r="M131" s="2">
        <v>-9.8533630000000004E-3</v>
      </c>
      <c r="N131" s="2">
        <v>27.688289999999999</v>
      </c>
      <c r="O131" s="2">
        <v>34.741554000000001</v>
      </c>
      <c r="P131" s="2">
        <v>47.437049999999999</v>
      </c>
      <c r="Q131" s="2">
        <v>3.7750137000000001</v>
      </c>
      <c r="R131" s="2">
        <v>17.015450000000001</v>
      </c>
      <c r="S131" s="2">
        <v>-5.0145884000000001</v>
      </c>
      <c r="T131" s="2">
        <v>36.215339999999998</v>
      </c>
      <c r="U131" s="2">
        <v>19.954668000000002</v>
      </c>
      <c r="V131" s="2">
        <v>49.651969999999999</v>
      </c>
      <c r="W131" s="2">
        <v>27.659552000000001</v>
      </c>
      <c r="X131" s="2">
        <v>6.1863999999999999</v>
      </c>
      <c r="Y131" s="2">
        <v>22.568280999999999</v>
      </c>
      <c r="Z131" s="2">
        <v>1.1161566000000001</v>
      </c>
      <c r="AA131" s="2">
        <v>2.2465660000000001</v>
      </c>
      <c r="AB131" s="2">
        <v>1.3440719000000001</v>
      </c>
      <c r="AC131" s="2">
        <v>1.9144413</v>
      </c>
      <c r="AD131" s="2">
        <v>9.3031330000000008</v>
      </c>
      <c r="AE131" s="2">
        <v>0.45277736000000002</v>
      </c>
      <c r="AF131" s="2">
        <v>121.072784</v>
      </c>
      <c r="AG131" s="2">
        <v>24.483167999999999</v>
      </c>
      <c r="AH131" s="4">
        <f t="shared" si="2"/>
        <v>278.45566698699997</v>
      </c>
    </row>
    <row r="132" spans="1:34" x14ac:dyDescent="0.2">
      <c r="A132" s="3">
        <v>38230</v>
      </c>
      <c r="B132" s="2">
        <v>1.6638485000000001</v>
      </c>
      <c r="C132" s="2">
        <v>22.465582000000001</v>
      </c>
      <c r="D132" s="2">
        <v>-3.6709391999999998</v>
      </c>
      <c r="E132" s="2">
        <v>-11.624948</v>
      </c>
      <c r="F132" s="2">
        <v>11.865385</v>
      </c>
      <c r="G132" s="2">
        <v>9.2655169999999991</v>
      </c>
      <c r="H132" s="2">
        <v>15.384886</v>
      </c>
      <c r="I132" s="2">
        <v>43.776713999999998</v>
      </c>
      <c r="J132" s="2">
        <v>-7.0664809999999996</v>
      </c>
      <c r="K132" s="2">
        <v>8.8689529999999994</v>
      </c>
      <c r="L132" s="2">
        <v>-12.558756000000001</v>
      </c>
      <c r="M132" s="2">
        <v>1.267288</v>
      </c>
      <c r="N132" s="2">
        <v>31.800429999999999</v>
      </c>
      <c r="O132" s="2">
        <v>26.286529999999999</v>
      </c>
      <c r="P132" s="2">
        <v>50.384450000000001</v>
      </c>
      <c r="Q132" s="2">
        <v>2.6178940000000002</v>
      </c>
      <c r="R132" s="2">
        <v>17.612133</v>
      </c>
      <c r="S132" s="2">
        <v>-4.680583E-2</v>
      </c>
      <c r="T132" s="2">
        <v>26.614153000000002</v>
      </c>
      <c r="U132" s="2">
        <v>19.006947</v>
      </c>
      <c r="V132" s="2">
        <v>41.923879999999997</v>
      </c>
      <c r="W132" s="2">
        <v>29.664308999999999</v>
      </c>
      <c r="X132" s="2">
        <v>5.0413220000000001</v>
      </c>
      <c r="Y132" s="2">
        <v>23.480650000000001</v>
      </c>
      <c r="Z132" s="2">
        <v>2.2785030000000002</v>
      </c>
      <c r="AA132" s="2">
        <v>2.8099756</v>
      </c>
      <c r="AB132" s="2">
        <v>2.0717921000000001</v>
      </c>
      <c r="AC132" s="2">
        <v>2.4137572999999999</v>
      </c>
      <c r="AD132" s="2">
        <v>7.7490186999999997</v>
      </c>
      <c r="AE132" s="2">
        <v>0.35417910000000002</v>
      </c>
      <c r="AF132" s="2">
        <v>114.58620999999999</v>
      </c>
      <c r="AG132" s="2">
        <v>24.439412999999998</v>
      </c>
      <c r="AH132" s="4">
        <f t="shared" si="2"/>
        <v>295.83666046999997</v>
      </c>
    </row>
    <row r="133" spans="1:34" x14ac:dyDescent="0.2">
      <c r="A133" s="3">
        <v>38260</v>
      </c>
      <c r="B133" s="2">
        <v>2.1751966</v>
      </c>
      <c r="C133" s="2">
        <v>24.899681000000001</v>
      </c>
      <c r="D133" s="2">
        <v>7.1831680000000002</v>
      </c>
      <c r="E133" s="2">
        <v>14.966663</v>
      </c>
      <c r="F133" s="2">
        <v>17.893910999999999</v>
      </c>
      <c r="G133" s="2">
        <v>38.626919999999998</v>
      </c>
      <c r="H133" s="2">
        <v>20.860379999999999</v>
      </c>
      <c r="I133" s="2">
        <v>46.004505000000002</v>
      </c>
      <c r="J133" s="2">
        <v>9.6699970000000004</v>
      </c>
      <c r="K133" s="2">
        <v>12.468014999999999</v>
      </c>
      <c r="L133" s="2">
        <v>-6.9603719999999996</v>
      </c>
      <c r="M133" s="2">
        <v>6.2883515000000001</v>
      </c>
      <c r="N133" s="2">
        <v>40.493057</v>
      </c>
      <c r="O133" s="2">
        <v>22.446525999999999</v>
      </c>
      <c r="P133" s="2">
        <v>63.67747</v>
      </c>
      <c r="Q133" s="2">
        <v>4.8562830000000003</v>
      </c>
      <c r="R133" s="2">
        <v>20.27815</v>
      </c>
      <c r="S133" s="2">
        <v>13.582971000000001</v>
      </c>
      <c r="T133" s="2">
        <v>23.900047000000001</v>
      </c>
      <c r="U133" s="2">
        <v>13.8061495</v>
      </c>
      <c r="V133" s="2">
        <v>20.788575999999999</v>
      </c>
      <c r="W133" s="2">
        <v>26.216002</v>
      </c>
      <c r="X133" s="2">
        <v>3.0281446000000001</v>
      </c>
      <c r="Y133" s="2">
        <v>21.704146999999999</v>
      </c>
      <c r="Z133" s="2">
        <v>4.6155439999999999</v>
      </c>
      <c r="AA133" s="2">
        <v>5.1361413000000002</v>
      </c>
      <c r="AB133" s="2">
        <v>1.2777447</v>
      </c>
      <c r="AC133" s="2">
        <v>4.524489</v>
      </c>
      <c r="AD133" s="2">
        <v>5.0020879999999996</v>
      </c>
      <c r="AE133" s="2">
        <v>5.134449</v>
      </c>
      <c r="AF133" s="2">
        <v>104.27246</v>
      </c>
      <c r="AG133" s="2">
        <v>20.134611</v>
      </c>
      <c r="AH133" s="4">
        <f t="shared" si="2"/>
        <v>417.90564559999996</v>
      </c>
    </row>
    <row r="134" spans="1:34" x14ac:dyDescent="0.2">
      <c r="A134" s="3">
        <v>38291</v>
      </c>
      <c r="B134" s="2">
        <v>1.0139472</v>
      </c>
      <c r="C134" s="2">
        <v>23.821867000000001</v>
      </c>
      <c r="D134" s="2">
        <v>2.9836763999999998</v>
      </c>
      <c r="E134" s="2">
        <v>2.9570694</v>
      </c>
      <c r="F134" s="2">
        <v>16.347173999999999</v>
      </c>
      <c r="G134" s="2">
        <v>35.444249999999997</v>
      </c>
      <c r="H134" s="2">
        <v>15.44577</v>
      </c>
      <c r="I134" s="2">
        <v>44.972915999999998</v>
      </c>
      <c r="J134" s="2">
        <v>16.211416</v>
      </c>
      <c r="K134" s="2">
        <v>7.2552339999999997</v>
      </c>
      <c r="L134" s="2">
        <v>0.70508590000000004</v>
      </c>
      <c r="M134" s="2">
        <v>3.5855505000000001</v>
      </c>
      <c r="N134" s="2">
        <v>35.869280000000003</v>
      </c>
      <c r="O134" s="2">
        <v>20.971931000000001</v>
      </c>
      <c r="P134" s="2">
        <v>56.005737000000003</v>
      </c>
      <c r="Q134" s="2">
        <v>5.3552479999999996</v>
      </c>
      <c r="R134" s="2">
        <v>16.237524000000001</v>
      </c>
      <c r="S134" s="2">
        <v>14.992594</v>
      </c>
      <c r="T134" s="2">
        <v>14.736280000000001</v>
      </c>
      <c r="U134" s="2">
        <v>12.022797000000001</v>
      </c>
      <c r="V134" s="2">
        <v>18.758766000000001</v>
      </c>
      <c r="W134" s="2">
        <v>21.299140000000001</v>
      </c>
      <c r="X134" s="2">
        <v>4.2865970000000004</v>
      </c>
      <c r="Y134" s="2">
        <v>19.126975999999999</v>
      </c>
      <c r="Z134" s="2">
        <v>4.5125789999999997</v>
      </c>
      <c r="AA134" s="2">
        <v>6.381297</v>
      </c>
      <c r="AB134" s="2">
        <v>2.1427255000000001</v>
      </c>
      <c r="AC134" s="2">
        <v>4.4060740000000003</v>
      </c>
      <c r="AD134" s="2">
        <v>3.7259595000000001</v>
      </c>
      <c r="AE134" s="2">
        <v>8.9346239999999995</v>
      </c>
      <c r="AF134" s="2">
        <v>97.239879999999999</v>
      </c>
      <c r="AG134" s="2">
        <v>16.494029999999999</v>
      </c>
      <c r="AH134" s="4">
        <f t="shared" si="2"/>
        <v>365.69411340000005</v>
      </c>
    </row>
    <row r="135" spans="1:34" x14ac:dyDescent="0.2">
      <c r="A135" s="3">
        <v>38321</v>
      </c>
      <c r="B135" s="2">
        <v>-0.80234134000000001</v>
      </c>
      <c r="C135" s="2">
        <v>23.591722000000001</v>
      </c>
      <c r="D135" s="2">
        <v>3.5661100000000001</v>
      </c>
      <c r="E135" s="2">
        <v>1.9642250000000001</v>
      </c>
      <c r="F135" s="2">
        <v>12.653097000000001</v>
      </c>
      <c r="G135" s="2">
        <v>30.815646999999998</v>
      </c>
      <c r="H135" s="2">
        <v>14.487131</v>
      </c>
      <c r="I135" s="2">
        <v>42.486213999999997</v>
      </c>
      <c r="J135" s="2">
        <v>20.875982</v>
      </c>
      <c r="K135" s="2">
        <v>-0.57318985</v>
      </c>
      <c r="L135" s="2">
        <v>-1.8877489999999999</v>
      </c>
      <c r="M135" s="2">
        <v>-1.1735669</v>
      </c>
      <c r="N135" s="2">
        <v>33.449719999999999</v>
      </c>
      <c r="O135" s="2">
        <v>22.289679</v>
      </c>
      <c r="P135" s="2">
        <v>62.796100000000003</v>
      </c>
      <c r="Q135" s="2">
        <v>4.9058074999999999</v>
      </c>
      <c r="R135" s="2">
        <v>18.84198</v>
      </c>
      <c r="S135" s="2">
        <v>17.557210000000001</v>
      </c>
      <c r="T135" s="2">
        <v>21.573248</v>
      </c>
      <c r="U135" s="2">
        <v>10.905873</v>
      </c>
      <c r="V135" s="2">
        <v>16.122502999999998</v>
      </c>
      <c r="W135" s="2">
        <v>16.201767</v>
      </c>
      <c r="X135" s="2">
        <v>4.4247800000000002</v>
      </c>
      <c r="Y135" s="2">
        <v>17.462975</v>
      </c>
      <c r="Z135" s="2">
        <v>5.326835</v>
      </c>
      <c r="AA135" s="2">
        <v>3.5701372999999998</v>
      </c>
      <c r="AB135" s="2">
        <v>2.1431431999999999</v>
      </c>
      <c r="AC135" s="2">
        <v>4.7809796000000002</v>
      </c>
      <c r="AD135" s="2">
        <v>2.5895355000000002</v>
      </c>
      <c r="AE135" s="2">
        <v>18.116710000000001</v>
      </c>
      <c r="AF135" s="2">
        <v>70.708399999999997</v>
      </c>
      <c r="AG135" s="2">
        <v>13.198380999999999</v>
      </c>
      <c r="AH135" s="4">
        <f t="shared" si="2"/>
        <v>354.44540140999987</v>
      </c>
    </row>
    <row r="136" spans="1:34" x14ac:dyDescent="0.2">
      <c r="A136" s="3">
        <v>38352</v>
      </c>
      <c r="B136" s="2">
        <v>-1.4810243999999999</v>
      </c>
      <c r="C136" s="2">
        <v>23.704525</v>
      </c>
      <c r="D136" s="2">
        <v>7.7803389999999997</v>
      </c>
      <c r="E136" s="2">
        <v>-0.62842076999999996</v>
      </c>
      <c r="F136" s="2">
        <v>-2.7563303000000001</v>
      </c>
      <c r="G136" s="2">
        <v>26.670363999999999</v>
      </c>
      <c r="H136" s="2">
        <v>15.190405999999999</v>
      </c>
      <c r="I136" s="2">
        <v>40.759734999999999</v>
      </c>
      <c r="J136" s="2">
        <v>26.570381000000001</v>
      </c>
      <c r="K136" s="2">
        <v>10.224807999999999</v>
      </c>
      <c r="L136" s="2">
        <v>-4.8380830000000001</v>
      </c>
      <c r="M136" s="2">
        <v>-0.30654988</v>
      </c>
      <c r="N136" s="2">
        <v>33.022106000000001</v>
      </c>
      <c r="O136" s="2">
        <v>19.928485999999999</v>
      </c>
      <c r="P136" s="2">
        <v>32.748455</v>
      </c>
      <c r="Q136" s="2">
        <v>2.9387249999999998</v>
      </c>
      <c r="R136" s="2">
        <v>19.616377</v>
      </c>
      <c r="S136" s="2">
        <v>21.122532</v>
      </c>
      <c r="T136" s="2">
        <v>18.518094999999999</v>
      </c>
      <c r="U136" s="2">
        <v>7.8651410000000004</v>
      </c>
      <c r="V136" s="2">
        <v>18.768211000000001</v>
      </c>
      <c r="W136" s="2">
        <v>10.991466000000001</v>
      </c>
      <c r="X136" s="2">
        <v>4.5767182999999996</v>
      </c>
      <c r="Y136" s="2">
        <v>15.24268</v>
      </c>
      <c r="Z136" s="2">
        <v>4.4259576999999997</v>
      </c>
      <c r="AA136" s="2">
        <v>3.1666333999999998</v>
      </c>
      <c r="AB136" s="2">
        <v>1.8852450000000001</v>
      </c>
      <c r="AC136" s="2">
        <v>3.9609966000000001</v>
      </c>
      <c r="AD136" s="2">
        <v>2.2879858</v>
      </c>
      <c r="AE136" s="2">
        <v>27.796854</v>
      </c>
      <c r="AF136" s="2">
        <v>62.417828</v>
      </c>
      <c r="AG136" s="2">
        <v>11.187761999999999</v>
      </c>
      <c r="AH136" s="4">
        <f t="shared" si="2"/>
        <v>315.41827764999999</v>
      </c>
    </row>
    <row r="137" spans="1:34" x14ac:dyDescent="0.2">
      <c r="A137" s="3">
        <v>38383</v>
      </c>
      <c r="B137" s="2">
        <v>-1.6852324000000001</v>
      </c>
      <c r="C137" s="2">
        <v>22.929022</v>
      </c>
      <c r="D137" s="2">
        <v>4.7107805999999997</v>
      </c>
      <c r="E137" s="2">
        <v>0.44960892000000002</v>
      </c>
      <c r="F137" s="2">
        <v>2.5660479999999999</v>
      </c>
      <c r="G137" s="2">
        <v>18.582037</v>
      </c>
      <c r="H137" s="2">
        <v>15.499345</v>
      </c>
      <c r="I137" s="2">
        <v>38.457479999999997</v>
      </c>
      <c r="J137" s="2">
        <v>18.014849000000002</v>
      </c>
      <c r="K137" s="2">
        <v>5.0510250000000001</v>
      </c>
      <c r="L137" s="2">
        <v>-6.4891779999999999</v>
      </c>
      <c r="M137" s="2">
        <v>-0.59791844999999999</v>
      </c>
      <c r="N137" s="2">
        <v>26.952363999999999</v>
      </c>
      <c r="O137" s="2">
        <v>21.848690000000001</v>
      </c>
      <c r="P137" s="2">
        <v>79.476264999999998</v>
      </c>
      <c r="Q137" s="2">
        <v>3.8995058999999999</v>
      </c>
      <c r="R137" s="2">
        <v>15.290794999999999</v>
      </c>
      <c r="S137" s="2">
        <v>9.0058399999999992</v>
      </c>
      <c r="T137" s="2">
        <v>28.834454999999998</v>
      </c>
      <c r="U137" s="2">
        <v>7.0489807000000004</v>
      </c>
      <c r="V137" s="2">
        <v>19.428636999999998</v>
      </c>
      <c r="W137" s="2">
        <v>4.8030059999999999</v>
      </c>
      <c r="X137" s="2">
        <v>5.3123665000000004</v>
      </c>
      <c r="Y137" s="2">
        <v>15.135465999999999</v>
      </c>
      <c r="Z137" s="2">
        <v>5.0366419999999996</v>
      </c>
      <c r="AA137" s="2">
        <v>4.874174</v>
      </c>
      <c r="AB137" s="2">
        <v>2.3903281999999999</v>
      </c>
      <c r="AC137" s="2">
        <v>5.0195403000000001</v>
      </c>
      <c r="AD137" s="2">
        <v>1.8792104999999999</v>
      </c>
      <c r="AE137" s="2">
        <v>23.708545999999998</v>
      </c>
      <c r="AF137" s="2">
        <v>72.563239999999993</v>
      </c>
      <c r="AG137" s="2">
        <v>9.9994139999999998</v>
      </c>
      <c r="AH137" s="4">
        <f t="shared" si="2"/>
        <v>329.27339926999997</v>
      </c>
    </row>
    <row r="138" spans="1:34" x14ac:dyDescent="0.2">
      <c r="A138" s="3">
        <v>38411</v>
      </c>
      <c r="B138" s="2">
        <v>-1.3721836999999999</v>
      </c>
      <c r="C138" s="2">
        <v>19.896090000000001</v>
      </c>
      <c r="D138" s="2">
        <v>-7.1734520000000002</v>
      </c>
      <c r="E138" s="2">
        <v>-22.598382999999998</v>
      </c>
      <c r="F138" s="2">
        <v>-10.687858</v>
      </c>
      <c r="G138" s="2">
        <v>-10.685072999999999</v>
      </c>
      <c r="H138" s="2">
        <v>11.711446</v>
      </c>
      <c r="I138" s="2">
        <v>34.3628</v>
      </c>
      <c r="J138" s="2">
        <v>5.2107295999999996</v>
      </c>
      <c r="K138" s="2">
        <v>-2.7908119999999998</v>
      </c>
      <c r="L138" s="2">
        <v>-4.5770884000000001</v>
      </c>
      <c r="M138" s="2">
        <v>-3.8554162999999999</v>
      </c>
      <c r="N138" s="2">
        <v>21.677954</v>
      </c>
      <c r="O138" s="2">
        <v>21.573917000000002</v>
      </c>
      <c r="P138" s="2">
        <v>39.34825</v>
      </c>
      <c r="Q138" s="2">
        <v>1.6791604</v>
      </c>
      <c r="R138" s="2">
        <v>15.088613</v>
      </c>
      <c r="S138" s="2">
        <v>-4.0331359999999998</v>
      </c>
      <c r="T138" s="2">
        <v>23.048458</v>
      </c>
      <c r="U138" s="2">
        <v>6.3811439999999999</v>
      </c>
      <c r="V138" s="2">
        <v>17.478494999999999</v>
      </c>
      <c r="W138" s="2">
        <v>0.66613144000000002</v>
      </c>
      <c r="X138" s="2">
        <v>5.9807779999999999</v>
      </c>
      <c r="Y138" s="2">
        <v>15.898952</v>
      </c>
      <c r="Z138" s="2">
        <v>3.5543562999999998</v>
      </c>
      <c r="AA138" s="2">
        <v>5.1580159999999999</v>
      </c>
      <c r="AB138" s="2">
        <v>1.7418075</v>
      </c>
      <c r="AC138" s="2">
        <v>4.8743477000000004</v>
      </c>
      <c r="AD138" s="2">
        <v>2.3890088</v>
      </c>
      <c r="AE138" s="2">
        <v>18.265955000000002</v>
      </c>
      <c r="AF138" s="2">
        <v>67.458659999999995</v>
      </c>
      <c r="AG138" s="2">
        <v>9.9076970000000006</v>
      </c>
      <c r="AH138" s="4">
        <f t="shared" si="2"/>
        <v>149.68365460000001</v>
      </c>
    </row>
    <row r="139" spans="1:34" x14ac:dyDescent="0.2">
      <c r="A139" s="3">
        <v>38442</v>
      </c>
      <c r="B139" s="2">
        <v>-0.65283639999999998</v>
      </c>
      <c r="C139" s="2">
        <v>21.043230000000001</v>
      </c>
      <c r="D139" s="2">
        <v>-3.5819190000000001</v>
      </c>
      <c r="E139" s="2">
        <v>-18.605084999999999</v>
      </c>
      <c r="F139" s="2">
        <v>-0.23602681</v>
      </c>
      <c r="G139" s="2">
        <v>-6.6045445999999997</v>
      </c>
      <c r="H139" s="2">
        <v>14.442845999999999</v>
      </c>
      <c r="I139" s="2">
        <v>35.819400000000002</v>
      </c>
      <c r="J139" s="2">
        <v>9.1802025</v>
      </c>
      <c r="K139" s="2">
        <v>6.3355769999999998</v>
      </c>
      <c r="L139" s="2">
        <v>1.1366794</v>
      </c>
      <c r="M139" s="2">
        <v>2.4355902999999999</v>
      </c>
      <c r="N139" s="2">
        <v>26.931312999999999</v>
      </c>
      <c r="O139" s="2">
        <v>16.210633999999999</v>
      </c>
      <c r="P139" s="2">
        <v>52.732647</v>
      </c>
      <c r="Q139" s="2">
        <v>1.4991975</v>
      </c>
      <c r="R139" s="2">
        <v>11.022278</v>
      </c>
      <c r="S139" s="2">
        <v>-2.7600330999999998</v>
      </c>
      <c r="T139" s="2">
        <v>29.234895999999999</v>
      </c>
      <c r="U139" s="2">
        <v>6.878679</v>
      </c>
      <c r="V139" s="2">
        <v>21.259070999999999</v>
      </c>
      <c r="W139" s="2">
        <v>-0.26417992000000001</v>
      </c>
      <c r="X139" s="2">
        <v>6.3401209999999999</v>
      </c>
      <c r="Y139" s="2">
        <v>16.605139999999999</v>
      </c>
      <c r="Z139" s="2">
        <v>1.2050344</v>
      </c>
      <c r="AA139" s="2">
        <v>3.8312477999999999</v>
      </c>
      <c r="AB139" s="2">
        <v>1.9425634000000001</v>
      </c>
      <c r="AC139" s="2">
        <v>3.7317279999999999</v>
      </c>
      <c r="AD139" s="2">
        <v>3.1373606000000001</v>
      </c>
      <c r="AE139" s="2">
        <v>10.646210999999999</v>
      </c>
      <c r="AF139" s="2">
        <v>75.412779999999998</v>
      </c>
      <c r="AG139" s="2">
        <v>11.000552000000001</v>
      </c>
      <c r="AH139" s="4">
        <f t="shared" si="2"/>
        <v>223.72179579000002</v>
      </c>
    </row>
    <row r="140" spans="1:34" x14ac:dyDescent="0.2">
      <c r="A140" s="3">
        <v>38472</v>
      </c>
      <c r="B140" s="2">
        <v>3.4242146</v>
      </c>
      <c r="C140" s="2">
        <v>23.67719</v>
      </c>
      <c r="D140" s="2">
        <v>3.3739210000000002</v>
      </c>
      <c r="E140" s="2">
        <v>15.426767</v>
      </c>
      <c r="F140" s="2">
        <v>35.985588</v>
      </c>
      <c r="G140" s="2">
        <v>12.866856</v>
      </c>
      <c r="H140" s="2">
        <v>15.563860999999999</v>
      </c>
      <c r="I140" s="2">
        <v>38.563716999999997</v>
      </c>
      <c r="J140" s="2">
        <v>10.531606</v>
      </c>
      <c r="K140" s="2">
        <v>24.424505</v>
      </c>
      <c r="L140" s="2">
        <v>20.142786000000001</v>
      </c>
      <c r="M140" s="2">
        <v>17.942143999999999</v>
      </c>
      <c r="N140" s="2">
        <v>46.146403999999997</v>
      </c>
      <c r="O140" s="2">
        <v>20.293104</v>
      </c>
      <c r="P140" s="2">
        <v>74.977710000000002</v>
      </c>
      <c r="Q140" s="2">
        <v>4.8948955999999999</v>
      </c>
      <c r="R140" s="2">
        <v>16.790800000000001</v>
      </c>
      <c r="S140" s="2">
        <v>9.7774079999999994</v>
      </c>
      <c r="T140" s="2">
        <v>27.420663999999999</v>
      </c>
      <c r="U140" s="2">
        <v>10.323577999999999</v>
      </c>
      <c r="V140" s="2">
        <v>22.087378000000001</v>
      </c>
      <c r="W140" s="2">
        <v>3.4024376000000002E-2</v>
      </c>
      <c r="X140" s="2">
        <v>7.6672799999999999</v>
      </c>
      <c r="Y140" s="2">
        <v>18.412067</v>
      </c>
      <c r="Z140" s="2">
        <v>1.5268691999999999</v>
      </c>
      <c r="AA140" s="2">
        <v>6.1320113999999997</v>
      </c>
      <c r="AB140" s="2">
        <v>2.8660654999999999</v>
      </c>
      <c r="AC140" s="2">
        <v>3.3608509999999998</v>
      </c>
      <c r="AD140" s="2">
        <v>4.4132879999999997</v>
      </c>
      <c r="AE140" s="2">
        <v>4.8099679999999996</v>
      </c>
      <c r="AF140" s="2">
        <v>93.705640000000002</v>
      </c>
      <c r="AG140" s="2">
        <v>14.288930000000001</v>
      </c>
      <c r="AH140" s="4">
        <f t="shared" si="2"/>
        <v>454.63509719999996</v>
      </c>
    </row>
    <row r="141" spans="1:34" x14ac:dyDescent="0.2">
      <c r="A141" s="3">
        <v>38503</v>
      </c>
      <c r="B141" s="2">
        <v>7.2840824</v>
      </c>
      <c r="C141" s="2">
        <v>27.211832000000001</v>
      </c>
      <c r="D141" s="2">
        <v>2.6071659999999999</v>
      </c>
      <c r="E141" s="2">
        <v>16.151585000000001</v>
      </c>
      <c r="F141" s="2">
        <v>24.766148000000001</v>
      </c>
      <c r="G141" s="2">
        <v>31.504555</v>
      </c>
      <c r="H141" s="2">
        <v>18.888002</v>
      </c>
      <c r="I141" s="2">
        <v>41.984527999999997</v>
      </c>
      <c r="J141" s="2">
        <v>11.495739</v>
      </c>
      <c r="K141" s="2">
        <v>14.186639</v>
      </c>
      <c r="L141" s="2">
        <v>20.034258000000001</v>
      </c>
      <c r="M141" s="2">
        <v>15.136089</v>
      </c>
      <c r="N141" s="2">
        <v>36.887787000000003</v>
      </c>
      <c r="O141" s="2">
        <v>25.333105</v>
      </c>
      <c r="P141" s="2">
        <v>86.101616000000007</v>
      </c>
      <c r="Q141" s="2">
        <v>0.75197510000000001</v>
      </c>
      <c r="R141" s="2">
        <v>13.818300000000001</v>
      </c>
      <c r="S141" s="2">
        <v>17.76699</v>
      </c>
      <c r="T141" s="2">
        <v>40.891125000000002</v>
      </c>
      <c r="U141" s="2">
        <v>17.311886000000001</v>
      </c>
      <c r="V141" s="2">
        <v>30.578484</v>
      </c>
      <c r="W141" s="2">
        <v>4.7691236000000004</v>
      </c>
      <c r="X141" s="2">
        <v>7.8294888</v>
      </c>
      <c r="Y141" s="2">
        <v>22.293371</v>
      </c>
      <c r="Z141" s="2">
        <v>1.1547911</v>
      </c>
      <c r="AA141" s="2">
        <v>6.7820869999999998</v>
      </c>
      <c r="AB141" s="2">
        <v>2.7470918000000002</v>
      </c>
      <c r="AC141" s="2">
        <v>1.7350540000000001</v>
      </c>
      <c r="AD141" s="2">
        <v>6.2751365000000003</v>
      </c>
      <c r="AE141" s="2">
        <v>1.3795426</v>
      </c>
      <c r="AF141" s="2">
        <v>101.51520499999999</v>
      </c>
      <c r="AG141" s="2">
        <v>17.730899999999998</v>
      </c>
      <c r="AH141" s="4">
        <f t="shared" si="2"/>
        <v>500.69189150000011</v>
      </c>
    </row>
    <row r="142" spans="1:34" x14ac:dyDescent="0.2">
      <c r="A142" s="3">
        <v>38533</v>
      </c>
      <c r="B142" s="2">
        <v>6.9711270000000001</v>
      </c>
      <c r="C142" s="2">
        <v>25.670254</v>
      </c>
      <c r="D142" s="2">
        <v>-6.1361847000000003</v>
      </c>
      <c r="E142" s="2">
        <v>-11.132631</v>
      </c>
      <c r="F142" s="2">
        <v>1.7106484</v>
      </c>
      <c r="G142" s="2">
        <v>1.9023855999999999</v>
      </c>
      <c r="H142" s="2">
        <v>12.804446</v>
      </c>
      <c r="I142" s="2">
        <v>39.211100000000002</v>
      </c>
      <c r="J142" s="2">
        <v>-3.6951008000000001</v>
      </c>
      <c r="K142" s="2">
        <v>5.3608684999999996</v>
      </c>
      <c r="L142" s="2">
        <v>9.0290669999999995</v>
      </c>
      <c r="M142" s="2">
        <v>7.6921410000000003</v>
      </c>
      <c r="N142" s="2">
        <v>34.395000000000003</v>
      </c>
      <c r="O142" s="2">
        <v>23.064938000000001</v>
      </c>
      <c r="P142" s="2">
        <v>56.652016000000003</v>
      </c>
      <c r="Q142" s="2">
        <v>2.5634313</v>
      </c>
      <c r="R142" s="2">
        <v>14.596489999999999</v>
      </c>
      <c r="S142" s="2">
        <v>7.0473270000000001</v>
      </c>
      <c r="T142" s="2">
        <v>44.795772999999997</v>
      </c>
      <c r="U142" s="2">
        <v>16.478027000000001</v>
      </c>
      <c r="V142" s="2">
        <v>40.581738000000001</v>
      </c>
      <c r="W142" s="2">
        <v>17.312124000000001</v>
      </c>
      <c r="X142" s="2">
        <v>6.1654887</v>
      </c>
      <c r="Y142" s="2">
        <v>22.945820000000001</v>
      </c>
      <c r="Z142" s="2">
        <v>0.92393289999999995</v>
      </c>
      <c r="AA142" s="2">
        <v>3.9504955000000002</v>
      </c>
      <c r="AB142" s="2">
        <v>1.5394969999999999</v>
      </c>
      <c r="AC142" s="2">
        <v>2.7816524999999999</v>
      </c>
      <c r="AD142" s="2">
        <v>8.929176</v>
      </c>
      <c r="AE142" s="2">
        <v>-1.5966222000000001</v>
      </c>
      <c r="AF142" s="2">
        <v>112.617256</v>
      </c>
      <c r="AG142" s="2">
        <v>22.607672000000001</v>
      </c>
      <c r="AH142" s="4">
        <f t="shared" si="2"/>
        <v>329.56286130000001</v>
      </c>
    </row>
    <row r="143" spans="1:34" x14ac:dyDescent="0.2">
      <c r="A143" s="3">
        <v>38564</v>
      </c>
      <c r="B143" s="2">
        <v>6.185047</v>
      </c>
      <c r="C143" s="2">
        <v>23.486689999999999</v>
      </c>
      <c r="D143" s="2">
        <v>-4.0119340000000001</v>
      </c>
      <c r="E143" s="2">
        <v>-18.265885999999998</v>
      </c>
      <c r="F143" s="2">
        <v>3.1132282999999998</v>
      </c>
      <c r="G143" s="2">
        <v>1.7803945999999999</v>
      </c>
      <c r="H143" s="2">
        <v>15.6754</v>
      </c>
      <c r="I143" s="2">
        <v>41.759039999999999</v>
      </c>
      <c r="J143" s="2">
        <v>-4.9257819999999999</v>
      </c>
      <c r="K143" s="2">
        <v>7.8286699999999998</v>
      </c>
      <c r="L143" s="2">
        <v>4.9091139999999998</v>
      </c>
      <c r="M143" s="2">
        <v>7.2799860000000001</v>
      </c>
      <c r="N143" s="2">
        <v>34.424720000000001</v>
      </c>
      <c r="O143" s="2">
        <v>30.371288</v>
      </c>
      <c r="P143" s="2">
        <v>82.245570000000001</v>
      </c>
      <c r="Q143" s="2">
        <v>3.2637860000000001</v>
      </c>
      <c r="R143" s="2">
        <v>14.461176</v>
      </c>
      <c r="S143" s="2">
        <v>5.4125810000000003</v>
      </c>
      <c r="T143" s="2">
        <v>38.107253999999998</v>
      </c>
      <c r="U143" s="2">
        <v>19.520970999999999</v>
      </c>
      <c r="V143" s="2">
        <v>46.588154000000003</v>
      </c>
      <c r="W143" s="2">
        <v>29.552505</v>
      </c>
      <c r="X143" s="2">
        <v>5.7382317</v>
      </c>
      <c r="Y143" s="2">
        <v>23.415351999999999</v>
      </c>
      <c r="Z143" s="2">
        <v>1.8124237000000001</v>
      </c>
      <c r="AA143" s="2">
        <v>5.6339290000000002</v>
      </c>
      <c r="AB143" s="2">
        <v>1.5649531000000001</v>
      </c>
      <c r="AC143" s="2">
        <v>3.2759062999999999</v>
      </c>
      <c r="AD143" s="2">
        <v>9.9572020000000006</v>
      </c>
      <c r="AE143" s="2">
        <v>8.7261720000000001E-2</v>
      </c>
      <c r="AF143" s="2">
        <v>123.76102</v>
      </c>
      <c r="AG143" s="2">
        <v>24.960003</v>
      </c>
      <c r="AH143" s="4">
        <f t="shared" si="2"/>
        <v>359.20946789999994</v>
      </c>
    </row>
    <row r="144" spans="1:34" x14ac:dyDescent="0.2">
      <c r="A144" s="3">
        <v>38595</v>
      </c>
      <c r="B144" s="2">
        <v>3.5543938000000002</v>
      </c>
      <c r="C144" s="2">
        <v>18.738087</v>
      </c>
      <c r="D144" s="2">
        <v>-13.224344</v>
      </c>
      <c r="E144" s="2">
        <v>-41.764904000000001</v>
      </c>
      <c r="F144" s="2">
        <v>-15.300755499999999</v>
      </c>
      <c r="G144" s="2">
        <v>-17.750810000000001</v>
      </c>
      <c r="H144" s="2">
        <v>11.846748</v>
      </c>
      <c r="I144" s="2">
        <v>35.996304000000002</v>
      </c>
      <c r="J144" s="2">
        <v>-10.33611</v>
      </c>
      <c r="K144" s="2">
        <v>2.5813858999999999</v>
      </c>
      <c r="L144" s="2">
        <v>-8.2811380000000003</v>
      </c>
      <c r="M144" s="2">
        <v>1.2352050000000001</v>
      </c>
      <c r="N144" s="2">
        <v>31.106901000000001</v>
      </c>
      <c r="O144" s="2">
        <v>26.739930999999999</v>
      </c>
      <c r="P144" s="2">
        <v>73.119540000000001</v>
      </c>
      <c r="Q144" s="2">
        <v>3.274537</v>
      </c>
      <c r="R144" s="2">
        <v>10.342881999999999</v>
      </c>
      <c r="S144" s="2">
        <v>4.2927523000000001</v>
      </c>
      <c r="T144" s="2">
        <v>28.367519999999999</v>
      </c>
      <c r="U144" s="2">
        <v>18.992867</v>
      </c>
      <c r="V144" s="2">
        <v>40.084614000000002</v>
      </c>
      <c r="W144" s="2">
        <v>31.222785999999999</v>
      </c>
      <c r="X144" s="2">
        <v>3.1777145999999998</v>
      </c>
      <c r="Y144" s="2">
        <v>22.409296000000001</v>
      </c>
      <c r="Z144" s="2">
        <v>2.2711693999999998</v>
      </c>
      <c r="AA144" s="2">
        <v>5.4135070000000001</v>
      </c>
      <c r="AB144" s="2">
        <v>2.0674043000000002</v>
      </c>
      <c r="AC144" s="2">
        <v>4.3853983999999997</v>
      </c>
      <c r="AD144" s="2">
        <v>8.3579589999999993</v>
      </c>
      <c r="AE144" s="2">
        <v>0.54588835999999996</v>
      </c>
      <c r="AF144" s="2">
        <v>115.79073</v>
      </c>
      <c r="AG144" s="2">
        <v>23.913385000000002</v>
      </c>
      <c r="AH144" s="4">
        <f t="shared" si="2"/>
        <v>203.61560649999996</v>
      </c>
    </row>
    <row r="145" spans="1:34" x14ac:dyDescent="0.2">
      <c r="A145" s="3">
        <v>38625</v>
      </c>
      <c r="B145" s="2">
        <v>1.9579219000000001</v>
      </c>
      <c r="C145" s="2">
        <v>17.979780000000002</v>
      </c>
      <c r="D145" s="2">
        <v>-11.150855</v>
      </c>
      <c r="E145" s="2">
        <v>-29.423244</v>
      </c>
      <c r="F145" s="2">
        <v>-5.2259950000000002</v>
      </c>
      <c r="G145" s="2">
        <v>-6.6194405999999999</v>
      </c>
      <c r="H145" s="2">
        <v>13.559117000000001</v>
      </c>
      <c r="I145" s="2">
        <v>36.880670000000002</v>
      </c>
      <c r="J145" s="2">
        <v>-3.6477594</v>
      </c>
      <c r="K145" s="2">
        <v>0.8201233</v>
      </c>
      <c r="L145" s="2">
        <v>-10.249363000000001</v>
      </c>
      <c r="M145" s="2">
        <v>0.72933320000000001</v>
      </c>
      <c r="N145" s="2">
        <v>31.661697</v>
      </c>
      <c r="O145" s="2">
        <v>28.370888000000001</v>
      </c>
      <c r="P145" s="2">
        <v>48.175204999999998</v>
      </c>
      <c r="Q145" s="2">
        <v>4.5953344999999999</v>
      </c>
      <c r="R145" s="2">
        <v>14.101747</v>
      </c>
      <c r="S145" s="2">
        <v>5.9735737000000002</v>
      </c>
      <c r="T145" s="2">
        <v>19.944099999999999</v>
      </c>
      <c r="U145" s="2">
        <v>17.040602</v>
      </c>
      <c r="V145" s="2">
        <v>24.518856</v>
      </c>
      <c r="W145" s="2">
        <v>26.543348000000002</v>
      </c>
      <c r="X145" s="2">
        <v>1.7771355</v>
      </c>
      <c r="Y145" s="2">
        <v>20.871727</v>
      </c>
      <c r="Z145" s="2">
        <v>4.4146375999999998</v>
      </c>
      <c r="AA145" s="2">
        <v>5.0509915000000003</v>
      </c>
      <c r="AB145" s="2">
        <v>0.98797022999999995</v>
      </c>
      <c r="AC145" s="2">
        <v>3.0127830000000002</v>
      </c>
      <c r="AD145" s="2">
        <v>5.2892080000000004</v>
      </c>
      <c r="AE145" s="2">
        <v>3.0410726000000001</v>
      </c>
      <c r="AF145" s="2">
        <v>104.82983</v>
      </c>
      <c r="AG145" s="2">
        <v>19.988347999999998</v>
      </c>
      <c r="AH145" s="4">
        <f t="shared" si="2"/>
        <v>199.99229160000002</v>
      </c>
    </row>
    <row r="146" spans="1:34" x14ac:dyDescent="0.2">
      <c r="A146" s="3">
        <v>38656</v>
      </c>
      <c r="B146" s="2">
        <v>0.30428153000000002</v>
      </c>
      <c r="C146" s="2">
        <v>20.735627999999998</v>
      </c>
      <c r="D146" s="2">
        <v>3.3178719999999999</v>
      </c>
      <c r="E146" s="2">
        <v>2.4432979000000001</v>
      </c>
      <c r="F146" s="2">
        <v>8.2792320000000004</v>
      </c>
      <c r="G146" s="2">
        <v>38.040990000000001</v>
      </c>
      <c r="H146" s="2">
        <v>15.123643</v>
      </c>
      <c r="I146" s="2">
        <v>35.992690000000003</v>
      </c>
      <c r="J146" s="2">
        <v>12.249180000000001</v>
      </c>
      <c r="K146" s="2">
        <v>4.047714</v>
      </c>
      <c r="L146" s="2">
        <v>2.9407462999999998</v>
      </c>
      <c r="M146" s="2">
        <v>3.2106452000000001</v>
      </c>
      <c r="N146" s="2">
        <v>31.028839999999999</v>
      </c>
      <c r="O146" s="2">
        <v>24.344125999999999</v>
      </c>
      <c r="P146" s="2">
        <v>60.440033</v>
      </c>
      <c r="Q146" s="2">
        <v>5.2689950000000003</v>
      </c>
      <c r="R146" s="2">
        <v>11.273066</v>
      </c>
      <c r="S146" s="2">
        <v>14.404184000000001</v>
      </c>
      <c r="T146" s="2">
        <v>17.671790999999999</v>
      </c>
      <c r="U146" s="2">
        <v>13.354998</v>
      </c>
      <c r="V146" s="2">
        <v>22.064927999999998</v>
      </c>
      <c r="W146" s="2">
        <v>21.98171</v>
      </c>
      <c r="X146" s="2">
        <v>1.7780967000000001</v>
      </c>
      <c r="Y146" s="2">
        <v>17.354918000000001</v>
      </c>
      <c r="Z146" s="2">
        <v>4.1436869999999999</v>
      </c>
      <c r="AA146" s="2">
        <v>3.7474832999999999</v>
      </c>
      <c r="AB146" s="2">
        <v>1.7957730999999999</v>
      </c>
      <c r="AC146" s="2">
        <v>4.0488819999999999</v>
      </c>
      <c r="AD146" s="2">
        <v>3.6613954999999998</v>
      </c>
      <c r="AE146" s="2">
        <v>6.600301</v>
      </c>
      <c r="AF146" s="2">
        <v>93.253913999999995</v>
      </c>
      <c r="AG146" s="2">
        <v>16.511658000000001</v>
      </c>
      <c r="AH146" s="4">
        <f t="shared" si="2"/>
        <v>346.53688093000005</v>
      </c>
    </row>
    <row r="147" spans="1:34" x14ac:dyDescent="0.2">
      <c r="A147" s="3">
        <v>38686</v>
      </c>
      <c r="B147" s="2">
        <v>0.49227282</v>
      </c>
      <c r="C147" s="2">
        <v>22.369727999999999</v>
      </c>
      <c r="D147" s="2">
        <v>8.1842070000000007</v>
      </c>
      <c r="E147" s="2">
        <v>8.0032200000000007</v>
      </c>
      <c r="F147" s="2">
        <v>3.0493665000000001</v>
      </c>
      <c r="G147" s="2">
        <v>42.553061999999997</v>
      </c>
      <c r="H147" s="2">
        <v>15.545583000000001</v>
      </c>
      <c r="I147" s="2">
        <v>39.164692000000002</v>
      </c>
      <c r="J147" s="2">
        <v>19.066877000000002</v>
      </c>
      <c r="K147" s="2">
        <v>11.256900999999999</v>
      </c>
      <c r="L147" s="2">
        <v>-1.9506121000000001</v>
      </c>
      <c r="M147" s="2">
        <v>2.2286450000000002</v>
      </c>
      <c r="N147" s="2">
        <v>34.417430000000003</v>
      </c>
      <c r="O147" s="2">
        <v>23.358993999999999</v>
      </c>
      <c r="P147" s="2">
        <v>57.612285999999997</v>
      </c>
      <c r="Q147" s="2">
        <v>3.8677847000000001</v>
      </c>
      <c r="R147" s="2">
        <v>11.038342</v>
      </c>
      <c r="S147" s="2">
        <v>18.211845</v>
      </c>
      <c r="T147" s="2">
        <v>18.809920999999999</v>
      </c>
      <c r="U147" s="2">
        <v>11.426296000000001</v>
      </c>
      <c r="V147" s="2">
        <v>20.383749000000002</v>
      </c>
      <c r="W147" s="2">
        <v>16.045570000000001</v>
      </c>
      <c r="X147" s="2">
        <v>1.7701738</v>
      </c>
      <c r="Y147" s="2">
        <v>15.195740000000001</v>
      </c>
      <c r="Z147" s="2">
        <v>4.4895550000000002</v>
      </c>
      <c r="AA147" s="2">
        <v>2.2394197</v>
      </c>
      <c r="AB147" s="2">
        <v>2.2534065000000001</v>
      </c>
      <c r="AC147" s="2">
        <v>4.6817517000000004</v>
      </c>
      <c r="AD147" s="2">
        <v>2.5248309999999998</v>
      </c>
      <c r="AE147" s="2">
        <v>20.191832999999999</v>
      </c>
      <c r="AF147" s="2">
        <v>69.648079999999993</v>
      </c>
      <c r="AG147" s="2">
        <v>13.181029000000001</v>
      </c>
      <c r="AH147" s="4">
        <f t="shared" si="2"/>
        <v>369.09058991999996</v>
      </c>
    </row>
    <row r="148" spans="1:34" x14ac:dyDescent="0.2">
      <c r="A148" s="3">
        <v>38717</v>
      </c>
      <c r="B148" s="2">
        <v>-0.31555214999999998</v>
      </c>
      <c r="C148" s="2">
        <v>21.310252999999999</v>
      </c>
      <c r="D148" s="2">
        <v>3.7687821000000001</v>
      </c>
      <c r="E148" s="2">
        <v>4.6519833000000004</v>
      </c>
      <c r="F148" s="2">
        <v>11.838127</v>
      </c>
      <c r="G148" s="2">
        <v>39.094901999999998</v>
      </c>
      <c r="H148" s="2">
        <v>14.291848999999999</v>
      </c>
      <c r="I148" s="2">
        <v>35.981963999999998</v>
      </c>
      <c r="J148" s="2">
        <v>21.078797999999999</v>
      </c>
      <c r="K148" s="2">
        <v>5.8420290000000001</v>
      </c>
      <c r="L148" s="2">
        <v>5.1046576000000004</v>
      </c>
      <c r="M148" s="2">
        <v>3.391581</v>
      </c>
      <c r="N148" s="2">
        <v>30.45825</v>
      </c>
      <c r="O148" s="2">
        <v>23.422619000000001</v>
      </c>
      <c r="P148" s="2">
        <v>42.360469999999999</v>
      </c>
      <c r="Q148" s="2">
        <v>2.2423310000000001</v>
      </c>
      <c r="R148" s="2">
        <v>11.736044</v>
      </c>
      <c r="S148" s="2">
        <v>15.940830999999999</v>
      </c>
      <c r="T148" s="2">
        <v>19.122713000000001</v>
      </c>
      <c r="U148" s="2">
        <v>9.5839859999999994</v>
      </c>
      <c r="V148" s="2">
        <v>19.260795999999999</v>
      </c>
      <c r="W148" s="2">
        <v>11.550731000000001</v>
      </c>
      <c r="X148" s="2">
        <v>1.8574164</v>
      </c>
      <c r="Y148" s="2">
        <v>14.055083</v>
      </c>
      <c r="Z148" s="2">
        <v>3.451702</v>
      </c>
      <c r="AA148" s="2">
        <v>2.8629847000000002</v>
      </c>
      <c r="AB148" s="2">
        <v>1.4453236</v>
      </c>
      <c r="AC148" s="2">
        <v>3.8593829999999998</v>
      </c>
      <c r="AD148" s="2">
        <v>1.7559103</v>
      </c>
      <c r="AE148" s="2">
        <v>25.184113</v>
      </c>
      <c r="AF148" s="2">
        <v>62.522089999999999</v>
      </c>
      <c r="AG148" s="2">
        <v>11.328625000000001</v>
      </c>
      <c r="AH148" s="4">
        <f t="shared" si="2"/>
        <v>340.16741384999989</v>
      </c>
    </row>
    <row r="149" spans="1:34" x14ac:dyDescent="0.2">
      <c r="A149" s="3">
        <v>38748</v>
      </c>
      <c r="B149" s="2">
        <v>0.85422600000000004</v>
      </c>
      <c r="C149" s="2">
        <v>21.897798999999999</v>
      </c>
      <c r="D149" s="2">
        <v>5.3253436000000001</v>
      </c>
      <c r="E149" s="2">
        <v>2.9084718000000001</v>
      </c>
      <c r="F149" s="2">
        <v>14.332088000000001</v>
      </c>
      <c r="G149" s="2">
        <v>24.806574000000001</v>
      </c>
      <c r="H149" s="2">
        <v>17.094625000000001</v>
      </c>
      <c r="I149" s="2">
        <v>38.66104</v>
      </c>
      <c r="J149" s="2">
        <v>27.023686999999999</v>
      </c>
      <c r="K149" s="2">
        <v>10.379918</v>
      </c>
      <c r="L149" s="2">
        <v>13.75018</v>
      </c>
      <c r="M149" s="2">
        <v>6.8286265999999998</v>
      </c>
      <c r="N149" s="2">
        <v>33.090820000000001</v>
      </c>
      <c r="O149" s="2">
        <v>19.231026</v>
      </c>
      <c r="P149" s="2">
        <v>73.078569999999999</v>
      </c>
      <c r="Q149" s="2">
        <v>5.9861484000000003</v>
      </c>
      <c r="R149" s="2">
        <v>11.993651</v>
      </c>
      <c r="S149" s="2">
        <v>19.65437</v>
      </c>
      <c r="T149" s="2">
        <v>24.465171999999999</v>
      </c>
      <c r="U149" s="2">
        <v>9.5341260000000005</v>
      </c>
      <c r="V149" s="2">
        <v>21.317896000000001</v>
      </c>
      <c r="W149" s="2">
        <v>4.4960209999999998</v>
      </c>
      <c r="X149" s="2">
        <v>2.8566196000000001</v>
      </c>
      <c r="Y149" s="2">
        <v>12.687726</v>
      </c>
      <c r="Z149" s="2">
        <v>4.0022320000000002</v>
      </c>
      <c r="AA149" s="2">
        <v>4.2052565</v>
      </c>
      <c r="AB149" s="2">
        <v>2.0116024000000001</v>
      </c>
      <c r="AC149" s="2">
        <v>4.7505179999999996</v>
      </c>
      <c r="AD149" s="2">
        <v>1.6287666999999999</v>
      </c>
      <c r="AE149" s="2">
        <v>25.782442</v>
      </c>
      <c r="AF149" s="2">
        <v>67.887699999999995</v>
      </c>
      <c r="AG149" s="2">
        <v>10.054482999999999</v>
      </c>
      <c r="AH149" s="4">
        <f t="shared" si="2"/>
        <v>402.21435840000009</v>
      </c>
    </row>
    <row r="150" spans="1:34" x14ac:dyDescent="0.2">
      <c r="A150" s="3">
        <v>38776</v>
      </c>
      <c r="B150" s="2">
        <v>1.3646597</v>
      </c>
      <c r="C150" s="2">
        <v>21.431276</v>
      </c>
      <c r="D150" s="2">
        <v>0.21158046999999999</v>
      </c>
      <c r="E150" s="2">
        <v>-0.65459895000000001</v>
      </c>
      <c r="F150" s="2">
        <v>13.3423</v>
      </c>
      <c r="G150" s="2">
        <v>10.517754</v>
      </c>
      <c r="H150" s="2">
        <v>15.75928</v>
      </c>
      <c r="I150" s="2">
        <v>37.59301</v>
      </c>
      <c r="J150" s="2">
        <v>16.722062999999999</v>
      </c>
      <c r="K150" s="2">
        <v>-2.2397623000000002</v>
      </c>
      <c r="L150" s="2">
        <v>8.0760970000000007</v>
      </c>
      <c r="M150" s="2">
        <v>2.6078947000000001</v>
      </c>
      <c r="N150" s="2">
        <v>24.278566000000001</v>
      </c>
      <c r="O150" s="2">
        <v>18.730879999999999</v>
      </c>
      <c r="P150" s="2">
        <v>67.44359</v>
      </c>
      <c r="Q150" s="2">
        <v>3.2496301999999999</v>
      </c>
      <c r="R150" s="2">
        <v>11.335772</v>
      </c>
      <c r="S150" s="2">
        <v>6.6870494000000003</v>
      </c>
      <c r="T150" s="2">
        <v>21.818695000000002</v>
      </c>
      <c r="U150" s="2">
        <v>10.016719</v>
      </c>
      <c r="V150" s="2">
        <v>18.230879999999999</v>
      </c>
      <c r="W150" s="2">
        <v>0.54116934999999999</v>
      </c>
      <c r="X150" s="2">
        <v>3.5781101999999998</v>
      </c>
      <c r="Y150" s="2">
        <v>13.071168999999999</v>
      </c>
      <c r="Z150" s="2">
        <v>2.0764686999999999</v>
      </c>
      <c r="AA150" s="2">
        <v>2.7289838999999998</v>
      </c>
      <c r="AB150" s="2">
        <v>1.2904652000000001</v>
      </c>
      <c r="AC150" s="2">
        <v>3.9376247000000002</v>
      </c>
      <c r="AD150" s="2">
        <v>2.1789293000000001</v>
      </c>
      <c r="AE150" s="2">
        <v>20.060703</v>
      </c>
      <c r="AF150" s="2">
        <v>63.057549999999999</v>
      </c>
      <c r="AG150" s="2">
        <v>9.9150840000000002</v>
      </c>
      <c r="AH150" s="4">
        <f t="shared" si="2"/>
        <v>306.52333522000004</v>
      </c>
    </row>
    <row r="151" spans="1:34" x14ac:dyDescent="0.2">
      <c r="A151" s="3">
        <v>38807</v>
      </c>
      <c r="B151" s="2">
        <v>3.2757722999999999</v>
      </c>
      <c r="C151" s="2">
        <v>23.018136999999999</v>
      </c>
      <c r="D151" s="2">
        <v>1.2064356000000001</v>
      </c>
      <c r="E151" s="2">
        <v>0.63025403000000002</v>
      </c>
      <c r="F151" s="2">
        <v>12.597275</v>
      </c>
      <c r="G151" s="2">
        <v>18.611898</v>
      </c>
      <c r="H151" s="2">
        <v>14.260932</v>
      </c>
      <c r="I151" s="2">
        <v>36.729796999999998</v>
      </c>
      <c r="J151" s="2">
        <v>13.548579</v>
      </c>
      <c r="K151" s="2">
        <v>4.6261052999999999</v>
      </c>
      <c r="L151" s="2">
        <v>2.8595538</v>
      </c>
      <c r="M151" s="2">
        <v>3.4115236000000002</v>
      </c>
      <c r="N151" s="2">
        <v>29.220009999999998</v>
      </c>
      <c r="O151" s="2">
        <v>16.290745000000001</v>
      </c>
      <c r="P151" s="2">
        <v>66.072739999999996</v>
      </c>
      <c r="Q151" s="2">
        <v>1.2828740999999999</v>
      </c>
      <c r="R151" s="2">
        <v>8.248837</v>
      </c>
      <c r="S151" s="2">
        <v>2.0162749999999998</v>
      </c>
      <c r="T151" s="2">
        <v>21.986853</v>
      </c>
      <c r="U151" s="2">
        <v>10.221715</v>
      </c>
      <c r="V151" s="2">
        <v>20.465976999999999</v>
      </c>
      <c r="W151" s="2">
        <v>3.6013617999999997E-2</v>
      </c>
      <c r="X151" s="2">
        <v>3.2207975000000002</v>
      </c>
      <c r="Y151" s="2">
        <v>13.282541</v>
      </c>
      <c r="Z151" s="2">
        <v>-0.16821975</v>
      </c>
      <c r="AA151" s="2">
        <v>3.3330519999999999</v>
      </c>
      <c r="AB151" s="2">
        <v>1.2578444</v>
      </c>
      <c r="AC151" s="2">
        <v>2.2171737999999999</v>
      </c>
      <c r="AD151" s="2">
        <v>3.2951731999999998</v>
      </c>
      <c r="AE151" s="2">
        <v>11.43136</v>
      </c>
      <c r="AF151" s="2">
        <v>71.413086000000007</v>
      </c>
      <c r="AG151" s="2">
        <v>10.769830000000001</v>
      </c>
      <c r="AH151" s="4">
        <f t="shared" si="2"/>
        <v>310.58228873000002</v>
      </c>
    </row>
    <row r="152" spans="1:34" x14ac:dyDescent="0.2">
      <c r="A152" s="3">
        <v>38837</v>
      </c>
      <c r="B152" s="2">
        <v>6.9843273000000003</v>
      </c>
      <c r="C152" s="2">
        <v>27.764538000000002</v>
      </c>
      <c r="D152" s="2">
        <v>8.4713340000000006</v>
      </c>
      <c r="E152" s="2">
        <v>37.123820000000002</v>
      </c>
      <c r="F152" s="2">
        <v>42.157195999999999</v>
      </c>
      <c r="G152" s="2">
        <v>45.484110000000001</v>
      </c>
      <c r="H152" s="2">
        <v>16.736650000000001</v>
      </c>
      <c r="I152" s="2">
        <v>40.657040000000002</v>
      </c>
      <c r="J152" s="2">
        <v>18.670463999999999</v>
      </c>
      <c r="K152" s="2">
        <v>27.388863000000001</v>
      </c>
      <c r="L152" s="2">
        <v>19.621673999999999</v>
      </c>
      <c r="M152" s="2">
        <v>22.128627999999999</v>
      </c>
      <c r="N152" s="2">
        <v>48.763179999999998</v>
      </c>
      <c r="O152" s="2">
        <v>23.243994000000001</v>
      </c>
      <c r="P152" s="2">
        <v>66.278999999999996</v>
      </c>
      <c r="Q152" s="2">
        <v>2.9867430000000001</v>
      </c>
      <c r="R152" s="2">
        <v>14.017758000000001</v>
      </c>
      <c r="S152" s="2">
        <v>17.214884000000001</v>
      </c>
      <c r="T152" s="2">
        <v>31.264482000000001</v>
      </c>
      <c r="U152" s="2">
        <v>13.529617</v>
      </c>
      <c r="V152" s="2">
        <v>24.564978</v>
      </c>
      <c r="W152" s="2">
        <v>2.9336856999999999E-3</v>
      </c>
      <c r="X152" s="2">
        <v>5.019825</v>
      </c>
      <c r="Y152" s="2">
        <v>15.866323</v>
      </c>
      <c r="Z152" s="2">
        <v>0.75965769999999999</v>
      </c>
      <c r="AA152" s="2">
        <v>5.3988657</v>
      </c>
      <c r="AB152" s="2">
        <v>2.0417895000000001</v>
      </c>
      <c r="AC152" s="2">
        <v>2.4283636</v>
      </c>
      <c r="AD152" s="2">
        <v>4.8420329999999998</v>
      </c>
      <c r="AE152" s="2">
        <v>6.849634</v>
      </c>
      <c r="AF152" s="2">
        <v>85.353970000000004</v>
      </c>
      <c r="AG152" s="2">
        <v>14.38649</v>
      </c>
      <c r="AH152" s="4">
        <f t="shared" si="2"/>
        <v>555.05328029999998</v>
      </c>
    </row>
    <row r="153" spans="1:34" x14ac:dyDescent="0.2">
      <c r="A153" s="3">
        <v>38868</v>
      </c>
      <c r="B153" s="2">
        <v>6.9553190000000003</v>
      </c>
      <c r="C153" s="2">
        <v>27.159659999999999</v>
      </c>
      <c r="D153" s="2">
        <v>-1.2628566000000001</v>
      </c>
      <c r="E153" s="2">
        <v>5.6707369999999999</v>
      </c>
      <c r="F153" s="2">
        <v>6.748945</v>
      </c>
      <c r="G153" s="2">
        <v>14.402269</v>
      </c>
      <c r="H153" s="2">
        <v>15.199814</v>
      </c>
      <c r="I153" s="2">
        <v>36.035209999999999</v>
      </c>
      <c r="J153" s="2">
        <v>3.5496373000000001</v>
      </c>
      <c r="K153" s="2">
        <v>7.662433</v>
      </c>
      <c r="L153" s="2">
        <v>9.8367679999999993</v>
      </c>
      <c r="M153" s="2">
        <v>8.180904</v>
      </c>
      <c r="N153" s="2">
        <v>37.22587</v>
      </c>
      <c r="O153" s="2">
        <v>29.2303</v>
      </c>
      <c r="P153" s="2">
        <v>53.277569999999997</v>
      </c>
      <c r="Q153" s="2">
        <v>1.0768336000000001</v>
      </c>
      <c r="R153" s="2">
        <v>11.109692000000001</v>
      </c>
      <c r="S153" s="2">
        <v>15.561973999999999</v>
      </c>
      <c r="T153" s="2">
        <v>33.442284000000001</v>
      </c>
      <c r="U153" s="2">
        <v>16.440819999999999</v>
      </c>
      <c r="V153" s="2">
        <v>32.697944999999997</v>
      </c>
      <c r="W153" s="2">
        <v>4.5239152999999996</v>
      </c>
      <c r="X153" s="2">
        <v>4.8276219999999999</v>
      </c>
      <c r="Y153" s="2">
        <v>17.777180000000001</v>
      </c>
      <c r="Z153" s="2">
        <v>0.79536830000000003</v>
      </c>
      <c r="AA153" s="2">
        <v>4.1582512999999999</v>
      </c>
      <c r="AB153" s="2">
        <v>1.3597406000000001</v>
      </c>
      <c r="AC153" s="2">
        <v>2.6562603</v>
      </c>
      <c r="AD153" s="2">
        <v>7.5468029999999997</v>
      </c>
      <c r="AE153" s="2">
        <v>0.50150185999999997</v>
      </c>
      <c r="AF153" s="2">
        <v>95.720699999999994</v>
      </c>
      <c r="AG153" s="2">
        <v>17.864742</v>
      </c>
      <c r="AH153" s="4">
        <f t="shared" si="2"/>
        <v>370.20212829999997</v>
      </c>
    </row>
    <row r="154" spans="1:34" x14ac:dyDescent="0.2">
      <c r="A154" s="3">
        <v>38898</v>
      </c>
      <c r="B154" s="2">
        <v>7.7586329999999997</v>
      </c>
      <c r="C154" s="2">
        <v>26.074331000000001</v>
      </c>
      <c r="D154" s="2">
        <v>-6.5832290000000002</v>
      </c>
      <c r="E154" s="2">
        <v>-11.439734</v>
      </c>
      <c r="F154" s="2">
        <v>2.3140816000000002E-2</v>
      </c>
      <c r="G154" s="2">
        <v>8.2595919999999996</v>
      </c>
      <c r="H154" s="2">
        <v>15.884033000000001</v>
      </c>
      <c r="I154" s="2">
        <v>37.282195999999999</v>
      </c>
      <c r="J154" s="2">
        <v>-3.3603141000000001</v>
      </c>
      <c r="K154" s="2">
        <v>6.2844167000000004</v>
      </c>
      <c r="L154" s="2">
        <v>9.7106349999999999</v>
      </c>
      <c r="M154" s="2">
        <v>4.689629</v>
      </c>
      <c r="N154" s="2">
        <v>30.324418999999999</v>
      </c>
      <c r="O154" s="2">
        <v>30.460068</v>
      </c>
      <c r="P154" s="2">
        <v>75.053110000000004</v>
      </c>
      <c r="Q154" s="2">
        <v>2.9305150000000002</v>
      </c>
      <c r="R154" s="2">
        <v>12.185845</v>
      </c>
      <c r="S154" s="2">
        <v>17.991009999999999</v>
      </c>
      <c r="T154" s="2">
        <v>44.393009999999997</v>
      </c>
      <c r="U154" s="2">
        <v>18.383638000000001</v>
      </c>
      <c r="V154" s="2">
        <v>46.072375999999998</v>
      </c>
      <c r="W154" s="2">
        <v>18.143965000000001</v>
      </c>
      <c r="X154" s="2">
        <v>3.1968236000000001</v>
      </c>
      <c r="Y154" s="2">
        <v>20.786375</v>
      </c>
      <c r="Z154" s="2">
        <v>1.8216962999999999</v>
      </c>
      <c r="AA154" s="2">
        <v>2.2442544</v>
      </c>
      <c r="AB154" s="2">
        <v>1.687022</v>
      </c>
      <c r="AC154" s="2">
        <v>2.1639203999999999</v>
      </c>
      <c r="AD154" s="2">
        <v>9.7930355000000002</v>
      </c>
      <c r="AE154" s="2">
        <v>-0.44567266</v>
      </c>
      <c r="AF154" s="2">
        <v>103.02484</v>
      </c>
      <c r="AG154" s="2">
        <v>22.215472999999999</v>
      </c>
      <c r="AH154" s="4">
        <f t="shared" si="2"/>
        <v>372.37732041600009</v>
      </c>
    </row>
    <row r="155" spans="1:34" x14ac:dyDescent="0.2">
      <c r="A155" s="3">
        <v>38929</v>
      </c>
      <c r="B155" s="2">
        <v>5.3045834999999997</v>
      </c>
      <c r="C155" s="2">
        <v>22.713246999999999</v>
      </c>
      <c r="D155" s="2">
        <v>-8.7905560000000005</v>
      </c>
      <c r="E155" s="2">
        <v>-22.276340000000001</v>
      </c>
      <c r="F155" s="2">
        <v>-1.0757871000000001</v>
      </c>
      <c r="G155" s="2">
        <v>-0.88912504999999997</v>
      </c>
      <c r="H155" s="2">
        <v>13.502064000000001</v>
      </c>
      <c r="I155" s="2">
        <v>37.711205</v>
      </c>
      <c r="J155" s="2">
        <v>-5.2257376000000004</v>
      </c>
      <c r="K155" s="2">
        <v>1.1758658</v>
      </c>
      <c r="L155" s="2">
        <v>3.2211335000000001</v>
      </c>
      <c r="M155" s="2">
        <v>0.96108610000000005</v>
      </c>
      <c r="N155" s="2">
        <v>31.158560000000001</v>
      </c>
      <c r="O155" s="2">
        <v>31.933277</v>
      </c>
      <c r="P155" s="2">
        <v>45.719723000000002</v>
      </c>
      <c r="Q155" s="2">
        <v>3.4092658</v>
      </c>
      <c r="R155" s="2">
        <v>12.183975</v>
      </c>
      <c r="S155" s="2">
        <v>13.889726</v>
      </c>
      <c r="T155" s="2">
        <v>33.298614999999998</v>
      </c>
      <c r="U155" s="2">
        <v>19.485835999999999</v>
      </c>
      <c r="V155" s="2">
        <v>45.549289999999999</v>
      </c>
      <c r="W155" s="2">
        <v>30.398458000000002</v>
      </c>
      <c r="X155" s="2">
        <v>3.5034109999999998</v>
      </c>
      <c r="Y155" s="2">
        <v>19.310400000000001</v>
      </c>
      <c r="Z155" s="2">
        <v>2.4291909999999999</v>
      </c>
      <c r="AA155" s="2">
        <v>4.2605862999999999</v>
      </c>
      <c r="AB155" s="2">
        <v>0.84335875999999999</v>
      </c>
      <c r="AC155" s="2">
        <v>3.049185</v>
      </c>
      <c r="AD155" s="2">
        <v>10.035753</v>
      </c>
      <c r="AE155" s="2">
        <v>-0.40870529999999999</v>
      </c>
      <c r="AF155" s="2">
        <v>111.53095</v>
      </c>
      <c r="AG155" s="2">
        <v>24.215993999999998</v>
      </c>
      <c r="AH155" s="4">
        <f t="shared" si="2"/>
        <v>282.95990695</v>
      </c>
    </row>
    <row r="156" spans="1:34" x14ac:dyDescent="0.2">
      <c r="A156" s="3">
        <v>38960</v>
      </c>
      <c r="B156" s="2">
        <v>4.2823935000000004</v>
      </c>
      <c r="C156" s="2">
        <v>20.023133999999999</v>
      </c>
      <c r="D156" s="2">
        <v>-10.696717</v>
      </c>
      <c r="E156" s="2">
        <v>-29.105694</v>
      </c>
      <c r="F156" s="2">
        <v>-8.8337310000000002</v>
      </c>
      <c r="G156" s="2">
        <v>-7.1654242999999997</v>
      </c>
      <c r="H156" s="2">
        <v>12.317992</v>
      </c>
      <c r="I156" s="2">
        <v>36.777393000000004</v>
      </c>
      <c r="J156" s="2">
        <v>-3.6176395000000001</v>
      </c>
      <c r="K156" s="2">
        <v>5.2026405000000002</v>
      </c>
      <c r="L156" s="2">
        <v>1.5053645</v>
      </c>
      <c r="M156" s="2">
        <v>3.5150990000000002</v>
      </c>
      <c r="N156" s="2">
        <v>31.358685999999999</v>
      </c>
      <c r="O156" s="2">
        <v>24.689219999999999</v>
      </c>
      <c r="P156" s="2">
        <v>41.432743000000002</v>
      </c>
      <c r="Q156" s="2">
        <v>4.3495645999999999</v>
      </c>
      <c r="R156" s="2">
        <v>8.1917089999999995</v>
      </c>
      <c r="S156" s="2">
        <v>5.3379700000000003</v>
      </c>
      <c r="T156" s="2">
        <v>31.079594</v>
      </c>
      <c r="U156" s="2">
        <v>17.502320999999998</v>
      </c>
      <c r="V156" s="2">
        <v>44.770367</v>
      </c>
      <c r="W156" s="2">
        <v>31.458406</v>
      </c>
      <c r="X156" s="2">
        <v>2.3386182999999998</v>
      </c>
      <c r="Y156" s="2">
        <v>18.733854000000001</v>
      </c>
      <c r="Z156" s="2">
        <v>2.5082914999999999</v>
      </c>
      <c r="AA156" s="2">
        <v>1.7766561999999999</v>
      </c>
      <c r="AB156" s="2">
        <v>0.46395427</v>
      </c>
      <c r="AC156" s="2">
        <v>1.2991356999999999</v>
      </c>
      <c r="AD156" s="2">
        <v>7.975142</v>
      </c>
      <c r="AE156" s="2">
        <v>-0.59176505000000001</v>
      </c>
      <c r="AF156" s="2">
        <v>106.48293</v>
      </c>
      <c r="AG156" s="2">
        <v>23.812602999999999</v>
      </c>
      <c r="AH156" s="4">
        <f t="shared" si="2"/>
        <v>232.91698529999999</v>
      </c>
    </row>
    <row r="157" spans="1:34" x14ac:dyDescent="0.2">
      <c r="A157" s="3">
        <v>38990</v>
      </c>
      <c r="B157" s="2">
        <v>2.8208899999999999</v>
      </c>
      <c r="C157" s="2">
        <v>19.40033</v>
      </c>
      <c r="D157" s="2">
        <v>-6.9736479999999998</v>
      </c>
      <c r="E157" s="2">
        <v>-20.404387</v>
      </c>
      <c r="F157" s="2">
        <v>2.3155901000000001</v>
      </c>
      <c r="G157" s="2">
        <v>16.623615000000001</v>
      </c>
      <c r="H157" s="2">
        <v>15.973022</v>
      </c>
      <c r="I157" s="2">
        <v>39.815309999999997</v>
      </c>
      <c r="J157" s="2">
        <v>11.576938</v>
      </c>
      <c r="K157" s="2">
        <v>8.9034910000000007</v>
      </c>
      <c r="L157" s="2">
        <v>4.6249776000000002</v>
      </c>
      <c r="M157" s="2">
        <v>9.1683350000000008</v>
      </c>
      <c r="N157" s="2">
        <v>38.620010000000001</v>
      </c>
      <c r="O157" s="2">
        <v>28.675262</v>
      </c>
      <c r="P157" s="2">
        <v>59.467452999999999</v>
      </c>
      <c r="Q157" s="2">
        <v>5.2061019999999996</v>
      </c>
      <c r="R157" s="2">
        <v>11.056476</v>
      </c>
      <c r="S157" s="2">
        <v>17.638548</v>
      </c>
      <c r="T157" s="2">
        <v>26.190829999999998</v>
      </c>
      <c r="U157" s="2">
        <v>16.45064</v>
      </c>
      <c r="V157" s="2">
        <v>27.760069999999999</v>
      </c>
      <c r="W157" s="2">
        <v>26.777359000000001</v>
      </c>
      <c r="X157" s="2">
        <v>1.2523048000000001</v>
      </c>
      <c r="Y157" s="2">
        <v>17.005845999999998</v>
      </c>
      <c r="Z157" s="2">
        <v>4.8931556</v>
      </c>
      <c r="AA157" s="2">
        <v>3.0394104</v>
      </c>
      <c r="AB157" s="2">
        <v>1.4468281000000001</v>
      </c>
      <c r="AC157" s="2">
        <v>2.5042087999999998</v>
      </c>
      <c r="AD157" s="2">
        <v>5.4932829999999999</v>
      </c>
      <c r="AE157" s="2">
        <v>2.9882447999999999</v>
      </c>
      <c r="AF157" s="2">
        <v>95.169876000000002</v>
      </c>
      <c r="AG157" s="2">
        <v>20.616513999999999</v>
      </c>
      <c r="AH157" s="4">
        <f t="shared" si="2"/>
        <v>334.90985469999998</v>
      </c>
    </row>
    <row r="158" spans="1:34" x14ac:dyDescent="0.2">
      <c r="A158" s="3">
        <v>39021</v>
      </c>
      <c r="B158" s="2">
        <v>1.3273790000000001</v>
      </c>
      <c r="C158" s="2">
        <v>21.104645000000001</v>
      </c>
      <c r="D158" s="2">
        <v>-0.40195947999999998</v>
      </c>
      <c r="E158" s="2">
        <v>-2.3153155000000001</v>
      </c>
      <c r="F158" s="2">
        <v>7.1150136000000002</v>
      </c>
      <c r="G158" s="2">
        <v>33.698996999999999</v>
      </c>
      <c r="H158" s="2">
        <v>16.497202000000001</v>
      </c>
      <c r="I158" s="2">
        <v>37.601640000000003</v>
      </c>
      <c r="J158" s="2">
        <v>15.783637000000001</v>
      </c>
      <c r="K158" s="2">
        <v>9.819509</v>
      </c>
      <c r="L158" s="2">
        <v>-3.6448681000000001</v>
      </c>
      <c r="M158" s="2">
        <v>1.4314302000000001</v>
      </c>
      <c r="N158" s="2">
        <v>36.474083</v>
      </c>
      <c r="O158" s="2">
        <v>24.500658000000001</v>
      </c>
      <c r="P158" s="2">
        <v>25.314250000000001</v>
      </c>
      <c r="Q158" s="2">
        <v>4.5767603000000001</v>
      </c>
      <c r="R158" s="2">
        <v>9.4148060000000005</v>
      </c>
      <c r="S158" s="2">
        <v>29.094132999999999</v>
      </c>
      <c r="T158" s="2">
        <v>21.798418000000002</v>
      </c>
      <c r="U158" s="2">
        <v>13.226899</v>
      </c>
      <c r="V158" s="2">
        <v>20.480920000000001</v>
      </c>
      <c r="W158" s="2">
        <v>21.84186</v>
      </c>
      <c r="X158" s="2">
        <v>1.0760365999999999</v>
      </c>
      <c r="Y158" s="2">
        <v>13.902531</v>
      </c>
      <c r="Z158" s="2">
        <v>5.7697716000000003</v>
      </c>
      <c r="AA158" s="2">
        <v>2.3743474</v>
      </c>
      <c r="AB158" s="2">
        <v>2.6680335999999998</v>
      </c>
      <c r="AC158" s="2">
        <v>4.9091554000000004</v>
      </c>
      <c r="AD158" s="2">
        <v>3.0961539999999999</v>
      </c>
      <c r="AE158" s="2">
        <v>9.1884519999999998</v>
      </c>
      <c r="AF158" s="2">
        <v>85.005769999999998</v>
      </c>
      <c r="AG158" s="2">
        <v>16.539717</v>
      </c>
      <c r="AH158" s="4">
        <f t="shared" si="2"/>
        <v>322.89823702000007</v>
      </c>
    </row>
    <row r="159" spans="1:34" x14ac:dyDescent="0.2">
      <c r="A159" s="3">
        <v>39051</v>
      </c>
      <c r="B159" s="2">
        <v>0.18561929999999999</v>
      </c>
      <c r="C159" s="2">
        <v>22.11402</v>
      </c>
      <c r="D159" s="2">
        <v>2.4841769</v>
      </c>
      <c r="E159" s="2">
        <v>-7.3704764000000006E-2</v>
      </c>
      <c r="F159" s="2">
        <v>2.4369839999999998</v>
      </c>
      <c r="G159" s="2">
        <v>33.201309999999999</v>
      </c>
      <c r="H159" s="2">
        <v>15.686673000000001</v>
      </c>
      <c r="I159" s="2">
        <v>37.620019999999997</v>
      </c>
      <c r="J159" s="2">
        <v>18.689620999999999</v>
      </c>
      <c r="K159" s="2">
        <v>5.9133057999999998</v>
      </c>
      <c r="L159" s="2">
        <v>-0.20320812999999999</v>
      </c>
      <c r="M159" s="2">
        <v>2.4597552</v>
      </c>
      <c r="N159" s="2">
        <v>33.41037</v>
      </c>
      <c r="O159" s="2">
        <v>26.490176999999999</v>
      </c>
      <c r="P159" s="2">
        <v>50.939464999999998</v>
      </c>
      <c r="Q159" s="2">
        <v>3.7094320000000001</v>
      </c>
      <c r="R159" s="2">
        <v>11.627675999999999</v>
      </c>
      <c r="S159" s="2">
        <v>29.189163000000001</v>
      </c>
      <c r="T159" s="2">
        <v>28.597819999999999</v>
      </c>
      <c r="U159" s="2">
        <v>12.709761</v>
      </c>
      <c r="V159" s="2">
        <v>20.414127000000001</v>
      </c>
      <c r="W159" s="2">
        <v>16.104662000000001</v>
      </c>
      <c r="X159" s="2">
        <v>1.5222192999999999</v>
      </c>
      <c r="Y159" s="2">
        <v>12.081496</v>
      </c>
      <c r="Z159" s="2">
        <v>5.5391399999999997</v>
      </c>
      <c r="AA159" s="2">
        <v>3.465347</v>
      </c>
      <c r="AB159" s="2">
        <v>1.6418668999999999</v>
      </c>
      <c r="AC159" s="2">
        <v>5.0106973999999997</v>
      </c>
      <c r="AD159" s="2">
        <v>2.1740314999999999</v>
      </c>
      <c r="AE159" s="2">
        <v>19.071961999999999</v>
      </c>
      <c r="AF159" s="2">
        <v>61.446823000000002</v>
      </c>
      <c r="AG159" s="2">
        <v>13.277206</v>
      </c>
      <c r="AH159" s="4">
        <f t="shared" si="2"/>
        <v>357.60256330599998</v>
      </c>
    </row>
    <row r="160" spans="1:34" x14ac:dyDescent="0.2">
      <c r="A160" s="3">
        <v>39082</v>
      </c>
      <c r="B160" s="2">
        <v>-0.69793400000000005</v>
      </c>
      <c r="C160" s="2">
        <v>27.361025000000001</v>
      </c>
      <c r="D160" s="2">
        <v>12.453856</v>
      </c>
      <c r="E160" s="2">
        <v>27.593776999999999</v>
      </c>
      <c r="F160" s="2">
        <v>19.887187999999998</v>
      </c>
      <c r="G160" s="2">
        <v>44.367109999999997</v>
      </c>
      <c r="H160" s="2">
        <v>16.437940000000001</v>
      </c>
      <c r="I160" s="2">
        <v>40.749493000000001</v>
      </c>
      <c r="J160" s="2">
        <v>29.97541</v>
      </c>
      <c r="K160" s="2">
        <v>16.973832999999999</v>
      </c>
      <c r="L160" s="2">
        <v>4.4979315</v>
      </c>
      <c r="M160" s="2">
        <v>5.0884356000000004</v>
      </c>
      <c r="N160" s="2">
        <v>46.480052999999998</v>
      </c>
      <c r="O160" s="2">
        <v>21.677906</v>
      </c>
      <c r="P160" s="2">
        <v>61.019385999999997</v>
      </c>
      <c r="Q160" s="2">
        <v>2.9458669999999998</v>
      </c>
      <c r="R160" s="2">
        <v>12.635812</v>
      </c>
      <c r="S160" s="2">
        <v>32.191519999999997</v>
      </c>
      <c r="T160" s="2">
        <v>30.639212000000001</v>
      </c>
      <c r="U160" s="2">
        <v>9.7522830000000003</v>
      </c>
      <c r="V160" s="2">
        <v>19.245756</v>
      </c>
      <c r="W160" s="2">
        <v>11.661955000000001</v>
      </c>
      <c r="X160" s="2">
        <v>1.5880443</v>
      </c>
      <c r="Y160" s="2">
        <v>12.576498000000001</v>
      </c>
      <c r="Z160" s="2">
        <v>6.3096813999999997</v>
      </c>
      <c r="AA160" s="2">
        <v>3.7758243</v>
      </c>
      <c r="AB160" s="2">
        <v>1.4009214999999999</v>
      </c>
      <c r="AC160" s="2">
        <v>5.202922</v>
      </c>
      <c r="AD160" s="2">
        <v>1.9020374</v>
      </c>
      <c r="AE160" s="2">
        <v>28.434246000000002</v>
      </c>
      <c r="AF160" s="2">
        <v>58.312710000000003</v>
      </c>
      <c r="AG160" s="2">
        <v>11.431679000000001</v>
      </c>
      <c r="AH160" s="4">
        <f t="shared" si="2"/>
        <v>481.27586010000005</v>
      </c>
    </row>
    <row r="161" spans="1:34" x14ac:dyDescent="0.2">
      <c r="A161" s="3">
        <v>39113</v>
      </c>
      <c r="B161" s="2">
        <v>-1.5162426</v>
      </c>
      <c r="C161" s="2">
        <v>25.685262999999999</v>
      </c>
      <c r="D161" s="2">
        <v>6.0415143999999996</v>
      </c>
      <c r="E161" s="2">
        <v>8.4934150000000006</v>
      </c>
      <c r="F161" s="2">
        <v>15.804948</v>
      </c>
      <c r="G161" s="2">
        <v>34.859734000000003</v>
      </c>
      <c r="H161" s="2">
        <v>18.041573</v>
      </c>
      <c r="I161" s="2">
        <v>41.663383000000003</v>
      </c>
      <c r="J161" s="2">
        <v>24.592853999999999</v>
      </c>
      <c r="K161" s="2">
        <v>9.8590560000000007</v>
      </c>
      <c r="L161" s="2">
        <v>2.5780804000000002</v>
      </c>
      <c r="M161" s="2">
        <v>4.9861326000000004</v>
      </c>
      <c r="N161" s="2">
        <v>36.462519999999998</v>
      </c>
      <c r="O161" s="2">
        <v>19.234905000000001</v>
      </c>
      <c r="P161" s="2">
        <v>46.825870000000002</v>
      </c>
      <c r="Q161" s="2">
        <v>3.8841953</v>
      </c>
      <c r="R161" s="2">
        <v>11.144365000000001</v>
      </c>
      <c r="S161" s="2">
        <v>18.841971999999998</v>
      </c>
      <c r="T161" s="2">
        <v>29.571353999999999</v>
      </c>
      <c r="U161" s="2">
        <v>9.4522490000000001</v>
      </c>
      <c r="V161" s="2">
        <v>18.895302000000001</v>
      </c>
      <c r="W161" s="2">
        <v>4.5714226</v>
      </c>
      <c r="X161" s="2">
        <v>2.4677370000000001</v>
      </c>
      <c r="Y161" s="2">
        <v>11.331891000000001</v>
      </c>
      <c r="Z161" s="2">
        <v>2.8644753000000001</v>
      </c>
      <c r="AA161" s="2">
        <v>4.1980890000000004</v>
      </c>
      <c r="AB161" s="2">
        <v>2.0358120999999998</v>
      </c>
      <c r="AC161" s="2">
        <v>5.6872387</v>
      </c>
      <c r="AD161" s="2">
        <v>1.443675</v>
      </c>
      <c r="AE161" s="2">
        <v>27.246172000000001</v>
      </c>
      <c r="AF161" s="2">
        <v>63.881360000000001</v>
      </c>
      <c r="AG161" s="2">
        <v>10.011310999999999</v>
      </c>
      <c r="AH161" s="4">
        <f t="shared" si="2"/>
        <v>385.40244309999997</v>
      </c>
    </row>
    <row r="162" spans="1:34" x14ac:dyDescent="0.2">
      <c r="A162" s="3">
        <v>39141</v>
      </c>
      <c r="B162" s="2">
        <v>0.7333906</v>
      </c>
      <c r="C162" s="2">
        <v>26.895810999999998</v>
      </c>
      <c r="D162" s="2">
        <v>4.9779514999999996</v>
      </c>
      <c r="E162" s="2">
        <v>8.4045290000000001</v>
      </c>
      <c r="F162" s="2">
        <v>22.251204000000001</v>
      </c>
      <c r="G162" s="2">
        <v>28.708960999999999</v>
      </c>
      <c r="H162" s="2">
        <v>15.729329999999999</v>
      </c>
      <c r="I162" s="2">
        <v>38.891261999999998</v>
      </c>
      <c r="J162" s="2">
        <v>30.640121000000001</v>
      </c>
      <c r="K162" s="2">
        <v>11.747521000000001</v>
      </c>
      <c r="L162" s="2">
        <v>5.1855335</v>
      </c>
      <c r="M162" s="2">
        <v>9.8075010000000002</v>
      </c>
      <c r="N162" s="2">
        <v>39.251179999999998</v>
      </c>
      <c r="O162" s="2">
        <v>20.933422</v>
      </c>
      <c r="P162" s="2">
        <v>52.248824999999997</v>
      </c>
      <c r="Q162" s="2">
        <v>4.4094496000000003</v>
      </c>
      <c r="R162" s="2">
        <v>12.360977</v>
      </c>
      <c r="S162" s="2">
        <v>20.822642999999999</v>
      </c>
      <c r="T162" s="2">
        <v>32.873375000000003</v>
      </c>
      <c r="U162" s="2">
        <v>9.4331200000000006</v>
      </c>
      <c r="V162" s="2">
        <v>21.848488</v>
      </c>
      <c r="W162" s="2">
        <v>4.3967770000000002E-3</v>
      </c>
      <c r="X162" s="2">
        <v>3.3532120000000001</v>
      </c>
      <c r="Y162" s="2">
        <v>11.771049</v>
      </c>
      <c r="Z162" s="2">
        <v>2.0904902999999999</v>
      </c>
      <c r="AA162" s="2">
        <v>3.8396602</v>
      </c>
      <c r="AB162" s="2">
        <v>3.5167071999999999</v>
      </c>
      <c r="AC162" s="2">
        <v>2.7313556999999999</v>
      </c>
      <c r="AD162" s="2">
        <v>2.1279222999999998</v>
      </c>
      <c r="AE162" s="2">
        <v>24.872928999999999</v>
      </c>
      <c r="AF162" s="2">
        <v>64.003770000000003</v>
      </c>
      <c r="AG162" s="2">
        <v>10.065448</v>
      </c>
      <c r="AH162" s="4">
        <f t="shared" si="2"/>
        <v>418.15459519999996</v>
      </c>
    </row>
    <row r="163" spans="1:34" x14ac:dyDescent="0.2">
      <c r="A163" s="3">
        <v>39172</v>
      </c>
      <c r="B163" s="2">
        <v>3.2850961999999999</v>
      </c>
      <c r="C163" s="2">
        <v>27.246373999999999</v>
      </c>
      <c r="D163" s="2">
        <v>7.5689960000000003</v>
      </c>
      <c r="E163" s="2">
        <v>14.233326</v>
      </c>
      <c r="F163" s="2">
        <v>29.358082</v>
      </c>
      <c r="G163" s="2">
        <v>30.975574000000002</v>
      </c>
      <c r="H163" s="2">
        <v>15.960134500000001</v>
      </c>
      <c r="I163" s="2">
        <v>38.47927</v>
      </c>
      <c r="J163" s="2">
        <v>26.388107000000002</v>
      </c>
      <c r="K163" s="2">
        <v>12.405972</v>
      </c>
      <c r="L163" s="2">
        <v>6.4581679999999997</v>
      </c>
      <c r="M163" s="2">
        <v>9.753997</v>
      </c>
      <c r="N163" s="2">
        <v>41.385677000000001</v>
      </c>
      <c r="O163" s="2">
        <v>20.973295</v>
      </c>
      <c r="P163" s="2">
        <v>46.85642</v>
      </c>
      <c r="Q163" s="2">
        <v>4.7982154000000001</v>
      </c>
      <c r="R163" s="2">
        <v>12.05035</v>
      </c>
      <c r="S163" s="2">
        <v>16.835744999999999</v>
      </c>
      <c r="T163" s="2">
        <v>31.103949</v>
      </c>
      <c r="U163" s="2">
        <v>9.2317959999999992</v>
      </c>
      <c r="V163" s="2">
        <v>22.904295000000001</v>
      </c>
      <c r="W163" s="2">
        <v>-0.46743800000000002</v>
      </c>
      <c r="X163" s="2">
        <v>3.3826885</v>
      </c>
      <c r="Y163" s="2">
        <v>13.837935999999999</v>
      </c>
      <c r="Z163" s="2">
        <v>0.51029866999999995</v>
      </c>
      <c r="AA163" s="2">
        <v>4.1482096000000004</v>
      </c>
      <c r="AB163" s="2">
        <v>2.334597</v>
      </c>
      <c r="AC163" s="2">
        <v>2.3405193999999998</v>
      </c>
      <c r="AD163" s="2">
        <v>2.8684878</v>
      </c>
      <c r="AE163" s="2">
        <v>16.295712000000002</v>
      </c>
      <c r="AF163" s="2">
        <v>73.163480000000007</v>
      </c>
      <c r="AG163" s="2">
        <v>11.045487</v>
      </c>
      <c r="AH163" s="4">
        <f t="shared" ref="AH163:AH226" si="3">SUM(B163:V163)</f>
        <v>428.2528390999999</v>
      </c>
    </row>
    <row r="164" spans="1:34" x14ac:dyDescent="0.2">
      <c r="A164" s="3">
        <v>39202</v>
      </c>
      <c r="B164" s="2">
        <v>5.2805495000000002</v>
      </c>
      <c r="C164" s="2">
        <v>26.900503</v>
      </c>
      <c r="D164" s="2">
        <v>-1.6226678000000001</v>
      </c>
      <c r="E164" s="2">
        <v>1.9383938000000001</v>
      </c>
      <c r="F164" s="2">
        <v>13.579957</v>
      </c>
      <c r="G164" s="2">
        <v>4.1740649999999997</v>
      </c>
      <c r="H164" s="2">
        <v>15.340693</v>
      </c>
      <c r="I164" s="2">
        <v>39.439300000000003</v>
      </c>
      <c r="J164" s="2">
        <v>10.825027</v>
      </c>
      <c r="K164" s="2">
        <v>11.216975</v>
      </c>
      <c r="L164" s="2">
        <v>3.7839293000000001</v>
      </c>
      <c r="M164" s="2">
        <v>8.4982380000000006</v>
      </c>
      <c r="N164" s="2">
        <v>44.025416999999997</v>
      </c>
      <c r="O164" s="2">
        <v>21.957142000000001</v>
      </c>
      <c r="P164" s="2">
        <v>75.585279999999997</v>
      </c>
      <c r="Q164" s="2">
        <v>4.1181599999999996</v>
      </c>
      <c r="R164" s="2">
        <v>14.936325999999999</v>
      </c>
      <c r="S164" s="2">
        <v>23.221347999999999</v>
      </c>
      <c r="T164" s="2">
        <v>38.425260000000002</v>
      </c>
      <c r="U164" s="2">
        <v>10.877053999999999</v>
      </c>
      <c r="V164" s="2">
        <v>22.75789</v>
      </c>
      <c r="W164" s="2">
        <v>0.49018157000000001</v>
      </c>
      <c r="X164" s="2">
        <v>5.0660267000000001</v>
      </c>
      <c r="Y164" s="2">
        <v>14.602100999999999</v>
      </c>
      <c r="Z164" s="2">
        <v>1.2497077000000001</v>
      </c>
      <c r="AA164" s="2">
        <v>3.4410531999999998</v>
      </c>
      <c r="AB164" s="2">
        <v>1.7027653</v>
      </c>
      <c r="AC164" s="2">
        <v>3.4400534999999999</v>
      </c>
      <c r="AD164" s="2">
        <v>3.9533312</v>
      </c>
      <c r="AE164" s="2">
        <v>8.2716370000000001</v>
      </c>
      <c r="AF164" s="2">
        <v>88.542816000000002</v>
      </c>
      <c r="AG164" s="2">
        <v>14.050053999999999</v>
      </c>
      <c r="AH164" s="4">
        <f t="shared" si="3"/>
        <v>395.25883979999992</v>
      </c>
    </row>
    <row r="165" spans="1:34" x14ac:dyDescent="0.2">
      <c r="A165" s="3">
        <v>39233</v>
      </c>
      <c r="B165" s="2">
        <v>6.0937999999999999</v>
      </c>
      <c r="C165" s="2">
        <v>25.573853</v>
      </c>
      <c r="D165" s="2">
        <v>-6.6367783999999999</v>
      </c>
      <c r="E165" s="2">
        <v>-13.111901</v>
      </c>
      <c r="F165" s="2">
        <v>5.9075455999999997</v>
      </c>
      <c r="G165" s="2">
        <v>-2.0614569999999999</v>
      </c>
      <c r="H165" s="2">
        <v>12.860103000000001</v>
      </c>
      <c r="I165" s="2">
        <v>37.048070000000003</v>
      </c>
      <c r="J165" s="2">
        <v>-0.44128582</v>
      </c>
      <c r="K165" s="2">
        <v>5.8374350000000002</v>
      </c>
      <c r="L165" s="2">
        <v>2.3917389999999998</v>
      </c>
      <c r="M165" s="2">
        <v>2.3388274</v>
      </c>
      <c r="N165" s="2">
        <v>35.198270000000001</v>
      </c>
      <c r="O165" s="2">
        <v>26.988772999999998</v>
      </c>
      <c r="P165" s="2">
        <v>47.766730000000003</v>
      </c>
      <c r="Q165" s="2">
        <v>3.5011277000000001</v>
      </c>
      <c r="R165" s="2">
        <v>15.234915000000001</v>
      </c>
      <c r="S165" s="2">
        <v>18.133682</v>
      </c>
      <c r="T165" s="2">
        <v>43.51052</v>
      </c>
      <c r="U165" s="2">
        <v>13.005995</v>
      </c>
      <c r="V165" s="2">
        <v>27.879135000000002</v>
      </c>
      <c r="W165" s="2">
        <v>4.5724653999999996</v>
      </c>
      <c r="X165" s="2">
        <v>3.602338</v>
      </c>
      <c r="Y165" s="2">
        <v>17.713000000000001</v>
      </c>
      <c r="Z165" s="2">
        <v>0.70200850000000004</v>
      </c>
      <c r="AA165" s="2">
        <v>4.0737075999999997</v>
      </c>
      <c r="AB165" s="2">
        <v>2.2141215999999999</v>
      </c>
      <c r="AC165" s="2">
        <v>3.4412042999999999</v>
      </c>
      <c r="AD165" s="2">
        <v>6.763001</v>
      </c>
      <c r="AE165" s="2">
        <v>1.4340668999999999</v>
      </c>
      <c r="AF165" s="2">
        <v>98.735609999999994</v>
      </c>
      <c r="AG165" s="2">
        <v>17.613969999999998</v>
      </c>
      <c r="AH165" s="4">
        <f t="shared" si="3"/>
        <v>307.01909848000003</v>
      </c>
    </row>
    <row r="166" spans="1:34" x14ac:dyDescent="0.2">
      <c r="A166" s="3">
        <v>39263</v>
      </c>
      <c r="B166" s="2">
        <v>5.9638314000000001</v>
      </c>
      <c r="C166" s="2">
        <v>26.283042999999999</v>
      </c>
      <c r="D166" s="2">
        <v>-6.2520575999999997</v>
      </c>
      <c r="E166" s="2">
        <v>-14.359627</v>
      </c>
      <c r="F166" s="2">
        <v>5.5907580000000001</v>
      </c>
      <c r="G166" s="2">
        <v>2.5776555999999999</v>
      </c>
      <c r="H166" s="2">
        <v>12.754701000000001</v>
      </c>
      <c r="I166" s="2">
        <v>38.872416999999999</v>
      </c>
      <c r="J166" s="2">
        <v>-6.1717899999999997</v>
      </c>
      <c r="K166" s="2">
        <v>3.0654023000000001</v>
      </c>
      <c r="L166" s="2">
        <v>3.6429965000000002</v>
      </c>
      <c r="M166" s="2">
        <v>4.5572805000000001</v>
      </c>
      <c r="N166" s="2">
        <v>35.547029999999999</v>
      </c>
      <c r="O166" s="2">
        <v>27.149017000000001</v>
      </c>
      <c r="P166" s="2">
        <v>64.815719999999999</v>
      </c>
      <c r="Q166" s="2">
        <v>2.5605714000000002</v>
      </c>
      <c r="R166" s="2">
        <v>13.512352999999999</v>
      </c>
      <c r="S166" s="2">
        <v>13.870316000000001</v>
      </c>
      <c r="T166" s="2">
        <v>45.847664000000002</v>
      </c>
      <c r="U166" s="2">
        <v>14.286644000000001</v>
      </c>
      <c r="V166" s="2">
        <v>37.579079999999998</v>
      </c>
      <c r="W166" s="2">
        <v>17.316846999999999</v>
      </c>
      <c r="X166" s="2">
        <v>1.288967</v>
      </c>
      <c r="Y166" s="2">
        <v>17.796585</v>
      </c>
      <c r="Z166" s="2">
        <v>1.7516292</v>
      </c>
      <c r="AA166" s="2">
        <v>5.9346027000000001</v>
      </c>
      <c r="AB166" s="2">
        <v>2.7317046999999999</v>
      </c>
      <c r="AC166" s="2">
        <v>4.1698079999999997</v>
      </c>
      <c r="AD166" s="2">
        <v>8.3766390000000008</v>
      </c>
      <c r="AE166" s="2">
        <v>-0.66054440000000003</v>
      </c>
      <c r="AF166" s="2">
        <v>107.03019</v>
      </c>
      <c r="AG166" s="2">
        <v>22.269886</v>
      </c>
      <c r="AH166" s="4">
        <f t="shared" si="3"/>
        <v>331.69300609999999</v>
      </c>
    </row>
    <row r="167" spans="1:34" x14ac:dyDescent="0.2">
      <c r="A167" s="3">
        <v>39294</v>
      </c>
      <c r="B167" s="2">
        <v>3.6894895999999999</v>
      </c>
      <c r="C167" s="2">
        <v>19.777463999999998</v>
      </c>
      <c r="D167" s="2">
        <v>-11.251567</v>
      </c>
      <c r="E167" s="2">
        <v>-41.029583000000002</v>
      </c>
      <c r="F167" s="2">
        <v>-8.6938929999999992</v>
      </c>
      <c r="G167" s="2">
        <v>-13.611974</v>
      </c>
      <c r="H167" s="2">
        <v>12.925478</v>
      </c>
      <c r="I167" s="2">
        <v>37.984270000000002</v>
      </c>
      <c r="J167" s="2">
        <v>-4.6982410000000003</v>
      </c>
      <c r="K167" s="2">
        <v>1.5431391999999999</v>
      </c>
      <c r="L167" s="2">
        <v>1.1883336</v>
      </c>
      <c r="M167" s="2">
        <v>2.7519336000000001</v>
      </c>
      <c r="N167" s="2">
        <v>33.289195999999997</v>
      </c>
      <c r="O167" s="2">
        <v>26.480387</v>
      </c>
      <c r="P167" s="2">
        <v>59.395096000000002</v>
      </c>
      <c r="Q167" s="2">
        <v>4.2387094000000003</v>
      </c>
      <c r="R167" s="2">
        <v>17.106068</v>
      </c>
      <c r="S167" s="2">
        <v>9.3891190000000009</v>
      </c>
      <c r="T167" s="2">
        <v>36.565894999999998</v>
      </c>
      <c r="U167" s="2">
        <v>16.22795</v>
      </c>
      <c r="V167" s="2">
        <v>41.307690000000001</v>
      </c>
      <c r="W167" s="2">
        <v>29.780275</v>
      </c>
      <c r="X167" s="2">
        <v>1.1254108</v>
      </c>
      <c r="Y167" s="2">
        <v>18.130065999999999</v>
      </c>
      <c r="Z167" s="2">
        <v>1.8226097000000001</v>
      </c>
      <c r="AA167" s="2">
        <v>3.6008995000000001</v>
      </c>
      <c r="AB167" s="2">
        <v>1.5502491</v>
      </c>
      <c r="AC167" s="2">
        <v>3.6925469999999998</v>
      </c>
      <c r="AD167" s="2">
        <v>9.0974810000000002</v>
      </c>
      <c r="AE167" s="2">
        <v>-1.5189664</v>
      </c>
      <c r="AF167" s="2">
        <v>117.76764</v>
      </c>
      <c r="AG167" s="2">
        <v>24.716341</v>
      </c>
      <c r="AH167" s="4">
        <f t="shared" si="3"/>
        <v>244.57496040000001</v>
      </c>
    </row>
    <row r="168" spans="1:34" x14ac:dyDescent="0.2">
      <c r="A168" s="3">
        <v>39325</v>
      </c>
      <c r="B168" s="2">
        <v>2.1978917</v>
      </c>
      <c r="C168" s="2">
        <v>20.057966</v>
      </c>
      <c r="D168" s="2">
        <v>-8.9918139999999998</v>
      </c>
      <c r="E168" s="2">
        <v>-26.208083999999999</v>
      </c>
      <c r="F168" s="2">
        <v>-3.4251339999999999</v>
      </c>
      <c r="G168" s="2">
        <v>-3.3586532999999998</v>
      </c>
      <c r="H168" s="2">
        <v>14.225666</v>
      </c>
      <c r="I168" s="2">
        <v>39.571899999999999</v>
      </c>
      <c r="J168" s="2">
        <v>-7.1150339999999996</v>
      </c>
      <c r="K168" s="2">
        <v>-0.17933183999999999</v>
      </c>
      <c r="L168" s="2">
        <v>-4.2618226999999997</v>
      </c>
      <c r="M168" s="2">
        <v>2.1716259</v>
      </c>
      <c r="N168" s="2">
        <v>30.641119</v>
      </c>
      <c r="O168" s="2">
        <v>25.178782999999999</v>
      </c>
      <c r="P168" s="2">
        <v>49.225406999999997</v>
      </c>
      <c r="Q168" s="2">
        <v>3.4613700000000001</v>
      </c>
      <c r="R168" s="2">
        <v>13.832549999999999</v>
      </c>
      <c r="S168" s="2">
        <v>11.706882999999999</v>
      </c>
      <c r="T168" s="2">
        <v>27.388062000000001</v>
      </c>
      <c r="U168" s="2">
        <v>17.712167999999998</v>
      </c>
      <c r="V168" s="2">
        <v>38.730989999999998</v>
      </c>
      <c r="W168" s="2">
        <v>30.487397999999999</v>
      </c>
      <c r="X168" s="2">
        <v>0.88453274999999998</v>
      </c>
      <c r="Y168" s="2">
        <v>17.835820999999999</v>
      </c>
      <c r="Z168" s="2">
        <v>3.0299649999999998</v>
      </c>
      <c r="AA168" s="2">
        <v>4.2276220000000002</v>
      </c>
      <c r="AB168" s="2">
        <v>1.0747458000000001</v>
      </c>
      <c r="AC168" s="2">
        <v>3.2214303000000002</v>
      </c>
      <c r="AD168" s="2">
        <v>8.1064489999999996</v>
      </c>
      <c r="AE168" s="2">
        <v>-1.1675823999999999</v>
      </c>
      <c r="AF168" s="2">
        <v>112.07239</v>
      </c>
      <c r="AG168" s="2">
        <v>23.331326000000001</v>
      </c>
      <c r="AH168" s="4">
        <f t="shared" si="3"/>
        <v>242.56250775999996</v>
      </c>
    </row>
    <row r="169" spans="1:34" x14ac:dyDescent="0.2">
      <c r="A169" s="3">
        <v>39355</v>
      </c>
      <c r="B169" s="2">
        <v>1.1661642000000001</v>
      </c>
      <c r="C169" s="2">
        <v>22.246476999999999</v>
      </c>
      <c r="D169" s="2">
        <v>-1.3399886000000001</v>
      </c>
      <c r="E169" s="2">
        <v>-1.5840989999999999</v>
      </c>
      <c r="F169" s="2">
        <v>18.314900999999999</v>
      </c>
      <c r="G169" s="2">
        <v>25.733343000000001</v>
      </c>
      <c r="H169" s="2">
        <v>19.463190000000001</v>
      </c>
      <c r="I169" s="2">
        <v>40.896799999999999</v>
      </c>
      <c r="J169" s="2">
        <v>2.7538860000000001</v>
      </c>
      <c r="K169" s="2">
        <v>7.0135407000000001</v>
      </c>
      <c r="L169" s="2">
        <v>0.62393860000000001</v>
      </c>
      <c r="M169" s="2">
        <v>4.8792925</v>
      </c>
      <c r="N169" s="2">
        <v>34.378579999999999</v>
      </c>
      <c r="O169" s="2">
        <v>25.599173</v>
      </c>
      <c r="P169" s="2">
        <v>48.207639999999998</v>
      </c>
      <c r="Q169" s="2">
        <v>2.8100917000000001</v>
      </c>
      <c r="R169" s="2">
        <v>14.490556</v>
      </c>
      <c r="S169" s="2">
        <v>11.869572</v>
      </c>
      <c r="T169" s="2">
        <v>30.651320999999999</v>
      </c>
      <c r="U169" s="2">
        <v>16.270071000000002</v>
      </c>
      <c r="V169" s="2">
        <v>29.370953</v>
      </c>
      <c r="W169" s="2">
        <v>27.001383000000001</v>
      </c>
      <c r="X169" s="2">
        <v>-0.57788589999999995</v>
      </c>
      <c r="Y169" s="2">
        <v>16.250532</v>
      </c>
      <c r="Z169" s="2">
        <v>3.8338633</v>
      </c>
      <c r="AA169" s="2">
        <v>3.5583866</v>
      </c>
      <c r="AB169" s="2">
        <v>1.8828499999999999</v>
      </c>
      <c r="AC169" s="2">
        <v>2.9233395999999998</v>
      </c>
      <c r="AD169" s="2">
        <v>5.3726516000000002</v>
      </c>
      <c r="AE169" s="2">
        <v>2.7063199999999998</v>
      </c>
      <c r="AF169" s="2">
        <v>103.53252999999999</v>
      </c>
      <c r="AG169" s="2">
        <v>20.597788000000001</v>
      </c>
      <c r="AH169" s="4">
        <f t="shared" si="3"/>
        <v>353.81540310000003</v>
      </c>
    </row>
    <row r="170" spans="1:34" x14ac:dyDescent="0.2">
      <c r="A170" s="3">
        <v>39386</v>
      </c>
      <c r="B170" s="2">
        <v>-0.2716499</v>
      </c>
      <c r="C170" s="2">
        <v>21.387661000000001</v>
      </c>
      <c r="D170" s="2">
        <v>2.3817400000000002</v>
      </c>
      <c r="E170" s="2">
        <v>1.1438136000000001</v>
      </c>
      <c r="F170" s="2">
        <v>1.9617583999999999</v>
      </c>
      <c r="G170" s="2">
        <v>31.553561999999999</v>
      </c>
      <c r="H170" s="2">
        <v>16.137405000000001</v>
      </c>
      <c r="I170" s="2">
        <v>40.836533000000003</v>
      </c>
      <c r="J170" s="2">
        <v>12.530255</v>
      </c>
      <c r="K170" s="2">
        <v>12.421791000000001</v>
      </c>
      <c r="L170" s="2">
        <v>-1.9153336000000001</v>
      </c>
      <c r="M170" s="2">
        <v>6.0371446999999998</v>
      </c>
      <c r="N170" s="2">
        <v>36.655166999999999</v>
      </c>
      <c r="O170" s="2">
        <v>22.170237</v>
      </c>
      <c r="P170" s="2">
        <v>38.270159999999997</v>
      </c>
      <c r="Q170" s="2">
        <v>2.8486669999999998</v>
      </c>
      <c r="R170" s="2">
        <v>10.827152999999999</v>
      </c>
      <c r="S170" s="2">
        <v>17.364418000000001</v>
      </c>
      <c r="T170" s="2">
        <v>25.135788000000002</v>
      </c>
      <c r="U170" s="2">
        <v>14.006492</v>
      </c>
      <c r="V170" s="2">
        <v>18.339981000000002</v>
      </c>
      <c r="W170" s="2">
        <v>21.933160000000001</v>
      </c>
      <c r="X170" s="2">
        <v>7.3413800000000001E-2</v>
      </c>
      <c r="Y170" s="2">
        <v>13.176717999999999</v>
      </c>
      <c r="Z170" s="2">
        <v>4.8588709999999997</v>
      </c>
      <c r="AA170" s="2">
        <v>3.3840952</v>
      </c>
      <c r="AB170" s="2">
        <v>1.9842006999999999</v>
      </c>
      <c r="AC170" s="2">
        <v>5.3869699999999998</v>
      </c>
      <c r="AD170" s="2">
        <v>3.6624772999999999</v>
      </c>
      <c r="AE170" s="2">
        <v>7.3214072999999997</v>
      </c>
      <c r="AF170" s="2">
        <v>90.269515999999996</v>
      </c>
      <c r="AG170" s="2">
        <v>16.426651</v>
      </c>
      <c r="AH170" s="4">
        <f t="shared" si="3"/>
        <v>329.82274320000005</v>
      </c>
    </row>
    <row r="171" spans="1:34" x14ac:dyDescent="0.2">
      <c r="A171" s="3">
        <v>39416</v>
      </c>
      <c r="B171" s="2">
        <v>-1.4900753</v>
      </c>
      <c r="C171" s="2">
        <v>21.669243000000002</v>
      </c>
      <c r="D171" s="2">
        <v>1.3207738</v>
      </c>
      <c r="E171" s="2">
        <v>-5.4636025000000004</v>
      </c>
      <c r="F171" s="2">
        <v>0.46930971999999999</v>
      </c>
      <c r="G171" s="2">
        <v>28.094329999999999</v>
      </c>
      <c r="H171" s="2">
        <v>15.995062000000001</v>
      </c>
      <c r="I171" s="2">
        <v>39.941153999999997</v>
      </c>
      <c r="J171" s="2">
        <v>14.487259</v>
      </c>
      <c r="K171" s="2">
        <v>2.3522599</v>
      </c>
      <c r="L171" s="2">
        <v>-4.0268664000000003</v>
      </c>
      <c r="M171" s="2">
        <v>-1.968243</v>
      </c>
      <c r="N171" s="2">
        <v>30.364697</v>
      </c>
      <c r="O171" s="2">
        <v>24.785212999999999</v>
      </c>
      <c r="P171" s="2">
        <v>64.637020000000007</v>
      </c>
      <c r="Q171" s="2">
        <v>2.5184567000000002</v>
      </c>
      <c r="R171" s="2">
        <v>9.6960259999999998</v>
      </c>
      <c r="S171" s="2">
        <v>17.811861</v>
      </c>
      <c r="T171" s="2">
        <v>25.328571</v>
      </c>
      <c r="U171" s="2">
        <v>10.62383</v>
      </c>
      <c r="V171" s="2">
        <v>17.091802999999999</v>
      </c>
      <c r="W171" s="2">
        <v>16.068401000000001</v>
      </c>
      <c r="X171" s="2">
        <v>-0.10857649</v>
      </c>
      <c r="Y171" s="2">
        <v>12.390492</v>
      </c>
      <c r="Z171" s="2">
        <v>4.9394289999999996</v>
      </c>
      <c r="AA171" s="2">
        <v>4.2468579999999996</v>
      </c>
      <c r="AB171" s="2">
        <v>1.5713695000000001</v>
      </c>
      <c r="AC171" s="2">
        <v>4.3423895999999997</v>
      </c>
      <c r="AD171" s="2">
        <v>2.6469033</v>
      </c>
      <c r="AE171" s="2">
        <v>17.730353999999998</v>
      </c>
      <c r="AF171" s="2">
        <v>64.779489999999996</v>
      </c>
      <c r="AG171" s="2">
        <v>13.165480000000001</v>
      </c>
      <c r="AH171" s="4">
        <f t="shared" si="3"/>
        <v>314.23808192000001</v>
      </c>
    </row>
    <row r="172" spans="1:34" x14ac:dyDescent="0.2">
      <c r="A172" s="3">
        <v>39447</v>
      </c>
      <c r="B172" s="2">
        <v>-1.2423685</v>
      </c>
      <c r="C172" s="2">
        <v>22.407658000000001</v>
      </c>
      <c r="D172" s="2">
        <v>3.2894914000000002</v>
      </c>
      <c r="E172" s="2">
        <v>-1.2625002999999999</v>
      </c>
      <c r="F172" s="2">
        <v>9.5217510000000001</v>
      </c>
      <c r="G172" s="2">
        <v>28.737037999999998</v>
      </c>
      <c r="H172" s="2">
        <v>17.515093</v>
      </c>
      <c r="I172" s="2">
        <v>43.101089999999999</v>
      </c>
      <c r="J172" s="2">
        <v>19.907772000000001</v>
      </c>
      <c r="K172" s="2">
        <v>8.0125899999999994</v>
      </c>
      <c r="L172" s="2">
        <v>3.7704802000000002</v>
      </c>
      <c r="M172" s="2">
        <v>0.68341963999999999</v>
      </c>
      <c r="N172" s="2">
        <v>34.633949999999999</v>
      </c>
      <c r="O172" s="2">
        <v>23.797688000000001</v>
      </c>
      <c r="P172" s="2">
        <v>74.26943</v>
      </c>
      <c r="Q172" s="2">
        <v>1.7038594</v>
      </c>
      <c r="R172" s="2">
        <v>9.8103800000000003</v>
      </c>
      <c r="S172" s="2">
        <v>13.98868</v>
      </c>
      <c r="T172" s="2">
        <v>28.542324000000001</v>
      </c>
      <c r="U172" s="2">
        <v>7.7763220000000004</v>
      </c>
      <c r="V172" s="2">
        <v>16.631643</v>
      </c>
      <c r="W172" s="2">
        <v>11.363478000000001</v>
      </c>
      <c r="X172" s="2">
        <v>-0.48289976000000001</v>
      </c>
      <c r="Y172" s="2">
        <v>12.124226999999999</v>
      </c>
      <c r="Z172" s="2">
        <v>4.9622935999999997</v>
      </c>
      <c r="AA172" s="2">
        <v>4.6855779999999996</v>
      </c>
      <c r="AB172" s="2">
        <v>2.0506929999999999</v>
      </c>
      <c r="AC172" s="2">
        <v>4.9991417</v>
      </c>
      <c r="AD172" s="2">
        <v>2.2796438000000001</v>
      </c>
      <c r="AE172" s="2">
        <v>25.067983999999999</v>
      </c>
      <c r="AF172" s="2">
        <v>61.429825000000001</v>
      </c>
      <c r="AG172" s="2">
        <v>11.380521</v>
      </c>
      <c r="AH172" s="4">
        <f t="shared" si="3"/>
        <v>365.59579083999995</v>
      </c>
    </row>
    <row r="173" spans="1:34" x14ac:dyDescent="0.2">
      <c r="A173" s="3">
        <v>39478</v>
      </c>
      <c r="B173" s="2">
        <v>-2.3166794999999998</v>
      </c>
      <c r="C173" s="2">
        <v>20.951568999999999</v>
      </c>
      <c r="D173" s="2">
        <v>2.7537569999999998</v>
      </c>
      <c r="E173" s="2">
        <v>-6.2813344000000004</v>
      </c>
      <c r="F173" s="2">
        <v>3.717606</v>
      </c>
      <c r="G173" s="2">
        <v>15.679945</v>
      </c>
      <c r="H173" s="2">
        <v>15.455622</v>
      </c>
      <c r="I173" s="2">
        <v>39.427025</v>
      </c>
      <c r="J173" s="2">
        <v>21.714452999999999</v>
      </c>
      <c r="K173" s="2">
        <v>8.5345335000000002</v>
      </c>
      <c r="L173" s="2">
        <v>1.8040661</v>
      </c>
      <c r="M173" s="2">
        <v>2.1307510000000001</v>
      </c>
      <c r="N173" s="2">
        <v>36.003483000000003</v>
      </c>
      <c r="O173" s="2">
        <v>20.136050999999998</v>
      </c>
      <c r="P173" s="2">
        <v>68.081710000000001</v>
      </c>
      <c r="Q173" s="2">
        <v>1.8567022</v>
      </c>
      <c r="R173" s="2">
        <v>9.1171760000000006</v>
      </c>
      <c r="S173" s="2">
        <v>17.43665</v>
      </c>
      <c r="T173" s="2">
        <v>31.621293999999999</v>
      </c>
      <c r="U173" s="2">
        <v>6.0866327</v>
      </c>
      <c r="V173" s="2">
        <v>15.37749</v>
      </c>
      <c r="W173" s="2">
        <v>4.7253221999999999</v>
      </c>
      <c r="X173" s="2">
        <v>1.4948968</v>
      </c>
      <c r="Y173" s="2">
        <v>9.7503620000000009</v>
      </c>
      <c r="Z173" s="2">
        <v>3.0903246000000002</v>
      </c>
      <c r="AA173" s="2">
        <v>3.7239331999999998</v>
      </c>
      <c r="AB173" s="2">
        <v>2.1741853</v>
      </c>
      <c r="AC173" s="2">
        <v>5.1502420000000004</v>
      </c>
      <c r="AD173" s="2">
        <v>2.0723229999999999</v>
      </c>
      <c r="AE173" s="2">
        <v>29.380102000000001</v>
      </c>
      <c r="AF173" s="2">
        <v>66.289185000000003</v>
      </c>
      <c r="AG173" s="2">
        <v>9.9854590000000005</v>
      </c>
      <c r="AH173" s="4">
        <f t="shared" si="3"/>
        <v>329.28850259999996</v>
      </c>
    </row>
    <row r="174" spans="1:34" x14ac:dyDescent="0.2">
      <c r="A174" s="3">
        <v>39507</v>
      </c>
      <c r="B174" s="2">
        <v>1.3554980000000001</v>
      </c>
      <c r="C174" s="2">
        <v>25.168925999999999</v>
      </c>
      <c r="D174" s="2">
        <v>8.7597959999999997</v>
      </c>
      <c r="E174" s="2">
        <v>22.66009</v>
      </c>
      <c r="F174" s="2">
        <v>23.978892999999999</v>
      </c>
      <c r="G174" s="2">
        <v>37.471877999999997</v>
      </c>
      <c r="H174" s="2">
        <v>16.892313000000001</v>
      </c>
      <c r="I174" s="2">
        <v>38.95749</v>
      </c>
      <c r="J174" s="2">
        <v>21.024698000000001</v>
      </c>
      <c r="K174" s="2">
        <v>-1.0274779000000001</v>
      </c>
      <c r="L174" s="2">
        <v>1.7260643</v>
      </c>
      <c r="M174" s="2">
        <v>1.27563</v>
      </c>
      <c r="N174" s="2">
        <v>28.500086</v>
      </c>
      <c r="O174" s="2">
        <v>20.519539999999999</v>
      </c>
      <c r="P174" s="2">
        <v>48.471066</v>
      </c>
      <c r="Q174" s="2">
        <v>1.4173424999999999</v>
      </c>
      <c r="R174" s="2">
        <v>10.095119</v>
      </c>
      <c r="S174" s="2">
        <v>10.696399</v>
      </c>
      <c r="T174" s="2">
        <v>26.941057000000001</v>
      </c>
      <c r="U174" s="2">
        <v>7.9831557000000002</v>
      </c>
      <c r="V174" s="2">
        <v>15.840035</v>
      </c>
      <c r="W174" s="2">
        <v>0.18671953999999999</v>
      </c>
      <c r="X174" s="2">
        <v>2.286724</v>
      </c>
      <c r="Y174" s="2">
        <v>11.584642000000001</v>
      </c>
      <c r="Z174" s="2">
        <v>1.9526066</v>
      </c>
      <c r="AA174" s="2">
        <v>3.6096979999999999</v>
      </c>
      <c r="AB174" s="2">
        <v>1.8809997000000001</v>
      </c>
      <c r="AC174" s="2">
        <v>3.9764998</v>
      </c>
      <c r="AD174" s="2">
        <v>2.4172180000000001</v>
      </c>
      <c r="AE174" s="2">
        <v>23.359797</v>
      </c>
      <c r="AF174" s="2">
        <v>64.346429999999998</v>
      </c>
      <c r="AG174" s="2">
        <v>9.6982859999999995</v>
      </c>
      <c r="AH174" s="4">
        <f t="shared" si="3"/>
        <v>368.70759860000004</v>
      </c>
    </row>
    <row r="175" spans="1:34" x14ac:dyDescent="0.2">
      <c r="A175" s="3">
        <v>39538</v>
      </c>
      <c r="B175" s="2">
        <v>2.1389870000000002</v>
      </c>
      <c r="C175" s="2">
        <v>22.914062000000001</v>
      </c>
      <c r="D175" s="2">
        <v>-2.7088744999999999</v>
      </c>
      <c r="E175" s="2">
        <v>-13.835156</v>
      </c>
      <c r="F175" s="2">
        <v>-4.0731679999999999</v>
      </c>
      <c r="G175" s="2">
        <v>2.4103644000000002</v>
      </c>
      <c r="H175" s="2">
        <v>11.504358999999999</v>
      </c>
      <c r="I175" s="2">
        <v>36.963769999999997</v>
      </c>
      <c r="J175" s="2">
        <v>8.3307199999999995</v>
      </c>
      <c r="K175" s="2">
        <v>-2.6193325999999999</v>
      </c>
      <c r="L175" s="2">
        <v>-4.7011703999999996</v>
      </c>
      <c r="M175" s="2">
        <v>-0.98146129999999998</v>
      </c>
      <c r="N175" s="2">
        <v>29.326022999999999</v>
      </c>
      <c r="O175" s="2">
        <v>22.007175</v>
      </c>
      <c r="P175" s="2">
        <v>39.484318000000002</v>
      </c>
      <c r="Q175" s="2">
        <v>1.8168485999999999</v>
      </c>
      <c r="R175" s="2">
        <v>7.6974195999999999</v>
      </c>
      <c r="S175" s="2">
        <v>11.431512</v>
      </c>
      <c r="T175" s="2">
        <v>27.611484999999998</v>
      </c>
      <c r="U175" s="2">
        <v>9.9356690000000008</v>
      </c>
      <c r="V175" s="2">
        <v>17.27628</v>
      </c>
      <c r="W175" s="2">
        <v>-0.32412633000000002</v>
      </c>
      <c r="X175" s="2">
        <v>2.0695969999999999</v>
      </c>
      <c r="Y175" s="2">
        <v>12.246535</v>
      </c>
      <c r="Z175" s="2">
        <v>0.83709929999999999</v>
      </c>
      <c r="AA175" s="2">
        <v>3.6794777000000001</v>
      </c>
      <c r="AB175" s="2">
        <v>1.3727157999999999</v>
      </c>
      <c r="AC175" s="2">
        <v>3.6721857</v>
      </c>
      <c r="AD175" s="2">
        <v>3.0038738</v>
      </c>
      <c r="AE175" s="2">
        <v>12.912637</v>
      </c>
      <c r="AF175" s="2">
        <v>72.785415999999998</v>
      </c>
      <c r="AG175" s="2">
        <v>11.340035</v>
      </c>
      <c r="AH175" s="4">
        <f t="shared" si="3"/>
        <v>221.92982979999994</v>
      </c>
    </row>
    <row r="176" spans="1:34" x14ac:dyDescent="0.2">
      <c r="A176" s="3">
        <v>39568</v>
      </c>
      <c r="B176" s="2">
        <v>2.9930425000000001</v>
      </c>
      <c r="C176" s="2">
        <v>22.285464999999999</v>
      </c>
      <c r="D176" s="2">
        <v>-7.4170730000000002</v>
      </c>
      <c r="E176" s="2">
        <v>-18.408574999999999</v>
      </c>
      <c r="F176" s="2">
        <v>-7.0718350000000001</v>
      </c>
      <c r="G176" s="2">
        <v>-6.8433403999999998</v>
      </c>
      <c r="H176" s="2">
        <v>10.797655000000001</v>
      </c>
      <c r="I176" s="2">
        <v>36.717390000000002</v>
      </c>
      <c r="J176" s="2">
        <v>3.6361002999999998</v>
      </c>
      <c r="K176" s="2">
        <v>4.8106923000000004</v>
      </c>
      <c r="L176" s="2">
        <v>0.98987820000000004</v>
      </c>
      <c r="M176" s="2">
        <v>2.5858698000000002</v>
      </c>
      <c r="N176" s="2">
        <v>30.143588999999999</v>
      </c>
      <c r="O176" s="2">
        <v>22.119271999999999</v>
      </c>
      <c r="P176" s="2">
        <v>45.727817999999999</v>
      </c>
      <c r="Q176" s="2">
        <v>0.49738058000000002</v>
      </c>
      <c r="R176" s="2">
        <v>8.5371229999999994</v>
      </c>
      <c r="S176" s="2">
        <v>11.303894</v>
      </c>
      <c r="T176" s="2">
        <v>29.961411999999999</v>
      </c>
      <c r="U176" s="2">
        <v>12.756663</v>
      </c>
      <c r="V176" s="2">
        <v>19.791885000000001</v>
      </c>
      <c r="W176" s="2">
        <v>-0.41579744000000002</v>
      </c>
      <c r="X176" s="2">
        <v>3.3790060999999998</v>
      </c>
      <c r="Y176" s="2">
        <v>14.718106000000001</v>
      </c>
      <c r="Z176" s="2">
        <v>2.0366213000000002</v>
      </c>
      <c r="AA176" s="2">
        <v>7.3013570000000003</v>
      </c>
      <c r="AB176" s="2">
        <v>1.6494864</v>
      </c>
      <c r="AC176" s="2">
        <v>3.8107785999999999</v>
      </c>
      <c r="AD176" s="2">
        <v>4.0966069999999997</v>
      </c>
      <c r="AE176" s="2">
        <v>8.0930459999999993</v>
      </c>
      <c r="AF176" s="2">
        <v>88.35087</v>
      </c>
      <c r="AG176" s="2">
        <v>14.276388000000001</v>
      </c>
      <c r="AH176" s="4">
        <f t="shared" si="3"/>
        <v>225.91430627999998</v>
      </c>
    </row>
    <row r="177" spans="1:34" x14ac:dyDescent="0.2">
      <c r="A177" s="3">
        <v>39599</v>
      </c>
      <c r="B177" s="2">
        <v>6.3344345000000004</v>
      </c>
      <c r="C177" s="2">
        <v>22.981425999999999</v>
      </c>
      <c r="D177" s="2">
        <v>-4.5813584000000001</v>
      </c>
      <c r="E177" s="2">
        <v>-6.3147219999999997</v>
      </c>
      <c r="F177" s="2">
        <v>10.113892999999999</v>
      </c>
      <c r="G177" s="2">
        <v>5.5652799999999996</v>
      </c>
      <c r="H177" s="2">
        <v>13.229554</v>
      </c>
      <c r="I177" s="2">
        <v>38.631104000000001</v>
      </c>
      <c r="J177" s="2">
        <v>2.2416665999999998</v>
      </c>
      <c r="K177" s="2">
        <v>7.0677814000000003</v>
      </c>
      <c r="L177" s="2">
        <v>6.6069000000000004</v>
      </c>
      <c r="M177" s="2">
        <v>4.5413290000000002</v>
      </c>
      <c r="N177" s="2">
        <v>36.247079999999997</v>
      </c>
      <c r="O177" s="2">
        <v>28.84693</v>
      </c>
      <c r="P177" s="2">
        <v>40.560135000000002</v>
      </c>
      <c r="Q177" s="2">
        <v>1.539059</v>
      </c>
      <c r="R177" s="2">
        <v>8.8250189999999993</v>
      </c>
      <c r="S177" s="2">
        <v>16.292469000000001</v>
      </c>
      <c r="T177" s="2">
        <v>38.058205000000001</v>
      </c>
      <c r="U177" s="2">
        <v>16.949179000000001</v>
      </c>
      <c r="V177" s="2">
        <v>29.325223999999999</v>
      </c>
      <c r="W177" s="2">
        <v>4.5135645999999996</v>
      </c>
      <c r="X177" s="2">
        <v>2.5164623000000002</v>
      </c>
      <c r="Y177" s="2">
        <v>16.678021999999999</v>
      </c>
      <c r="Z177" s="2">
        <v>0.94136816000000001</v>
      </c>
      <c r="AA177" s="2">
        <v>4.7437719999999999</v>
      </c>
      <c r="AB177" s="2">
        <v>1.6929810999999999</v>
      </c>
      <c r="AC177" s="2">
        <v>3.1652421999999998</v>
      </c>
      <c r="AD177" s="2">
        <v>5.8086295000000003</v>
      </c>
      <c r="AE177" s="2">
        <v>1.6861472</v>
      </c>
      <c r="AF177" s="2">
        <v>100.83311500000001</v>
      </c>
      <c r="AG177" s="2">
        <v>17.733145</v>
      </c>
      <c r="AH177" s="4">
        <f t="shared" si="3"/>
        <v>323.06058810000002</v>
      </c>
    </row>
    <row r="178" spans="1:34" x14ac:dyDescent="0.2">
      <c r="A178" s="3">
        <v>39629</v>
      </c>
      <c r="B178" s="2">
        <v>8.7963280000000008</v>
      </c>
      <c r="C178" s="2">
        <v>23.851752999999999</v>
      </c>
      <c r="D178" s="2">
        <v>-3.8471476999999998</v>
      </c>
      <c r="E178" s="2">
        <v>-7.7982250000000004</v>
      </c>
      <c r="F178" s="2">
        <v>7.1549849999999999</v>
      </c>
      <c r="G178" s="2">
        <v>9.6572870000000002</v>
      </c>
      <c r="H178" s="2">
        <v>12.815443</v>
      </c>
      <c r="I178" s="2">
        <v>38.616720000000001</v>
      </c>
      <c r="J178" s="2">
        <v>-0.52021664000000001</v>
      </c>
      <c r="K178" s="2">
        <v>0.53186469999999997</v>
      </c>
      <c r="L178" s="2">
        <v>0.64916985999999999</v>
      </c>
      <c r="M178" s="2">
        <v>1.3252197999999999</v>
      </c>
      <c r="N178" s="2">
        <v>28.001895999999999</v>
      </c>
      <c r="O178" s="2">
        <v>28.779689999999999</v>
      </c>
      <c r="P178" s="2">
        <v>52.770904999999999</v>
      </c>
      <c r="Q178" s="2">
        <v>2.2222914999999999</v>
      </c>
      <c r="R178" s="2">
        <v>11.608809000000001</v>
      </c>
      <c r="S178" s="2">
        <v>10.486855500000001</v>
      </c>
      <c r="T178" s="2">
        <v>35.002913999999997</v>
      </c>
      <c r="U178" s="2">
        <v>19.529157999999999</v>
      </c>
      <c r="V178" s="2">
        <v>35.684246000000002</v>
      </c>
      <c r="W178" s="2">
        <v>18.670712000000002</v>
      </c>
      <c r="X178" s="2">
        <v>0.51789450000000004</v>
      </c>
      <c r="Y178" s="2">
        <v>19.853961999999999</v>
      </c>
      <c r="Z178" s="2">
        <v>1.4071077999999999</v>
      </c>
      <c r="AA178" s="2">
        <v>4.0132139999999996</v>
      </c>
      <c r="AB178" s="2">
        <v>1.3858466</v>
      </c>
      <c r="AC178" s="2">
        <v>2.9167225000000001</v>
      </c>
      <c r="AD178" s="2">
        <v>8.1451600000000006</v>
      </c>
      <c r="AE178" s="2">
        <v>-0.71892230000000001</v>
      </c>
      <c r="AF178" s="2">
        <v>112.24875</v>
      </c>
      <c r="AG178" s="2">
        <v>22.226486000000001</v>
      </c>
      <c r="AH178" s="4">
        <f t="shared" si="3"/>
        <v>315.31994601999997</v>
      </c>
    </row>
    <row r="179" spans="1:34" x14ac:dyDescent="0.2">
      <c r="A179" s="3">
        <v>39660</v>
      </c>
      <c r="B179" s="2">
        <v>8.4040119999999998</v>
      </c>
      <c r="C179" s="2">
        <v>24.746995999999999</v>
      </c>
      <c r="D179" s="2">
        <v>-4.2764499999999996</v>
      </c>
      <c r="E179" s="2">
        <v>-12.540241</v>
      </c>
      <c r="F179" s="2">
        <v>9.1534969999999998</v>
      </c>
      <c r="G179" s="2">
        <v>10.235970500000001</v>
      </c>
      <c r="H179" s="2">
        <v>14.055863</v>
      </c>
      <c r="I179" s="2">
        <v>35.419764999999998</v>
      </c>
      <c r="J179" s="2">
        <v>-1.2111869</v>
      </c>
      <c r="K179" s="2">
        <v>4.0893249999999997</v>
      </c>
      <c r="L179" s="2">
        <v>3.3547194</v>
      </c>
      <c r="M179" s="2">
        <v>4.4363264999999998</v>
      </c>
      <c r="N179" s="2">
        <v>37.572871999999997</v>
      </c>
      <c r="O179" s="2">
        <v>23.016767999999999</v>
      </c>
      <c r="P179" s="2">
        <v>55.558895</v>
      </c>
      <c r="Q179" s="2">
        <v>3.3544588000000002</v>
      </c>
      <c r="R179" s="2">
        <v>11.625572</v>
      </c>
      <c r="S179" s="2">
        <v>13.805116999999999</v>
      </c>
      <c r="T179" s="2">
        <v>33.480269999999997</v>
      </c>
      <c r="U179" s="2">
        <v>17.798838</v>
      </c>
      <c r="V179" s="2">
        <v>37.249003999999999</v>
      </c>
      <c r="W179" s="2">
        <v>29.547491000000001</v>
      </c>
      <c r="X179" s="2">
        <v>1.2787907000000001</v>
      </c>
      <c r="Y179" s="2">
        <v>17.448359</v>
      </c>
      <c r="Z179" s="2">
        <v>2.5047367</v>
      </c>
      <c r="AA179" s="2">
        <v>3.6205121999999998</v>
      </c>
      <c r="AB179" s="2">
        <v>1.2425866000000001</v>
      </c>
      <c r="AC179" s="2">
        <v>3.8218174</v>
      </c>
      <c r="AD179" s="2">
        <v>9.5413599999999992</v>
      </c>
      <c r="AE179" s="2">
        <v>-0.69326513999999995</v>
      </c>
      <c r="AF179" s="2">
        <v>119.20957</v>
      </c>
      <c r="AG179" s="2">
        <v>23.445549</v>
      </c>
      <c r="AH179" s="4">
        <f t="shared" si="3"/>
        <v>329.33039130000003</v>
      </c>
    </row>
    <row r="180" spans="1:34" x14ac:dyDescent="0.2">
      <c r="A180" s="3">
        <v>39691</v>
      </c>
      <c r="B180" s="2">
        <v>3.9066559999999999</v>
      </c>
      <c r="C180" s="2">
        <v>24.223065999999999</v>
      </c>
      <c r="D180" s="2">
        <v>-2.7336290000000001</v>
      </c>
      <c r="E180" s="2">
        <v>-13.576169999999999</v>
      </c>
      <c r="F180" s="2">
        <v>1.3520205999999999</v>
      </c>
      <c r="G180" s="2">
        <v>14.966975</v>
      </c>
      <c r="H180" s="2">
        <v>15.010577</v>
      </c>
      <c r="I180" s="2">
        <v>38.555706000000001</v>
      </c>
      <c r="J180" s="2">
        <v>2.5547373000000002</v>
      </c>
      <c r="K180" s="2">
        <v>7.5789679999999997</v>
      </c>
      <c r="L180" s="2">
        <v>3.5162444000000002</v>
      </c>
      <c r="M180" s="2">
        <v>5.7827950000000001</v>
      </c>
      <c r="N180" s="2">
        <v>37.562309999999997</v>
      </c>
      <c r="O180" s="2">
        <v>23.76408</v>
      </c>
      <c r="P180" s="2">
        <v>61.149464000000002</v>
      </c>
      <c r="Q180" s="2">
        <v>1.622935</v>
      </c>
      <c r="R180" s="2">
        <v>12.652412</v>
      </c>
      <c r="S180" s="2">
        <v>15.033099</v>
      </c>
      <c r="T180" s="2">
        <v>32.145836000000003</v>
      </c>
      <c r="U180" s="2">
        <v>15.801743500000001</v>
      </c>
      <c r="V180" s="2">
        <v>33.298259999999999</v>
      </c>
      <c r="W180" s="2">
        <v>29.454407</v>
      </c>
      <c r="X180" s="2">
        <v>0.72719926000000001</v>
      </c>
      <c r="Y180" s="2">
        <v>16.474577</v>
      </c>
      <c r="Z180" s="2">
        <v>2.9362146999999998</v>
      </c>
      <c r="AA180" s="2">
        <v>2.3641964999999998</v>
      </c>
      <c r="AB180" s="2">
        <v>1.2208178999999999</v>
      </c>
      <c r="AC180" s="2">
        <v>1.9497751000000001</v>
      </c>
      <c r="AD180" s="2">
        <v>8.2718389999999999</v>
      </c>
      <c r="AE180" s="2">
        <v>-0.91497534999999997</v>
      </c>
      <c r="AF180" s="2">
        <v>114.815186</v>
      </c>
      <c r="AG180" s="2">
        <v>23.491568000000001</v>
      </c>
      <c r="AH180" s="4">
        <f t="shared" si="3"/>
        <v>334.16808579999997</v>
      </c>
    </row>
    <row r="181" spans="1:34" x14ac:dyDescent="0.2">
      <c r="A181" s="3">
        <v>39721</v>
      </c>
      <c r="B181" s="2">
        <v>3.2013772</v>
      </c>
      <c r="C181" s="2">
        <v>26.235797999999999</v>
      </c>
      <c r="D181" s="2">
        <v>2.6866615</v>
      </c>
      <c r="E181" s="2">
        <v>9.3266650000000002</v>
      </c>
      <c r="F181" s="2">
        <v>20.565124999999998</v>
      </c>
      <c r="G181" s="2">
        <v>42.396380000000001</v>
      </c>
      <c r="H181" s="2">
        <v>17.556194000000001</v>
      </c>
      <c r="I181" s="2">
        <v>41.485306000000001</v>
      </c>
      <c r="J181" s="2">
        <v>16.087612</v>
      </c>
      <c r="K181" s="2">
        <v>18.017088000000001</v>
      </c>
      <c r="L181" s="2">
        <v>10.039327</v>
      </c>
      <c r="M181" s="2">
        <v>10.078123</v>
      </c>
      <c r="N181" s="2">
        <v>46.422187999999998</v>
      </c>
      <c r="O181" s="2">
        <v>23.483170999999999</v>
      </c>
      <c r="P181" s="2">
        <v>44.484940000000002</v>
      </c>
      <c r="Q181" s="2">
        <v>0.85198693999999997</v>
      </c>
      <c r="R181" s="2">
        <v>14.862574</v>
      </c>
      <c r="S181" s="2">
        <v>23.070055</v>
      </c>
      <c r="T181" s="2">
        <v>35.354346999999997</v>
      </c>
      <c r="U181" s="2">
        <v>12.322068</v>
      </c>
      <c r="V181" s="2">
        <v>26.680271000000001</v>
      </c>
      <c r="W181" s="2">
        <v>27.36777</v>
      </c>
      <c r="X181" s="2">
        <v>9.7369360000000002E-2</v>
      </c>
      <c r="Y181" s="2">
        <v>13.21744</v>
      </c>
      <c r="Z181" s="2">
        <v>3.830006</v>
      </c>
      <c r="AA181" s="2">
        <v>2.3005369</v>
      </c>
      <c r="AB181" s="2">
        <v>2.2778429999999998</v>
      </c>
      <c r="AC181" s="2">
        <v>2.7778456</v>
      </c>
      <c r="AD181" s="2">
        <v>5.6999950000000004</v>
      </c>
      <c r="AE181" s="2">
        <v>1.9749523</v>
      </c>
      <c r="AF181" s="2">
        <v>108.14690400000001</v>
      </c>
      <c r="AG181" s="2">
        <v>20.229389999999999</v>
      </c>
      <c r="AH181" s="4">
        <f t="shared" si="3"/>
        <v>445.20725764000014</v>
      </c>
    </row>
    <row r="182" spans="1:34" x14ac:dyDescent="0.2">
      <c r="A182" s="3">
        <v>39752</v>
      </c>
      <c r="B182" s="2">
        <v>1.7770054</v>
      </c>
      <c r="C182" s="2">
        <v>24.679026</v>
      </c>
      <c r="D182" s="2">
        <v>-0.86678460000000002</v>
      </c>
      <c r="E182" s="2">
        <v>-0.35646032999999999</v>
      </c>
      <c r="F182" s="2">
        <v>13.333660999999999</v>
      </c>
      <c r="G182" s="2">
        <v>30.625143000000001</v>
      </c>
      <c r="H182" s="2">
        <v>15.954046999999999</v>
      </c>
      <c r="I182" s="2">
        <v>39.346040000000002</v>
      </c>
      <c r="J182" s="2">
        <v>17.020864</v>
      </c>
      <c r="K182" s="2">
        <v>17.204930999999998</v>
      </c>
      <c r="L182" s="2">
        <v>2.7501730000000002</v>
      </c>
      <c r="M182" s="2">
        <v>6.3898834999999998</v>
      </c>
      <c r="N182" s="2">
        <v>43.189101999999998</v>
      </c>
      <c r="O182" s="2">
        <v>22.289808000000001</v>
      </c>
      <c r="P182" s="2">
        <v>57.170321999999999</v>
      </c>
      <c r="Q182" s="2">
        <v>2.5810002999999999</v>
      </c>
      <c r="R182" s="2">
        <v>13.992015</v>
      </c>
      <c r="S182" s="2">
        <v>26.417888999999999</v>
      </c>
      <c r="T182" s="2">
        <v>31.533695000000002</v>
      </c>
      <c r="U182" s="2">
        <v>11.690179000000001</v>
      </c>
      <c r="V182" s="2">
        <v>21.87256</v>
      </c>
      <c r="W182" s="2">
        <v>21.924488</v>
      </c>
      <c r="X182" s="2">
        <v>0.31677830000000001</v>
      </c>
      <c r="Y182" s="2">
        <v>12.267008000000001</v>
      </c>
      <c r="Z182" s="2">
        <v>5.0323997</v>
      </c>
      <c r="AA182" s="2">
        <v>4.3079742999999997</v>
      </c>
      <c r="AB182" s="2">
        <v>2.8761700000000001</v>
      </c>
      <c r="AC182" s="2">
        <v>4.2006763999999999</v>
      </c>
      <c r="AD182" s="2">
        <v>3.9349747000000002</v>
      </c>
      <c r="AE182" s="2">
        <v>7.2080153999999999</v>
      </c>
      <c r="AF182" s="2">
        <v>95.483750000000001</v>
      </c>
      <c r="AG182" s="2">
        <v>16.198473</v>
      </c>
      <c r="AH182" s="4">
        <f t="shared" si="3"/>
        <v>398.59409927000002</v>
      </c>
    </row>
    <row r="183" spans="1:34" x14ac:dyDescent="0.2">
      <c r="A183" s="3">
        <v>39782</v>
      </c>
      <c r="B183" s="2">
        <v>-0.22125348</v>
      </c>
      <c r="C183" s="2">
        <v>21.946152000000001</v>
      </c>
      <c r="D183" s="2">
        <v>-4.9316963999999999</v>
      </c>
      <c r="E183" s="2">
        <v>-20.765637999999999</v>
      </c>
      <c r="F183" s="2">
        <v>-4.1896069999999996</v>
      </c>
      <c r="G183" s="2">
        <v>8.6625510000000006</v>
      </c>
      <c r="H183" s="2">
        <v>13.396008999999999</v>
      </c>
      <c r="I183" s="2">
        <v>40.807495000000003</v>
      </c>
      <c r="J183" s="2">
        <v>15.430933</v>
      </c>
      <c r="K183" s="2">
        <v>5.8907930000000004</v>
      </c>
      <c r="L183" s="2">
        <v>3.16438</v>
      </c>
      <c r="M183" s="2">
        <v>2.7229291999999998</v>
      </c>
      <c r="N183" s="2">
        <v>34.678400000000003</v>
      </c>
      <c r="O183" s="2">
        <v>25.962009999999999</v>
      </c>
      <c r="P183" s="2">
        <v>70.273110000000003</v>
      </c>
      <c r="Q183" s="2">
        <v>3.9202184999999998</v>
      </c>
      <c r="R183" s="2">
        <v>14.295931</v>
      </c>
      <c r="S183" s="2">
        <v>19.362687999999999</v>
      </c>
      <c r="T183" s="2">
        <v>31.651734999999999</v>
      </c>
      <c r="U183" s="2">
        <v>13.383067</v>
      </c>
      <c r="V183" s="2">
        <v>18.170083999999999</v>
      </c>
      <c r="W183" s="2">
        <v>15.689322000000001</v>
      </c>
      <c r="X183" s="2">
        <v>0.64409850000000002</v>
      </c>
      <c r="Y183" s="2">
        <v>10.139471</v>
      </c>
      <c r="Z183" s="2">
        <v>5.7262497000000003</v>
      </c>
      <c r="AA183" s="2">
        <v>3.0803113</v>
      </c>
      <c r="AB183" s="2">
        <v>1.828784</v>
      </c>
      <c r="AC183" s="2">
        <v>3.9093087</v>
      </c>
      <c r="AD183" s="2">
        <v>3.1349914000000001</v>
      </c>
      <c r="AE183" s="2">
        <v>17.046441999999999</v>
      </c>
      <c r="AF183" s="2">
        <v>69.499465999999998</v>
      </c>
      <c r="AG183" s="2">
        <v>13.133361000000001</v>
      </c>
      <c r="AH183" s="4">
        <f t="shared" si="3"/>
        <v>313.61029081999993</v>
      </c>
    </row>
    <row r="184" spans="1:34" x14ac:dyDescent="0.2">
      <c r="A184" s="3">
        <v>39813</v>
      </c>
      <c r="B184" s="2">
        <v>1.8183856</v>
      </c>
      <c r="C184" s="2">
        <v>23.781427000000001</v>
      </c>
      <c r="D184" s="2">
        <v>0.40827609999999998</v>
      </c>
      <c r="E184" s="2">
        <v>-2.5763652000000001</v>
      </c>
      <c r="F184" s="2">
        <v>2.6874769000000001</v>
      </c>
      <c r="G184" s="2">
        <v>20.445540000000001</v>
      </c>
      <c r="H184" s="2">
        <v>15.876013</v>
      </c>
      <c r="I184" s="2">
        <v>41.018925000000003</v>
      </c>
      <c r="J184" s="2">
        <v>14.039028999999999</v>
      </c>
      <c r="K184" s="2">
        <v>3.1945233000000002</v>
      </c>
      <c r="L184" s="2">
        <v>4.0053460000000003</v>
      </c>
      <c r="M184" s="2">
        <v>2.083507</v>
      </c>
      <c r="N184" s="2">
        <v>32.038960000000003</v>
      </c>
      <c r="O184" s="2">
        <v>22.229928999999998</v>
      </c>
      <c r="P184" s="2">
        <v>58.074092999999998</v>
      </c>
      <c r="Q184" s="2">
        <v>3.8349147000000001</v>
      </c>
      <c r="R184" s="2">
        <v>11.634641999999999</v>
      </c>
      <c r="S184" s="2">
        <v>16.865756999999999</v>
      </c>
      <c r="T184" s="2">
        <v>33.511040000000001</v>
      </c>
      <c r="U184" s="2">
        <v>11.80012</v>
      </c>
      <c r="V184" s="2">
        <v>17.319179999999999</v>
      </c>
      <c r="W184" s="2">
        <v>11.344948</v>
      </c>
      <c r="X184" s="2">
        <v>0.26655889999999999</v>
      </c>
      <c r="Y184" s="2">
        <v>9.6280575000000006</v>
      </c>
      <c r="Z184" s="2">
        <v>5.6695546999999999</v>
      </c>
      <c r="AA184" s="2">
        <v>3.6547754000000001</v>
      </c>
      <c r="AB184" s="2">
        <v>1.4726672999999999</v>
      </c>
      <c r="AC184" s="2">
        <v>4.8124384999999998</v>
      </c>
      <c r="AD184" s="2">
        <v>2.5786642999999998</v>
      </c>
      <c r="AE184" s="2">
        <v>24.001719000000001</v>
      </c>
      <c r="AF184" s="2">
        <v>64.260159999999999</v>
      </c>
      <c r="AG184" s="2">
        <v>11.510477</v>
      </c>
      <c r="AH184" s="4">
        <f t="shared" si="3"/>
        <v>334.09071940000001</v>
      </c>
    </row>
    <row r="185" spans="1:34" x14ac:dyDescent="0.2">
      <c r="A185" s="3">
        <v>39844</v>
      </c>
      <c r="B185" s="2">
        <v>0.59629650000000001</v>
      </c>
      <c r="C185" s="2">
        <v>22.411947000000001</v>
      </c>
      <c r="D185" s="2">
        <v>5.4810129999999999</v>
      </c>
      <c r="E185" s="2">
        <v>4.3282832999999998</v>
      </c>
      <c r="F185" s="2">
        <v>9.1514520000000008</v>
      </c>
      <c r="G185" s="2">
        <v>25.894494999999999</v>
      </c>
      <c r="H185" s="2">
        <v>14.189444</v>
      </c>
      <c r="I185" s="2">
        <v>35.686337000000002</v>
      </c>
      <c r="J185" s="2">
        <v>17.655128000000001</v>
      </c>
      <c r="K185" s="2">
        <v>-3.7927718000000001</v>
      </c>
      <c r="L185" s="2">
        <v>-6.7942457000000003</v>
      </c>
      <c r="M185" s="2">
        <v>-1.6735838999999999</v>
      </c>
      <c r="N185" s="2">
        <v>27.195295000000002</v>
      </c>
      <c r="O185" s="2">
        <v>21.316032</v>
      </c>
      <c r="P185" s="2">
        <v>64.705550000000002</v>
      </c>
      <c r="Q185" s="2">
        <v>3.1787930000000002</v>
      </c>
      <c r="R185" s="2">
        <v>9.9277370000000005</v>
      </c>
      <c r="S185" s="2">
        <v>11.531921000000001</v>
      </c>
      <c r="T185" s="2">
        <v>36.001277999999999</v>
      </c>
      <c r="U185" s="2">
        <v>10.2681</v>
      </c>
      <c r="V185" s="2">
        <v>19.053267999999999</v>
      </c>
      <c r="W185" s="2">
        <v>4.7216060000000004</v>
      </c>
      <c r="X185" s="2">
        <v>3.4517647999999999</v>
      </c>
      <c r="Y185" s="2">
        <v>9.6107569999999996</v>
      </c>
      <c r="Z185" s="2">
        <v>2.9125257000000002</v>
      </c>
      <c r="AA185" s="2">
        <v>4.6509119999999999</v>
      </c>
      <c r="AB185" s="2">
        <v>2.4190933999999999</v>
      </c>
      <c r="AC185" s="2">
        <v>6.1842180000000004</v>
      </c>
      <c r="AD185" s="2">
        <v>1.9886655</v>
      </c>
      <c r="AE185" s="2">
        <v>26.758112000000001</v>
      </c>
      <c r="AF185" s="2">
        <v>66.787080000000003</v>
      </c>
      <c r="AG185" s="2">
        <v>10.091144999999999</v>
      </c>
      <c r="AH185" s="4">
        <f t="shared" si="3"/>
        <v>326.31176840000006</v>
      </c>
    </row>
    <row r="186" spans="1:34" x14ac:dyDescent="0.2">
      <c r="A186" s="3">
        <v>39872</v>
      </c>
      <c r="B186" s="2">
        <v>1.6761041999999999</v>
      </c>
      <c r="C186" s="2">
        <v>22.803833000000001</v>
      </c>
      <c r="D186" s="2">
        <v>2.3577561</v>
      </c>
      <c r="E186" s="2">
        <v>1.2231386</v>
      </c>
      <c r="F186" s="2">
        <v>10.549395000000001</v>
      </c>
      <c r="G186" s="2">
        <v>29.7239</v>
      </c>
      <c r="H186" s="2">
        <v>14.405146999999999</v>
      </c>
      <c r="I186" s="2">
        <v>38.537219999999998</v>
      </c>
      <c r="J186" s="2">
        <v>18.164784999999998</v>
      </c>
      <c r="K186" s="2">
        <v>8.6174490000000006</v>
      </c>
      <c r="L186" s="2">
        <v>-1.4266323000000001</v>
      </c>
      <c r="M186" s="2">
        <v>5.1344132</v>
      </c>
      <c r="N186" s="2">
        <v>34.869619999999998</v>
      </c>
      <c r="O186" s="2">
        <v>22.958985999999999</v>
      </c>
      <c r="P186" s="2">
        <v>34.40851</v>
      </c>
      <c r="Q186" s="2">
        <v>2.8470081999999999</v>
      </c>
      <c r="R186" s="2">
        <v>9.5022179999999992</v>
      </c>
      <c r="S186" s="2">
        <v>16.793044999999999</v>
      </c>
      <c r="T186" s="2">
        <v>32.694541999999998</v>
      </c>
      <c r="U186" s="2">
        <v>10.935052000000001</v>
      </c>
      <c r="V186" s="2">
        <v>18.994577</v>
      </c>
      <c r="W186" s="2">
        <v>0.190668</v>
      </c>
      <c r="X186" s="2">
        <v>4.0577063999999998</v>
      </c>
      <c r="Y186" s="2">
        <v>9.3616460000000004</v>
      </c>
      <c r="Z186" s="2">
        <v>1.6801263</v>
      </c>
      <c r="AA186" s="2">
        <v>3.7061069999999998</v>
      </c>
      <c r="AB186" s="2">
        <v>2.2030696999999999</v>
      </c>
      <c r="AC186" s="2">
        <v>4.1802349999999997</v>
      </c>
      <c r="AD186" s="2">
        <v>2.4885442000000002</v>
      </c>
      <c r="AE186" s="2">
        <v>23.351669999999999</v>
      </c>
      <c r="AF186" s="2">
        <v>65.579414</v>
      </c>
      <c r="AG186" s="2">
        <v>9.7060370000000002</v>
      </c>
      <c r="AH186" s="4">
        <f t="shared" si="3"/>
        <v>335.77006699999998</v>
      </c>
    </row>
    <row r="187" spans="1:34" x14ac:dyDescent="0.2">
      <c r="A187" s="3">
        <v>39903</v>
      </c>
      <c r="B187" s="2">
        <v>3.3901545999999998</v>
      </c>
      <c r="C187" s="2">
        <v>22.976938000000001</v>
      </c>
      <c r="D187" s="2">
        <v>0.3487112</v>
      </c>
      <c r="E187" s="2">
        <v>-4.3709030000000002</v>
      </c>
      <c r="F187" s="2">
        <v>0.60158235000000004</v>
      </c>
      <c r="G187" s="2">
        <v>13.886469</v>
      </c>
      <c r="H187" s="2">
        <v>12.783515</v>
      </c>
      <c r="I187" s="2">
        <v>36.625779999999999</v>
      </c>
      <c r="J187" s="2">
        <v>11.419764000000001</v>
      </c>
      <c r="K187" s="2">
        <v>9.8906050000000008</v>
      </c>
      <c r="L187" s="2">
        <v>-7.0165369999999996</v>
      </c>
      <c r="M187" s="2">
        <v>1.8935351</v>
      </c>
      <c r="N187" s="2">
        <v>32.044960000000003</v>
      </c>
      <c r="O187" s="2">
        <v>22.662662999999998</v>
      </c>
      <c r="P187" s="2">
        <v>60.812849999999997</v>
      </c>
      <c r="Q187" s="2">
        <v>3.1662767000000001</v>
      </c>
      <c r="R187" s="2">
        <v>8.9064589999999999</v>
      </c>
      <c r="S187" s="2">
        <v>17.017523000000001</v>
      </c>
      <c r="T187" s="2">
        <v>36.353301999999999</v>
      </c>
      <c r="U187" s="2">
        <v>11.317702000000001</v>
      </c>
      <c r="V187" s="2">
        <v>20.870508000000001</v>
      </c>
      <c r="W187" s="2">
        <v>-2.8520903E-2</v>
      </c>
      <c r="X187" s="2">
        <v>3.5835192</v>
      </c>
      <c r="Y187" s="2">
        <v>11.254129000000001</v>
      </c>
      <c r="Z187" s="2">
        <v>1.6477569000000001</v>
      </c>
      <c r="AA187" s="2">
        <v>5.1624739999999996</v>
      </c>
      <c r="AB187" s="2">
        <v>2.0392518000000002</v>
      </c>
      <c r="AC187" s="2">
        <v>2.9669819999999998</v>
      </c>
      <c r="AD187" s="2">
        <v>2.8619080000000001</v>
      </c>
      <c r="AE187" s="2">
        <v>16.891922000000001</v>
      </c>
      <c r="AF187" s="2">
        <v>75.712360000000004</v>
      </c>
      <c r="AG187" s="2">
        <v>10.851927999999999</v>
      </c>
      <c r="AH187" s="4">
        <f t="shared" si="3"/>
        <v>315.58185794999997</v>
      </c>
    </row>
    <row r="188" spans="1:34" x14ac:dyDescent="0.2">
      <c r="A188" s="3">
        <v>39933</v>
      </c>
      <c r="B188" s="2">
        <v>4.8118433999999999</v>
      </c>
      <c r="C188" s="2">
        <v>24.081071999999999</v>
      </c>
      <c r="D188" s="2">
        <v>-1.5867049</v>
      </c>
      <c r="E188" s="2">
        <v>6.6564100000000002</v>
      </c>
      <c r="F188" s="2">
        <v>22.770085999999999</v>
      </c>
      <c r="G188" s="2">
        <v>11.715745</v>
      </c>
      <c r="H188" s="2">
        <v>15.226959000000001</v>
      </c>
      <c r="I188" s="2">
        <v>36.241819999999997</v>
      </c>
      <c r="J188" s="2">
        <v>5.2588039999999996</v>
      </c>
      <c r="K188" s="2">
        <v>3.1186614000000001</v>
      </c>
      <c r="L188" s="2">
        <v>1.1482201999999999</v>
      </c>
      <c r="M188" s="2">
        <v>2.4985094000000001</v>
      </c>
      <c r="N188" s="2">
        <v>30.82713</v>
      </c>
      <c r="O188" s="2">
        <v>22.903068999999999</v>
      </c>
      <c r="P188" s="2">
        <v>71.454939999999993</v>
      </c>
      <c r="Q188" s="2">
        <v>1.5679803000000001</v>
      </c>
      <c r="R188" s="2">
        <v>8.8296510000000001</v>
      </c>
      <c r="S188" s="2">
        <v>14.689596</v>
      </c>
      <c r="T188" s="2">
        <v>38.26193</v>
      </c>
      <c r="U188" s="2">
        <v>9.8956540000000004</v>
      </c>
      <c r="V188" s="2">
        <v>22.295522999999999</v>
      </c>
      <c r="W188" s="2">
        <v>-0.23303388</v>
      </c>
      <c r="X188" s="2">
        <v>4.6720230000000003</v>
      </c>
      <c r="Y188" s="2">
        <v>14.221171999999999</v>
      </c>
      <c r="Z188" s="2">
        <v>0.23621123999999999</v>
      </c>
      <c r="AA188" s="2">
        <v>4.3506499999999999</v>
      </c>
      <c r="AB188" s="2">
        <v>1.654115</v>
      </c>
      <c r="AC188" s="2">
        <v>2.8071198000000002</v>
      </c>
      <c r="AD188" s="2">
        <v>3.8793323000000002</v>
      </c>
      <c r="AE188" s="2">
        <v>8.3660800000000002</v>
      </c>
      <c r="AF188" s="2">
        <v>89.219986000000006</v>
      </c>
      <c r="AG188" s="2">
        <v>13.948611</v>
      </c>
      <c r="AH188" s="4">
        <f t="shared" si="3"/>
        <v>352.66689879999996</v>
      </c>
    </row>
    <row r="189" spans="1:34" x14ac:dyDescent="0.2">
      <c r="A189" s="3">
        <v>39964</v>
      </c>
      <c r="B189" s="2">
        <v>4.6011205000000004</v>
      </c>
      <c r="C189" s="2">
        <v>22.249079999999999</v>
      </c>
      <c r="D189" s="2">
        <v>-5.9120020000000002</v>
      </c>
      <c r="E189" s="2">
        <v>-14.121980000000001</v>
      </c>
      <c r="F189" s="2">
        <v>-2.5275948000000001</v>
      </c>
      <c r="G189" s="2">
        <v>-2.1183201999999999</v>
      </c>
      <c r="H189" s="2">
        <v>14.053352</v>
      </c>
      <c r="I189" s="2">
        <v>35.823025000000001</v>
      </c>
      <c r="J189" s="2">
        <v>-1.0275116</v>
      </c>
      <c r="K189" s="2">
        <v>2.1361694</v>
      </c>
      <c r="L189" s="2">
        <v>1.9958385999999999</v>
      </c>
      <c r="M189" s="2">
        <v>1.1244186</v>
      </c>
      <c r="N189" s="2">
        <v>28.483324</v>
      </c>
      <c r="O189" s="2">
        <v>26.382048000000001</v>
      </c>
      <c r="P189" s="2">
        <v>59.268070000000002</v>
      </c>
      <c r="Q189" s="2">
        <v>1.7743407</v>
      </c>
      <c r="R189" s="2">
        <v>7.1349096000000003</v>
      </c>
      <c r="S189" s="2">
        <v>13.648068</v>
      </c>
      <c r="T189" s="2">
        <v>41.444459999999999</v>
      </c>
      <c r="U189" s="2">
        <v>12.187436999999999</v>
      </c>
      <c r="V189" s="2">
        <v>28.221209000000002</v>
      </c>
      <c r="W189" s="2">
        <v>4.4504599999999996</v>
      </c>
      <c r="X189" s="2">
        <v>4.3401569999999996</v>
      </c>
      <c r="Y189" s="2">
        <v>17.588825</v>
      </c>
      <c r="Z189" s="2">
        <v>-0.13420418000000001</v>
      </c>
      <c r="AA189" s="2">
        <v>3.7954873999999998</v>
      </c>
      <c r="AB189" s="2">
        <v>1.3138251000000001</v>
      </c>
      <c r="AC189" s="2">
        <v>3.2929542000000001</v>
      </c>
      <c r="AD189" s="2">
        <v>5.3772625999999999</v>
      </c>
      <c r="AE189" s="2">
        <v>2.3056743000000002</v>
      </c>
      <c r="AF189" s="2">
        <v>105.17807999999999</v>
      </c>
      <c r="AG189" s="2">
        <v>17.536674000000001</v>
      </c>
      <c r="AH189" s="4">
        <f t="shared" si="3"/>
        <v>274.8194618</v>
      </c>
    </row>
    <row r="190" spans="1:34" x14ac:dyDescent="0.2">
      <c r="A190" s="3">
        <v>39994</v>
      </c>
      <c r="B190" s="2">
        <v>5.0753360000000001</v>
      </c>
      <c r="C190" s="2">
        <v>22.458632000000001</v>
      </c>
      <c r="D190" s="2">
        <v>-5.4850497000000003</v>
      </c>
      <c r="E190" s="2">
        <v>-13.893720999999999</v>
      </c>
      <c r="F190" s="2">
        <v>6.5915474999999999</v>
      </c>
      <c r="G190" s="2">
        <v>4.2569455999999999</v>
      </c>
      <c r="H190" s="2">
        <v>14.259096</v>
      </c>
      <c r="I190" s="2">
        <v>34.999836000000002</v>
      </c>
      <c r="J190" s="2">
        <v>-8.3575669999999995</v>
      </c>
      <c r="K190" s="2">
        <v>-1.1592382999999999</v>
      </c>
      <c r="L190" s="2">
        <v>-4.288894</v>
      </c>
      <c r="M190" s="2">
        <v>-0.87149750000000004</v>
      </c>
      <c r="N190" s="2">
        <v>29.830594999999999</v>
      </c>
      <c r="O190" s="2">
        <v>27.069786000000001</v>
      </c>
      <c r="P190" s="2">
        <v>48.410904000000002</v>
      </c>
      <c r="Q190" s="2">
        <v>-0.29587219999999997</v>
      </c>
      <c r="R190" s="2">
        <v>10.252105</v>
      </c>
      <c r="S190" s="2">
        <v>13.548779</v>
      </c>
      <c r="T190" s="2">
        <v>37.197315000000003</v>
      </c>
      <c r="U190" s="2">
        <v>12.892016</v>
      </c>
      <c r="V190" s="2">
        <v>35.7485</v>
      </c>
      <c r="W190" s="2">
        <v>16.990863999999998</v>
      </c>
      <c r="X190" s="2">
        <v>3.3047460000000002</v>
      </c>
      <c r="Y190" s="2">
        <v>15.1048565</v>
      </c>
      <c r="Z190" s="2">
        <v>1.8215372999999999</v>
      </c>
      <c r="AA190" s="2">
        <v>3.0509010000000001</v>
      </c>
      <c r="AB190" s="2">
        <v>1.7320177999999999</v>
      </c>
      <c r="AC190" s="2">
        <v>3.1455237999999999</v>
      </c>
      <c r="AD190" s="2">
        <v>7.0878587</v>
      </c>
      <c r="AE190" s="2">
        <v>-0.50517285000000001</v>
      </c>
      <c r="AF190" s="2">
        <v>116.70814</v>
      </c>
      <c r="AG190" s="2">
        <v>22.030612999999999</v>
      </c>
      <c r="AH190" s="4">
        <f t="shared" si="3"/>
        <v>268.23955340000003</v>
      </c>
    </row>
    <row r="191" spans="1:34" x14ac:dyDescent="0.2">
      <c r="A191" s="3">
        <v>40025</v>
      </c>
      <c r="B191" s="2">
        <v>4.0348096</v>
      </c>
      <c r="C191" s="2">
        <v>22.223832999999999</v>
      </c>
      <c r="D191" s="2">
        <v>-7.2922773000000003</v>
      </c>
      <c r="E191" s="2">
        <v>-25.79974</v>
      </c>
      <c r="F191" s="2">
        <v>-6.6982203</v>
      </c>
      <c r="G191" s="2">
        <v>1.8757904000000001</v>
      </c>
      <c r="H191" s="2">
        <v>11.778874</v>
      </c>
      <c r="I191" s="2">
        <v>35.419296000000003</v>
      </c>
      <c r="J191" s="2">
        <v>-6.1368437</v>
      </c>
      <c r="K191" s="2">
        <v>3.1145896999999998</v>
      </c>
      <c r="L191" s="2">
        <v>2.1057396000000002</v>
      </c>
      <c r="M191" s="2">
        <v>2.1000174999999999</v>
      </c>
      <c r="N191" s="2">
        <v>32.376137</v>
      </c>
      <c r="O191" s="2">
        <v>24.323478999999999</v>
      </c>
      <c r="P191" s="2">
        <v>62.931220000000003</v>
      </c>
      <c r="Q191" s="2">
        <v>1.1905322</v>
      </c>
      <c r="R191" s="2">
        <v>11.967228</v>
      </c>
      <c r="S191" s="2">
        <v>13.108412</v>
      </c>
      <c r="T191" s="2">
        <v>40.541023000000003</v>
      </c>
      <c r="U191" s="2">
        <v>12.469677000000001</v>
      </c>
      <c r="V191" s="2">
        <v>40.579009999999997</v>
      </c>
      <c r="W191" s="2">
        <v>29.651733</v>
      </c>
      <c r="X191" s="2">
        <v>3.3498755</v>
      </c>
      <c r="Y191" s="2">
        <v>15.775382</v>
      </c>
      <c r="Z191" s="2">
        <v>2.5964901</v>
      </c>
      <c r="AA191" s="2">
        <v>3.2391079999999999</v>
      </c>
      <c r="AB191" s="2">
        <v>1.3706491999999999</v>
      </c>
      <c r="AC191" s="2">
        <v>2.9006707999999999</v>
      </c>
      <c r="AD191" s="2">
        <v>8.1982765000000004</v>
      </c>
      <c r="AE191" s="2">
        <v>-0.67938953999999996</v>
      </c>
      <c r="AF191" s="2">
        <v>123.177605</v>
      </c>
      <c r="AG191" s="2">
        <v>24.803294999999999</v>
      </c>
      <c r="AH191" s="4">
        <f t="shared" si="3"/>
        <v>276.21258669999997</v>
      </c>
    </row>
    <row r="192" spans="1:34" x14ac:dyDescent="0.2">
      <c r="A192" s="3">
        <v>40056</v>
      </c>
      <c r="B192" s="2">
        <v>3.007746</v>
      </c>
      <c r="C192" s="2">
        <v>26.475812999999999</v>
      </c>
      <c r="D192" s="2">
        <v>0.53600490000000001</v>
      </c>
      <c r="E192" s="2">
        <v>-0.76615520000000004</v>
      </c>
      <c r="F192" s="2">
        <v>5.3602590000000001</v>
      </c>
      <c r="G192" s="2">
        <v>26.067501</v>
      </c>
      <c r="H192" s="2">
        <v>15.381394</v>
      </c>
      <c r="I192" s="2">
        <v>37.535896000000001</v>
      </c>
      <c r="J192" s="2">
        <v>7.1328725999999998</v>
      </c>
      <c r="K192" s="2">
        <v>16.264600000000002</v>
      </c>
      <c r="L192" s="2">
        <v>11.367808999999999</v>
      </c>
      <c r="M192" s="2">
        <v>13.390423</v>
      </c>
      <c r="N192" s="2">
        <v>41.359580000000001</v>
      </c>
      <c r="O192" s="2">
        <v>24.137685999999999</v>
      </c>
      <c r="P192" s="2">
        <v>38.641260000000003</v>
      </c>
      <c r="Q192" s="2">
        <v>2.4647698</v>
      </c>
      <c r="R192" s="2">
        <v>12.251058</v>
      </c>
      <c r="S192" s="2">
        <v>24.541091999999999</v>
      </c>
      <c r="T192" s="2">
        <v>39.92924</v>
      </c>
      <c r="U192" s="2">
        <v>13.012233</v>
      </c>
      <c r="V192" s="2">
        <v>36.812491999999999</v>
      </c>
      <c r="W192" s="2">
        <v>30.971079</v>
      </c>
      <c r="X192" s="2">
        <v>4.8446813000000004</v>
      </c>
      <c r="Y192" s="2">
        <v>14.1612425</v>
      </c>
      <c r="Z192" s="2">
        <v>3.9808072999999999</v>
      </c>
      <c r="AA192" s="2">
        <v>5.0866480000000003</v>
      </c>
      <c r="AB192" s="2">
        <v>1.4208124</v>
      </c>
      <c r="AC192" s="2">
        <v>3.9928013999999998</v>
      </c>
      <c r="AD192" s="2">
        <v>7.7731347</v>
      </c>
      <c r="AE192" s="2">
        <v>0.51366800000000001</v>
      </c>
      <c r="AF192" s="2">
        <v>121.92286</v>
      </c>
      <c r="AG192" s="2">
        <v>23.811283</v>
      </c>
      <c r="AH192" s="4">
        <f t="shared" si="3"/>
        <v>394.90357409999996</v>
      </c>
    </row>
    <row r="193" spans="1:34" x14ac:dyDescent="0.2">
      <c r="A193" s="3">
        <v>40086</v>
      </c>
      <c r="B193" s="2">
        <v>2.8782678000000002</v>
      </c>
      <c r="C193" s="2">
        <v>28.019787000000001</v>
      </c>
      <c r="D193" s="2">
        <v>3.3545473000000001</v>
      </c>
      <c r="E193" s="2">
        <v>10.760588</v>
      </c>
      <c r="F193" s="2">
        <v>21.423134000000001</v>
      </c>
      <c r="G193" s="2">
        <v>38.454746</v>
      </c>
      <c r="H193" s="2">
        <v>15.391507000000001</v>
      </c>
      <c r="I193" s="2">
        <v>37.876489999999997</v>
      </c>
      <c r="J193" s="2">
        <v>12.678711</v>
      </c>
      <c r="K193" s="2">
        <v>17.639389999999999</v>
      </c>
      <c r="L193" s="2">
        <v>11.447191999999999</v>
      </c>
      <c r="M193" s="2">
        <v>10.692474000000001</v>
      </c>
      <c r="N193" s="2">
        <v>42.708404999999999</v>
      </c>
      <c r="O193" s="2">
        <v>27.661427</v>
      </c>
      <c r="P193" s="2">
        <v>65.672030000000007</v>
      </c>
      <c r="Q193" s="2">
        <v>3.7480669999999998</v>
      </c>
      <c r="R193" s="2">
        <v>11.738307000000001</v>
      </c>
      <c r="S193" s="2">
        <v>20.821297000000001</v>
      </c>
      <c r="T193" s="2">
        <v>35.458680000000001</v>
      </c>
      <c r="U193" s="2">
        <v>10.161227</v>
      </c>
      <c r="V193" s="2">
        <v>30.718198999999998</v>
      </c>
      <c r="W193" s="2">
        <v>26.762685999999999</v>
      </c>
      <c r="X193" s="2">
        <v>3.8790524</v>
      </c>
      <c r="Y193" s="2">
        <v>11.853403999999999</v>
      </c>
      <c r="Z193" s="2">
        <v>3.3894731999999999</v>
      </c>
      <c r="AA193" s="2">
        <v>3.9087399999999999</v>
      </c>
      <c r="AB193" s="2">
        <v>1.4363214</v>
      </c>
      <c r="AC193" s="2">
        <v>2.5079565000000001</v>
      </c>
      <c r="AD193" s="2">
        <v>5.6064772999999999</v>
      </c>
      <c r="AE193" s="2">
        <v>0.32839521999999999</v>
      </c>
      <c r="AF193" s="2">
        <v>116.075035</v>
      </c>
      <c r="AG193" s="2">
        <v>19.839759999999998</v>
      </c>
      <c r="AH193" s="4">
        <f t="shared" si="3"/>
        <v>459.3044731</v>
      </c>
    </row>
    <row r="194" spans="1:34" x14ac:dyDescent="0.2">
      <c r="A194" s="3">
        <v>40117</v>
      </c>
      <c r="B194" s="2">
        <v>2.3547951999999999</v>
      </c>
      <c r="C194" s="2">
        <v>28.829239000000001</v>
      </c>
      <c r="D194" s="2">
        <v>9.8630259999999996</v>
      </c>
      <c r="E194" s="2">
        <v>24.570094999999998</v>
      </c>
      <c r="F194" s="2">
        <v>24.810279999999999</v>
      </c>
      <c r="G194" s="2">
        <v>53.436503999999999</v>
      </c>
      <c r="H194" s="2">
        <v>19.86337</v>
      </c>
      <c r="I194" s="2">
        <v>39.923862</v>
      </c>
      <c r="J194" s="2">
        <v>22.371607000000001</v>
      </c>
      <c r="K194" s="2">
        <v>20.377298</v>
      </c>
      <c r="L194" s="2">
        <v>7.5411343999999998</v>
      </c>
      <c r="M194" s="2">
        <v>11.161391</v>
      </c>
      <c r="N194" s="2">
        <v>43.413597000000003</v>
      </c>
      <c r="O194" s="2">
        <v>26.009338</v>
      </c>
      <c r="P194" s="2">
        <v>71.156909999999996</v>
      </c>
      <c r="Q194" s="2">
        <v>3.7674289999999999</v>
      </c>
      <c r="R194" s="2">
        <v>11.46048</v>
      </c>
      <c r="S194" s="2">
        <v>30.696120000000001</v>
      </c>
      <c r="T194" s="2">
        <v>34.776974000000003</v>
      </c>
      <c r="U194" s="2">
        <v>10.59568</v>
      </c>
      <c r="V194" s="2">
        <v>22.76041</v>
      </c>
      <c r="W194" s="2">
        <v>21.991999</v>
      </c>
      <c r="X194" s="2">
        <v>4.2341303999999997</v>
      </c>
      <c r="Y194" s="2">
        <v>11.619740999999999</v>
      </c>
      <c r="Z194" s="2">
        <v>5.1576962000000002</v>
      </c>
      <c r="AA194" s="2">
        <v>4.8827752999999996</v>
      </c>
      <c r="AB194" s="2">
        <v>2.7583568000000001</v>
      </c>
      <c r="AC194" s="2">
        <v>4.051876</v>
      </c>
      <c r="AD194" s="2">
        <v>4.0787114999999998</v>
      </c>
      <c r="AE194" s="2">
        <v>8.6801429999999993</v>
      </c>
      <c r="AF194" s="2">
        <v>97.422870000000003</v>
      </c>
      <c r="AG194" s="2">
        <v>16.520506000000001</v>
      </c>
      <c r="AH194" s="4">
        <f t="shared" si="3"/>
        <v>519.73953960000006</v>
      </c>
    </row>
    <row r="195" spans="1:34" x14ac:dyDescent="0.2">
      <c r="A195" s="3">
        <v>40147</v>
      </c>
      <c r="B195" s="2">
        <v>0.52888422999999996</v>
      </c>
      <c r="C195" s="2">
        <v>25.144950000000001</v>
      </c>
      <c r="D195" s="2">
        <v>3.5751297000000002</v>
      </c>
      <c r="E195" s="2">
        <v>12.067435</v>
      </c>
      <c r="F195" s="2">
        <v>22.786642000000001</v>
      </c>
      <c r="G195" s="2">
        <v>34.913772999999999</v>
      </c>
      <c r="H195" s="2">
        <v>18.531911999999998</v>
      </c>
      <c r="I195" s="2">
        <v>40.029152000000003</v>
      </c>
      <c r="J195" s="2">
        <v>24.84498</v>
      </c>
      <c r="K195" s="2">
        <v>18.918330000000001</v>
      </c>
      <c r="L195" s="2">
        <v>13.247366</v>
      </c>
      <c r="M195" s="2">
        <v>11.383305</v>
      </c>
      <c r="N195" s="2">
        <v>46.214264</v>
      </c>
      <c r="O195" s="2">
        <v>22.029620999999999</v>
      </c>
      <c r="P195" s="2">
        <v>82.977455000000006</v>
      </c>
      <c r="Q195" s="2">
        <v>3.2258909999999998</v>
      </c>
      <c r="R195" s="2">
        <v>9.9647500000000004</v>
      </c>
      <c r="S195" s="2">
        <v>31.972367999999999</v>
      </c>
      <c r="T195" s="2">
        <v>35.017530000000001</v>
      </c>
      <c r="U195" s="2">
        <v>10.6011095</v>
      </c>
      <c r="V195" s="2">
        <v>19.170802999999999</v>
      </c>
      <c r="W195" s="2">
        <v>16.821200999999999</v>
      </c>
      <c r="X195" s="2">
        <v>4.7955684999999999</v>
      </c>
      <c r="Y195" s="2">
        <v>8.282826</v>
      </c>
      <c r="Z195" s="2">
        <v>4.8389707</v>
      </c>
      <c r="AA195" s="2">
        <v>3.6947744</v>
      </c>
      <c r="AB195" s="2">
        <v>2.4375211999999999</v>
      </c>
      <c r="AC195" s="2">
        <v>3.7591782</v>
      </c>
      <c r="AD195" s="2">
        <v>3.2314625000000001</v>
      </c>
      <c r="AE195" s="2">
        <v>20.507512999999999</v>
      </c>
      <c r="AF195" s="2">
        <v>70.354429999999994</v>
      </c>
      <c r="AG195" s="2">
        <v>13.192918000000001</v>
      </c>
      <c r="AH195" s="4">
        <f t="shared" si="3"/>
        <v>487.14565043000005</v>
      </c>
    </row>
    <row r="196" spans="1:34" x14ac:dyDescent="0.2">
      <c r="A196" s="3">
        <v>40178</v>
      </c>
      <c r="B196" s="2">
        <v>-0.91892695000000002</v>
      </c>
      <c r="C196" s="2">
        <v>24.275244000000001</v>
      </c>
      <c r="D196" s="2">
        <v>4.7126970000000004</v>
      </c>
      <c r="E196" s="2">
        <v>3.8064735000000001</v>
      </c>
      <c r="F196" s="2">
        <v>10.123378000000001</v>
      </c>
      <c r="G196" s="2">
        <v>21.277014000000001</v>
      </c>
      <c r="H196" s="2">
        <v>15.917365999999999</v>
      </c>
      <c r="I196" s="2">
        <v>39.962451999999999</v>
      </c>
      <c r="J196" s="2">
        <v>24.021409999999999</v>
      </c>
      <c r="K196" s="2">
        <v>4.3326396999999996</v>
      </c>
      <c r="L196" s="2">
        <v>7.2631459999999999</v>
      </c>
      <c r="M196" s="2">
        <v>6.0557565999999996</v>
      </c>
      <c r="N196" s="2">
        <v>35.464280000000002</v>
      </c>
      <c r="O196" s="2">
        <v>20.504100000000001</v>
      </c>
      <c r="P196" s="2">
        <v>66.950059999999993</v>
      </c>
      <c r="Q196" s="2">
        <v>2.4367993000000001</v>
      </c>
      <c r="R196" s="2">
        <v>8.3270359999999997</v>
      </c>
      <c r="S196" s="2">
        <v>18.685016999999998</v>
      </c>
      <c r="T196" s="2">
        <v>34.608640000000001</v>
      </c>
      <c r="U196" s="2">
        <v>9.8439340000000009</v>
      </c>
      <c r="V196" s="2">
        <v>17.449975999999999</v>
      </c>
      <c r="W196" s="2">
        <v>11.89986</v>
      </c>
      <c r="X196" s="2">
        <v>5.0297590000000003</v>
      </c>
      <c r="Y196" s="2">
        <v>7.5905990000000001</v>
      </c>
      <c r="Z196" s="2">
        <v>5.6631400000000003</v>
      </c>
      <c r="AA196" s="2">
        <v>4.2601990000000001</v>
      </c>
      <c r="AB196" s="2">
        <v>1.5678878999999999</v>
      </c>
      <c r="AC196" s="2">
        <v>4.0967219999999998</v>
      </c>
      <c r="AD196" s="2">
        <v>2.2781037999999998</v>
      </c>
      <c r="AE196" s="2">
        <v>27.002109999999998</v>
      </c>
      <c r="AF196" s="2">
        <v>67.366104000000007</v>
      </c>
      <c r="AG196" s="2">
        <v>11.171957000000001</v>
      </c>
      <c r="AH196" s="4">
        <f t="shared" si="3"/>
        <v>375.09849214999997</v>
      </c>
    </row>
    <row r="197" spans="1:34" x14ac:dyDescent="0.2">
      <c r="A197" s="3">
        <v>40209</v>
      </c>
      <c r="B197" s="2">
        <v>-2.221838</v>
      </c>
      <c r="C197" s="2">
        <v>21.03049</v>
      </c>
      <c r="D197" s="2">
        <v>-1.7590475000000001</v>
      </c>
      <c r="E197" s="2">
        <v>-11.759463</v>
      </c>
      <c r="F197" s="2">
        <v>-2.9264581000000001</v>
      </c>
      <c r="G197" s="2">
        <v>3.2527214999999998</v>
      </c>
      <c r="H197" s="2">
        <v>12.980447</v>
      </c>
      <c r="I197" s="2">
        <v>35.593105000000001</v>
      </c>
      <c r="J197" s="2">
        <v>16.213626999999999</v>
      </c>
      <c r="K197" s="2">
        <v>-0.97074145000000001</v>
      </c>
      <c r="L197" s="2">
        <v>-3.1748506999999999</v>
      </c>
      <c r="M197" s="2">
        <v>-1.3544383</v>
      </c>
      <c r="N197" s="2">
        <v>29.851976000000001</v>
      </c>
      <c r="O197" s="2">
        <v>21.223244000000001</v>
      </c>
      <c r="P197" s="2">
        <v>66.544524999999993</v>
      </c>
      <c r="Q197" s="2">
        <v>3.5361590000000001</v>
      </c>
      <c r="R197" s="2">
        <v>9.2938229999999997</v>
      </c>
      <c r="S197" s="2">
        <v>17.231780000000001</v>
      </c>
      <c r="T197" s="2">
        <v>32.288474999999998</v>
      </c>
      <c r="U197" s="2">
        <v>8.8162979999999997</v>
      </c>
      <c r="V197" s="2">
        <v>18.110783000000001</v>
      </c>
      <c r="W197" s="2">
        <v>5.1156459999999999</v>
      </c>
      <c r="X197" s="2">
        <v>7.7404650000000004</v>
      </c>
      <c r="Y197" s="2">
        <v>7.6431946999999996</v>
      </c>
      <c r="Z197" s="2">
        <v>2.3207494999999998</v>
      </c>
      <c r="AA197" s="2">
        <v>5.0060773000000003</v>
      </c>
      <c r="AB197" s="2">
        <v>1.9274557000000001</v>
      </c>
      <c r="AC197" s="2">
        <v>4.2526073000000002</v>
      </c>
      <c r="AD197" s="2">
        <v>2.0585360000000001</v>
      </c>
      <c r="AE197" s="2">
        <v>26.634336000000001</v>
      </c>
      <c r="AF197" s="2">
        <v>68.294399999999996</v>
      </c>
      <c r="AG197" s="2">
        <v>9.8936960000000003</v>
      </c>
      <c r="AH197" s="4">
        <f t="shared" si="3"/>
        <v>271.80061645000001</v>
      </c>
    </row>
    <row r="198" spans="1:34" x14ac:dyDescent="0.2">
      <c r="A198" s="3">
        <v>40237</v>
      </c>
      <c r="B198" s="2">
        <v>-0.90542040000000001</v>
      </c>
      <c r="C198" s="2">
        <v>23.723977999999999</v>
      </c>
      <c r="D198" s="2">
        <v>4.6590759999999998</v>
      </c>
      <c r="E198" s="2">
        <v>5.8908800000000001</v>
      </c>
      <c r="F198" s="2">
        <v>13.124708</v>
      </c>
      <c r="G198" s="2">
        <v>31.661625000000001</v>
      </c>
      <c r="H198" s="2">
        <v>15.954112</v>
      </c>
      <c r="I198" s="2">
        <v>36.401333000000001</v>
      </c>
      <c r="J198" s="2">
        <v>18.294802000000001</v>
      </c>
      <c r="K198" s="2">
        <v>6.7756853000000001</v>
      </c>
      <c r="L198" s="2">
        <v>-2.6615894</v>
      </c>
      <c r="M198" s="2">
        <v>2.9278243000000002</v>
      </c>
      <c r="N198" s="2">
        <v>34.935049999999997</v>
      </c>
      <c r="O198" s="2">
        <v>20.928688000000001</v>
      </c>
      <c r="P198" s="2">
        <v>51.331135000000003</v>
      </c>
      <c r="Q198" s="2">
        <v>2.8333669000000001</v>
      </c>
      <c r="R198" s="2">
        <v>8.0303679999999993</v>
      </c>
      <c r="S198" s="2">
        <v>21.336179999999999</v>
      </c>
      <c r="T198" s="2">
        <v>34.340046000000001</v>
      </c>
      <c r="U198" s="2">
        <v>9.6448959999999992</v>
      </c>
      <c r="V198" s="2">
        <v>19.568455</v>
      </c>
      <c r="W198" s="2">
        <v>0.14525964999999999</v>
      </c>
      <c r="X198" s="2">
        <v>8.7406439999999996</v>
      </c>
      <c r="Y198" s="2">
        <v>8.203773</v>
      </c>
      <c r="Z198" s="2">
        <v>2.3176831999999998</v>
      </c>
      <c r="AA198" s="2">
        <v>4.1887410000000003</v>
      </c>
      <c r="AB198" s="2">
        <v>3.1348410000000002</v>
      </c>
      <c r="AC198" s="2">
        <v>4.747401</v>
      </c>
      <c r="AD198" s="2">
        <v>1.7691427</v>
      </c>
      <c r="AE198" s="2">
        <v>26.895925999999999</v>
      </c>
      <c r="AF198" s="2">
        <v>65.933989999999994</v>
      </c>
      <c r="AG198" s="2">
        <v>9.5160699999999991</v>
      </c>
      <c r="AH198" s="4">
        <f t="shared" si="3"/>
        <v>358.79519870000001</v>
      </c>
    </row>
    <row r="199" spans="1:34" x14ac:dyDescent="0.2">
      <c r="A199" s="3">
        <v>40268</v>
      </c>
      <c r="B199" s="2">
        <v>1.3007085</v>
      </c>
      <c r="C199" s="2">
        <v>24.995187999999999</v>
      </c>
      <c r="D199" s="2">
        <v>2.3979216000000001</v>
      </c>
      <c r="E199" s="2">
        <v>2.307337</v>
      </c>
      <c r="F199" s="2">
        <v>16.972674999999999</v>
      </c>
      <c r="G199" s="2">
        <v>36.252955999999998</v>
      </c>
      <c r="H199" s="2">
        <v>19.363163</v>
      </c>
      <c r="I199" s="2">
        <v>40.752963999999999</v>
      </c>
      <c r="J199" s="2">
        <v>16.404333000000001</v>
      </c>
      <c r="K199" s="2">
        <v>8.8498535</v>
      </c>
      <c r="L199" s="2">
        <v>0.13189577</v>
      </c>
      <c r="M199" s="2">
        <v>7.9100633</v>
      </c>
      <c r="N199" s="2">
        <v>37.320866000000002</v>
      </c>
      <c r="O199" s="2">
        <v>22.027125999999999</v>
      </c>
      <c r="P199" s="2">
        <v>68.985100000000003</v>
      </c>
      <c r="Q199" s="2">
        <v>3.3332302999999999</v>
      </c>
      <c r="R199" s="2">
        <v>8.5671949999999999</v>
      </c>
      <c r="S199" s="2">
        <v>29.269401999999999</v>
      </c>
      <c r="T199" s="2">
        <v>36.379416999999997</v>
      </c>
      <c r="U199" s="2">
        <v>10.8233</v>
      </c>
      <c r="V199" s="2">
        <v>22.438406000000001</v>
      </c>
      <c r="W199" s="2">
        <v>-0.40609225999999998</v>
      </c>
      <c r="X199" s="2">
        <v>8.0093669999999992</v>
      </c>
      <c r="Y199" s="2">
        <v>9.5514430000000008</v>
      </c>
      <c r="Z199" s="2">
        <v>1.3171153</v>
      </c>
      <c r="AA199" s="2">
        <v>6.4969063</v>
      </c>
      <c r="AB199" s="2">
        <v>2.6350099999999999</v>
      </c>
      <c r="AC199" s="2">
        <v>4.3371797000000001</v>
      </c>
      <c r="AD199" s="2">
        <v>1.8639705</v>
      </c>
      <c r="AE199" s="2">
        <v>20.668758</v>
      </c>
      <c r="AF199" s="2">
        <v>73.881230000000002</v>
      </c>
      <c r="AG199" s="2">
        <v>10.760751000000001</v>
      </c>
      <c r="AH199" s="4">
        <f t="shared" si="3"/>
        <v>416.78310097000008</v>
      </c>
    </row>
    <row r="200" spans="1:34" x14ac:dyDescent="0.2">
      <c r="A200" s="3">
        <v>40298</v>
      </c>
      <c r="B200" s="2">
        <v>3.2495584000000002</v>
      </c>
      <c r="C200" s="2">
        <v>21.959408</v>
      </c>
      <c r="D200" s="2">
        <v>-7.3143900000000004</v>
      </c>
      <c r="E200" s="2">
        <v>-18.783128999999999</v>
      </c>
      <c r="F200" s="2">
        <v>0.83865749999999994</v>
      </c>
      <c r="G200" s="2">
        <v>2.8632140000000001</v>
      </c>
      <c r="H200" s="2">
        <v>13.438974999999999</v>
      </c>
      <c r="I200" s="2">
        <v>38.866805999999997</v>
      </c>
      <c r="J200" s="2">
        <v>0.70020247000000002</v>
      </c>
      <c r="K200" s="2">
        <v>-1.1747692999999999</v>
      </c>
      <c r="L200" s="2">
        <v>-0.42138093999999998</v>
      </c>
      <c r="M200" s="2">
        <v>1.7589756999999999</v>
      </c>
      <c r="N200" s="2">
        <v>26.691120000000002</v>
      </c>
      <c r="O200" s="2">
        <v>22.111170000000001</v>
      </c>
      <c r="P200" s="2">
        <v>40.635544000000003</v>
      </c>
      <c r="Q200" s="2">
        <v>3.9224637000000002</v>
      </c>
      <c r="R200" s="2">
        <v>8.2697734999999994</v>
      </c>
      <c r="S200" s="2">
        <v>14.719251999999999</v>
      </c>
      <c r="T200" s="2">
        <v>38.922060000000002</v>
      </c>
      <c r="U200" s="2">
        <v>11.880342499999999</v>
      </c>
      <c r="V200" s="2">
        <v>22.793821000000001</v>
      </c>
      <c r="W200" s="2">
        <v>-0.36329403999999998</v>
      </c>
      <c r="X200" s="2">
        <v>8.3263645000000004</v>
      </c>
      <c r="Y200" s="2">
        <v>10.836848</v>
      </c>
      <c r="Z200" s="2">
        <v>0.38134983</v>
      </c>
      <c r="AA200" s="2">
        <v>5.3591657000000001</v>
      </c>
      <c r="AB200" s="2">
        <v>1.4713130000000001</v>
      </c>
      <c r="AC200" s="2">
        <v>3.4367315999999999</v>
      </c>
      <c r="AD200" s="2">
        <v>3.8218179999999999</v>
      </c>
      <c r="AE200" s="2">
        <v>7.8083119999999999</v>
      </c>
      <c r="AF200" s="2">
        <v>85.720860000000002</v>
      </c>
      <c r="AG200" s="2">
        <v>14.028294000000001</v>
      </c>
      <c r="AH200" s="4">
        <f t="shared" si="3"/>
        <v>245.92767453000005</v>
      </c>
    </row>
    <row r="201" spans="1:34" x14ac:dyDescent="0.2">
      <c r="A201" s="3">
        <v>40329</v>
      </c>
      <c r="B201" s="2">
        <v>5.5383224000000002</v>
      </c>
      <c r="C201" s="2">
        <v>25.454433000000002</v>
      </c>
      <c r="D201" s="2">
        <v>-0.12515973999999999</v>
      </c>
      <c r="E201" s="2">
        <v>-0.86734029999999995</v>
      </c>
      <c r="F201" s="2">
        <v>14.408768999999999</v>
      </c>
      <c r="G201" s="2">
        <v>16.131111000000001</v>
      </c>
      <c r="H201" s="2">
        <v>16.888666000000001</v>
      </c>
      <c r="I201" s="2">
        <v>39.409779999999998</v>
      </c>
      <c r="J201" s="2">
        <v>6.8466063000000004</v>
      </c>
      <c r="K201" s="2">
        <v>9.7974739999999994</v>
      </c>
      <c r="L201" s="2">
        <v>5.2782062999999999</v>
      </c>
      <c r="M201" s="2">
        <v>6.8088829999999998</v>
      </c>
      <c r="N201" s="2">
        <v>36.641303999999998</v>
      </c>
      <c r="O201" s="2">
        <v>23.467193999999999</v>
      </c>
      <c r="P201" s="2">
        <v>45.892769999999999</v>
      </c>
      <c r="Q201" s="2">
        <v>2.7643282</v>
      </c>
      <c r="R201" s="2">
        <v>8.0417400000000008</v>
      </c>
      <c r="S201" s="2">
        <v>17.502942999999998</v>
      </c>
      <c r="T201" s="2">
        <v>40.822124000000002</v>
      </c>
      <c r="U201" s="2">
        <v>15.572317</v>
      </c>
      <c r="V201" s="2">
        <v>28.461165999999999</v>
      </c>
      <c r="W201" s="2">
        <v>4.0430029999999997</v>
      </c>
      <c r="X201" s="2">
        <v>9.0193189999999994</v>
      </c>
      <c r="Y201" s="2">
        <v>13.239724000000001</v>
      </c>
      <c r="Z201" s="2">
        <v>0.66935</v>
      </c>
      <c r="AA201" s="2">
        <v>4.6068376999999998</v>
      </c>
      <c r="AB201" s="2">
        <v>2.3914909999999998</v>
      </c>
      <c r="AC201" s="2">
        <v>3.2922210000000001</v>
      </c>
      <c r="AD201" s="2">
        <v>5.2619566999999998</v>
      </c>
      <c r="AE201" s="2">
        <v>5.7640156999999999</v>
      </c>
      <c r="AF201" s="2">
        <v>98.426659999999998</v>
      </c>
      <c r="AG201" s="2">
        <v>17.80463</v>
      </c>
      <c r="AH201" s="4">
        <f t="shared" si="3"/>
        <v>364.73563715999995</v>
      </c>
    </row>
    <row r="202" spans="1:34" x14ac:dyDescent="0.2">
      <c r="A202" s="3">
        <v>40359</v>
      </c>
      <c r="B202" s="2">
        <v>6.8137574000000001</v>
      </c>
      <c r="C202" s="2">
        <v>24.805506000000001</v>
      </c>
      <c r="D202" s="2">
        <v>-3.1448073000000001</v>
      </c>
      <c r="E202" s="2">
        <v>-16.128546</v>
      </c>
      <c r="F202" s="2">
        <v>4.5149270000000001</v>
      </c>
      <c r="G202" s="2">
        <v>7.2515419999999997</v>
      </c>
      <c r="H202" s="2">
        <v>16.468498</v>
      </c>
      <c r="I202" s="2">
        <v>40.029136999999999</v>
      </c>
      <c r="J202" s="2">
        <v>0.49429134000000002</v>
      </c>
      <c r="K202" s="2">
        <v>2.4372025000000002</v>
      </c>
      <c r="L202" s="2">
        <v>3.8600378000000002</v>
      </c>
      <c r="M202" s="2">
        <v>2.9104204</v>
      </c>
      <c r="N202" s="2">
        <v>35.184128000000001</v>
      </c>
      <c r="O202" s="2">
        <v>23.337969000000001</v>
      </c>
      <c r="P202" s="2">
        <v>41.834674999999997</v>
      </c>
      <c r="Q202" s="2">
        <v>2.1225649999999998</v>
      </c>
      <c r="R202" s="2">
        <v>10.767644000000001</v>
      </c>
      <c r="S202" s="2">
        <v>18.226748000000001</v>
      </c>
      <c r="T202" s="2">
        <v>35.845126999999998</v>
      </c>
      <c r="U202" s="2">
        <v>14.671169000000001</v>
      </c>
      <c r="V202" s="2">
        <v>31.778054999999998</v>
      </c>
      <c r="W202" s="2">
        <v>17.788509999999999</v>
      </c>
      <c r="X202" s="2">
        <v>8.4270960000000006</v>
      </c>
      <c r="Y202" s="2">
        <v>13.780004</v>
      </c>
      <c r="Z202" s="2">
        <v>1.3634062</v>
      </c>
      <c r="AA202" s="2">
        <v>5.0917615999999999</v>
      </c>
      <c r="AB202" s="2">
        <v>2.1370049999999998</v>
      </c>
      <c r="AC202" s="2">
        <v>2.79033</v>
      </c>
      <c r="AD202" s="2">
        <v>7.3281580000000002</v>
      </c>
      <c r="AE202" s="2">
        <v>1.9140223999999999</v>
      </c>
      <c r="AF202" s="2">
        <v>110.42095999999999</v>
      </c>
      <c r="AG202" s="2">
        <v>22.339127000000001</v>
      </c>
      <c r="AH202" s="4">
        <f t="shared" si="3"/>
        <v>304.08004614000004</v>
      </c>
    </row>
    <row r="203" spans="1:34" x14ac:dyDescent="0.2">
      <c r="A203" s="3">
        <v>40390</v>
      </c>
      <c r="B203" s="2">
        <v>6.7497809999999996</v>
      </c>
      <c r="C203" s="2">
        <v>24.00394</v>
      </c>
      <c r="D203" s="2">
        <v>-2.5468012999999998</v>
      </c>
      <c r="E203" s="2">
        <v>-5.8673215000000001</v>
      </c>
      <c r="F203" s="2">
        <v>11.967278500000001</v>
      </c>
      <c r="G203" s="2">
        <v>14.541759000000001</v>
      </c>
      <c r="H203" s="2">
        <v>16.576899000000001</v>
      </c>
      <c r="I203" s="2">
        <v>41.599705</v>
      </c>
      <c r="J203" s="2">
        <v>2.4108508</v>
      </c>
      <c r="K203" s="2">
        <v>4.3946642999999996</v>
      </c>
      <c r="L203" s="2">
        <v>5.2501464000000002</v>
      </c>
      <c r="M203" s="2">
        <v>5.2946739999999997</v>
      </c>
      <c r="N203" s="2">
        <v>37.589869999999998</v>
      </c>
      <c r="O203" s="2">
        <v>24.298069000000002</v>
      </c>
      <c r="P203" s="2">
        <v>46.085667000000001</v>
      </c>
      <c r="Q203" s="2">
        <v>3.9240556</v>
      </c>
      <c r="R203" s="2">
        <v>9.9255969999999998</v>
      </c>
      <c r="S203" s="2">
        <v>21.051221999999999</v>
      </c>
      <c r="T203" s="2">
        <v>43.052708000000003</v>
      </c>
      <c r="U203" s="2">
        <v>12.150674</v>
      </c>
      <c r="V203" s="2">
        <v>38.806550000000001</v>
      </c>
      <c r="W203" s="2">
        <v>29.487259000000002</v>
      </c>
      <c r="X203" s="2">
        <v>7.8261576000000002</v>
      </c>
      <c r="Y203" s="2">
        <v>14.069565000000001</v>
      </c>
      <c r="Z203" s="2">
        <v>2.6852545999999999</v>
      </c>
      <c r="AA203" s="2">
        <v>4.8273434999999996</v>
      </c>
      <c r="AB203" s="2">
        <v>1.6801465</v>
      </c>
      <c r="AC203" s="2">
        <v>4.0955862999999999</v>
      </c>
      <c r="AD203" s="2">
        <v>9.0123529999999992</v>
      </c>
      <c r="AE203" s="2">
        <v>-0.15815953999999999</v>
      </c>
      <c r="AF203" s="2">
        <v>120.00161</v>
      </c>
      <c r="AG203" s="2">
        <v>25.166174000000002</v>
      </c>
      <c r="AH203" s="4">
        <f t="shared" si="3"/>
        <v>361.25998780000003</v>
      </c>
    </row>
    <row r="204" spans="1:34" x14ac:dyDescent="0.2">
      <c r="A204" s="3">
        <v>40421</v>
      </c>
      <c r="B204" s="2">
        <v>3.8037968000000002</v>
      </c>
      <c r="C204" s="2">
        <v>25.885861999999999</v>
      </c>
      <c r="D204" s="2">
        <v>-2.0498335000000001</v>
      </c>
      <c r="E204" s="2">
        <v>-9.2194819999999993</v>
      </c>
      <c r="F204" s="2">
        <v>13.304956000000001</v>
      </c>
      <c r="G204" s="2">
        <v>12.088825999999999</v>
      </c>
      <c r="H204" s="2">
        <v>16.061035</v>
      </c>
      <c r="I204" s="2">
        <v>38.820971999999998</v>
      </c>
      <c r="J204" s="2">
        <v>5.3457990000000004</v>
      </c>
      <c r="K204" s="2">
        <v>8.7124360000000003</v>
      </c>
      <c r="L204" s="2">
        <v>5.6142830000000004</v>
      </c>
      <c r="M204" s="2">
        <v>6.9421889999999999</v>
      </c>
      <c r="N204" s="2">
        <v>41.63597</v>
      </c>
      <c r="O204" s="2">
        <v>22.855153999999999</v>
      </c>
      <c r="P204" s="2">
        <v>35.945473</v>
      </c>
      <c r="Q204" s="2">
        <v>4.3993114999999996</v>
      </c>
      <c r="R204" s="2">
        <v>12.817660999999999</v>
      </c>
      <c r="S204" s="2">
        <v>23.816002000000001</v>
      </c>
      <c r="T204" s="2">
        <v>36.762154000000002</v>
      </c>
      <c r="U204" s="2">
        <v>11.380763</v>
      </c>
      <c r="V204" s="2">
        <v>35.329258000000003</v>
      </c>
      <c r="W204" s="2">
        <v>29.258230000000001</v>
      </c>
      <c r="X204" s="2">
        <v>9.4697479999999992</v>
      </c>
      <c r="Y204" s="2">
        <v>13.099257</v>
      </c>
      <c r="Z204" s="2">
        <v>3.4694284999999998</v>
      </c>
      <c r="AA204" s="2">
        <v>2.8654473</v>
      </c>
      <c r="AB204" s="2">
        <v>1.5242176999999999</v>
      </c>
      <c r="AC204" s="2">
        <v>3.1079251999999999</v>
      </c>
      <c r="AD204" s="2">
        <v>8.6287070000000003</v>
      </c>
      <c r="AE204" s="2">
        <v>-0.14529236000000001</v>
      </c>
      <c r="AF204" s="2">
        <v>113.45229999999999</v>
      </c>
      <c r="AG204" s="2">
        <v>24.069372000000001</v>
      </c>
      <c r="AH204" s="4">
        <f t="shared" si="3"/>
        <v>350.25258579999996</v>
      </c>
    </row>
    <row r="205" spans="1:34" x14ac:dyDescent="0.2">
      <c r="A205" s="3">
        <v>40451</v>
      </c>
      <c r="B205" s="2">
        <v>3.2886207000000001</v>
      </c>
      <c r="C205" s="2">
        <v>28.055765000000001</v>
      </c>
      <c r="D205" s="2">
        <v>1.2278294999999999</v>
      </c>
      <c r="E205" s="2">
        <v>4.3843990000000002</v>
      </c>
      <c r="F205" s="2">
        <v>15.187082</v>
      </c>
      <c r="G205" s="2">
        <v>30.161802000000002</v>
      </c>
      <c r="H205" s="2">
        <v>18.569510999999999</v>
      </c>
      <c r="I205" s="2">
        <v>43.191364</v>
      </c>
      <c r="J205" s="2">
        <v>11.642785</v>
      </c>
      <c r="K205" s="2">
        <v>7.6139039999999998</v>
      </c>
      <c r="L205" s="2">
        <v>8.0014959999999995</v>
      </c>
      <c r="M205" s="2">
        <v>7.4663005</v>
      </c>
      <c r="N205" s="2">
        <v>43.311622999999997</v>
      </c>
      <c r="O205" s="2">
        <v>28.246008</v>
      </c>
      <c r="P205" s="2">
        <v>52.171363999999997</v>
      </c>
      <c r="Q205" s="2">
        <v>5.7188749999999997</v>
      </c>
      <c r="R205" s="2">
        <v>11.055285</v>
      </c>
      <c r="S205" s="2">
        <v>27.131271000000002</v>
      </c>
      <c r="T205" s="2">
        <v>34.069797999999999</v>
      </c>
      <c r="U205" s="2">
        <v>8.2617809999999992</v>
      </c>
      <c r="V205" s="2">
        <v>27.677375999999999</v>
      </c>
      <c r="W205" s="2">
        <v>27.318441</v>
      </c>
      <c r="X205" s="2">
        <v>8.5774950000000008</v>
      </c>
      <c r="Y205" s="2">
        <v>11.71312</v>
      </c>
      <c r="Z205" s="2">
        <v>2.5622446999999999</v>
      </c>
      <c r="AA205" s="2">
        <v>3.3895729999999999</v>
      </c>
      <c r="AB205" s="2">
        <v>1.7259009000000001</v>
      </c>
      <c r="AC205" s="2">
        <v>2.8290698999999999</v>
      </c>
      <c r="AD205" s="2">
        <v>7.0319580000000004</v>
      </c>
      <c r="AE205" s="2">
        <v>2.3609433000000002</v>
      </c>
      <c r="AF205" s="2">
        <v>106.41613</v>
      </c>
      <c r="AG205" s="2">
        <v>19.832457999999999</v>
      </c>
      <c r="AH205" s="4">
        <f t="shared" si="3"/>
        <v>416.43423970000003</v>
      </c>
    </row>
    <row r="206" spans="1:34" x14ac:dyDescent="0.2">
      <c r="A206" s="3">
        <v>40482</v>
      </c>
      <c r="B206" s="2">
        <v>1.946428</v>
      </c>
      <c r="C206" s="2">
        <v>28.633623</v>
      </c>
      <c r="D206" s="2">
        <v>6.9138080000000004</v>
      </c>
      <c r="E206" s="2">
        <v>11.311892</v>
      </c>
      <c r="F206" s="2">
        <v>24.854482999999998</v>
      </c>
      <c r="G206" s="2">
        <v>41.810299999999998</v>
      </c>
      <c r="H206" s="2">
        <v>17.706630000000001</v>
      </c>
      <c r="I206" s="2">
        <v>42.395256000000003</v>
      </c>
      <c r="J206" s="2">
        <v>25.953662999999999</v>
      </c>
      <c r="K206" s="2">
        <v>20.183810999999999</v>
      </c>
      <c r="L206" s="2">
        <v>12.883962</v>
      </c>
      <c r="M206" s="2">
        <v>12.891416</v>
      </c>
      <c r="N206" s="2">
        <v>54.221733</v>
      </c>
      <c r="O206" s="2">
        <v>22.712710000000001</v>
      </c>
      <c r="P206" s="2">
        <v>60.027126000000003</v>
      </c>
      <c r="Q206" s="2">
        <v>6.345065</v>
      </c>
      <c r="R206" s="2">
        <v>12.722889</v>
      </c>
      <c r="S206" s="2">
        <v>42.775126999999998</v>
      </c>
      <c r="T206" s="2">
        <v>39.758899999999997</v>
      </c>
      <c r="U206" s="2">
        <v>10.596691</v>
      </c>
      <c r="V206" s="2">
        <v>23.663141</v>
      </c>
      <c r="W206" s="2">
        <v>22.56409</v>
      </c>
      <c r="X206" s="2">
        <v>8.7390609999999995</v>
      </c>
      <c r="Y206" s="2">
        <v>10.336130000000001</v>
      </c>
      <c r="Z206" s="2">
        <v>6.3601064999999997</v>
      </c>
      <c r="AA206" s="2">
        <v>4.3206344000000003</v>
      </c>
      <c r="AB206" s="2">
        <v>2.5245304000000002</v>
      </c>
      <c r="AC206" s="2">
        <v>4.9720306000000001</v>
      </c>
      <c r="AD206" s="2">
        <v>4.8928475000000002</v>
      </c>
      <c r="AE206" s="2">
        <v>8.1339849999999991</v>
      </c>
      <c r="AF206" s="2">
        <v>86.673064999999994</v>
      </c>
      <c r="AG206" s="2">
        <v>16.619582999999999</v>
      </c>
      <c r="AH206" s="4">
        <f t="shared" si="3"/>
        <v>520.30865400000005</v>
      </c>
    </row>
    <row r="207" spans="1:34" x14ac:dyDescent="0.2">
      <c r="A207" s="3">
        <v>40512</v>
      </c>
      <c r="B207" s="2">
        <v>0.18135762</v>
      </c>
      <c r="C207" s="2">
        <v>24.645679999999999</v>
      </c>
      <c r="D207" s="2">
        <v>6.7104496999999999</v>
      </c>
      <c r="E207" s="2">
        <v>14.637527</v>
      </c>
      <c r="F207" s="2">
        <v>21.30114</v>
      </c>
      <c r="G207" s="2">
        <v>30.366707000000002</v>
      </c>
      <c r="H207" s="2">
        <v>17.264198</v>
      </c>
      <c r="I207" s="2">
        <v>39.113224000000002</v>
      </c>
      <c r="J207" s="2">
        <v>24.238119999999999</v>
      </c>
      <c r="K207" s="2">
        <v>12.417458</v>
      </c>
      <c r="L207" s="2">
        <v>10.270225</v>
      </c>
      <c r="M207" s="2">
        <v>10.439995</v>
      </c>
      <c r="N207" s="2">
        <v>38.18909</v>
      </c>
      <c r="O207" s="2">
        <v>19.646187000000001</v>
      </c>
      <c r="P207" s="2">
        <v>34.047221999999998</v>
      </c>
      <c r="Q207" s="2">
        <v>5.3536014999999999</v>
      </c>
      <c r="R207" s="2">
        <v>10.605867</v>
      </c>
      <c r="S207" s="2">
        <v>27.326466</v>
      </c>
      <c r="T207" s="2">
        <v>30.958662</v>
      </c>
      <c r="U207" s="2">
        <v>11.853092</v>
      </c>
      <c r="V207" s="2">
        <v>16.166998</v>
      </c>
      <c r="W207" s="2">
        <v>16.018944000000001</v>
      </c>
      <c r="X207" s="2">
        <v>9.9956790000000009</v>
      </c>
      <c r="Y207" s="2">
        <v>9.7380230000000001</v>
      </c>
      <c r="Z207" s="2">
        <v>4.2494120000000004</v>
      </c>
      <c r="AA207" s="2">
        <v>4.3708076</v>
      </c>
      <c r="AB207" s="2">
        <v>1.5979531</v>
      </c>
      <c r="AC207" s="2">
        <v>4.2817397000000001</v>
      </c>
      <c r="AD207" s="2">
        <v>3.4368367000000002</v>
      </c>
      <c r="AE207" s="2">
        <v>14.248701000000001</v>
      </c>
      <c r="AF207" s="2">
        <v>64.189575000000005</v>
      </c>
      <c r="AG207" s="2">
        <v>12.909329</v>
      </c>
      <c r="AH207" s="4">
        <f t="shared" si="3"/>
        <v>405.73326681999998</v>
      </c>
    </row>
    <row r="208" spans="1:34" x14ac:dyDescent="0.2">
      <c r="A208" s="3">
        <v>40543</v>
      </c>
      <c r="B208" s="2">
        <v>-1.4749258000000001</v>
      </c>
      <c r="C208" s="2">
        <v>23.435371</v>
      </c>
      <c r="D208" s="2">
        <v>1.1975517</v>
      </c>
      <c r="E208" s="2">
        <v>-3.8842737999999999</v>
      </c>
      <c r="F208" s="2">
        <v>4.0658839999999996</v>
      </c>
      <c r="G208" s="2">
        <v>9.9029179999999997</v>
      </c>
      <c r="H208" s="2">
        <v>14.917323</v>
      </c>
      <c r="I208" s="2">
        <v>38.936253000000001</v>
      </c>
      <c r="J208" s="2">
        <v>17.944013999999999</v>
      </c>
      <c r="K208" s="2">
        <v>4.3115500000000004</v>
      </c>
      <c r="L208" s="2">
        <v>-1.9959903999999999</v>
      </c>
      <c r="M208" s="2">
        <v>1.56741</v>
      </c>
      <c r="N208" s="2">
        <v>32.147235999999999</v>
      </c>
      <c r="O208" s="2">
        <v>22.136265000000002</v>
      </c>
      <c r="P208" s="2">
        <v>57.837893999999999</v>
      </c>
      <c r="Q208" s="2">
        <v>4.9505981999999999</v>
      </c>
      <c r="R208" s="2">
        <v>9.2874119999999998</v>
      </c>
      <c r="S208" s="2">
        <v>19.276896000000001</v>
      </c>
      <c r="T208" s="2">
        <v>31.856812999999999</v>
      </c>
      <c r="U208" s="2">
        <v>12.860295000000001</v>
      </c>
      <c r="V208" s="2">
        <v>16.770368999999999</v>
      </c>
      <c r="W208" s="2">
        <v>11.664619999999999</v>
      </c>
      <c r="X208" s="2">
        <v>9.0710280000000001</v>
      </c>
      <c r="Y208" s="2">
        <v>7.824948</v>
      </c>
      <c r="Z208" s="2">
        <v>5.0326966999999998</v>
      </c>
      <c r="AA208" s="2">
        <v>2.9996383</v>
      </c>
      <c r="AB208" s="2">
        <v>1.4734001000000001</v>
      </c>
      <c r="AC208" s="2">
        <v>4.8953303999999997</v>
      </c>
      <c r="AD208" s="2">
        <v>2.5757669999999999</v>
      </c>
      <c r="AE208" s="2">
        <v>23.019638</v>
      </c>
      <c r="AF208" s="2">
        <v>62.794939999999997</v>
      </c>
      <c r="AG208" s="2">
        <v>11.274239</v>
      </c>
      <c r="AH208" s="4">
        <f t="shared" si="3"/>
        <v>316.04686290000001</v>
      </c>
    </row>
    <row r="209" spans="1:34" x14ac:dyDescent="0.2">
      <c r="A209" s="3">
        <v>40574</v>
      </c>
      <c r="B209" s="2">
        <v>-0.73099893000000005</v>
      </c>
      <c r="C209" s="2">
        <v>24.124258000000001</v>
      </c>
      <c r="D209" s="2">
        <v>-0.37318393999999999</v>
      </c>
      <c r="E209" s="2">
        <v>-9.5949220000000004</v>
      </c>
      <c r="F209" s="2">
        <v>-0.84442455000000005</v>
      </c>
      <c r="G209" s="2">
        <v>8.1546909999999997</v>
      </c>
      <c r="H209" s="2">
        <v>13.994294</v>
      </c>
      <c r="I209" s="2">
        <v>38.993834999999997</v>
      </c>
      <c r="J209" s="2">
        <v>13.508962</v>
      </c>
      <c r="K209" s="2">
        <v>0.32218849999999999</v>
      </c>
      <c r="L209" s="2">
        <v>-6.6430544999999999</v>
      </c>
      <c r="M209" s="2">
        <v>-0.63664679999999996</v>
      </c>
      <c r="N209" s="2">
        <v>29.895882</v>
      </c>
      <c r="O209" s="2">
        <v>22.197714000000001</v>
      </c>
      <c r="P209" s="2">
        <v>41.347136999999996</v>
      </c>
      <c r="Q209" s="2">
        <v>4.1126940000000003</v>
      </c>
      <c r="R209" s="2">
        <v>9.2403630000000003</v>
      </c>
      <c r="S209" s="2">
        <v>18.56607</v>
      </c>
      <c r="T209" s="2">
        <v>28.962557</v>
      </c>
      <c r="U209" s="2">
        <v>10.33896</v>
      </c>
      <c r="V209" s="2">
        <v>15.384579</v>
      </c>
      <c r="W209" s="2">
        <v>5.1262319999999999</v>
      </c>
      <c r="X209" s="2">
        <v>10.814098</v>
      </c>
      <c r="Y209" s="2">
        <v>7.7822012999999997</v>
      </c>
      <c r="Z209" s="2">
        <v>2.1636343</v>
      </c>
      <c r="AA209" s="2">
        <v>4.3702706999999998</v>
      </c>
      <c r="AB209" s="2">
        <v>2.0949911999999999</v>
      </c>
      <c r="AC209" s="2">
        <v>3.9512280999999998</v>
      </c>
      <c r="AD209" s="2">
        <v>1.9264302</v>
      </c>
      <c r="AE209" s="2">
        <v>25.688718999999999</v>
      </c>
      <c r="AF209" s="2">
        <v>61.042450000000002</v>
      </c>
      <c r="AG209" s="2">
        <v>10.066424</v>
      </c>
      <c r="AH209" s="4">
        <f t="shared" si="3"/>
        <v>260.32095377999997</v>
      </c>
    </row>
    <row r="210" spans="1:34" x14ac:dyDescent="0.2">
      <c r="A210" s="3">
        <v>40602</v>
      </c>
      <c r="B210" s="2">
        <v>1.4876564000000001</v>
      </c>
      <c r="C210" s="2">
        <v>27.95035</v>
      </c>
      <c r="D210" s="2">
        <v>0.89502614999999996</v>
      </c>
      <c r="E210" s="2">
        <v>0.55480370000000001</v>
      </c>
      <c r="F210" s="2">
        <v>3.2782784</v>
      </c>
      <c r="G210" s="2">
        <v>21.676859</v>
      </c>
      <c r="H210" s="2">
        <v>13.665234</v>
      </c>
      <c r="I210" s="2">
        <v>40.144126999999997</v>
      </c>
      <c r="J210" s="2">
        <v>15.354188000000001</v>
      </c>
      <c r="K210" s="2">
        <v>5.4053984000000002</v>
      </c>
      <c r="L210" s="2">
        <v>-1.5510234000000001</v>
      </c>
      <c r="M210" s="2">
        <v>5.9882229999999996</v>
      </c>
      <c r="N210" s="2">
        <v>32.687984</v>
      </c>
      <c r="O210" s="2">
        <v>23.280629999999999</v>
      </c>
      <c r="P210" s="2">
        <v>83.675640000000001</v>
      </c>
      <c r="Q210" s="2">
        <v>5.2142505999999997</v>
      </c>
      <c r="R210" s="2">
        <v>9.3186889999999991</v>
      </c>
      <c r="S210" s="2">
        <v>19.795918</v>
      </c>
      <c r="T210" s="2">
        <v>37.835566999999998</v>
      </c>
      <c r="U210" s="2">
        <v>11.936083999999999</v>
      </c>
      <c r="V210" s="2">
        <v>20.505127000000002</v>
      </c>
      <c r="W210" s="2">
        <v>0.60941504999999996</v>
      </c>
      <c r="X210" s="2">
        <v>10.833833</v>
      </c>
      <c r="Y210" s="2">
        <v>8.734216</v>
      </c>
      <c r="Z210" s="2">
        <v>1.6429613000000001</v>
      </c>
      <c r="AA210" s="2">
        <v>4.4045540000000001</v>
      </c>
      <c r="AB210" s="2">
        <v>1.5915427</v>
      </c>
      <c r="AC210" s="2">
        <v>3.5543133999999998</v>
      </c>
      <c r="AD210" s="2">
        <v>2.0339298000000001</v>
      </c>
      <c r="AE210" s="2">
        <v>18.922377000000001</v>
      </c>
      <c r="AF210" s="2">
        <v>61.657004999999998</v>
      </c>
      <c r="AG210" s="2">
        <v>9.7296680000000002</v>
      </c>
      <c r="AH210" s="4">
        <f t="shared" si="3"/>
        <v>379.09901025000005</v>
      </c>
    </row>
    <row r="211" spans="1:34" x14ac:dyDescent="0.2">
      <c r="A211" s="3">
        <v>40633</v>
      </c>
      <c r="B211" s="2">
        <v>2.4079747</v>
      </c>
      <c r="C211" s="2">
        <v>23.831810000000001</v>
      </c>
      <c r="D211" s="2">
        <v>-3.5733459999999999</v>
      </c>
      <c r="E211" s="2">
        <v>-14.841842</v>
      </c>
      <c r="F211" s="2">
        <v>-9.0209609999999998</v>
      </c>
      <c r="G211" s="2">
        <v>7.8753394999999999</v>
      </c>
      <c r="H211" s="2">
        <v>13.112837000000001</v>
      </c>
      <c r="I211" s="2">
        <v>40.023919999999997</v>
      </c>
      <c r="J211" s="2">
        <v>7.3131665999999997</v>
      </c>
      <c r="K211" s="2">
        <v>5.0288367000000003</v>
      </c>
      <c r="L211" s="2">
        <v>-3.1708530000000001</v>
      </c>
      <c r="M211" s="2">
        <v>2.7111551999999999</v>
      </c>
      <c r="N211" s="2">
        <v>28.802382000000001</v>
      </c>
      <c r="O211" s="2">
        <v>20.765215000000001</v>
      </c>
      <c r="P211" s="2">
        <v>65.786580000000001</v>
      </c>
      <c r="Q211" s="2">
        <v>4.1896440000000004</v>
      </c>
      <c r="R211" s="2">
        <v>8.5115700000000007</v>
      </c>
      <c r="S211" s="2">
        <v>20.038618</v>
      </c>
      <c r="T211" s="2">
        <v>38.805976999999999</v>
      </c>
      <c r="U211" s="2">
        <v>11.943253500000001</v>
      </c>
      <c r="V211" s="2">
        <v>20.652729000000001</v>
      </c>
      <c r="W211" s="2">
        <v>-2.5386510000000001E-2</v>
      </c>
      <c r="X211" s="2">
        <v>9.3641129999999997</v>
      </c>
      <c r="Y211" s="2">
        <v>10.486190000000001</v>
      </c>
      <c r="Z211" s="2">
        <v>0.65688086000000001</v>
      </c>
      <c r="AA211" s="2">
        <v>4.3979660000000003</v>
      </c>
      <c r="AB211" s="2">
        <v>1.8203317000000001</v>
      </c>
      <c r="AC211" s="2">
        <v>3.1507499999999999</v>
      </c>
      <c r="AD211" s="2">
        <v>2.3902519999999998</v>
      </c>
      <c r="AE211" s="2">
        <v>16.541329999999999</v>
      </c>
      <c r="AF211" s="2">
        <v>71.067599999999999</v>
      </c>
      <c r="AG211" s="2">
        <v>10.697979</v>
      </c>
      <c r="AH211" s="4">
        <f t="shared" si="3"/>
        <v>291.19400620000005</v>
      </c>
    </row>
    <row r="212" spans="1:34" x14ac:dyDescent="0.2">
      <c r="A212" s="3">
        <v>40663</v>
      </c>
      <c r="B212" s="2">
        <v>4.3695206999999998</v>
      </c>
      <c r="C212" s="2">
        <v>24.714137999999998</v>
      </c>
      <c r="D212" s="2">
        <v>-2.6098952</v>
      </c>
      <c r="E212" s="2">
        <v>0.78666789999999998</v>
      </c>
      <c r="F212" s="2">
        <v>14.292964</v>
      </c>
      <c r="G212" s="2">
        <v>28.356591999999999</v>
      </c>
      <c r="H212" s="2">
        <v>15.022055</v>
      </c>
      <c r="I212" s="2">
        <v>38.356395999999997</v>
      </c>
      <c r="J212" s="2">
        <v>3.808068</v>
      </c>
      <c r="K212" s="2">
        <v>6.2178789999999999</v>
      </c>
      <c r="L212" s="2">
        <v>1.5244936</v>
      </c>
      <c r="M212" s="2">
        <v>2.8696031999999998</v>
      </c>
      <c r="N212" s="2">
        <v>31.326073000000001</v>
      </c>
      <c r="O212" s="2">
        <v>19.493706</v>
      </c>
      <c r="P212" s="2">
        <v>61.79918</v>
      </c>
      <c r="Q212" s="2">
        <v>2.2821753</v>
      </c>
      <c r="R212" s="2">
        <v>7.9837875</v>
      </c>
      <c r="S212" s="2">
        <v>18.452742000000001</v>
      </c>
      <c r="T212" s="2">
        <v>30.660630999999999</v>
      </c>
      <c r="U212" s="2">
        <v>12.118399999999999</v>
      </c>
      <c r="V212" s="2">
        <v>22.671956999999999</v>
      </c>
      <c r="W212" s="2">
        <v>0.17358641</v>
      </c>
      <c r="X212" s="2">
        <v>9.2630040000000005</v>
      </c>
      <c r="Y212" s="2">
        <v>12.374238999999999</v>
      </c>
      <c r="Z212" s="2">
        <v>0.37808262999999998</v>
      </c>
      <c r="AA212" s="2">
        <v>4.2412960000000002</v>
      </c>
      <c r="AB212" s="2">
        <v>2.0911247999999998</v>
      </c>
      <c r="AC212" s="2">
        <v>3.0982069999999999</v>
      </c>
      <c r="AD212" s="2">
        <v>3.9915926000000002</v>
      </c>
      <c r="AE212" s="2">
        <v>7.9976263000000003</v>
      </c>
      <c r="AF212" s="2">
        <v>81.149733999999995</v>
      </c>
      <c r="AG212" s="2">
        <v>14.175093</v>
      </c>
      <c r="AH212" s="4">
        <f t="shared" si="3"/>
        <v>344.49713400000007</v>
      </c>
    </row>
    <row r="213" spans="1:34" x14ac:dyDescent="0.2">
      <c r="A213" s="3">
        <v>40694</v>
      </c>
      <c r="B213" s="2">
        <v>6.4695343999999997</v>
      </c>
      <c r="C213" s="2">
        <v>26.813877000000002</v>
      </c>
      <c r="D213" s="2">
        <v>1.5374064000000001</v>
      </c>
      <c r="E213" s="2">
        <v>4.5944222999999997</v>
      </c>
      <c r="F213" s="2">
        <v>15.128158000000001</v>
      </c>
      <c r="G213" s="2">
        <v>20.30095</v>
      </c>
      <c r="H213" s="2">
        <v>16.625114</v>
      </c>
      <c r="I213" s="2">
        <v>40.484589999999997</v>
      </c>
      <c r="J213" s="2">
        <v>2.9759419999999999</v>
      </c>
      <c r="K213" s="2">
        <v>7.8793344000000003</v>
      </c>
      <c r="L213" s="2">
        <v>-4.6471929999999997</v>
      </c>
      <c r="M213" s="2">
        <v>0.5088144</v>
      </c>
      <c r="N213" s="2">
        <v>37.048349999999999</v>
      </c>
      <c r="O213" s="2">
        <v>20.146090999999998</v>
      </c>
      <c r="P213" s="2">
        <v>43.562095999999997</v>
      </c>
      <c r="Q213" s="2">
        <v>2.3406644000000001</v>
      </c>
      <c r="R213" s="2">
        <v>9.1008089999999999</v>
      </c>
      <c r="S213" s="2">
        <v>17.532253000000001</v>
      </c>
      <c r="T213" s="2">
        <v>40.012844000000001</v>
      </c>
      <c r="U213" s="2">
        <v>11.174633</v>
      </c>
      <c r="V213" s="2">
        <v>27.147614000000001</v>
      </c>
      <c r="W213" s="2">
        <v>4.1832951999999999</v>
      </c>
      <c r="X213" s="2">
        <v>8.2765664999999995</v>
      </c>
      <c r="Y213" s="2">
        <v>13.510636</v>
      </c>
      <c r="Z213" s="2">
        <v>0.45792714000000001</v>
      </c>
      <c r="AA213" s="2">
        <v>4.6713500000000003</v>
      </c>
      <c r="AB213" s="2">
        <v>1.8374539999999999</v>
      </c>
      <c r="AC213" s="2">
        <v>3.1562252000000002</v>
      </c>
      <c r="AD213" s="2">
        <v>5.2789273000000003</v>
      </c>
      <c r="AE213" s="2">
        <v>1.1738876</v>
      </c>
      <c r="AF213" s="2">
        <v>94.754729999999995</v>
      </c>
      <c r="AG213" s="2">
        <v>17.724546</v>
      </c>
      <c r="AH213" s="4">
        <f t="shared" si="3"/>
        <v>346.73630430000003</v>
      </c>
    </row>
    <row r="214" spans="1:34" x14ac:dyDescent="0.2">
      <c r="A214" s="3">
        <v>40724</v>
      </c>
      <c r="B214" s="2">
        <v>5.8940289999999997</v>
      </c>
      <c r="C214" s="2">
        <v>24.517787999999999</v>
      </c>
      <c r="D214" s="2">
        <v>-3.5192459</v>
      </c>
      <c r="E214" s="2">
        <v>-13.407572999999999</v>
      </c>
      <c r="F214" s="2">
        <v>0.68044870000000002</v>
      </c>
      <c r="G214" s="2">
        <v>1.284081</v>
      </c>
      <c r="H214" s="2">
        <v>14.693936000000001</v>
      </c>
      <c r="I214" s="2">
        <v>39.347810000000003</v>
      </c>
      <c r="J214" s="2">
        <v>-2.3046380000000002</v>
      </c>
      <c r="K214" s="2">
        <v>6.1807723000000001</v>
      </c>
      <c r="L214" s="2">
        <v>-5.8708735000000001</v>
      </c>
      <c r="M214" s="2">
        <v>-0.10136558</v>
      </c>
      <c r="N214" s="2">
        <v>33.589644999999997</v>
      </c>
      <c r="O214" s="2">
        <v>20.008275999999999</v>
      </c>
      <c r="P214" s="2">
        <v>29.913444999999999</v>
      </c>
      <c r="Q214" s="2">
        <v>1.6556747000000001</v>
      </c>
      <c r="R214" s="2">
        <v>7.6661096000000004</v>
      </c>
      <c r="S214" s="2">
        <v>14.746813</v>
      </c>
      <c r="T214" s="2">
        <v>32.15278</v>
      </c>
      <c r="U214" s="2">
        <v>9.7507199999999994</v>
      </c>
      <c r="V214" s="2">
        <v>29.031696</v>
      </c>
      <c r="W214" s="2">
        <v>17.465679999999999</v>
      </c>
      <c r="X214" s="2">
        <v>6.2805514000000002</v>
      </c>
      <c r="Y214" s="2">
        <v>13.694077999999999</v>
      </c>
      <c r="Z214" s="2">
        <v>2.596301</v>
      </c>
      <c r="AA214" s="2">
        <v>6.0308640000000002</v>
      </c>
      <c r="AB214" s="2">
        <v>1.8397862</v>
      </c>
      <c r="AC214" s="2">
        <v>3.5981356999999998</v>
      </c>
      <c r="AD214" s="2">
        <v>7.4040140000000001</v>
      </c>
      <c r="AE214" s="2">
        <v>-0.80797260000000004</v>
      </c>
      <c r="AF214" s="2">
        <v>103.595924</v>
      </c>
      <c r="AG214" s="2">
        <v>22.362839000000001</v>
      </c>
      <c r="AH214" s="4">
        <f t="shared" si="3"/>
        <v>245.91032831999999</v>
      </c>
    </row>
    <row r="215" spans="1:34" x14ac:dyDescent="0.2">
      <c r="A215" s="3">
        <v>40755</v>
      </c>
      <c r="B215" s="2">
        <v>5.6158666999999998</v>
      </c>
      <c r="C215" s="2">
        <v>23.180367</v>
      </c>
      <c r="D215" s="2">
        <v>-7.3587059999999997</v>
      </c>
      <c r="E215" s="2">
        <v>-22.544426000000001</v>
      </c>
      <c r="F215" s="2">
        <v>-4.2141856999999998</v>
      </c>
      <c r="G215" s="2">
        <v>-1.0055215</v>
      </c>
      <c r="H215" s="2">
        <v>15.811417</v>
      </c>
      <c r="I215" s="2">
        <v>39.092044999999999</v>
      </c>
      <c r="J215" s="2">
        <v>-2.1818572999999999</v>
      </c>
      <c r="K215" s="2">
        <v>1.9165386</v>
      </c>
      <c r="L215" s="2">
        <v>-2.2730136000000001</v>
      </c>
      <c r="M215" s="2">
        <v>-0.51274955</v>
      </c>
      <c r="N215" s="2">
        <v>33.790976999999998</v>
      </c>
      <c r="O215" s="2">
        <v>21.795506</v>
      </c>
      <c r="P215" s="2">
        <v>56.089848000000003</v>
      </c>
      <c r="Q215" s="2">
        <v>2.916731</v>
      </c>
      <c r="R215" s="2">
        <v>6.8387609999999999</v>
      </c>
      <c r="S215" s="2">
        <v>11.651621</v>
      </c>
      <c r="T215" s="2">
        <v>39.18197</v>
      </c>
      <c r="U215" s="2">
        <v>10.323503499999999</v>
      </c>
      <c r="V215" s="2">
        <v>35.117317</v>
      </c>
      <c r="W215" s="2">
        <v>29.598949999999999</v>
      </c>
      <c r="X215" s="2">
        <v>4.3045825999999998</v>
      </c>
      <c r="Y215" s="2">
        <v>12.852738</v>
      </c>
      <c r="Z215" s="2">
        <v>1.9600203</v>
      </c>
      <c r="AA215" s="2">
        <v>3.9084631999999999</v>
      </c>
      <c r="AB215" s="2">
        <v>2.5709116000000001</v>
      </c>
      <c r="AC215" s="2">
        <v>3.6557567</v>
      </c>
      <c r="AD215" s="2">
        <v>10.34056</v>
      </c>
      <c r="AE215" s="2">
        <v>9.1993259999999993E-2</v>
      </c>
      <c r="AF215" s="2">
        <v>112.41873</v>
      </c>
      <c r="AG215" s="2">
        <v>24.855722</v>
      </c>
      <c r="AH215" s="4">
        <f t="shared" si="3"/>
        <v>263.23200915000001</v>
      </c>
    </row>
    <row r="216" spans="1:34" x14ac:dyDescent="0.2">
      <c r="A216" s="3">
        <v>40786</v>
      </c>
      <c r="B216" s="2">
        <v>6.8737719999999998</v>
      </c>
      <c r="C216" s="2">
        <v>27.987708999999999</v>
      </c>
      <c r="D216" s="2">
        <v>7.3481740000000002</v>
      </c>
      <c r="E216" s="2">
        <v>21.943156999999999</v>
      </c>
      <c r="F216" s="2">
        <v>33.220013000000002</v>
      </c>
      <c r="G216" s="2">
        <v>40.095042999999997</v>
      </c>
      <c r="H216" s="2">
        <v>20.272644</v>
      </c>
      <c r="I216" s="2">
        <v>41.674059999999997</v>
      </c>
      <c r="J216" s="2">
        <v>11.261206</v>
      </c>
      <c r="K216" s="2">
        <v>13.948045</v>
      </c>
      <c r="L216" s="2">
        <v>10.787732999999999</v>
      </c>
      <c r="M216" s="2">
        <v>12.131631</v>
      </c>
      <c r="N216" s="2">
        <v>42.163634999999999</v>
      </c>
      <c r="O216" s="2">
        <v>22.784541999999998</v>
      </c>
      <c r="P216" s="2">
        <v>59.544967999999997</v>
      </c>
      <c r="Q216" s="2">
        <v>0.77600884000000003</v>
      </c>
      <c r="R216" s="2">
        <v>8.546125</v>
      </c>
      <c r="S216" s="2">
        <v>16.683325</v>
      </c>
      <c r="T216" s="2">
        <v>28.617927999999999</v>
      </c>
      <c r="U216" s="2">
        <v>12.19524</v>
      </c>
      <c r="V216" s="2">
        <v>32.849710000000002</v>
      </c>
      <c r="W216" s="2">
        <v>30.034292000000001</v>
      </c>
      <c r="X216" s="2">
        <v>4.1718279999999996</v>
      </c>
      <c r="Y216" s="2">
        <v>11.932886</v>
      </c>
      <c r="Z216" s="2">
        <v>3.3166983000000001</v>
      </c>
      <c r="AA216" s="2">
        <v>3.5020794999999998</v>
      </c>
      <c r="AB216" s="2">
        <v>1.7578039999999999</v>
      </c>
      <c r="AC216" s="2">
        <v>2.878701</v>
      </c>
      <c r="AD216" s="2">
        <v>9.2537350000000007</v>
      </c>
      <c r="AE216" s="2">
        <v>0.74543554000000001</v>
      </c>
      <c r="AF216" s="2">
        <v>111.86229</v>
      </c>
      <c r="AG216" s="2">
        <v>24.029879000000001</v>
      </c>
      <c r="AH216" s="4">
        <f t="shared" si="3"/>
        <v>471.70466884000001</v>
      </c>
    </row>
    <row r="217" spans="1:34" x14ac:dyDescent="0.2">
      <c r="A217" s="3">
        <v>40816</v>
      </c>
      <c r="B217" s="2">
        <v>5.8320923000000002</v>
      </c>
      <c r="C217" s="2">
        <v>27.165368999999998</v>
      </c>
      <c r="D217" s="2">
        <v>4.4704294000000004</v>
      </c>
      <c r="E217" s="2">
        <v>13.541821000000001</v>
      </c>
      <c r="F217" s="2">
        <v>15.005723</v>
      </c>
      <c r="G217" s="2">
        <v>35.457039999999999</v>
      </c>
      <c r="H217" s="2">
        <v>19.646968999999999</v>
      </c>
      <c r="I217" s="2">
        <v>43.176949999999998</v>
      </c>
      <c r="J217" s="2">
        <v>15.840921</v>
      </c>
      <c r="K217" s="2">
        <v>11.241505999999999</v>
      </c>
      <c r="L217" s="2">
        <v>12.344941</v>
      </c>
      <c r="M217" s="2">
        <v>12.2995</v>
      </c>
      <c r="N217" s="2">
        <v>39.514626</v>
      </c>
      <c r="O217" s="2">
        <v>25.732237000000001</v>
      </c>
      <c r="P217" s="2">
        <v>60.762450000000001</v>
      </c>
      <c r="Q217" s="2">
        <v>1.3485398</v>
      </c>
      <c r="R217" s="2">
        <v>6.3083982000000001</v>
      </c>
      <c r="S217" s="2">
        <v>19.617495000000002</v>
      </c>
      <c r="T217" s="2">
        <v>29.854133999999998</v>
      </c>
      <c r="U217" s="2">
        <v>12.945276</v>
      </c>
      <c r="V217" s="2">
        <v>25.867930999999999</v>
      </c>
      <c r="W217" s="2">
        <v>26.928280000000001</v>
      </c>
      <c r="X217" s="2">
        <v>2.9532837999999999</v>
      </c>
      <c r="Y217" s="2">
        <v>10.398512</v>
      </c>
      <c r="Z217" s="2">
        <v>3.0063396</v>
      </c>
      <c r="AA217" s="2">
        <v>2.8655913000000002</v>
      </c>
      <c r="AB217" s="2">
        <v>1.4125018</v>
      </c>
      <c r="AC217" s="2">
        <v>3.4085776999999999</v>
      </c>
      <c r="AD217" s="2">
        <v>6.9191739999999999</v>
      </c>
      <c r="AE217" s="2">
        <v>3.142417</v>
      </c>
      <c r="AF217" s="2">
        <v>107.17433</v>
      </c>
      <c r="AG217" s="2">
        <v>20.378862000000002</v>
      </c>
      <c r="AH217" s="4">
        <f t="shared" si="3"/>
        <v>437.97434870000001</v>
      </c>
    </row>
    <row r="218" spans="1:34" x14ac:dyDescent="0.2">
      <c r="A218" s="3">
        <v>40847</v>
      </c>
      <c r="B218" s="2">
        <v>4.5652265999999999</v>
      </c>
      <c r="C218" s="2">
        <v>28.456318</v>
      </c>
      <c r="D218" s="2">
        <v>3.3436043</v>
      </c>
      <c r="E218" s="2">
        <v>7.5570716999999998</v>
      </c>
      <c r="F218" s="2">
        <v>14.117899</v>
      </c>
      <c r="G218" s="2">
        <v>32.723072000000002</v>
      </c>
      <c r="H218" s="2">
        <v>17.889565000000001</v>
      </c>
      <c r="I218" s="2">
        <v>43.915256999999997</v>
      </c>
      <c r="J218" s="2">
        <v>27.934958000000002</v>
      </c>
      <c r="K218" s="2">
        <v>17.749351999999998</v>
      </c>
      <c r="L218" s="2">
        <v>9.4436140000000002</v>
      </c>
      <c r="M218" s="2">
        <v>11.528333999999999</v>
      </c>
      <c r="N218" s="2">
        <v>41.06767</v>
      </c>
      <c r="O218" s="2">
        <v>24.781841</v>
      </c>
      <c r="P218" s="2">
        <v>63.38588</v>
      </c>
      <c r="Q218" s="2">
        <v>3.2125444000000001</v>
      </c>
      <c r="R218" s="2">
        <v>6.7578734999999996</v>
      </c>
      <c r="S218" s="2">
        <v>25.881945000000002</v>
      </c>
      <c r="T218" s="2">
        <v>46.00432</v>
      </c>
      <c r="U218" s="2">
        <v>10.402331</v>
      </c>
      <c r="V218" s="2">
        <v>23.978525000000001</v>
      </c>
      <c r="W218" s="2">
        <v>22.589254</v>
      </c>
      <c r="X218" s="2">
        <v>3.6136496</v>
      </c>
      <c r="Y218" s="2">
        <v>9.4624279999999992</v>
      </c>
      <c r="Z218" s="2">
        <v>7.0501943000000002</v>
      </c>
      <c r="AA218" s="2">
        <v>6.0976743999999998</v>
      </c>
      <c r="AB218" s="2">
        <v>1.6014968999999999</v>
      </c>
      <c r="AC218" s="2">
        <v>4.1346854999999998</v>
      </c>
      <c r="AD218" s="2">
        <v>4.780735</v>
      </c>
      <c r="AE218" s="2">
        <v>7.8395104</v>
      </c>
      <c r="AF218" s="2">
        <v>88.90746</v>
      </c>
      <c r="AG218" s="2">
        <v>16.495743000000001</v>
      </c>
      <c r="AH218" s="4">
        <f t="shared" si="3"/>
        <v>464.69720150000001</v>
      </c>
    </row>
    <row r="219" spans="1:34" x14ac:dyDescent="0.2">
      <c r="A219" s="3">
        <v>40877</v>
      </c>
      <c r="B219" s="2">
        <v>2.5068095000000001</v>
      </c>
      <c r="C219" s="2">
        <v>27.446085</v>
      </c>
      <c r="D219" s="2">
        <v>4.5426273000000004</v>
      </c>
      <c r="E219" s="2">
        <v>7.8181979999999998</v>
      </c>
      <c r="F219" s="2">
        <v>11.786607</v>
      </c>
      <c r="G219" s="2">
        <v>26.637733000000001</v>
      </c>
      <c r="H219" s="2">
        <v>15.226414</v>
      </c>
      <c r="I219" s="2">
        <v>38.875810000000001</v>
      </c>
      <c r="J219" s="2">
        <v>21.702188</v>
      </c>
      <c r="K219" s="2">
        <v>11.072872</v>
      </c>
      <c r="L219" s="2">
        <v>3.8929026000000002</v>
      </c>
      <c r="M219" s="2">
        <v>4.9509582999999999</v>
      </c>
      <c r="N219" s="2">
        <v>38.827987999999998</v>
      </c>
      <c r="O219" s="2">
        <v>21.531549999999999</v>
      </c>
      <c r="P219" s="2">
        <v>47.304423999999997</v>
      </c>
      <c r="Q219" s="2">
        <v>1.0620297000000001</v>
      </c>
      <c r="R219" s="2">
        <v>7.3678464999999997</v>
      </c>
      <c r="S219" s="2">
        <v>21.971423999999999</v>
      </c>
      <c r="T219" s="2">
        <v>30.163076</v>
      </c>
      <c r="U219" s="2">
        <v>10.615155</v>
      </c>
      <c r="V219" s="2">
        <v>16.966055000000001</v>
      </c>
      <c r="W219" s="2">
        <v>16.255371</v>
      </c>
      <c r="X219" s="2">
        <v>5.4022100000000002</v>
      </c>
      <c r="Y219" s="2">
        <v>10.263977000000001</v>
      </c>
      <c r="Z219" s="2">
        <v>5.9187355000000004</v>
      </c>
      <c r="AA219" s="2">
        <v>5.1684494000000001</v>
      </c>
      <c r="AB219" s="2">
        <v>1.8031615999999999</v>
      </c>
      <c r="AC219" s="2">
        <v>4.3238525000000001</v>
      </c>
      <c r="AD219" s="2">
        <v>3.2783540000000002</v>
      </c>
      <c r="AE219" s="2">
        <v>15.570677</v>
      </c>
      <c r="AF219" s="2">
        <v>66.060980000000001</v>
      </c>
      <c r="AG219" s="2">
        <v>13.424875</v>
      </c>
      <c r="AH219" s="4">
        <f t="shared" si="3"/>
        <v>372.26875289999998</v>
      </c>
    </row>
    <row r="220" spans="1:34" x14ac:dyDescent="0.2">
      <c r="A220" s="3">
        <v>40908</v>
      </c>
      <c r="B220" s="2">
        <v>1.2000811</v>
      </c>
      <c r="C220" s="2">
        <v>25.92323</v>
      </c>
      <c r="D220" s="2">
        <v>2.425046</v>
      </c>
      <c r="E220" s="2">
        <v>-1.2309053000000001</v>
      </c>
      <c r="F220" s="2">
        <v>3.3186018000000002</v>
      </c>
      <c r="G220" s="2">
        <v>22.494865000000001</v>
      </c>
      <c r="H220" s="2">
        <v>14.46293</v>
      </c>
      <c r="I220" s="2">
        <v>39.047905</v>
      </c>
      <c r="J220" s="2">
        <v>20.823937999999998</v>
      </c>
      <c r="K220" s="2">
        <v>3.2207564999999998</v>
      </c>
      <c r="L220" s="2">
        <v>0.94798450000000001</v>
      </c>
      <c r="M220" s="2">
        <v>2.5750147999999999</v>
      </c>
      <c r="N220" s="2">
        <v>32.170597000000001</v>
      </c>
      <c r="O220" s="2">
        <v>22.697783000000001</v>
      </c>
      <c r="P220" s="2">
        <v>61.993572</v>
      </c>
      <c r="Q220" s="2">
        <v>0.98853533999999998</v>
      </c>
      <c r="R220" s="2">
        <v>7.3977339999999998</v>
      </c>
      <c r="S220" s="2">
        <v>19.216470000000001</v>
      </c>
      <c r="T220" s="2">
        <v>35.532654000000001</v>
      </c>
      <c r="U220" s="2">
        <v>12.011927</v>
      </c>
      <c r="V220" s="2">
        <v>18.135041999999999</v>
      </c>
      <c r="W220" s="2">
        <v>11.964005</v>
      </c>
      <c r="X220" s="2">
        <v>6.0140133000000002</v>
      </c>
      <c r="Y220" s="2">
        <v>11.007051000000001</v>
      </c>
      <c r="Z220" s="2">
        <v>4.6846037000000003</v>
      </c>
      <c r="AA220" s="2">
        <v>5.6694839999999997</v>
      </c>
      <c r="AB220" s="2">
        <v>2.0851665000000001</v>
      </c>
      <c r="AC220" s="2">
        <v>4.5020765999999997</v>
      </c>
      <c r="AD220" s="2">
        <v>2.1926796</v>
      </c>
      <c r="AE220" s="2">
        <v>25.714174</v>
      </c>
      <c r="AF220" s="2">
        <v>63.978935</v>
      </c>
      <c r="AG220" s="2">
        <v>11.098611999999999</v>
      </c>
      <c r="AH220" s="4">
        <f t="shared" si="3"/>
        <v>345.35376173999998</v>
      </c>
    </row>
    <row r="221" spans="1:34" x14ac:dyDescent="0.2">
      <c r="A221" s="3">
        <v>40939</v>
      </c>
      <c r="B221" s="2">
        <v>2.0309590000000002</v>
      </c>
      <c r="C221" s="2">
        <v>24.455206</v>
      </c>
      <c r="D221" s="2">
        <v>-4.1074615000000003</v>
      </c>
      <c r="E221" s="2">
        <v>-13.692197999999999</v>
      </c>
      <c r="F221" s="2">
        <v>2.3156783999999999</v>
      </c>
      <c r="G221" s="2">
        <v>3.3121526000000001</v>
      </c>
      <c r="H221" s="2">
        <v>15.454516</v>
      </c>
      <c r="I221" s="2">
        <v>38.822369999999999</v>
      </c>
      <c r="J221" s="2">
        <v>15.25271</v>
      </c>
      <c r="K221" s="2">
        <v>5.9986987000000003</v>
      </c>
      <c r="L221" s="2">
        <v>4.1236043000000002</v>
      </c>
      <c r="M221" s="2">
        <v>3.0186809999999999</v>
      </c>
      <c r="N221" s="2">
        <v>33.039070000000002</v>
      </c>
      <c r="O221" s="2">
        <v>22.310735999999999</v>
      </c>
      <c r="P221" s="2">
        <v>66.930319999999995</v>
      </c>
      <c r="Q221" s="2">
        <v>0.67202669999999998</v>
      </c>
      <c r="R221" s="2">
        <v>6.3001940000000003</v>
      </c>
      <c r="S221" s="2">
        <v>20.379256999999999</v>
      </c>
      <c r="T221" s="2">
        <v>32.836674000000002</v>
      </c>
      <c r="U221" s="2">
        <v>10.483516</v>
      </c>
      <c r="V221" s="2">
        <v>17.218229999999998</v>
      </c>
      <c r="W221" s="2">
        <v>4.8442135000000004</v>
      </c>
      <c r="X221" s="2">
        <v>7.4101086</v>
      </c>
      <c r="Y221" s="2">
        <v>11.149032999999999</v>
      </c>
      <c r="Z221" s="2">
        <v>3.5553319999999999</v>
      </c>
      <c r="AA221" s="2">
        <v>4.8693284999999999</v>
      </c>
      <c r="AB221" s="2">
        <v>1.4610955999999999</v>
      </c>
      <c r="AC221" s="2">
        <v>3.5705391999999998</v>
      </c>
      <c r="AD221" s="2">
        <v>1.7856110000000001</v>
      </c>
      <c r="AE221" s="2">
        <v>27.495245000000001</v>
      </c>
      <c r="AF221" s="2">
        <v>64.623930000000001</v>
      </c>
      <c r="AG221" s="2">
        <v>9.8419190000000008</v>
      </c>
      <c r="AH221" s="4">
        <f t="shared" si="3"/>
        <v>307.1549402</v>
      </c>
    </row>
    <row r="222" spans="1:34" x14ac:dyDescent="0.2">
      <c r="A222" s="3">
        <v>40968</v>
      </c>
      <c r="B222" s="2">
        <v>1.8923877</v>
      </c>
      <c r="C222" s="2">
        <v>24.787320999999999</v>
      </c>
      <c r="D222" s="2">
        <v>-1.6687578999999999</v>
      </c>
      <c r="E222" s="2">
        <v>-4.1967160000000003</v>
      </c>
      <c r="F222" s="2">
        <v>1.0260819000000001</v>
      </c>
      <c r="G222" s="2">
        <v>13.992559999999999</v>
      </c>
      <c r="H222" s="2">
        <v>16.049500999999999</v>
      </c>
      <c r="I222" s="2">
        <v>38.460921999999997</v>
      </c>
      <c r="J222" s="2">
        <v>11.513684</v>
      </c>
      <c r="K222" s="2">
        <v>4.2543993000000002</v>
      </c>
      <c r="L222" s="2">
        <v>2.8056516999999999</v>
      </c>
      <c r="M222" s="2">
        <v>4.9744615999999997</v>
      </c>
      <c r="N222" s="2">
        <v>30.124153</v>
      </c>
      <c r="O222" s="2">
        <v>24.355568000000002</v>
      </c>
      <c r="P222" s="2">
        <v>57.651927999999998</v>
      </c>
      <c r="Q222" s="2">
        <v>1.5362273</v>
      </c>
      <c r="R222" s="2">
        <v>5.3677425000000003</v>
      </c>
      <c r="S222" s="2">
        <v>17.763918</v>
      </c>
      <c r="T222" s="2">
        <v>36.224792000000001</v>
      </c>
      <c r="U222" s="2">
        <v>10.497991000000001</v>
      </c>
      <c r="V222" s="2">
        <v>18.073713000000001</v>
      </c>
      <c r="W222" s="2">
        <v>1.7257875</v>
      </c>
      <c r="X222" s="2">
        <v>7.4072259999999996</v>
      </c>
      <c r="Y222" s="2">
        <v>12.219661</v>
      </c>
      <c r="Z222" s="2">
        <v>1.5720761999999999</v>
      </c>
      <c r="AA222" s="2">
        <v>2.8513670000000002</v>
      </c>
      <c r="AB222" s="2">
        <v>1.9970087000000001</v>
      </c>
      <c r="AC222" s="2">
        <v>2.8521519999999998</v>
      </c>
      <c r="AD222" s="2">
        <v>1.7687581999999999</v>
      </c>
      <c r="AE222" s="2">
        <v>21.659578</v>
      </c>
      <c r="AF222" s="2">
        <v>64.939670000000007</v>
      </c>
      <c r="AG222" s="2">
        <v>9.6804284999999997</v>
      </c>
      <c r="AH222" s="4">
        <f t="shared" si="3"/>
        <v>315.48752909999996</v>
      </c>
    </row>
    <row r="223" spans="1:34" x14ac:dyDescent="0.2">
      <c r="A223" s="3">
        <v>40999</v>
      </c>
      <c r="B223" s="2">
        <v>2.1287739999999999</v>
      </c>
      <c r="C223" s="2">
        <v>23.317719</v>
      </c>
      <c r="D223" s="2">
        <v>-3.1450144999999998</v>
      </c>
      <c r="E223" s="2">
        <v>-9.6326669999999996</v>
      </c>
      <c r="F223" s="2">
        <v>-0.47779199999999999</v>
      </c>
      <c r="G223" s="2">
        <v>11.006347</v>
      </c>
      <c r="H223" s="2">
        <v>14.922764000000001</v>
      </c>
      <c r="I223" s="2">
        <v>39.494979999999998</v>
      </c>
      <c r="J223" s="2">
        <v>10.450177</v>
      </c>
      <c r="K223" s="2">
        <v>9.5621770000000001</v>
      </c>
      <c r="L223" s="2">
        <v>3.1128239999999998</v>
      </c>
      <c r="M223" s="2">
        <v>6.0818304999999997</v>
      </c>
      <c r="N223" s="2">
        <v>35.004738000000003</v>
      </c>
      <c r="O223" s="2">
        <v>23.043768</v>
      </c>
      <c r="P223" s="2">
        <v>48.87388</v>
      </c>
      <c r="Q223" s="2">
        <v>1.7272358999999999</v>
      </c>
      <c r="R223" s="2">
        <v>4.9275409999999997</v>
      </c>
      <c r="S223" s="2">
        <v>19.281808999999999</v>
      </c>
      <c r="T223" s="2">
        <v>31.895496000000001</v>
      </c>
      <c r="U223" s="2">
        <v>9.7195110000000007</v>
      </c>
      <c r="V223" s="2">
        <v>18.945081999999999</v>
      </c>
      <c r="W223" s="2">
        <v>9.8992200000000002E-2</v>
      </c>
      <c r="X223" s="2">
        <v>6.3946120000000004</v>
      </c>
      <c r="Y223" s="2">
        <v>13.980167</v>
      </c>
      <c r="Z223" s="2">
        <v>0.29258909999999999</v>
      </c>
      <c r="AA223" s="2">
        <v>2.2475016000000001</v>
      </c>
      <c r="AB223" s="2">
        <v>2.6998950000000002</v>
      </c>
      <c r="AC223" s="2">
        <v>2.5022764</v>
      </c>
      <c r="AD223" s="2">
        <v>2.1321610999999998</v>
      </c>
      <c r="AE223" s="2">
        <v>15.014411000000001</v>
      </c>
      <c r="AF223" s="2">
        <v>75.349999999999994</v>
      </c>
      <c r="AG223" s="2">
        <v>11.110246</v>
      </c>
      <c r="AH223" s="4">
        <f t="shared" si="3"/>
        <v>300.24117990000002</v>
      </c>
    </row>
    <row r="224" spans="1:34" x14ac:dyDescent="0.2">
      <c r="A224" s="3">
        <v>41029</v>
      </c>
      <c r="B224" s="2">
        <v>4.5147605000000004</v>
      </c>
      <c r="C224" s="2">
        <v>23.662327000000001</v>
      </c>
      <c r="D224" s="2">
        <v>-2.0592809000000001</v>
      </c>
      <c r="E224" s="2">
        <v>-6.2220573000000003</v>
      </c>
      <c r="F224" s="2">
        <v>7.5682</v>
      </c>
      <c r="G224" s="2">
        <v>21.262747000000001</v>
      </c>
      <c r="H224" s="2">
        <v>16.535229999999999</v>
      </c>
      <c r="I224" s="2">
        <v>40.10671</v>
      </c>
      <c r="J224" s="2">
        <v>4.8734254999999997</v>
      </c>
      <c r="K224" s="2">
        <v>7.1937585000000004</v>
      </c>
      <c r="L224" s="2">
        <v>1.9176632</v>
      </c>
      <c r="M224" s="2">
        <v>5.9128423000000003</v>
      </c>
      <c r="N224" s="2">
        <v>37.705300000000001</v>
      </c>
      <c r="O224" s="2">
        <v>22.822441000000001</v>
      </c>
      <c r="P224" s="2">
        <v>46.337775999999998</v>
      </c>
      <c r="Q224" s="2">
        <v>2.6815199999999999</v>
      </c>
      <c r="R224" s="2">
        <v>6.1292705999999999</v>
      </c>
      <c r="S224" s="2">
        <v>24.762319999999999</v>
      </c>
      <c r="T224" s="2">
        <v>37.627940000000002</v>
      </c>
      <c r="U224" s="2">
        <v>13.702332</v>
      </c>
      <c r="V224" s="2">
        <v>20.708947999999999</v>
      </c>
      <c r="W224" s="2">
        <v>-3.041073E-2</v>
      </c>
      <c r="X224" s="2">
        <v>6.5604440000000004</v>
      </c>
      <c r="Y224" s="2">
        <v>15.408443999999999</v>
      </c>
      <c r="Z224" s="2">
        <v>0.31765315</v>
      </c>
      <c r="AA224" s="2">
        <v>4.6829910000000003</v>
      </c>
      <c r="AB224" s="2">
        <v>2.5804656000000001</v>
      </c>
      <c r="AC224" s="2">
        <v>4.2279353000000004</v>
      </c>
      <c r="AD224" s="2">
        <v>4.0693115999999998</v>
      </c>
      <c r="AE224" s="2">
        <v>9.5584559999999996</v>
      </c>
      <c r="AF224" s="2">
        <v>86.365455999999995</v>
      </c>
      <c r="AG224" s="2">
        <v>14.440853000000001</v>
      </c>
      <c r="AH224" s="4">
        <f t="shared" si="3"/>
        <v>337.74417340000008</v>
      </c>
    </row>
    <row r="225" spans="1:34" x14ac:dyDescent="0.2">
      <c r="A225" s="3">
        <v>41060</v>
      </c>
      <c r="B225" s="2">
        <v>4.2586174000000003</v>
      </c>
      <c r="C225" s="2">
        <v>21.480442</v>
      </c>
      <c r="D225" s="2">
        <v>-5.6078770000000002</v>
      </c>
      <c r="E225" s="2">
        <v>-17.139471</v>
      </c>
      <c r="F225" s="2">
        <v>-0.16976706999999999</v>
      </c>
      <c r="G225" s="2">
        <v>2.2720318000000002</v>
      </c>
      <c r="H225" s="2">
        <v>13.725595</v>
      </c>
      <c r="I225" s="2">
        <v>37.940199999999997</v>
      </c>
      <c r="J225" s="2">
        <v>-4.2839099999999997</v>
      </c>
      <c r="K225" s="2">
        <v>2.4951819999999998</v>
      </c>
      <c r="L225" s="2">
        <v>0.57196002999999995</v>
      </c>
      <c r="M225" s="2">
        <v>2.0985458000000001</v>
      </c>
      <c r="N225" s="2">
        <v>31.122826</v>
      </c>
      <c r="O225" s="2">
        <v>23.932383999999999</v>
      </c>
      <c r="P225" s="2">
        <v>30.692350000000001</v>
      </c>
      <c r="Q225" s="2">
        <v>2.0647118</v>
      </c>
      <c r="R225" s="2">
        <v>5.5576850000000002</v>
      </c>
      <c r="S225" s="2">
        <v>19.922986999999999</v>
      </c>
      <c r="T225" s="2">
        <v>45.865265000000001</v>
      </c>
      <c r="U225" s="2">
        <v>12.999126</v>
      </c>
      <c r="V225" s="2">
        <v>25.289187999999999</v>
      </c>
      <c r="W225" s="2">
        <v>4.5968049999999998</v>
      </c>
      <c r="X225" s="2">
        <v>7.2746263000000004</v>
      </c>
      <c r="Y225" s="2">
        <v>18.741576999999999</v>
      </c>
      <c r="Z225" s="2">
        <v>0.93302090000000004</v>
      </c>
      <c r="AA225" s="2">
        <v>3.8343446000000001</v>
      </c>
      <c r="AB225" s="2">
        <v>2.0633347</v>
      </c>
      <c r="AC225" s="2">
        <v>4.5123249999999997</v>
      </c>
      <c r="AD225" s="2">
        <v>6.0263156999999996</v>
      </c>
      <c r="AE225" s="2">
        <v>3.1626134000000001</v>
      </c>
      <c r="AF225" s="2">
        <v>96.432159999999996</v>
      </c>
      <c r="AG225" s="2">
        <v>17.807473999999999</v>
      </c>
      <c r="AH225" s="4">
        <f t="shared" si="3"/>
        <v>255.08807175999996</v>
      </c>
    </row>
    <row r="226" spans="1:34" x14ac:dyDescent="0.2">
      <c r="A226" s="3">
        <v>41090</v>
      </c>
      <c r="B226" s="2">
        <v>5.0936060000000003</v>
      </c>
      <c r="C226" s="2">
        <v>21.578417000000002</v>
      </c>
      <c r="D226" s="2">
        <v>-6.8533790000000003</v>
      </c>
      <c r="E226" s="2">
        <v>-14.755654</v>
      </c>
      <c r="F226" s="2">
        <v>1.0483586000000001E-3</v>
      </c>
      <c r="G226" s="2">
        <v>-1.0663130000000001</v>
      </c>
      <c r="H226" s="2">
        <v>15.123683</v>
      </c>
      <c r="I226" s="2">
        <v>37.668909999999997</v>
      </c>
      <c r="J226" s="2">
        <v>-7.6892376000000002</v>
      </c>
      <c r="K226" s="2">
        <v>0.29945066999999997</v>
      </c>
      <c r="L226" s="2">
        <v>-5.6015290000000002</v>
      </c>
      <c r="M226" s="2">
        <v>0.70761680000000005</v>
      </c>
      <c r="N226" s="2">
        <v>26.125495999999998</v>
      </c>
      <c r="O226" s="2">
        <v>19.677714999999999</v>
      </c>
      <c r="P226" s="2">
        <v>51.192355999999997</v>
      </c>
      <c r="Q226" s="2">
        <v>0.78488796999999999</v>
      </c>
      <c r="R226" s="2">
        <v>6.5938745000000001</v>
      </c>
      <c r="S226" s="2">
        <v>13.913874</v>
      </c>
      <c r="T226" s="2">
        <v>37.073486000000003</v>
      </c>
      <c r="U226" s="2">
        <v>10.864315</v>
      </c>
      <c r="V226" s="2">
        <v>28.521107000000001</v>
      </c>
      <c r="W226" s="2">
        <v>17.384422000000001</v>
      </c>
      <c r="X226" s="2">
        <v>6.0934258000000003</v>
      </c>
      <c r="Y226" s="2">
        <v>19.135597000000001</v>
      </c>
      <c r="Z226" s="2">
        <v>1.9708886000000001</v>
      </c>
      <c r="AA226" s="2">
        <v>4.255287</v>
      </c>
      <c r="AB226" s="2">
        <v>2.4167904999999998</v>
      </c>
      <c r="AC226" s="2">
        <v>3.4142910999999998</v>
      </c>
      <c r="AD226" s="2">
        <v>8.8805809999999994</v>
      </c>
      <c r="AE226" s="2">
        <v>-0.1882518</v>
      </c>
      <c r="AF226" s="2">
        <v>105.25830000000001</v>
      </c>
      <c r="AG226" s="2">
        <v>22.298262000000001</v>
      </c>
      <c r="AH226" s="4">
        <f t="shared" si="3"/>
        <v>239.25373069859998</v>
      </c>
    </row>
    <row r="227" spans="1:34" x14ac:dyDescent="0.2">
      <c r="A227" s="3">
        <v>41121</v>
      </c>
      <c r="B227" s="2">
        <v>4.9993825000000003</v>
      </c>
      <c r="C227" s="2">
        <v>22.023116999999999</v>
      </c>
      <c r="D227" s="2">
        <v>-4.2692500000000004</v>
      </c>
      <c r="E227" s="2">
        <v>-13.934163</v>
      </c>
      <c r="F227" s="2">
        <v>3.2059356999999999</v>
      </c>
      <c r="G227" s="2">
        <v>6.3668430000000003</v>
      </c>
      <c r="H227" s="2">
        <v>14.505791</v>
      </c>
      <c r="I227" s="2">
        <v>36.412660000000002</v>
      </c>
      <c r="J227" s="2">
        <v>0.62604470000000001</v>
      </c>
      <c r="K227" s="2">
        <v>-2.4545287999999998E-2</v>
      </c>
      <c r="L227" s="2">
        <v>-3.7715147</v>
      </c>
      <c r="M227" s="2">
        <v>-1.7444272999999999</v>
      </c>
      <c r="N227" s="2">
        <v>28.045373999999999</v>
      </c>
      <c r="O227" s="2">
        <v>24.774559</v>
      </c>
      <c r="P227" s="2">
        <v>47.600338000000001</v>
      </c>
      <c r="Q227" s="2">
        <v>1.7131692000000001</v>
      </c>
      <c r="R227" s="2">
        <v>5.2173730000000003</v>
      </c>
      <c r="S227" s="2">
        <v>9.5453690000000009</v>
      </c>
      <c r="T227" s="2">
        <v>39.030119999999997</v>
      </c>
      <c r="U227" s="2">
        <v>9.4308300000000003</v>
      </c>
      <c r="V227" s="2">
        <v>32.808776999999999</v>
      </c>
      <c r="W227" s="2">
        <v>29.763245000000001</v>
      </c>
      <c r="X227" s="2">
        <v>4.7267599999999996</v>
      </c>
      <c r="Y227" s="2">
        <v>17.883890000000001</v>
      </c>
      <c r="Z227" s="2">
        <v>1.7788451000000001</v>
      </c>
      <c r="AA227" s="2">
        <v>4.0098469999999997</v>
      </c>
      <c r="AB227" s="2">
        <v>1.8328202</v>
      </c>
      <c r="AC227" s="2">
        <v>2.5696970000000001</v>
      </c>
      <c r="AD227" s="2">
        <v>10.797959000000001</v>
      </c>
      <c r="AE227" s="2">
        <v>-0.82298784999999997</v>
      </c>
      <c r="AF227" s="2">
        <v>113.83287</v>
      </c>
      <c r="AG227" s="2">
        <v>24.898997999999999</v>
      </c>
      <c r="AH227" s="4">
        <f t="shared" ref="AH227:AH265" si="4">SUM(B227:V227)</f>
        <v>262.56178281200005</v>
      </c>
    </row>
    <row r="228" spans="1:34" x14ac:dyDescent="0.2">
      <c r="A228" s="3">
        <v>41152</v>
      </c>
      <c r="B228" s="2">
        <v>4.1707891999999998</v>
      </c>
      <c r="C228" s="2">
        <v>24.495280999999999</v>
      </c>
      <c r="D228" s="2">
        <v>2.8836613</v>
      </c>
      <c r="E228" s="2">
        <v>3.1842104999999998</v>
      </c>
      <c r="F228" s="2">
        <v>12.017300000000001</v>
      </c>
      <c r="G228" s="2">
        <v>26.128564999999998</v>
      </c>
      <c r="H228" s="2">
        <v>18.439419999999998</v>
      </c>
      <c r="I228" s="2">
        <v>38.657153999999998</v>
      </c>
      <c r="J228" s="2">
        <v>11.560432</v>
      </c>
      <c r="K228" s="2">
        <v>8.8032339999999998</v>
      </c>
      <c r="L228" s="2">
        <v>1.7125699999999999</v>
      </c>
      <c r="M228" s="2">
        <v>5.4885726000000004</v>
      </c>
      <c r="N228" s="2">
        <v>32.782679999999999</v>
      </c>
      <c r="O228" s="2">
        <v>27.855515</v>
      </c>
      <c r="P228" s="2">
        <v>60.989223000000003</v>
      </c>
      <c r="Q228" s="2">
        <v>1.2652117000000001</v>
      </c>
      <c r="R228" s="2">
        <v>4.2704696999999996</v>
      </c>
      <c r="S228" s="2">
        <v>16.697405</v>
      </c>
      <c r="T228" s="2">
        <v>35.185946999999999</v>
      </c>
      <c r="U228" s="2">
        <v>11.5699215</v>
      </c>
      <c r="V228" s="2">
        <v>35.872204000000004</v>
      </c>
      <c r="W228" s="2">
        <v>30.55359</v>
      </c>
      <c r="X228" s="2">
        <v>5.1691813</v>
      </c>
      <c r="Y228" s="2">
        <v>14.943562</v>
      </c>
      <c r="Z228" s="2">
        <v>3.8535955</v>
      </c>
      <c r="AA228" s="2">
        <v>5.5223170000000001</v>
      </c>
      <c r="AB228" s="2">
        <v>1.7416294999999999</v>
      </c>
      <c r="AC228" s="2">
        <v>2.9694623999999998</v>
      </c>
      <c r="AD228" s="2">
        <v>9.3586969999999994</v>
      </c>
      <c r="AE228" s="2">
        <v>0.61274729999999999</v>
      </c>
      <c r="AF228" s="2">
        <v>112.83226000000001</v>
      </c>
      <c r="AG228" s="2">
        <v>24.189530000000001</v>
      </c>
      <c r="AH228" s="4">
        <f t="shared" si="4"/>
        <v>384.02976649999999</v>
      </c>
    </row>
    <row r="229" spans="1:34" x14ac:dyDescent="0.2">
      <c r="A229" s="3">
        <v>41182</v>
      </c>
      <c r="B229" s="2">
        <v>2.9505452999999999</v>
      </c>
      <c r="C229" s="2">
        <v>24.247906</v>
      </c>
      <c r="D229" s="2">
        <v>4.6277303999999999</v>
      </c>
      <c r="E229" s="2">
        <v>4.9379390000000001</v>
      </c>
      <c r="F229" s="2">
        <v>13.129504000000001</v>
      </c>
      <c r="G229" s="2">
        <v>34.525219999999997</v>
      </c>
      <c r="H229" s="2">
        <v>15.293872</v>
      </c>
      <c r="I229" s="2">
        <v>39.095030000000001</v>
      </c>
      <c r="J229" s="2">
        <v>14.800879</v>
      </c>
      <c r="K229" s="2">
        <v>5.0162787</v>
      </c>
      <c r="L229" s="2">
        <v>0.13927278000000001</v>
      </c>
      <c r="M229" s="2">
        <v>2.9668353000000001</v>
      </c>
      <c r="N229" s="2">
        <v>31.577971999999999</v>
      </c>
      <c r="O229" s="2">
        <v>26.098842999999999</v>
      </c>
      <c r="P229" s="2">
        <v>58.526589999999999</v>
      </c>
      <c r="Q229" s="2">
        <v>0.80835239999999997</v>
      </c>
      <c r="R229" s="2">
        <v>5.8450474999999997</v>
      </c>
      <c r="S229" s="2">
        <v>16.503371999999999</v>
      </c>
      <c r="T229" s="2">
        <v>30.36317</v>
      </c>
      <c r="U229" s="2">
        <v>10.531177</v>
      </c>
      <c r="V229" s="2">
        <v>28.946186000000001</v>
      </c>
      <c r="W229" s="2">
        <v>26.465128</v>
      </c>
      <c r="X229" s="2">
        <v>3.6839377999999998</v>
      </c>
      <c r="Y229" s="2">
        <v>13.53323</v>
      </c>
      <c r="Z229" s="2">
        <v>4.5331773999999996</v>
      </c>
      <c r="AA229" s="2">
        <v>4.3864017000000004</v>
      </c>
      <c r="AB229" s="2">
        <v>1.2081021000000001</v>
      </c>
      <c r="AC229" s="2">
        <v>3.2809900000000001</v>
      </c>
      <c r="AD229" s="2">
        <v>6.6334065999999998</v>
      </c>
      <c r="AE229" s="2">
        <v>3.1494464999999998</v>
      </c>
      <c r="AF229" s="2">
        <v>106.24945</v>
      </c>
      <c r="AG229" s="2">
        <v>20.300816000000001</v>
      </c>
      <c r="AH229" s="4">
        <f t="shared" si="4"/>
        <v>370.93172238000005</v>
      </c>
    </row>
    <row r="230" spans="1:34" x14ac:dyDescent="0.2">
      <c r="A230" s="3">
        <v>41213</v>
      </c>
      <c r="B230" s="2">
        <v>3.6014588000000001</v>
      </c>
      <c r="C230" s="2">
        <v>27.039593</v>
      </c>
      <c r="D230" s="2">
        <v>7.8734446</v>
      </c>
      <c r="E230" s="2">
        <v>25.903739999999999</v>
      </c>
      <c r="F230" s="2">
        <v>42.999671999999997</v>
      </c>
      <c r="G230" s="2">
        <v>32.470894000000001</v>
      </c>
      <c r="H230" s="2">
        <v>16.556650000000001</v>
      </c>
      <c r="I230" s="2">
        <v>40.924126000000001</v>
      </c>
      <c r="J230" s="2">
        <v>22.431356000000001</v>
      </c>
      <c r="K230" s="2">
        <v>20.578966000000001</v>
      </c>
      <c r="L230" s="2">
        <v>10.287853</v>
      </c>
      <c r="M230" s="2">
        <v>12.619122000000001</v>
      </c>
      <c r="N230" s="2">
        <v>44.978279999999998</v>
      </c>
      <c r="O230" s="2">
        <v>24.593250000000001</v>
      </c>
      <c r="P230" s="2">
        <v>98.533670000000001</v>
      </c>
      <c r="Q230" s="2">
        <v>3.4348964999999998</v>
      </c>
      <c r="R230" s="2">
        <v>7.5572999999999997</v>
      </c>
      <c r="S230" s="2">
        <v>30.499561</v>
      </c>
      <c r="T230" s="2">
        <v>42.048209999999997</v>
      </c>
      <c r="U230" s="2">
        <v>10.8198395</v>
      </c>
      <c r="V230" s="2">
        <v>27.172011999999999</v>
      </c>
      <c r="W230" s="2">
        <v>21.939737000000001</v>
      </c>
      <c r="X230" s="2">
        <v>3.9942052000000001</v>
      </c>
      <c r="Y230" s="2">
        <v>10.911206999999999</v>
      </c>
      <c r="Z230" s="2">
        <v>5.4763820000000001</v>
      </c>
      <c r="AA230" s="2">
        <v>5.5235586000000003</v>
      </c>
      <c r="AB230" s="2">
        <v>2.1228639999999999</v>
      </c>
      <c r="AC230" s="2">
        <v>3.5823497999999998</v>
      </c>
      <c r="AD230" s="2">
        <v>4.8028389999999996</v>
      </c>
      <c r="AE230" s="2">
        <v>9.7218850000000003</v>
      </c>
      <c r="AF230" s="2">
        <v>88.072190000000006</v>
      </c>
      <c r="AG230" s="2">
        <v>16.381186</v>
      </c>
      <c r="AH230" s="4">
        <f t="shared" si="4"/>
        <v>552.92389439999988</v>
      </c>
    </row>
    <row r="231" spans="1:34" x14ac:dyDescent="0.2">
      <c r="A231" s="3">
        <v>41243</v>
      </c>
      <c r="B231" s="2">
        <v>-0.38150476999999999</v>
      </c>
      <c r="C231" s="2">
        <v>22.682701000000002</v>
      </c>
      <c r="D231" s="2">
        <v>1.6229302000000001</v>
      </c>
      <c r="E231" s="2">
        <v>-2.1376007000000001</v>
      </c>
      <c r="F231" s="2">
        <v>11.479780999999999</v>
      </c>
      <c r="G231" s="2">
        <v>18.879004999999999</v>
      </c>
      <c r="H231" s="2">
        <v>13.864502</v>
      </c>
      <c r="I231" s="2">
        <v>33.954624000000003</v>
      </c>
      <c r="J231" s="2">
        <v>21.333241999999998</v>
      </c>
      <c r="K231" s="2">
        <v>12.102318</v>
      </c>
      <c r="L231" s="2">
        <v>5.4999393999999997</v>
      </c>
      <c r="M231" s="2">
        <v>7.4582990000000002</v>
      </c>
      <c r="N231" s="2">
        <v>40.511986</v>
      </c>
      <c r="O231" s="2">
        <v>22.807994999999998</v>
      </c>
      <c r="P231" s="2">
        <v>31.801659000000001</v>
      </c>
      <c r="Q231" s="2">
        <v>1.3437163000000001</v>
      </c>
      <c r="R231" s="2">
        <v>5.4273629999999997</v>
      </c>
      <c r="S231" s="2">
        <v>32.841797</v>
      </c>
      <c r="T231" s="2">
        <v>29.278735999999999</v>
      </c>
      <c r="U231" s="2">
        <v>11.087519</v>
      </c>
      <c r="V231" s="2">
        <v>20.403658</v>
      </c>
      <c r="W231" s="2">
        <v>16.336424000000001</v>
      </c>
      <c r="X231" s="2">
        <v>5.4221539999999999</v>
      </c>
      <c r="Y231" s="2">
        <v>10.603253</v>
      </c>
      <c r="Z231" s="2">
        <v>5.2194814999999997</v>
      </c>
      <c r="AA231" s="2">
        <v>4.7202906999999996</v>
      </c>
      <c r="AB231" s="2">
        <v>2.406755</v>
      </c>
      <c r="AC231" s="2">
        <v>5.1164940000000003</v>
      </c>
      <c r="AD231" s="2">
        <v>3.2193584</v>
      </c>
      <c r="AE231" s="2">
        <v>14.896023</v>
      </c>
      <c r="AF231" s="2">
        <v>68.099630000000005</v>
      </c>
      <c r="AG231" s="2">
        <v>13.089674</v>
      </c>
      <c r="AH231" s="4">
        <f t="shared" si="4"/>
        <v>341.86266542999999</v>
      </c>
    </row>
    <row r="232" spans="1:34" x14ac:dyDescent="0.2">
      <c r="A232" s="3">
        <v>41274</v>
      </c>
      <c r="B232" s="2">
        <v>0.41005986999999999</v>
      </c>
      <c r="C232" s="2">
        <v>25.335058</v>
      </c>
      <c r="D232" s="2">
        <v>3.4353313000000001</v>
      </c>
      <c r="E232" s="2">
        <v>-0.53432953000000005</v>
      </c>
      <c r="F232" s="2">
        <v>2.5941350000000001</v>
      </c>
      <c r="G232" s="2">
        <v>17.829922</v>
      </c>
      <c r="H232" s="2">
        <v>16.374357</v>
      </c>
      <c r="I232" s="2">
        <v>38.476086000000002</v>
      </c>
      <c r="J232" s="2">
        <v>23.018886999999999</v>
      </c>
      <c r="K232" s="2">
        <v>6.2265724999999996</v>
      </c>
      <c r="L232" s="2">
        <v>3.931337E-2</v>
      </c>
      <c r="M232" s="2">
        <v>5.8553030000000001</v>
      </c>
      <c r="N232" s="2">
        <v>38.049495999999998</v>
      </c>
      <c r="O232" s="2">
        <v>25.110806</v>
      </c>
      <c r="P232" s="2">
        <v>66.526179999999997</v>
      </c>
      <c r="Q232" s="2">
        <v>1.6339380999999999</v>
      </c>
      <c r="R232" s="2">
        <v>7.0757880000000002</v>
      </c>
      <c r="S232" s="2">
        <v>25.114899000000001</v>
      </c>
      <c r="T232" s="2">
        <v>36.077297000000002</v>
      </c>
      <c r="U232" s="2">
        <v>11.951971</v>
      </c>
      <c r="V232" s="2">
        <v>19.758938000000001</v>
      </c>
      <c r="W232" s="2">
        <v>11.982358</v>
      </c>
      <c r="X232" s="2">
        <v>5.0614333</v>
      </c>
      <c r="Y232" s="2">
        <v>11.358580999999999</v>
      </c>
      <c r="Z232" s="2">
        <v>6.0226984000000003</v>
      </c>
      <c r="AA232" s="2">
        <v>5.510707</v>
      </c>
      <c r="AB232" s="2">
        <v>1.8800277000000001</v>
      </c>
      <c r="AC232" s="2">
        <v>4.9616189999999998</v>
      </c>
      <c r="AD232" s="2">
        <v>2.2784182999999998</v>
      </c>
      <c r="AE232" s="2">
        <v>25.302029000000001</v>
      </c>
      <c r="AF232" s="2">
        <v>64.832790000000003</v>
      </c>
      <c r="AG232" s="2">
        <v>11.148501</v>
      </c>
      <c r="AH232" s="4">
        <f t="shared" si="4"/>
        <v>370.36000861000002</v>
      </c>
    </row>
    <row r="233" spans="1:34" x14ac:dyDescent="0.2">
      <c r="A233" s="3">
        <v>41305</v>
      </c>
      <c r="B233" s="2">
        <v>-0.71772504000000004</v>
      </c>
      <c r="C233" s="2">
        <v>21.174569999999999</v>
      </c>
      <c r="D233" s="2">
        <v>-3.4095504000000001</v>
      </c>
      <c r="E233" s="2">
        <v>-3.8681966999999999</v>
      </c>
      <c r="F233" s="2">
        <v>-3.0555747000000002</v>
      </c>
      <c r="G233" s="2">
        <v>5.8385954</v>
      </c>
      <c r="H233" s="2">
        <v>15.472617</v>
      </c>
      <c r="I233" s="2">
        <v>35.218609999999998</v>
      </c>
      <c r="J233" s="2">
        <v>14.950642999999999</v>
      </c>
      <c r="K233" s="2">
        <v>4.3584766000000004</v>
      </c>
      <c r="L233" s="2">
        <v>-1.8889408000000001</v>
      </c>
      <c r="M233" s="2">
        <v>1.6923419</v>
      </c>
      <c r="N233" s="2">
        <v>34.641106000000001</v>
      </c>
      <c r="O233" s="2">
        <v>25.406351000000001</v>
      </c>
      <c r="P233" s="2">
        <v>53.894404999999999</v>
      </c>
      <c r="Q233" s="2">
        <v>1.6039542</v>
      </c>
      <c r="R233" s="2">
        <v>6.4009390000000002</v>
      </c>
      <c r="S233" s="2">
        <v>21.339191</v>
      </c>
      <c r="T233" s="2">
        <v>30.684584000000001</v>
      </c>
      <c r="U233" s="2">
        <v>12.617436</v>
      </c>
      <c r="V233" s="2">
        <v>16.668852000000001</v>
      </c>
      <c r="W233" s="2">
        <v>5.3071804</v>
      </c>
      <c r="X233" s="2">
        <v>7.4679146000000003</v>
      </c>
      <c r="Y233" s="2">
        <v>13.187571</v>
      </c>
      <c r="Z233" s="2">
        <v>2.2531805</v>
      </c>
      <c r="AA233" s="2">
        <v>3.0552063</v>
      </c>
      <c r="AB233" s="2">
        <v>1.7245864</v>
      </c>
      <c r="AC233" s="2">
        <v>4.8401389999999997</v>
      </c>
      <c r="AD233" s="2">
        <v>1.9779169999999999</v>
      </c>
      <c r="AE233" s="2">
        <v>25.204633999999999</v>
      </c>
      <c r="AF233" s="2">
        <v>65.439419999999998</v>
      </c>
      <c r="AG233" s="2">
        <v>9.9783690000000007</v>
      </c>
      <c r="AH233" s="4">
        <f t="shared" si="4"/>
        <v>289.02268446000005</v>
      </c>
    </row>
    <row r="234" spans="1:34" x14ac:dyDescent="0.2">
      <c r="A234" s="3">
        <v>41333</v>
      </c>
      <c r="B234" s="2">
        <v>1.5928897</v>
      </c>
      <c r="C234" s="2">
        <v>27.989166000000001</v>
      </c>
      <c r="D234" s="2">
        <v>3.7748363</v>
      </c>
      <c r="E234" s="2">
        <v>10.794727</v>
      </c>
      <c r="F234" s="2">
        <v>9.0257210000000008</v>
      </c>
      <c r="G234" s="2">
        <v>32.802993999999998</v>
      </c>
      <c r="H234" s="2">
        <v>20.000698</v>
      </c>
      <c r="I234" s="2">
        <v>40.930866000000002</v>
      </c>
      <c r="J234" s="2">
        <v>16.576408000000001</v>
      </c>
      <c r="K234" s="2">
        <v>8.8327729999999995</v>
      </c>
      <c r="L234" s="2">
        <v>1.0081773999999999</v>
      </c>
      <c r="M234" s="2">
        <v>5.403378</v>
      </c>
      <c r="N234" s="2">
        <v>32.187503999999997</v>
      </c>
      <c r="O234" s="2">
        <v>24.526226000000001</v>
      </c>
      <c r="P234" s="2">
        <v>71.695689999999999</v>
      </c>
      <c r="Q234" s="2">
        <v>2.3866212</v>
      </c>
      <c r="R234" s="2">
        <v>7.1657479999999998</v>
      </c>
      <c r="S234" s="2">
        <v>16.845334999999999</v>
      </c>
      <c r="T234" s="2">
        <v>32.941574000000003</v>
      </c>
      <c r="U234" s="2">
        <v>11.163432</v>
      </c>
      <c r="V234" s="2">
        <v>19.777407</v>
      </c>
      <c r="W234" s="2">
        <v>0.15969079999999999</v>
      </c>
      <c r="X234" s="2">
        <v>7.0356209999999999</v>
      </c>
      <c r="Y234" s="2">
        <v>13.183358</v>
      </c>
      <c r="Z234" s="2">
        <v>1.5849519999999999</v>
      </c>
      <c r="AA234" s="2">
        <v>2.9175327000000002</v>
      </c>
      <c r="AB234" s="2">
        <v>2.21061</v>
      </c>
      <c r="AC234" s="2">
        <v>3.8159296999999999</v>
      </c>
      <c r="AD234" s="2">
        <v>2.5287042</v>
      </c>
      <c r="AE234" s="2">
        <v>22.989616000000002</v>
      </c>
      <c r="AF234" s="2">
        <v>63.793776999999999</v>
      </c>
      <c r="AG234" s="2">
        <v>9.7768169999999994</v>
      </c>
      <c r="AH234" s="4">
        <f t="shared" si="4"/>
        <v>397.42217159999996</v>
      </c>
    </row>
    <row r="235" spans="1:34" x14ac:dyDescent="0.2">
      <c r="A235" s="3">
        <v>41364</v>
      </c>
      <c r="B235" s="2">
        <v>3.3825693000000001</v>
      </c>
      <c r="C235" s="2">
        <v>28.131542</v>
      </c>
      <c r="D235" s="2">
        <v>0.35552951999999999</v>
      </c>
      <c r="E235" s="2">
        <v>4.1073494000000004</v>
      </c>
      <c r="F235" s="2">
        <v>15.357087</v>
      </c>
      <c r="G235" s="2">
        <v>26.277999999999999</v>
      </c>
      <c r="H235" s="2">
        <v>17.802379999999999</v>
      </c>
      <c r="I235" s="2">
        <v>40.099640000000001</v>
      </c>
      <c r="J235" s="2">
        <v>8.7588419999999996</v>
      </c>
      <c r="K235" s="2">
        <v>12.212673000000001</v>
      </c>
      <c r="L235" s="2">
        <v>2.7898417000000002</v>
      </c>
      <c r="M235" s="2">
        <v>6.8146544000000002</v>
      </c>
      <c r="N235" s="2">
        <v>37.336320000000001</v>
      </c>
      <c r="O235" s="2">
        <v>21.890139000000001</v>
      </c>
      <c r="P235" s="2">
        <v>62.296363999999997</v>
      </c>
      <c r="Q235" s="2">
        <v>2.2478400000000001</v>
      </c>
      <c r="R235" s="2">
        <v>6.9436730000000004</v>
      </c>
      <c r="S235" s="2">
        <v>27.944407000000002</v>
      </c>
      <c r="T235" s="2">
        <v>38.808205000000001</v>
      </c>
      <c r="U235" s="2">
        <v>9.0245529999999992</v>
      </c>
      <c r="V235" s="2">
        <v>22.455494000000002</v>
      </c>
      <c r="W235" s="2">
        <v>0.47192106</v>
      </c>
      <c r="X235" s="2">
        <v>6.1305413</v>
      </c>
      <c r="Y235" s="2">
        <v>15.126275</v>
      </c>
      <c r="Z235" s="2">
        <v>1.1445307</v>
      </c>
      <c r="AA235" s="2">
        <v>3.7019818</v>
      </c>
      <c r="AB235" s="2">
        <v>2.2883100000000001</v>
      </c>
      <c r="AC235" s="2">
        <v>3.5012186000000001</v>
      </c>
      <c r="AD235" s="2">
        <v>3.3116276</v>
      </c>
      <c r="AE235" s="2">
        <v>16.574567999999999</v>
      </c>
      <c r="AF235" s="2">
        <v>72.784514999999999</v>
      </c>
      <c r="AG235" s="2">
        <v>10.738572</v>
      </c>
      <c r="AH235" s="4">
        <f t="shared" si="4"/>
        <v>395.03710331999997</v>
      </c>
    </row>
    <row r="236" spans="1:34" x14ac:dyDescent="0.2">
      <c r="A236" s="3">
        <v>41394</v>
      </c>
      <c r="B236" s="2">
        <v>5.4374365999999998</v>
      </c>
      <c r="C236" s="2">
        <v>27.450184</v>
      </c>
      <c r="D236" s="2">
        <v>-4.6689606000000001</v>
      </c>
      <c r="E236" s="2">
        <v>-9.0088419999999996</v>
      </c>
      <c r="F236" s="2">
        <v>11.282500000000001</v>
      </c>
      <c r="G236" s="2">
        <v>16.878990000000002</v>
      </c>
      <c r="H236" s="2">
        <v>13.724138</v>
      </c>
      <c r="I236" s="2">
        <v>39.430835999999999</v>
      </c>
      <c r="J236" s="2">
        <v>-1.3439717</v>
      </c>
      <c r="K236" s="2">
        <v>4.3777460000000001</v>
      </c>
      <c r="L236" s="2">
        <v>-2.3792336000000001</v>
      </c>
      <c r="M236" s="2">
        <v>1.1729672</v>
      </c>
      <c r="N236" s="2">
        <v>33.081726000000003</v>
      </c>
      <c r="O236" s="2">
        <v>22.638884000000001</v>
      </c>
      <c r="P236" s="2">
        <v>78.194405000000003</v>
      </c>
      <c r="Q236" s="2">
        <v>3.4714331999999999</v>
      </c>
      <c r="R236" s="2">
        <v>7.0215129999999997</v>
      </c>
      <c r="S236" s="2">
        <v>18.298496</v>
      </c>
      <c r="T236" s="2">
        <v>31.581050000000001</v>
      </c>
      <c r="U236" s="2">
        <v>11.586696</v>
      </c>
      <c r="V236" s="2">
        <v>22.428927999999999</v>
      </c>
      <c r="W236" s="2">
        <v>0.14530185000000001</v>
      </c>
      <c r="X236" s="2">
        <v>6.0480499999999999</v>
      </c>
      <c r="Y236" s="2">
        <v>17.223268999999998</v>
      </c>
      <c r="Z236" s="2">
        <v>1.2000369</v>
      </c>
      <c r="AA236" s="2">
        <v>3.8070738</v>
      </c>
      <c r="AB236" s="2">
        <v>1.7013526000000001</v>
      </c>
      <c r="AC236" s="2">
        <v>3.5608194000000002</v>
      </c>
      <c r="AD236" s="2">
        <v>4.5087704999999998</v>
      </c>
      <c r="AE236" s="2">
        <v>8.0330440000000003</v>
      </c>
      <c r="AF236" s="2">
        <v>82.756423999999996</v>
      </c>
      <c r="AG236" s="2">
        <v>14.164868999999999</v>
      </c>
      <c r="AH236" s="4">
        <f t="shared" si="4"/>
        <v>330.65692109999998</v>
      </c>
    </row>
    <row r="237" spans="1:34" x14ac:dyDescent="0.2">
      <c r="A237" s="3">
        <v>41425</v>
      </c>
      <c r="B237" s="2">
        <v>5.8807606999999997</v>
      </c>
      <c r="C237" s="2">
        <v>23.773792</v>
      </c>
      <c r="D237" s="2">
        <v>-8.2387949999999996</v>
      </c>
      <c r="E237" s="2">
        <v>-23.217562000000001</v>
      </c>
      <c r="F237" s="2">
        <v>-11.023811</v>
      </c>
      <c r="G237" s="2">
        <v>-0.78424059999999995</v>
      </c>
      <c r="H237" s="2">
        <v>12.670703</v>
      </c>
      <c r="I237" s="2">
        <v>36.762219999999999</v>
      </c>
      <c r="J237" s="2">
        <v>-4.2602696</v>
      </c>
      <c r="K237" s="2">
        <v>4.7615049999999997</v>
      </c>
      <c r="L237" s="2">
        <v>-2.9783412999999999</v>
      </c>
      <c r="M237" s="2">
        <v>1.7677677000000001</v>
      </c>
      <c r="N237" s="2">
        <v>36.089626000000003</v>
      </c>
      <c r="O237" s="2">
        <v>22.329062</v>
      </c>
      <c r="P237" s="2">
        <v>70.304100000000005</v>
      </c>
      <c r="Q237" s="2">
        <v>4.5383944999999999</v>
      </c>
      <c r="R237" s="2">
        <v>6.7456719999999999</v>
      </c>
      <c r="S237" s="2">
        <v>14.47702</v>
      </c>
      <c r="T237" s="2">
        <v>40.116039999999998</v>
      </c>
      <c r="U237" s="2">
        <v>10.864545</v>
      </c>
      <c r="V237" s="2">
        <v>30.463418999999998</v>
      </c>
      <c r="W237" s="2">
        <v>4.0312023000000003</v>
      </c>
      <c r="X237" s="2">
        <v>6.9442979999999999</v>
      </c>
      <c r="Y237" s="2">
        <v>21.60915</v>
      </c>
      <c r="Z237" s="2">
        <v>1.0331701</v>
      </c>
      <c r="AA237" s="2">
        <v>3.5344250000000001</v>
      </c>
      <c r="AB237" s="2">
        <v>1.8987541999999999</v>
      </c>
      <c r="AC237" s="2">
        <v>3.5430164</v>
      </c>
      <c r="AD237" s="2">
        <v>7.8275119999999996</v>
      </c>
      <c r="AE237" s="2">
        <v>2.5439980000000002</v>
      </c>
      <c r="AF237" s="2">
        <v>94.266019999999997</v>
      </c>
      <c r="AG237" s="2">
        <v>17.858948000000002</v>
      </c>
      <c r="AH237" s="4">
        <f t="shared" si="4"/>
        <v>271.04160740000003</v>
      </c>
    </row>
    <row r="238" spans="1:34" x14ac:dyDescent="0.2">
      <c r="A238" s="3">
        <v>41455</v>
      </c>
      <c r="B238" s="2">
        <v>5.6624416999999996</v>
      </c>
      <c r="C238" s="2">
        <v>23.442347999999999</v>
      </c>
      <c r="D238" s="2">
        <v>-7.2188686999999998</v>
      </c>
      <c r="E238" s="2">
        <v>-21.702000000000002</v>
      </c>
      <c r="F238" s="2">
        <v>-10.21942</v>
      </c>
      <c r="G238" s="2">
        <v>-4.3420639999999997</v>
      </c>
      <c r="H238" s="2">
        <v>13.326803</v>
      </c>
      <c r="I238" s="2">
        <v>36.572581999999997</v>
      </c>
      <c r="J238" s="2">
        <v>-2.0268860000000002</v>
      </c>
      <c r="K238" s="2">
        <v>3.6468115000000001</v>
      </c>
      <c r="L238" s="2">
        <v>-6.8989796999999999</v>
      </c>
      <c r="M238" s="2">
        <v>1.3030406000000001</v>
      </c>
      <c r="N238" s="2">
        <v>30.41236</v>
      </c>
      <c r="O238" s="2">
        <v>19.545807</v>
      </c>
      <c r="P238" s="2">
        <v>69.605760000000004</v>
      </c>
      <c r="Q238" s="2">
        <v>4.2602770000000003</v>
      </c>
      <c r="R238" s="2">
        <v>8.7410259999999997</v>
      </c>
      <c r="S238" s="2">
        <v>13.857969000000001</v>
      </c>
      <c r="T238" s="2">
        <v>39.966835000000003</v>
      </c>
      <c r="U238" s="2">
        <v>9.4312740000000002</v>
      </c>
      <c r="V238" s="2">
        <v>31.097815000000001</v>
      </c>
      <c r="W238" s="2">
        <v>17.160634999999999</v>
      </c>
      <c r="X238" s="2">
        <v>6.3699503000000002</v>
      </c>
      <c r="Y238" s="2">
        <v>22.532526000000001</v>
      </c>
      <c r="Z238" s="2">
        <v>1.7233505</v>
      </c>
      <c r="AA238" s="2">
        <v>4.6420984000000001</v>
      </c>
      <c r="AB238" s="2">
        <v>2.3279269999999999</v>
      </c>
      <c r="AC238" s="2">
        <v>4.1961500000000003</v>
      </c>
      <c r="AD238" s="2">
        <v>12.348774000000001</v>
      </c>
      <c r="AE238" s="2">
        <v>-1.5478952000000001E-2</v>
      </c>
      <c r="AF238" s="2">
        <v>101.49119</v>
      </c>
      <c r="AG238" s="2">
        <v>23.129688000000002</v>
      </c>
      <c r="AH238" s="4">
        <f t="shared" si="4"/>
        <v>258.46493140000001</v>
      </c>
    </row>
    <row r="239" spans="1:34" x14ac:dyDescent="0.2">
      <c r="A239" s="3">
        <v>41486</v>
      </c>
      <c r="B239" s="2">
        <v>7.3202943999999999</v>
      </c>
      <c r="C239" s="2">
        <v>23.033190000000001</v>
      </c>
      <c r="D239" s="2">
        <v>-3.9334614000000001</v>
      </c>
      <c r="E239" s="2">
        <v>-8.7931319999999999</v>
      </c>
      <c r="F239" s="2">
        <v>10.977278999999999</v>
      </c>
      <c r="G239" s="2">
        <v>6.3597016000000002</v>
      </c>
      <c r="H239" s="2">
        <v>16.487500000000001</v>
      </c>
      <c r="I239" s="2">
        <v>36.622463000000003</v>
      </c>
      <c r="J239" s="2">
        <v>-2.2098855999999998</v>
      </c>
      <c r="K239" s="2">
        <v>3.0890049999999998</v>
      </c>
      <c r="L239" s="2">
        <v>0.859151</v>
      </c>
      <c r="M239" s="2">
        <v>2.0485768000000002</v>
      </c>
      <c r="N239" s="2">
        <v>33.27805</v>
      </c>
      <c r="O239" s="2">
        <v>22.985631999999999</v>
      </c>
      <c r="P239" s="2">
        <v>60.347270000000002</v>
      </c>
      <c r="Q239" s="2">
        <v>5.5183495999999996</v>
      </c>
      <c r="R239" s="2">
        <v>8.7343799999999998</v>
      </c>
      <c r="S239" s="2">
        <v>13.223269999999999</v>
      </c>
      <c r="T239" s="2">
        <v>34.622230000000002</v>
      </c>
      <c r="U239" s="2">
        <v>10.006577</v>
      </c>
      <c r="V239" s="2">
        <v>33.801009999999998</v>
      </c>
      <c r="W239" s="2">
        <v>27.956516000000001</v>
      </c>
      <c r="X239" s="2">
        <v>5.7306613999999998</v>
      </c>
      <c r="Y239" s="2">
        <v>21.307614999999998</v>
      </c>
      <c r="Z239" s="2">
        <v>2.8220203000000001</v>
      </c>
      <c r="AA239" s="2">
        <v>6.4085207000000004</v>
      </c>
      <c r="AB239" s="2">
        <v>2.0207543000000001</v>
      </c>
      <c r="AC239" s="2">
        <v>3.8501525000000001</v>
      </c>
      <c r="AD239" s="2">
        <v>12.965009</v>
      </c>
      <c r="AE239" s="2">
        <v>-1.0196145999999999</v>
      </c>
      <c r="AF239" s="2">
        <v>107.96048999999999</v>
      </c>
      <c r="AG239" s="2">
        <v>25.099630000000001</v>
      </c>
      <c r="AH239" s="4">
        <f t="shared" si="4"/>
        <v>314.37745039999999</v>
      </c>
    </row>
    <row r="240" spans="1:34" x14ac:dyDescent="0.2">
      <c r="A240" s="3">
        <v>41517</v>
      </c>
      <c r="B240" s="2">
        <v>5.2232294000000001</v>
      </c>
      <c r="C240" s="2">
        <v>23.793716</v>
      </c>
      <c r="D240" s="2">
        <v>-2.9236681</v>
      </c>
      <c r="E240" s="2">
        <v>-10.44903</v>
      </c>
      <c r="F240" s="2">
        <v>1.9516378999999999</v>
      </c>
      <c r="G240" s="2">
        <v>14.883789</v>
      </c>
      <c r="H240" s="2">
        <v>15.183453999999999</v>
      </c>
      <c r="I240" s="2">
        <v>38.222520000000003</v>
      </c>
      <c r="J240" s="2">
        <v>3.8963239999999999</v>
      </c>
      <c r="K240" s="2">
        <v>4.9869102999999999</v>
      </c>
      <c r="L240" s="2">
        <v>4.1710042999999999</v>
      </c>
      <c r="M240" s="2">
        <v>2.7357252000000001</v>
      </c>
      <c r="N240" s="2">
        <v>31.507840000000002</v>
      </c>
      <c r="O240" s="2">
        <v>25.248898000000001</v>
      </c>
      <c r="P240" s="2">
        <v>57.6496</v>
      </c>
      <c r="Q240" s="2">
        <v>5.0872279999999996</v>
      </c>
      <c r="R240" s="2">
        <v>7.6495249999999997</v>
      </c>
      <c r="S240" s="2">
        <v>12.827693</v>
      </c>
      <c r="T240" s="2">
        <v>36.556342999999998</v>
      </c>
      <c r="U240" s="2">
        <v>12.364934</v>
      </c>
      <c r="V240" s="2">
        <v>35.173400000000001</v>
      </c>
      <c r="W240" s="2">
        <v>31.219563999999998</v>
      </c>
      <c r="X240" s="2">
        <v>6.5966360000000002</v>
      </c>
      <c r="Y240" s="2">
        <v>19.540631999999999</v>
      </c>
      <c r="Z240" s="2">
        <v>3.8767680000000002</v>
      </c>
      <c r="AA240" s="2">
        <v>4.6074890000000002</v>
      </c>
      <c r="AB240" s="2">
        <v>1.5570549</v>
      </c>
      <c r="AC240" s="2">
        <v>3.5911810000000002</v>
      </c>
      <c r="AD240" s="2">
        <v>10.128007999999999</v>
      </c>
      <c r="AE240" s="2">
        <v>-1.6780656000000001E-2</v>
      </c>
      <c r="AF240" s="2">
        <v>108.6478</v>
      </c>
      <c r="AG240" s="2">
        <v>23.717252999999999</v>
      </c>
      <c r="AH240" s="4">
        <f t="shared" si="4"/>
        <v>325.74107300000009</v>
      </c>
    </row>
    <row r="241" spans="1:34" x14ac:dyDescent="0.2">
      <c r="A241" s="3">
        <v>41547</v>
      </c>
      <c r="B241" s="2">
        <v>4.4308766999999998</v>
      </c>
      <c r="C241" s="2">
        <v>24.128997999999999</v>
      </c>
      <c r="D241" s="2">
        <v>1.4502379999999999</v>
      </c>
      <c r="E241" s="2">
        <v>-3.9879649000000001</v>
      </c>
      <c r="F241" s="2">
        <v>6.5118879999999999</v>
      </c>
      <c r="G241" s="2">
        <v>21.221423999999999</v>
      </c>
      <c r="H241" s="2">
        <v>15.721628000000001</v>
      </c>
      <c r="I241" s="2">
        <v>39.980953</v>
      </c>
      <c r="J241" s="2">
        <v>11.080920000000001</v>
      </c>
      <c r="K241" s="2">
        <v>3.215198</v>
      </c>
      <c r="L241" s="2">
        <v>10.402248999999999</v>
      </c>
      <c r="M241" s="2">
        <v>4.5669079999999997</v>
      </c>
      <c r="N241" s="2">
        <v>30.87837</v>
      </c>
      <c r="O241" s="2">
        <v>24.567851999999998</v>
      </c>
      <c r="P241" s="2">
        <v>51.239983000000002</v>
      </c>
      <c r="Q241" s="2">
        <v>5.3154078</v>
      </c>
      <c r="R241" s="2">
        <v>8.2044569999999997</v>
      </c>
      <c r="S241" s="2">
        <v>19.15813</v>
      </c>
      <c r="T241" s="2">
        <v>35.838920000000002</v>
      </c>
      <c r="U241" s="2">
        <v>11.223369999999999</v>
      </c>
      <c r="V241" s="2">
        <v>30.674389000000001</v>
      </c>
      <c r="W241" s="2">
        <v>25.973507000000001</v>
      </c>
      <c r="X241" s="2">
        <v>5.5929283999999999</v>
      </c>
      <c r="Y241" s="2">
        <v>17.963297000000001</v>
      </c>
      <c r="Z241" s="2">
        <v>3.5867512000000001</v>
      </c>
      <c r="AA241" s="2">
        <v>4.6144239999999996</v>
      </c>
      <c r="AB241" s="2">
        <v>1.3607825</v>
      </c>
      <c r="AC241" s="2">
        <v>4.7541304000000002</v>
      </c>
      <c r="AD241" s="2">
        <v>6.3759839999999999</v>
      </c>
      <c r="AE241" s="2">
        <v>3.1105109999999998</v>
      </c>
      <c r="AF241" s="2">
        <v>100.38248400000001</v>
      </c>
      <c r="AG241" s="2">
        <v>20.467141999999999</v>
      </c>
      <c r="AH241" s="4">
        <f t="shared" si="4"/>
        <v>355.8241946</v>
      </c>
    </row>
    <row r="242" spans="1:34" x14ac:dyDescent="0.2">
      <c r="A242" s="3">
        <v>41578</v>
      </c>
      <c r="B242" s="2">
        <v>2.0417836</v>
      </c>
      <c r="C242" s="2">
        <v>24.659649000000002</v>
      </c>
      <c r="D242" s="2">
        <v>2.2882001000000001</v>
      </c>
      <c r="E242" s="2">
        <v>-10.445251000000001</v>
      </c>
      <c r="F242" s="2">
        <v>7.4100440000000001</v>
      </c>
      <c r="G242" s="2">
        <v>17.282612</v>
      </c>
      <c r="H242" s="2">
        <v>13.998319</v>
      </c>
      <c r="I242" s="2">
        <v>39.234397999999999</v>
      </c>
      <c r="J242" s="2">
        <v>19.615438000000001</v>
      </c>
      <c r="K242" s="2">
        <v>4.597791</v>
      </c>
      <c r="L242" s="2">
        <v>8.3271789999999992</v>
      </c>
      <c r="M242" s="2">
        <v>4.6482590000000004</v>
      </c>
      <c r="N242" s="2">
        <v>34.321877000000001</v>
      </c>
      <c r="O242" s="2">
        <v>24.423708000000001</v>
      </c>
      <c r="P242" s="2">
        <v>44.905552</v>
      </c>
      <c r="Q242" s="2">
        <v>3.1447055000000002</v>
      </c>
      <c r="R242" s="2">
        <v>9.8611679999999993</v>
      </c>
      <c r="S242" s="2">
        <v>17.445900000000002</v>
      </c>
      <c r="T242" s="2">
        <v>36.836120000000001</v>
      </c>
      <c r="U242" s="2">
        <v>11.059540999999999</v>
      </c>
      <c r="V242" s="2">
        <v>24.549009999999999</v>
      </c>
      <c r="W242" s="2">
        <v>23.019238000000001</v>
      </c>
      <c r="X242" s="2">
        <v>5.7533099999999999</v>
      </c>
      <c r="Y242" s="2">
        <v>13.947912000000001</v>
      </c>
      <c r="Z242" s="2">
        <v>7.4661393</v>
      </c>
      <c r="AA242" s="2">
        <v>5.3113174000000001</v>
      </c>
      <c r="AB242" s="2">
        <v>1.4877279000000001</v>
      </c>
      <c r="AC242" s="2">
        <v>4.2353544000000003</v>
      </c>
      <c r="AD242" s="2">
        <v>3.9321100000000002</v>
      </c>
      <c r="AE242" s="2">
        <v>7.8469863000000002</v>
      </c>
      <c r="AF242" s="2">
        <v>90.492615000000001</v>
      </c>
      <c r="AG242" s="2">
        <v>16.620512000000002</v>
      </c>
      <c r="AH242" s="4">
        <f t="shared" si="4"/>
        <v>340.2060032</v>
      </c>
    </row>
    <row r="243" spans="1:34" x14ac:dyDescent="0.2">
      <c r="A243" s="3">
        <v>41608</v>
      </c>
      <c r="B243" s="2">
        <v>1.7105440999999999</v>
      </c>
      <c r="C243" s="2">
        <v>24.589995999999999</v>
      </c>
      <c r="D243" s="2">
        <v>4.7895637000000004</v>
      </c>
      <c r="E243" s="2">
        <v>10.847913</v>
      </c>
      <c r="F243" s="2">
        <v>26.591463000000001</v>
      </c>
      <c r="G243" s="2">
        <v>31.135587999999998</v>
      </c>
      <c r="H243" s="2">
        <v>17.309014999999999</v>
      </c>
      <c r="I243" s="2">
        <v>38.904305000000001</v>
      </c>
      <c r="J243" s="2">
        <v>27.178963</v>
      </c>
      <c r="K243" s="2">
        <v>12.500878</v>
      </c>
      <c r="L243" s="2">
        <v>12.217933</v>
      </c>
      <c r="M243" s="2">
        <v>10.746486000000001</v>
      </c>
      <c r="N243" s="2">
        <v>38.085613000000002</v>
      </c>
      <c r="O243" s="2">
        <v>23.978563000000001</v>
      </c>
      <c r="P243" s="2">
        <v>71.31671</v>
      </c>
      <c r="Q243" s="2">
        <v>3.8380423000000001</v>
      </c>
      <c r="R243" s="2">
        <v>9.2339169999999999</v>
      </c>
      <c r="S243" s="2">
        <v>24.064869000000002</v>
      </c>
      <c r="T243" s="2">
        <v>41.392918000000002</v>
      </c>
      <c r="U243" s="2">
        <v>12.73982</v>
      </c>
      <c r="V243" s="2">
        <v>22.990738</v>
      </c>
      <c r="W243" s="2">
        <v>16.357243</v>
      </c>
      <c r="X243" s="2">
        <v>6.5993233</v>
      </c>
      <c r="Y243" s="2">
        <v>12.618729999999999</v>
      </c>
      <c r="Z243" s="2">
        <v>4.9146333000000002</v>
      </c>
      <c r="AA243" s="2">
        <v>6.2053409999999998</v>
      </c>
      <c r="AB243" s="2">
        <v>2.0845064999999998</v>
      </c>
      <c r="AC243" s="2">
        <v>5.4114427999999997</v>
      </c>
      <c r="AD243" s="2">
        <v>2.8341563000000001</v>
      </c>
      <c r="AE243" s="2">
        <v>16.098693999999998</v>
      </c>
      <c r="AF243" s="2">
        <v>73.756739999999994</v>
      </c>
      <c r="AG243" s="2">
        <v>13.333867</v>
      </c>
      <c r="AH243" s="4">
        <f t="shared" si="4"/>
        <v>466.16383810000008</v>
      </c>
    </row>
    <row r="244" spans="1:34" x14ac:dyDescent="0.2">
      <c r="A244" s="3">
        <v>41639</v>
      </c>
      <c r="B244" s="2">
        <v>1.8501239</v>
      </c>
      <c r="C244" s="2">
        <v>24.102433999999999</v>
      </c>
      <c r="D244" s="2">
        <v>5.9644083999999999</v>
      </c>
      <c r="E244" s="2">
        <v>13.152058</v>
      </c>
      <c r="F244" s="2">
        <v>21.514994000000002</v>
      </c>
      <c r="G244" s="2">
        <v>32.892147000000001</v>
      </c>
      <c r="H244" s="2">
        <v>19.149930000000001</v>
      </c>
      <c r="I244" s="2">
        <v>38.453826999999997</v>
      </c>
      <c r="J244" s="2">
        <v>24.805437000000001</v>
      </c>
      <c r="K244" s="2">
        <v>9.5493389999999998</v>
      </c>
      <c r="L244" s="2">
        <v>7.6046839999999998</v>
      </c>
      <c r="M244" s="2">
        <v>5.9231189999999998</v>
      </c>
      <c r="N244" s="2">
        <v>36.652476999999998</v>
      </c>
      <c r="O244" s="2">
        <v>26.011095000000001</v>
      </c>
      <c r="P244" s="2">
        <v>69.646904000000006</v>
      </c>
      <c r="Q244" s="2">
        <v>5.0517510000000003</v>
      </c>
      <c r="R244" s="2">
        <v>8.0078209999999999</v>
      </c>
      <c r="S244" s="2">
        <v>24.645451999999999</v>
      </c>
      <c r="T244" s="2">
        <v>44.927504999999996</v>
      </c>
      <c r="U244" s="2">
        <v>12.402004</v>
      </c>
      <c r="V244" s="2">
        <v>22.658802000000001</v>
      </c>
      <c r="W244" s="2">
        <v>12.016368999999999</v>
      </c>
      <c r="X244" s="2">
        <v>6.56968</v>
      </c>
      <c r="Y244" s="2">
        <v>13.771986999999999</v>
      </c>
      <c r="Z244" s="2">
        <v>5.2203889999999999</v>
      </c>
      <c r="AA244" s="2">
        <v>5.1712065000000003</v>
      </c>
      <c r="AB244" s="2">
        <v>1.901896</v>
      </c>
      <c r="AC244" s="2">
        <v>4.8505120000000002</v>
      </c>
      <c r="AD244" s="2">
        <v>1.7257133</v>
      </c>
      <c r="AE244" s="2">
        <v>23.815249999999999</v>
      </c>
      <c r="AF244" s="2">
        <v>65.541504000000003</v>
      </c>
      <c r="AG244" s="2">
        <v>11.242762000000001</v>
      </c>
      <c r="AH244" s="4">
        <f t="shared" si="4"/>
        <v>454.96631229999991</v>
      </c>
    </row>
    <row r="245" spans="1:34" x14ac:dyDescent="0.2">
      <c r="A245" s="3">
        <v>41670</v>
      </c>
      <c r="B245" s="2">
        <v>2.1421168000000002</v>
      </c>
      <c r="C245" s="2">
        <v>26.696009</v>
      </c>
      <c r="D245" s="2">
        <v>2.9030805000000002</v>
      </c>
      <c r="E245" s="2">
        <v>7.4418144000000002</v>
      </c>
      <c r="F245" s="2">
        <v>15.079688000000001</v>
      </c>
      <c r="G245" s="2">
        <v>22.972100999999999</v>
      </c>
      <c r="H245" s="2">
        <v>16.775735999999998</v>
      </c>
      <c r="I245" s="2">
        <v>39.205680000000001</v>
      </c>
      <c r="J245" s="2">
        <v>16.85502</v>
      </c>
      <c r="K245" s="2">
        <v>4.5395859999999999</v>
      </c>
      <c r="L245" s="2">
        <v>0.37808313999999998</v>
      </c>
      <c r="M245" s="2">
        <v>-0.12359612</v>
      </c>
      <c r="N245" s="2">
        <v>31.813780000000001</v>
      </c>
      <c r="O245" s="2">
        <v>22.535413999999999</v>
      </c>
      <c r="P245" s="2">
        <v>48.771416000000002</v>
      </c>
      <c r="Q245" s="2">
        <v>2.7434927999999998</v>
      </c>
      <c r="R245" s="2">
        <v>9.058389</v>
      </c>
      <c r="S245" s="2">
        <v>18.186430000000001</v>
      </c>
      <c r="T245" s="2">
        <v>33.691302999999998</v>
      </c>
      <c r="U245" s="2">
        <v>11.21265</v>
      </c>
      <c r="V245" s="2">
        <v>17.687033</v>
      </c>
      <c r="W245" s="2">
        <v>5.3422689999999999</v>
      </c>
      <c r="X245" s="2">
        <v>9.1928920000000005</v>
      </c>
      <c r="Y245" s="2">
        <v>14.905468000000001</v>
      </c>
      <c r="Z245" s="2">
        <v>2.5219908000000002</v>
      </c>
      <c r="AA245" s="2">
        <v>3.0225384000000002</v>
      </c>
      <c r="AB245" s="2">
        <v>1.7607812</v>
      </c>
      <c r="AC245" s="2">
        <v>4.9524426000000004</v>
      </c>
      <c r="AD245" s="2">
        <v>1.2321249000000001</v>
      </c>
      <c r="AE245" s="2">
        <v>25.457530999999999</v>
      </c>
      <c r="AF245" s="2">
        <v>68.984160000000003</v>
      </c>
      <c r="AG245" s="2">
        <v>10.146708</v>
      </c>
      <c r="AH245" s="4">
        <f t="shared" si="4"/>
        <v>350.56522651999995</v>
      </c>
    </row>
    <row r="246" spans="1:34" x14ac:dyDescent="0.2">
      <c r="A246" s="3">
        <v>41698</v>
      </c>
      <c r="B246" s="2">
        <v>1.3249171</v>
      </c>
      <c r="C246" s="2">
        <v>24.348783000000001</v>
      </c>
      <c r="D246" s="2">
        <v>-3.9381948000000002</v>
      </c>
      <c r="E246" s="2">
        <v>-13.591379</v>
      </c>
      <c r="F246" s="2">
        <v>0.17533723000000001</v>
      </c>
      <c r="G246" s="2">
        <v>-2.3586122999999999</v>
      </c>
      <c r="H246" s="2">
        <v>15.834235</v>
      </c>
      <c r="I246" s="2">
        <v>38.510123999999998</v>
      </c>
      <c r="J246" s="2">
        <v>6.2735167000000001</v>
      </c>
      <c r="K246" s="2">
        <v>5.119815</v>
      </c>
      <c r="L246" s="2">
        <v>-6.7638325999999998</v>
      </c>
      <c r="M246" s="2">
        <v>-0.86215929999999996</v>
      </c>
      <c r="N246" s="2">
        <v>32.951552999999997</v>
      </c>
      <c r="O246" s="2">
        <v>23.092334999999999</v>
      </c>
      <c r="P246" s="2">
        <v>53.970309999999998</v>
      </c>
      <c r="Q246" s="2">
        <v>5.4610696000000001</v>
      </c>
      <c r="R246" s="2">
        <v>8.7621380000000002</v>
      </c>
      <c r="S246" s="2">
        <v>14.983732</v>
      </c>
      <c r="T246" s="2">
        <v>35.962240000000001</v>
      </c>
      <c r="U246" s="2">
        <v>10.144212</v>
      </c>
      <c r="V246" s="2">
        <v>18.585035000000001</v>
      </c>
      <c r="W246" s="2">
        <v>1.1389340999999999</v>
      </c>
      <c r="X246" s="2">
        <v>7.0535483000000001</v>
      </c>
      <c r="Y246" s="2">
        <v>15.176484</v>
      </c>
      <c r="Z246" s="2">
        <v>1.5247705</v>
      </c>
      <c r="AA246" s="2">
        <v>3.0928825999999998</v>
      </c>
      <c r="AB246" s="2">
        <v>1.5014856000000001</v>
      </c>
      <c r="AC246" s="2">
        <v>3.6789079</v>
      </c>
      <c r="AD246" s="2">
        <v>1.6281722000000001</v>
      </c>
      <c r="AE246" s="2">
        <v>23.365220999999998</v>
      </c>
      <c r="AF246" s="2">
        <v>66.357799999999997</v>
      </c>
      <c r="AG246" s="2">
        <v>9.6012330000000006</v>
      </c>
      <c r="AH246" s="4">
        <f t="shared" si="4"/>
        <v>267.98517462999996</v>
      </c>
    </row>
    <row r="247" spans="1:34" x14ac:dyDescent="0.2">
      <c r="A247" s="3">
        <v>41729</v>
      </c>
      <c r="B247" s="2">
        <v>2.9962924000000002</v>
      </c>
      <c r="C247" s="2">
        <v>26.728069999999999</v>
      </c>
      <c r="D247" s="2">
        <v>-1.2017959</v>
      </c>
      <c r="E247" s="2">
        <v>2.0334682000000002</v>
      </c>
      <c r="F247" s="2">
        <v>9.3934979999999992</v>
      </c>
      <c r="G247" s="2">
        <v>15.245290000000001</v>
      </c>
      <c r="H247" s="2">
        <v>17.926935</v>
      </c>
      <c r="I247" s="2">
        <v>41.246983</v>
      </c>
      <c r="J247" s="2">
        <v>10.06358</v>
      </c>
      <c r="K247" s="2">
        <v>13.647902999999999</v>
      </c>
      <c r="L247" s="2">
        <v>2.7872167000000001</v>
      </c>
      <c r="M247" s="2">
        <v>6.9523052999999999</v>
      </c>
      <c r="N247" s="2">
        <v>37.401702999999998</v>
      </c>
      <c r="O247" s="2">
        <v>20.074477999999999</v>
      </c>
      <c r="P247" s="2">
        <v>71.775970000000001</v>
      </c>
      <c r="Q247" s="2">
        <v>3.5731647</v>
      </c>
      <c r="R247" s="2">
        <v>8.0367339999999992</v>
      </c>
      <c r="S247" s="2">
        <v>22.014541999999999</v>
      </c>
      <c r="T247" s="2">
        <v>38.224820000000001</v>
      </c>
      <c r="U247" s="2">
        <v>9.4553030000000007</v>
      </c>
      <c r="V247" s="2">
        <v>20.956606000000001</v>
      </c>
      <c r="W247" s="2">
        <v>3.3637970000000003E-2</v>
      </c>
      <c r="X247" s="2">
        <v>6.7199654999999998</v>
      </c>
      <c r="Y247" s="2">
        <v>15.910895</v>
      </c>
      <c r="Z247" s="2">
        <v>0.93169380000000002</v>
      </c>
      <c r="AA247" s="2">
        <v>2.9633286000000001</v>
      </c>
      <c r="AB247" s="2">
        <v>2.1495636</v>
      </c>
      <c r="AC247" s="2">
        <v>3.859289</v>
      </c>
      <c r="AD247" s="2">
        <v>2.9730349999999999</v>
      </c>
      <c r="AE247" s="2">
        <v>14.641078</v>
      </c>
      <c r="AF247" s="2">
        <v>75.427180000000007</v>
      </c>
      <c r="AG247" s="2">
        <v>10.922589</v>
      </c>
      <c r="AH247" s="4">
        <f t="shared" si="4"/>
        <v>379.33306640000012</v>
      </c>
    </row>
    <row r="248" spans="1:34" x14ac:dyDescent="0.2">
      <c r="A248" s="3">
        <v>41759</v>
      </c>
      <c r="B248" s="2">
        <v>2.5550478000000001</v>
      </c>
      <c r="C248" s="2">
        <v>25.086977000000001</v>
      </c>
      <c r="D248" s="2">
        <v>-2.8755639999999998</v>
      </c>
      <c r="E248" s="2">
        <v>-5.5774717000000003</v>
      </c>
      <c r="F248" s="2">
        <v>4.6365150000000002</v>
      </c>
      <c r="G248" s="2">
        <v>10.585993</v>
      </c>
      <c r="H248" s="2">
        <v>14.409922</v>
      </c>
      <c r="I248" s="2">
        <v>41.556460000000001</v>
      </c>
      <c r="J248" s="2">
        <v>-0.48187697000000002</v>
      </c>
      <c r="K248" s="2">
        <v>3.3195543000000001</v>
      </c>
      <c r="L248" s="2">
        <v>-6.4778710000000004</v>
      </c>
      <c r="M248" s="2">
        <v>0.96224940000000003</v>
      </c>
      <c r="N248" s="2">
        <v>33.048760000000001</v>
      </c>
      <c r="O248" s="2">
        <v>22.479849000000002</v>
      </c>
      <c r="P248" s="2">
        <v>69.415854999999993</v>
      </c>
      <c r="Q248" s="2">
        <v>3.3067807999999999</v>
      </c>
      <c r="R248" s="2">
        <v>9.1169119999999992</v>
      </c>
      <c r="S248" s="2">
        <v>21.131253999999998</v>
      </c>
      <c r="T248" s="2">
        <v>45.094493999999997</v>
      </c>
      <c r="U248" s="2">
        <v>12.397425</v>
      </c>
      <c r="V248" s="2">
        <v>25.134032999999999</v>
      </c>
      <c r="W248" s="2">
        <v>-0.81405649999999996</v>
      </c>
      <c r="X248" s="2">
        <v>6.7261369999999996</v>
      </c>
      <c r="Y248" s="2">
        <v>19.147358000000001</v>
      </c>
      <c r="Z248" s="2">
        <v>0.13492179000000001</v>
      </c>
      <c r="AA248" s="2">
        <v>3.6986983000000002</v>
      </c>
      <c r="AB248" s="2">
        <v>2.3145224999999998</v>
      </c>
      <c r="AC248" s="2">
        <v>3.240043</v>
      </c>
      <c r="AD248" s="2">
        <v>4.627542</v>
      </c>
      <c r="AE248" s="2">
        <v>8.2991060000000001</v>
      </c>
      <c r="AF248" s="2">
        <v>85.719399999999993</v>
      </c>
      <c r="AG248" s="2">
        <v>13.909566</v>
      </c>
      <c r="AH248" s="4">
        <f t="shared" si="4"/>
        <v>328.82529763000002</v>
      </c>
    </row>
    <row r="249" spans="1:34" x14ac:dyDescent="0.2">
      <c r="A249" s="3">
        <v>41790</v>
      </c>
      <c r="B249" s="2">
        <v>4.8280025000000002</v>
      </c>
      <c r="C249" s="2">
        <v>24.120311999999998</v>
      </c>
      <c r="D249" s="2">
        <v>-3.5908935</v>
      </c>
      <c r="E249" s="2">
        <v>-11.227012</v>
      </c>
      <c r="F249" s="2">
        <v>-0.1529112</v>
      </c>
      <c r="G249" s="2">
        <v>9.7413229999999995</v>
      </c>
      <c r="H249" s="2">
        <v>16.040061999999999</v>
      </c>
      <c r="I249" s="2">
        <v>40.103152999999999</v>
      </c>
      <c r="J249" s="2">
        <v>-7.8989596000000004</v>
      </c>
      <c r="K249" s="2">
        <v>0.94414540000000002</v>
      </c>
      <c r="L249" s="2">
        <v>-7.4677800000000003</v>
      </c>
      <c r="M249" s="2">
        <v>-1.5758696999999999</v>
      </c>
      <c r="N249" s="2">
        <v>30.367172</v>
      </c>
      <c r="O249" s="2">
        <v>23.875923</v>
      </c>
      <c r="P249" s="2">
        <v>54.796402</v>
      </c>
      <c r="Q249" s="2">
        <v>4.2148785999999996</v>
      </c>
      <c r="R249" s="2">
        <v>8.3581149999999997</v>
      </c>
      <c r="S249" s="2">
        <v>16.207163000000001</v>
      </c>
      <c r="T249" s="2">
        <v>40.112439999999999</v>
      </c>
      <c r="U249" s="2">
        <v>12.603229000000001</v>
      </c>
      <c r="V249" s="2">
        <v>26.670663999999999</v>
      </c>
      <c r="W249" s="2">
        <v>4.7477530000000003</v>
      </c>
      <c r="X249" s="2">
        <v>6.1839532999999998</v>
      </c>
      <c r="Y249" s="2">
        <v>23.16564</v>
      </c>
      <c r="Z249" s="2">
        <v>0.36123096999999998</v>
      </c>
      <c r="AA249" s="2">
        <v>3.8130967999999998</v>
      </c>
      <c r="AB249" s="2">
        <v>1.8415524000000001</v>
      </c>
      <c r="AC249" s="2">
        <v>3.4044845000000001</v>
      </c>
      <c r="AD249" s="2">
        <v>7.6921495999999996</v>
      </c>
      <c r="AE249" s="2">
        <v>3.8599367</v>
      </c>
      <c r="AF249" s="2">
        <v>99.150869999999998</v>
      </c>
      <c r="AG249" s="2">
        <v>18.003927000000001</v>
      </c>
      <c r="AH249" s="4">
        <f t="shared" si="4"/>
        <v>281.06955849999997</v>
      </c>
    </row>
    <row r="250" spans="1:34" x14ac:dyDescent="0.2">
      <c r="A250" s="3">
        <v>41820</v>
      </c>
      <c r="B250" s="2">
        <v>5.9508065999999999</v>
      </c>
      <c r="C250" s="2">
        <v>22.296125</v>
      </c>
      <c r="D250" s="2">
        <v>-5.4529395000000003</v>
      </c>
      <c r="E250" s="2">
        <v>-11.845169</v>
      </c>
      <c r="F250" s="2">
        <v>0.50480219999999998</v>
      </c>
      <c r="G250" s="2">
        <v>5.9114427999999997</v>
      </c>
      <c r="H250" s="2">
        <v>14.302372999999999</v>
      </c>
      <c r="I250" s="2">
        <v>40.075676000000001</v>
      </c>
      <c r="J250" s="2">
        <v>-6.6230164</v>
      </c>
      <c r="K250" s="2">
        <v>4.2889657000000003</v>
      </c>
      <c r="L250" s="2">
        <v>-9.0177619999999994</v>
      </c>
      <c r="M250" s="2">
        <v>-1.3463148</v>
      </c>
      <c r="N250" s="2">
        <v>31.506691</v>
      </c>
      <c r="O250" s="2">
        <v>18.94004</v>
      </c>
      <c r="P250" s="2">
        <v>52.122627000000001</v>
      </c>
      <c r="Q250" s="2">
        <v>3.649051</v>
      </c>
      <c r="R250" s="2">
        <v>8.5199169999999995</v>
      </c>
      <c r="S250" s="2">
        <v>14.096237</v>
      </c>
      <c r="T250" s="2">
        <v>39.251595000000002</v>
      </c>
      <c r="U250" s="2">
        <v>11.6378355</v>
      </c>
      <c r="V250" s="2">
        <v>29.458034999999999</v>
      </c>
      <c r="W250" s="2">
        <v>16.679549999999999</v>
      </c>
      <c r="X250" s="2">
        <v>5.7059635999999996</v>
      </c>
      <c r="Y250" s="2">
        <v>23.003126000000002</v>
      </c>
      <c r="Z250" s="2">
        <v>1.2893808</v>
      </c>
      <c r="AA250" s="2">
        <v>3.6683226000000002</v>
      </c>
      <c r="AB250" s="2">
        <v>1.8696410000000001</v>
      </c>
      <c r="AC250" s="2">
        <v>3.6665269999999999</v>
      </c>
      <c r="AD250" s="2">
        <v>12.876039</v>
      </c>
      <c r="AE250" s="2">
        <v>0.32161077999999999</v>
      </c>
      <c r="AF250" s="2">
        <v>102.26005600000001</v>
      </c>
      <c r="AG250" s="2">
        <v>23.418285000000001</v>
      </c>
      <c r="AH250" s="4">
        <f t="shared" si="4"/>
        <v>268.22701810000001</v>
      </c>
    </row>
    <row r="251" spans="1:34" x14ac:dyDescent="0.2">
      <c r="A251" s="3">
        <v>41851</v>
      </c>
      <c r="B251" s="2">
        <v>6.5704919999999998</v>
      </c>
      <c r="C251" s="2">
        <v>24.822935000000001</v>
      </c>
      <c r="D251" s="2">
        <v>-1.7843199999999999</v>
      </c>
      <c r="E251" s="2">
        <v>-8.2529710000000005</v>
      </c>
      <c r="F251" s="2">
        <v>10.772276</v>
      </c>
      <c r="G251" s="2">
        <v>13.965318999999999</v>
      </c>
      <c r="H251" s="2">
        <v>15.946322</v>
      </c>
      <c r="I251" s="2">
        <v>41.255305999999997</v>
      </c>
      <c r="J251" s="2">
        <v>-1.9857298999999999</v>
      </c>
      <c r="K251" s="2">
        <v>5.1755966999999998</v>
      </c>
      <c r="L251" s="2">
        <v>-3.1287631999999999</v>
      </c>
      <c r="M251" s="2">
        <v>4.2716960000000004</v>
      </c>
      <c r="N251" s="2">
        <v>33.990769999999998</v>
      </c>
      <c r="O251" s="2">
        <v>23.419074999999999</v>
      </c>
      <c r="P251" s="2">
        <v>72.148070000000004</v>
      </c>
      <c r="Q251" s="2">
        <v>6.0750690000000001</v>
      </c>
      <c r="R251" s="2">
        <v>11.996370000000001</v>
      </c>
      <c r="S251" s="2">
        <v>22.298521000000001</v>
      </c>
      <c r="T251" s="2">
        <v>47.058307999999997</v>
      </c>
      <c r="U251" s="2">
        <v>9.2353570000000005</v>
      </c>
      <c r="V251" s="2">
        <v>34.360435000000003</v>
      </c>
      <c r="W251" s="2">
        <v>28.528013000000001</v>
      </c>
      <c r="X251" s="2">
        <v>4.4086290000000004</v>
      </c>
      <c r="Y251" s="2">
        <v>21.277070999999999</v>
      </c>
      <c r="Z251" s="2">
        <v>2.22668</v>
      </c>
      <c r="AA251" s="2">
        <v>5.4889507000000002</v>
      </c>
      <c r="AB251" s="2">
        <v>2.1124665999999999</v>
      </c>
      <c r="AC251" s="2">
        <v>4.7358412999999997</v>
      </c>
      <c r="AD251" s="2">
        <v>12.886729000000001</v>
      </c>
      <c r="AE251" s="2">
        <v>-1.3543851</v>
      </c>
      <c r="AF251" s="2">
        <v>109.043755</v>
      </c>
      <c r="AG251" s="2">
        <v>24.664852</v>
      </c>
      <c r="AH251" s="4">
        <f t="shared" si="4"/>
        <v>368.21013360000006</v>
      </c>
    </row>
    <row r="252" spans="1:34" x14ac:dyDescent="0.2">
      <c r="A252" s="3">
        <v>41882</v>
      </c>
      <c r="B252" s="2">
        <v>5.5442749999999998</v>
      </c>
      <c r="C252" s="2">
        <v>23.641228000000002</v>
      </c>
      <c r="D252" s="2">
        <v>-1.1539899</v>
      </c>
      <c r="E252" s="2">
        <v>-1.7985175</v>
      </c>
      <c r="F252" s="2">
        <v>18.342054000000001</v>
      </c>
      <c r="G252" s="2">
        <v>18.634615</v>
      </c>
      <c r="H252" s="2">
        <v>15.5070715</v>
      </c>
      <c r="I252" s="2">
        <v>39.825397000000002</v>
      </c>
      <c r="J252" s="2">
        <v>8.8822364999999994</v>
      </c>
      <c r="K252" s="2">
        <v>7.5791306000000001</v>
      </c>
      <c r="L252" s="2">
        <v>3.8707337000000002</v>
      </c>
      <c r="M252" s="2">
        <v>7.3505782999999996</v>
      </c>
      <c r="N252" s="2">
        <v>35.354953999999999</v>
      </c>
      <c r="O252" s="2">
        <v>25.105796999999999</v>
      </c>
      <c r="P252" s="2">
        <v>82.72972</v>
      </c>
      <c r="Q252" s="2">
        <v>5.3605619999999998</v>
      </c>
      <c r="R252" s="2">
        <v>11.265233</v>
      </c>
      <c r="S252" s="2">
        <v>22.478452999999998</v>
      </c>
      <c r="T252" s="2">
        <v>41.821423000000003</v>
      </c>
      <c r="U252" s="2">
        <v>10.198199000000001</v>
      </c>
      <c r="V252" s="2">
        <v>38.036057</v>
      </c>
      <c r="W252" s="2">
        <v>29.846679999999999</v>
      </c>
      <c r="X252" s="2">
        <v>4.8928447000000004</v>
      </c>
      <c r="Y252" s="2">
        <v>18.807943000000002</v>
      </c>
      <c r="Z252" s="2">
        <v>4.3643200000000002</v>
      </c>
      <c r="AA252" s="2">
        <v>5.0256439999999998</v>
      </c>
      <c r="AB252" s="2">
        <v>1.482183</v>
      </c>
      <c r="AC252" s="2">
        <v>3.0838312999999999</v>
      </c>
      <c r="AD252" s="2">
        <v>10.085108</v>
      </c>
      <c r="AE252" s="2">
        <v>-0.26908280000000001</v>
      </c>
      <c r="AF252" s="2">
        <v>108.241776</v>
      </c>
      <c r="AG252" s="2">
        <v>24.175633999999999</v>
      </c>
      <c r="AH252" s="4">
        <f t="shared" si="4"/>
        <v>418.57521020000001</v>
      </c>
    </row>
    <row r="253" spans="1:34" x14ac:dyDescent="0.2">
      <c r="A253" s="3">
        <v>41912</v>
      </c>
      <c r="B253" s="2">
        <v>5.3836985000000004</v>
      </c>
      <c r="C253" s="2">
        <v>25.979783999999999</v>
      </c>
      <c r="D253" s="2">
        <v>0.64322690000000005</v>
      </c>
      <c r="E253" s="2">
        <v>12.424272999999999</v>
      </c>
      <c r="F253" s="2">
        <v>27.00094</v>
      </c>
      <c r="G253" s="2">
        <v>26.352736</v>
      </c>
      <c r="H253" s="2">
        <v>15.300076499999999</v>
      </c>
      <c r="I253" s="2">
        <v>41.573914000000002</v>
      </c>
      <c r="J253" s="2">
        <v>13.863531999999999</v>
      </c>
      <c r="K253" s="2">
        <v>10.525786</v>
      </c>
      <c r="L253" s="2">
        <v>11.739307999999999</v>
      </c>
      <c r="M253" s="2">
        <v>9.8361579999999993</v>
      </c>
      <c r="N253" s="2">
        <v>38.622439999999997</v>
      </c>
      <c r="O253" s="2">
        <v>23.968686999999999</v>
      </c>
      <c r="P253" s="2">
        <v>80.209816000000004</v>
      </c>
      <c r="Q253" s="2">
        <v>6.0369352999999997</v>
      </c>
      <c r="R253" s="2">
        <v>12.266301</v>
      </c>
      <c r="S253" s="2">
        <v>19.951134</v>
      </c>
      <c r="T253" s="2">
        <v>39.002795999999996</v>
      </c>
      <c r="U253" s="2">
        <v>11.360671</v>
      </c>
      <c r="V253" s="2">
        <v>34.022829999999999</v>
      </c>
      <c r="W253" s="2">
        <v>27.594141</v>
      </c>
      <c r="X253" s="2">
        <v>3.7016814</v>
      </c>
      <c r="Y253" s="2">
        <v>16.463757000000001</v>
      </c>
      <c r="Z253" s="2">
        <v>4.314184</v>
      </c>
      <c r="AA253" s="2">
        <v>4.6280327000000003</v>
      </c>
      <c r="AB253" s="2">
        <v>1.2132628000000001</v>
      </c>
      <c r="AC253" s="2">
        <v>4.4794292000000002</v>
      </c>
      <c r="AD253" s="2">
        <v>6.2838244000000003</v>
      </c>
      <c r="AE253" s="2">
        <v>2.3488351999999999</v>
      </c>
      <c r="AF253" s="2">
        <v>102.83807</v>
      </c>
      <c r="AG253" s="2">
        <v>20.582525</v>
      </c>
      <c r="AH253" s="4">
        <f t="shared" si="4"/>
        <v>466.06504319999999</v>
      </c>
    </row>
    <row r="254" spans="1:34" x14ac:dyDescent="0.2">
      <c r="A254" s="3">
        <v>41943</v>
      </c>
      <c r="B254" s="2">
        <v>3.6247022000000002</v>
      </c>
      <c r="C254" s="2">
        <v>25.477034</v>
      </c>
      <c r="D254" s="2">
        <v>7.3017079999999996</v>
      </c>
      <c r="E254" s="2">
        <v>16.504604</v>
      </c>
      <c r="F254" s="2">
        <v>28.480924999999999</v>
      </c>
      <c r="G254" s="2">
        <v>47.429915999999999</v>
      </c>
      <c r="H254" s="2">
        <v>18.081495</v>
      </c>
      <c r="I254" s="2">
        <v>37.418953000000002</v>
      </c>
      <c r="J254" s="2">
        <v>25.824743000000002</v>
      </c>
      <c r="K254" s="2">
        <v>14.980147000000001</v>
      </c>
      <c r="L254" s="2">
        <v>17.708838</v>
      </c>
      <c r="M254" s="2">
        <v>12.073378</v>
      </c>
      <c r="N254" s="2">
        <v>36.096159999999998</v>
      </c>
      <c r="O254" s="2">
        <v>22.374056</v>
      </c>
      <c r="P254" s="2">
        <v>37.716971999999998</v>
      </c>
      <c r="Q254" s="2">
        <v>3.2936752</v>
      </c>
      <c r="R254" s="2">
        <v>10.942354</v>
      </c>
      <c r="S254" s="2">
        <v>24.645150999999998</v>
      </c>
      <c r="T254" s="2">
        <v>42.255859999999998</v>
      </c>
      <c r="U254" s="2">
        <v>8.5029009999999996</v>
      </c>
      <c r="V254" s="2">
        <v>27.867878000000001</v>
      </c>
      <c r="W254" s="2">
        <v>22.600916000000002</v>
      </c>
      <c r="X254" s="2">
        <v>4.1747107999999997</v>
      </c>
      <c r="Y254" s="2">
        <v>13.137973000000001</v>
      </c>
      <c r="Z254" s="2">
        <v>5.5117440000000002</v>
      </c>
      <c r="AA254" s="2">
        <v>3.6969012999999999</v>
      </c>
      <c r="AB254" s="2">
        <v>1.4556041</v>
      </c>
      <c r="AC254" s="2">
        <v>2.3504212</v>
      </c>
      <c r="AD254" s="2">
        <v>3.7461019000000002</v>
      </c>
      <c r="AE254" s="2">
        <v>7.6822786000000001</v>
      </c>
      <c r="AF254" s="2">
        <v>87.500969999999995</v>
      </c>
      <c r="AG254" s="2">
        <v>16.562155000000001</v>
      </c>
      <c r="AH254" s="4">
        <f t="shared" si="4"/>
        <v>468.60145040000003</v>
      </c>
    </row>
    <row r="255" spans="1:34" x14ac:dyDescent="0.2">
      <c r="A255" s="3">
        <v>41973</v>
      </c>
      <c r="B255" s="2">
        <v>1.4716206999999999</v>
      </c>
      <c r="C255" s="2">
        <v>23.562033</v>
      </c>
      <c r="D255" s="2">
        <v>1.9899998999999999</v>
      </c>
      <c r="E255" s="2">
        <v>-3.2922951999999999</v>
      </c>
      <c r="F255" s="2">
        <v>6.8357809999999999</v>
      </c>
      <c r="G255" s="2">
        <v>20.614037</v>
      </c>
      <c r="H255" s="2">
        <v>15.859737000000001</v>
      </c>
      <c r="I255" s="2">
        <v>39.077689999999997</v>
      </c>
      <c r="J255" s="2">
        <v>23.85473</v>
      </c>
      <c r="K255" s="2">
        <v>7.7572764999999997</v>
      </c>
      <c r="L255" s="2">
        <v>11.851661</v>
      </c>
      <c r="M255" s="2">
        <v>6.3340015000000003</v>
      </c>
      <c r="N255" s="2">
        <v>37.536580000000001</v>
      </c>
      <c r="O255" s="2">
        <v>25.180387</v>
      </c>
      <c r="P255" s="2">
        <v>55.573368000000002</v>
      </c>
      <c r="Q255" s="2">
        <v>3.4281812</v>
      </c>
      <c r="R255" s="2">
        <v>11.512238</v>
      </c>
      <c r="S255" s="2">
        <v>25.591363999999999</v>
      </c>
      <c r="T255" s="2">
        <v>43.235325000000003</v>
      </c>
      <c r="U255" s="2">
        <v>14.665929</v>
      </c>
      <c r="V255" s="2">
        <v>24.114086</v>
      </c>
      <c r="W255" s="2">
        <v>16.452385</v>
      </c>
      <c r="X255" s="2">
        <v>3.7897742000000001</v>
      </c>
      <c r="Y255" s="2">
        <v>9.9403120000000005</v>
      </c>
      <c r="Z255" s="2">
        <v>5.1884804000000004</v>
      </c>
      <c r="AA255" s="2">
        <v>3.6464588999999998</v>
      </c>
      <c r="AB255" s="2">
        <v>1.6514059999999999</v>
      </c>
      <c r="AC255" s="2">
        <v>3.7559526000000001</v>
      </c>
      <c r="AD255" s="2">
        <v>2.8109033000000001</v>
      </c>
      <c r="AE255" s="2">
        <v>12.160537</v>
      </c>
      <c r="AF255" s="2">
        <v>70.611260000000001</v>
      </c>
      <c r="AG255" s="2">
        <v>13.033739000000001</v>
      </c>
      <c r="AH255" s="4">
        <f t="shared" si="4"/>
        <v>396.75373059999998</v>
      </c>
    </row>
    <row r="256" spans="1:34" x14ac:dyDescent="0.2">
      <c r="A256" s="3">
        <v>42004</v>
      </c>
      <c r="B256" s="2">
        <v>-0.43523017000000003</v>
      </c>
      <c r="C256" s="2">
        <v>21.626629999999999</v>
      </c>
      <c r="D256" s="2">
        <v>-2.3889629999999999</v>
      </c>
      <c r="E256" s="2">
        <v>-9.4236070000000005</v>
      </c>
      <c r="F256" s="2">
        <v>-4.2131980000000002</v>
      </c>
      <c r="G256" s="2">
        <v>13.495227</v>
      </c>
      <c r="H256" s="2">
        <v>15.380713999999999</v>
      </c>
      <c r="I256" s="2">
        <v>38.205100000000002</v>
      </c>
      <c r="J256" s="2">
        <v>17.056429000000001</v>
      </c>
      <c r="K256" s="2">
        <v>5.4994936000000001</v>
      </c>
      <c r="L256" s="2">
        <v>5.6755699999999996</v>
      </c>
      <c r="M256" s="2">
        <v>2.4964590000000002</v>
      </c>
      <c r="N256" s="2">
        <v>33.291550000000001</v>
      </c>
      <c r="O256" s="2">
        <v>26.172325000000001</v>
      </c>
      <c r="P256" s="2">
        <v>62.048575999999997</v>
      </c>
      <c r="Q256" s="2">
        <v>5.8408540000000002</v>
      </c>
      <c r="R256" s="2">
        <v>9.6106069999999999</v>
      </c>
      <c r="S256" s="2">
        <v>16.253584</v>
      </c>
      <c r="T256" s="2">
        <v>45.943649999999998</v>
      </c>
      <c r="U256" s="2">
        <v>15.739236</v>
      </c>
      <c r="V256" s="2">
        <v>25.000132000000001</v>
      </c>
      <c r="W256" s="2">
        <v>12.320930000000001</v>
      </c>
      <c r="X256" s="2">
        <v>2.2616806</v>
      </c>
      <c r="Y256" s="2">
        <v>6.9320300000000001</v>
      </c>
      <c r="Z256" s="2">
        <v>4.2571089999999998</v>
      </c>
      <c r="AA256" s="2">
        <v>4.3797183000000004</v>
      </c>
      <c r="AB256" s="2">
        <v>1.6582063</v>
      </c>
      <c r="AC256" s="2">
        <v>4.5746254999999998</v>
      </c>
      <c r="AD256" s="2">
        <v>1.8246960000000001</v>
      </c>
      <c r="AE256" s="2">
        <v>21.111992000000001</v>
      </c>
      <c r="AF256" s="2">
        <v>64.866720000000001</v>
      </c>
      <c r="AG256" s="2">
        <v>11.402338</v>
      </c>
      <c r="AH256" s="4">
        <f t="shared" si="4"/>
        <v>342.87513842999999</v>
      </c>
    </row>
    <row r="257" spans="1:34" x14ac:dyDescent="0.2">
      <c r="A257" s="3">
        <v>42035</v>
      </c>
      <c r="B257" s="2">
        <v>1.2226108</v>
      </c>
      <c r="C257" s="2">
        <v>23.746421999999999</v>
      </c>
      <c r="D257" s="2">
        <v>-7.2989460000000006E-2</v>
      </c>
      <c r="E257" s="2">
        <v>5.1799429999999997</v>
      </c>
      <c r="F257" s="2">
        <v>10.867257</v>
      </c>
      <c r="G257" s="2">
        <v>22.574923999999999</v>
      </c>
      <c r="H257" s="2">
        <v>20.479884999999999</v>
      </c>
      <c r="I257" s="2">
        <v>42.754147000000003</v>
      </c>
      <c r="J257" s="2">
        <v>17.002746999999999</v>
      </c>
      <c r="K257" s="2">
        <v>2.6455274000000002</v>
      </c>
      <c r="L257" s="2">
        <v>3.7074888000000001</v>
      </c>
      <c r="M257" s="2">
        <v>4.4530880000000002</v>
      </c>
      <c r="N257" s="2">
        <v>29.758424999999999</v>
      </c>
      <c r="O257" s="2">
        <v>21.98395</v>
      </c>
      <c r="P257" s="2">
        <v>70.38655</v>
      </c>
      <c r="Q257" s="2">
        <v>3.5106761</v>
      </c>
      <c r="R257" s="2">
        <v>12.025990999999999</v>
      </c>
      <c r="S257" s="2">
        <v>11.32874</v>
      </c>
      <c r="T257" s="2">
        <v>32.005465999999998</v>
      </c>
      <c r="U257" s="2">
        <v>13.493413</v>
      </c>
      <c r="V257" s="2">
        <v>19.973140000000001</v>
      </c>
      <c r="W257" s="2">
        <v>5.1534494999999998</v>
      </c>
      <c r="X257" s="2">
        <v>3.9046528</v>
      </c>
      <c r="Y257" s="2">
        <v>7.5885049999999996</v>
      </c>
      <c r="Z257" s="2">
        <v>2.1467170000000002</v>
      </c>
      <c r="AA257" s="2">
        <v>2.3915709999999999</v>
      </c>
      <c r="AB257" s="2">
        <v>1.4894369999999999</v>
      </c>
      <c r="AC257" s="2">
        <v>3.2848144000000001</v>
      </c>
      <c r="AD257" s="2">
        <v>1.5523769000000001</v>
      </c>
      <c r="AE257" s="2">
        <v>23.342345999999999</v>
      </c>
      <c r="AF257" s="2">
        <v>66.088390000000004</v>
      </c>
      <c r="AG257" s="2">
        <v>10.042145</v>
      </c>
      <c r="AH257" s="4">
        <f t="shared" si="4"/>
        <v>369.02740163999994</v>
      </c>
    </row>
    <row r="258" spans="1:34" x14ac:dyDescent="0.2">
      <c r="A258" s="3">
        <v>42063</v>
      </c>
      <c r="B258" s="2">
        <v>4.5881119999999997</v>
      </c>
      <c r="C258" s="2">
        <v>30.580991999999998</v>
      </c>
      <c r="D258" s="2">
        <v>7.4046500000000002</v>
      </c>
      <c r="E258" s="2">
        <v>30.215357000000001</v>
      </c>
      <c r="F258" s="2">
        <v>33.436478000000001</v>
      </c>
      <c r="G258" s="2">
        <v>47.718822000000003</v>
      </c>
      <c r="H258" s="2">
        <v>21.558088000000001</v>
      </c>
      <c r="I258" s="2">
        <v>44.560496999999998</v>
      </c>
      <c r="J258" s="2">
        <v>17.057959</v>
      </c>
      <c r="K258" s="2">
        <v>12.526263999999999</v>
      </c>
      <c r="L258" s="2">
        <v>7.0266209999999996</v>
      </c>
      <c r="M258" s="2">
        <v>8.1337050000000009</v>
      </c>
      <c r="N258" s="2">
        <v>33.63635</v>
      </c>
      <c r="O258" s="2">
        <v>20.544523000000002</v>
      </c>
      <c r="P258" s="2">
        <v>61.048664000000002</v>
      </c>
      <c r="Q258" s="2">
        <v>4.7908200000000001</v>
      </c>
      <c r="R258" s="2">
        <v>11.267072000000001</v>
      </c>
      <c r="S258" s="2">
        <v>17.324587000000001</v>
      </c>
      <c r="T258" s="2">
        <v>34.180542000000003</v>
      </c>
      <c r="U258" s="2">
        <v>11.950283000000001</v>
      </c>
      <c r="V258" s="2">
        <v>20.101960999999999</v>
      </c>
      <c r="W258" s="2">
        <v>0.75283926999999995</v>
      </c>
      <c r="X258" s="2">
        <v>1.8412892000000001</v>
      </c>
      <c r="Y258" s="2">
        <v>8.8222450000000006</v>
      </c>
      <c r="Z258" s="2">
        <v>0.51262949999999996</v>
      </c>
      <c r="AA258" s="2">
        <v>2.9628869999999998</v>
      </c>
      <c r="AB258" s="2">
        <v>1.7354423000000001</v>
      </c>
      <c r="AC258" s="2">
        <v>2.6544219999999998</v>
      </c>
      <c r="AD258" s="2">
        <v>1.7999951000000001</v>
      </c>
      <c r="AE258" s="2">
        <v>20.394915000000001</v>
      </c>
      <c r="AF258" s="2">
        <v>64.119439999999997</v>
      </c>
      <c r="AG258" s="2">
        <v>10.038527500000001</v>
      </c>
      <c r="AH258" s="4">
        <f t="shared" si="4"/>
        <v>479.65234700000008</v>
      </c>
    </row>
    <row r="259" spans="1:34" x14ac:dyDescent="0.2">
      <c r="A259" s="3">
        <v>42094</v>
      </c>
      <c r="B259" s="2">
        <v>4.4409175000000003</v>
      </c>
      <c r="C259" s="2">
        <v>27.95025</v>
      </c>
      <c r="D259" s="2">
        <v>-0.89230317000000003</v>
      </c>
      <c r="E259" s="2">
        <v>-12.536500999999999</v>
      </c>
      <c r="F259" s="2">
        <v>2.2373588</v>
      </c>
      <c r="G259" s="2">
        <v>16.084161999999999</v>
      </c>
      <c r="H259" s="2">
        <v>17.25958</v>
      </c>
      <c r="I259" s="2">
        <v>44.810516</v>
      </c>
      <c r="J259" s="2">
        <v>9.9879470000000001</v>
      </c>
      <c r="K259" s="2">
        <v>10.795514000000001</v>
      </c>
      <c r="L259" s="2">
        <v>4.9307699999999999</v>
      </c>
      <c r="M259" s="2">
        <v>6.7383547000000004</v>
      </c>
      <c r="N259" s="2">
        <v>37.722458000000003</v>
      </c>
      <c r="O259" s="2">
        <v>19.834633</v>
      </c>
      <c r="P259" s="2">
        <v>40.454790000000003</v>
      </c>
      <c r="Q259" s="2">
        <v>3.2732972999999999</v>
      </c>
      <c r="R259" s="2">
        <v>8.2416219999999996</v>
      </c>
      <c r="S259" s="2">
        <v>22.859746999999999</v>
      </c>
      <c r="T259" s="2">
        <v>42.528072000000002</v>
      </c>
      <c r="U259" s="2">
        <v>9.713222</v>
      </c>
      <c r="V259" s="2">
        <v>21.969223</v>
      </c>
      <c r="W259" s="2">
        <v>5.0876190000000002E-2</v>
      </c>
      <c r="X259" s="2">
        <v>2.1604562</v>
      </c>
      <c r="Y259" s="2">
        <v>10.598233</v>
      </c>
      <c r="Z259" s="2">
        <v>0.99883100000000002</v>
      </c>
      <c r="AA259" s="2">
        <v>3.6440549999999998</v>
      </c>
      <c r="AB259" s="2">
        <v>1.7894848999999999</v>
      </c>
      <c r="AC259" s="2">
        <v>3.7381310000000001</v>
      </c>
      <c r="AD259" s="2">
        <v>2.8608343999999999</v>
      </c>
      <c r="AE259" s="2">
        <v>18.612513</v>
      </c>
      <c r="AF259" s="2">
        <v>71.431754999999995</v>
      </c>
      <c r="AG259" s="2">
        <v>11.157178999999999</v>
      </c>
      <c r="AH259" s="4">
        <f t="shared" si="4"/>
        <v>338.40363012999995</v>
      </c>
    </row>
    <row r="260" spans="1:34" x14ac:dyDescent="0.2">
      <c r="A260" s="3">
        <v>42124</v>
      </c>
      <c r="B260" s="2">
        <v>4.4855640000000001</v>
      </c>
      <c r="C260" s="2">
        <v>26.016826999999999</v>
      </c>
      <c r="D260" s="2">
        <v>-1.5840240999999999</v>
      </c>
      <c r="E260" s="2">
        <v>-7.5410310000000003</v>
      </c>
      <c r="F260" s="2">
        <v>6.4054985000000002</v>
      </c>
      <c r="G260" s="2">
        <v>5.9028049999999999</v>
      </c>
      <c r="H260" s="2">
        <v>14.782432999999999</v>
      </c>
      <c r="I260" s="2">
        <v>42.781579999999998</v>
      </c>
      <c r="J260" s="2">
        <v>3.1276470000000001</v>
      </c>
      <c r="K260" s="2">
        <v>6.9477053</v>
      </c>
      <c r="L260" s="2">
        <v>-1.8350839999999999</v>
      </c>
      <c r="M260" s="2">
        <v>5.5270760000000001</v>
      </c>
      <c r="N260" s="2">
        <v>33.024605000000001</v>
      </c>
      <c r="O260" s="2">
        <v>20.492598000000001</v>
      </c>
      <c r="P260" s="2">
        <v>62.939261999999999</v>
      </c>
      <c r="Q260" s="2">
        <v>1.860158</v>
      </c>
      <c r="R260" s="2">
        <v>8.7966920000000002</v>
      </c>
      <c r="S260" s="2">
        <v>20.808239</v>
      </c>
      <c r="T260" s="2">
        <v>40.490112000000003</v>
      </c>
      <c r="U260" s="2">
        <v>11.656110999999999</v>
      </c>
      <c r="V260" s="2">
        <v>26.147397999999999</v>
      </c>
      <c r="W260" s="2">
        <v>6.7654850000000002E-2</v>
      </c>
      <c r="X260" s="2">
        <v>1.7821051000000001</v>
      </c>
      <c r="Y260" s="2">
        <v>12.670717</v>
      </c>
      <c r="Z260" s="2">
        <v>-0.15740556</v>
      </c>
      <c r="AA260" s="2">
        <v>3.5833689999999998</v>
      </c>
      <c r="AB260" s="2">
        <v>2.6449733000000002</v>
      </c>
      <c r="AC260" s="2">
        <v>4.3725652999999998</v>
      </c>
      <c r="AD260" s="2">
        <v>4.7403215999999997</v>
      </c>
      <c r="AE260" s="2">
        <v>9.6211450000000003</v>
      </c>
      <c r="AF260" s="2">
        <v>83.372029999999995</v>
      </c>
      <c r="AG260" s="2">
        <v>14.39724</v>
      </c>
      <c r="AH260" s="4">
        <f t="shared" si="4"/>
        <v>331.23217170000004</v>
      </c>
    </row>
    <row r="261" spans="1:34" x14ac:dyDescent="0.2">
      <c r="A261" s="3">
        <v>42155</v>
      </c>
      <c r="B261" s="2">
        <v>6.5556599999999996</v>
      </c>
      <c r="C261" s="2">
        <v>25.804148000000001</v>
      </c>
      <c r="D261" s="2">
        <v>-7.9811816000000002</v>
      </c>
      <c r="E261" s="2">
        <v>-19.408397999999998</v>
      </c>
      <c r="F261" s="2">
        <v>-5.8724065000000003</v>
      </c>
      <c r="G261" s="2">
        <v>-2.9982407000000002</v>
      </c>
      <c r="H261" s="2">
        <v>14.652269</v>
      </c>
      <c r="I261" s="2">
        <v>43.674773999999999</v>
      </c>
      <c r="J261" s="2">
        <v>-9.9037019999999991</v>
      </c>
      <c r="K261" s="2">
        <v>3.0127649999999999</v>
      </c>
      <c r="L261" s="2">
        <v>-7.5931892000000003</v>
      </c>
      <c r="M261" s="2">
        <v>2.4421778000000001</v>
      </c>
      <c r="N261" s="2">
        <v>33.208477000000002</v>
      </c>
      <c r="O261" s="2">
        <v>21.857544000000001</v>
      </c>
      <c r="P261" s="2">
        <v>47.102269999999997</v>
      </c>
      <c r="Q261" s="2">
        <v>3.9622304000000002</v>
      </c>
      <c r="R261" s="2">
        <v>9.5548190000000002</v>
      </c>
      <c r="S261" s="2">
        <v>12.678976</v>
      </c>
      <c r="T261" s="2">
        <v>33.051388000000003</v>
      </c>
      <c r="U261" s="2">
        <v>12.790763999999999</v>
      </c>
      <c r="V261" s="2">
        <v>23.991869999999999</v>
      </c>
      <c r="W261" s="2">
        <v>4.1710779999999996</v>
      </c>
      <c r="X261" s="2">
        <v>-1.2961449E-2</v>
      </c>
      <c r="Y261" s="2">
        <v>15.432399999999999</v>
      </c>
      <c r="Z261" s="2">
        <v>1.4531398</v>
      </c>
      <c r="AA261" s="2">
        <v>3.6259925000000002</v>
      </c>
      <c r="AB261" s="2">
        <v>2.0438730000000001</v>
      </c>
      <c r="AC261" s="2">
        <v>3.8823793000000002</v>
      </c>
      <c r="AD261" s="2">
        <v>7.5110125999999999</v>
      </c>
      <c r="AE261" s="2">
        <v>1.9335859</v>
      </c>
      <c r="AF261" s="2">
        <v>96.002464000000003</v>
      </c>
      <c r="AG261" s="2">
        <v>18.140663</v>
      </c>
      <c r="AH261" s="4">
        <f t="shared" si="4"/>
        <v>240.58301420000004</v>
      </c>
    </row>
    <row r="262" spans="1:34" x14ac:dyDescent="0.2">
      <c r="A262" s="3">
        <v>42185</v>
      </c>
      <c r="B262" s="2">
        <v>6.7667675000000003</v>
      </c>
      <c r="C262" s="2">
        <v>25.754818</v>
      </c>
      <c r="D262" s="2">
        <v>-3.6819858999999999</v>
      </c>
      <c r="E262" s="2">
        <v>-4.9480000000000004</v>
      </c>
      <c r="F262" s="2">
        <v>10.701097000000001</v>
      </c>
      <c r="G262" s="2">
        <v>9.5888939999999998</v>
      </c>
      <c r="H262" s="2">
        <v>15.3636465</v>
      </c>
      <c r="I262" s="2">
        <v>43.084102999999999</v>
      </c>
      <c r="J262" s="2">
        <v>1.9037972999999999</v>
      </c>
      <c r="K262" s="2">
        <v>6.8288812999999999</v>
      </c>
      <c r="L262" s="2">
        <v>1.0886608</v>
      </c>
      <c r="M262" s="2">
        <v>3.1699115999999998</v>
      </c>
      <c r="N262" s="2">
        <v>33.310295000000004</v>
      </c>
      <c r="O262" s="2">
        <v>21.082787</v>
      </c>
      <c r="P262" s="2">
        <v>54.258353999999997</v>
      </c>
      <c r="Q262" s="2">
        <v>4.9367565999999998</v>
      </c>
      <c r="R262" s="2">
        <v>12.274782</v>
      </c>
      <c r="S262" s="2">
        <v>15.958132000000001</v>
      </c>
      <c r="T262" s="2">
        <v>29.575420000000001</v>
      </c>
      <c r="U262" s="2">
        <v>15.048892</v>
      </c>
      <c r="V262" s="2">
        <v>31.376892000000002</v>
      </c>
      <c r="W262" s="2">
        <v>16.234439999999999</v>
      </c>
      <c r="X262" s="2">
        <v>-1.4044559999999999</v>
      </c>
      <c r="Y262" s="2">
        <v>15.579559</v>
      </c>
      <c r="Z262" s="2">
        <v>0.99230593</v>
      </c>
      <c r="AA262" s="2">
        <v>5.8604244999999997</v>
      </c>
      <c r="AB262" s="2">
        <v>1.9099090000000001</v>
      </c>
      <c r="AC262" s="2">
        <v>3.8906109999999998</v>
      </c>
      <c r="AD262" s="2">
        <v>10.76191</v>
      </c>
      <c r="AE262" s="2">
        <v>0.62689760000000005</v>
      </c>
      <c r="AF262" s="2">
        <v>100.75329000000001</v>
      </c>
      <c r="AG262" s="2">
        <v>22.980153999999999</v>
      </c>
      <c r="AH262" s="4">
        <f t="shared" si="4"/>
        <v>333.44290169999999</v>
      </c>
    </row>
    <row r="263" spans="1:34" x14ac:dyDescent="0.2">
      <c r="A263" s="3">
        <v>42216</v>
      </c>
      <c r="B263" s="2">
        <v>7.0730686</v>
      </c>
      <c r="C263" s="2">
        <v>25.34995</v>
      </c>
      <c r="D263" s="2">
        <v>-2.8077811000000001E-2</v>
      </c>
      <c r="E263" s="2">
        <v>0.21932545000000001</v>
      </c>
      <c r="F263" s="2">
        <v>21.46649</v>
      </c>
      <c r="G263" s="2">
        <v>17.705772</v>
      </c>
      <c r="H263" s="2">
        <v>16.183420000000002</v>
      </c>
      <c r="I263" s="2">
        <v>43.884483000000003</v>
      </c>
      <c r="J263" s="2">
        <v>6.6110252999999997</v>
      </c>
      <c r="K263" s="2">
        <v>13.842896</v>
      </c>
      <c r="L263" s="2">
        <v>6.5990859999999998</v>
      </c>
      <c r="M263" s="2">
        <v>6.9079920000000001</v>
      </c>
      <c r="N263" s="2">
        <v>39.300490000000003</v>
      </c>
      <c r="O263" s="2">
        <v>23.613337999999999</v>
      </c>
      <c r="P263" s="2">
        <v>67.641750000000002</v>
      </c>
      <c r="Q263" s="2">
        <v>4.2184249999999999</v>
      </c>
      <c r="R263" s="2">
        <v>11.440443999999999</v>
      </c>
      <c r="S263" s="2">
        <v>20.8079</v>
      </c>
      <c r="T263" s="2">
        <v>28.631498000000001</v>
      </c>
      <c r="U263" s="2">
        <v>15.007833</v>
      </c>
      <c r="V263" s="2">
        <v>35.71528</v>
      </c>
      <c r="W263" s="2">
        <v>27.233076000000001</v>
      </c>
      <c r="X263" s="2">
        <v>-3.7381806000000002</v>
      </c>
      <c r="Y263" s="2">
        <v>13.838984999999999</v>
      </c>
      <c r="Z263" s="2">
        <v>2.3989820000000002</v>
      </c>
      <c r="AA263" s="2">
        <v>6.2416619999999998</v>
      </c>
      <c r="AB263" s="2">
        <v>1.7585602</v>
      </c>
      <c r="AC263" s="2">
        <v>3.9535505999999998</v>
      </c>
      <c r="AD263" s="2">
        <v>10.76313</v>
      </c>
      <c r="AE263" s="2">
        <v>-0.55493340000000002</v>
      </c>
      <c r="AF263" s="2">
        <v>106.040375</v>
      </c>
      <c r="AG263" s="2">
        <v>25.030031000000001</v>
      </c>
      <c r="AH263" s="4">
        <f t="shared" si="4"/>
        <v>412.19238853900009</v>
      </c>
    </row>
    <row r="264" spans="1:34" x14ac:dyDescent="0.2">
      <c r="A264" s="3">
        <v>42247</v>
      </c>
      <c r="B264" s="2">
        <v>5.4471239999999996</v>
      </c>
      <c r="C264" s="2">
        <v>23.737525999999999</v>
      </c>
      <c r="D264" s="2">
        <v>-5.6034154999999997</v>
      </c>
      <c r="E264" s="2">
        <v>-21.65269</v>
      </c>
      <c r="F264" s="2">
        <v>-3.5900957999999998</v>
      </c>
      <c r="G264" s="2">
        <v>-0.10097844</v>
      </c>
      <c r="H264" s="2">
        <v>13.927235</v>
      </c>
      <c r="I264" s="2">
        <v>41.085182000000003</v>
      </c>
      <c r="J264" s="2">
        <v>0.34689265000000002</v>
      </c>
      <c r="K264" s="2">
        <v>1.7860304</v>
      </c>
      <c r="L264" s="2">
        <v>0.43238496999999998</v>
      </c>
      <c r="M264" s="2">
        <v>1.2674099999999999</v>
      </c>
      <c r="N264" s="2">
        <v>29.119492000000001</v>
      </c>
      <c r="O264" s="2">
        <v>24.675352</v>
      </c>
      <c r="P264" s="2">
        <v>56.350166000000002</v>
      </c>
      <c r="Q264" s="2">
        <v>3.8660356999999999</v>
      </c>
      <c r="R264" s="2">
        <v>12.566288</v>
      </c>
      <c r="S264" s="2">
        <v>14.220401000000001</v>
      </c>
      <c r="T264" s="2">
        <v>29.788381999999999</v>
      </c>
      <c r="U264" s="2">
        <v>12.902353</v>
      </c>
      <c r="V264" s="2">
        <v>37.436954</v>
      </c>
      <c r="W264" s="2">
        <v>31.38353</v>
      </c>
      <c r="X264" s="2">
        <v>-3.6419950000000001</v>
      </c>
      <c r="Y264" s="2">
        <v>13.219364000000001</v>
      </c>
      <c r="Z264" s="2">
        <v>4.1513660000000003</v>
      </c>
      <c r="AA264" s="2">
        <v>4.0330405000000003</v>
      </c>
      <c r="AB264" s="2">
        <v>1.2764911999999999</v>
      </c>
      <c r="AC264" s="2">
        <v>3.5743963999999999</v>
      </c>
      <c r="AD264" s="2">
        <v>7.8697214000000004</v>
      </c>
      <c r="AE264" s="2">
        <v>-0.7258</v>
      </c>
      <c r="AF264" s="2">
        <v>108.881226</v>
      </c>
      <c r="AG264" s="2">
        <v>23.997648000000002</v>
      </c>
      <c r="AH264" s="4">
        <f t="shared" si="4"/>
        <v>278.00802898000001</v>
      </c>
    </row>
    <row r="265" spans="1:34" x14ac:dyDescent="0.2">
      <c r="A265" s="3">
        <v>42277</v>
      </c>
      <c r="B265" s="2">
        <v>4.1528910000000003</v>
      </c>
      <c r="C265" s="2">
        <v>24.083856999999998</v>
      </c>
      <c r="D265" s="2">
        <v>-2.1370214999999999</v>
      </c>
      <c r="E265" s="2">
        <v>-6.6421229999999998</v>
      </c>
      <c r="F265" s="2">
        <v>12.748625000000001</v>
      </c>
      <c r="G265" s="2">
        <v>12.636341</v>
      </c>
      <c r="H265" s="2">
        <v>14.666788</v>
      </c>
      <c r="I265" s="2">
        <v>40.61027</v>
      </c>
      <c r="J265" s="2">
        <v>11.099235</v>
      </c>
      <c r="K265" s="2">
        <v>5.3440760000000003</v>
      </c>
      <c r="L265" s="2">
        <v>3.7529880000000002</v>
      </c>
      <c r="M265" s="2">
        <v>4.6269926999999997</v>
      </c>
      <c r="N265" s="2">
        <v>32.202503</v>
      </c>
      <c r="O265" s="2">
        <v>23.792542000000001</v>
      </c>
      <c r="P265" s="2">
        <v>45.397747000000003</v>
      </c>
      <c r="Q265" s="2">
        <v>4.1769356999999996</v>
      </c>
      <c r="R265" s="2">
        <v>10.986903</v>
      </c>
      <c r="S265" s="2">
        <v>16.721708</v>
      </c>
      <c r="T265" s="2">
        <v>29.353224000000001</v>
      </c>
      <c r="U265" s="2">
        <v>13.457046999999999</v>
      </c>
      <c r="V265" s="2">
        <v>34.510959999999997</v>
      </c>
      <c r="W265" s="2">
        <v>26.476078000000001</v>
      </c>
      <c r="X265" s="2">
        <v>-5.2409678</v>
      </c>
      <c r="Y265" s="2">
        <v>12.40329</v>
      </c>
      <c r="Z265" s="2">
        <v>5.4435969999999996</v>
      </c>
      <c r="AA265" s="2">
        <v>4.6228829999999999</v>
      </c>
      <c r="AB265" s="2">
        <v>1.9670106999999999</v>
      </c>
      <c r="AC265" s="2">
        <v>3.9156723000000002</v>
      </c>
      <c r="AD265" s="2">
        <v>4.991797</v>
      </c>
      <c r="AE265" s="2">
        <v>1.4791558</v>
      </c>
      <c r="AF265" s="2">
        <v>97.821100000000001</v>
      </c>
      <c r="AG265" s="2">
        <v>20.237819999999999</v>
      </c>
      <c r="AH265" s="4">
        <f t="shared" si="4"/>
        <v>335.54248890000002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35B6-DA07-3641-B1C7-9FC895628982}">
  <dimension ref="A1:AG1129"/>
  <sheetViews>
    <sheetView workbookViewId="0">
      <pane xSplit="1" topLeftCell="B1" activePane="topRight" state="frozen"/>
      <selection activeCell="A968" sqref="A968"/>
      <selection pane="topRight" activeCell="AI873" sqref="AI873"/>
    </sheetView>
  </sheetViews>
  <sheetFormatPr baseColWidth="10" defaultRowHeight="16" x14ac:dyDescent="0.2"/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3">
        <v>7975</v>
      </c>
      <c r="B2" s="2">
        <v>96.63</v>
      </c>
      <c r="C2" s="2">
        <v>141.13999999999999</v>
      </c>
      <c r="D2" s="2">
        <v>71.89</v>
      </c>
      <c r="E2" s="2">
        <v>-29.14</v>
      </c>
      <c r="F2" s="2">
        <v>22.14</v>
      </c>
      <c r="G2" s="2">
        <v>69.150000000000006</v>
      </c>
      <c r="H2" s="2">
        <v>10.92</v>
      </c>
      <c r="I2" s="2">
        <v>38.700000000000003</v>
      </c>
      <c r="J2" s="2">
        <v>-31.37</v>
      </c>
      <c r="K2" s="2">
        <v>10.34</v>
      </c>
      <c r="L2" s="2">
        <v>22.78</v>
      </c>
      <c r="M2" s="2">
        <v>-5.47</v>
      </c>
      <c r="N2" s="2">
        <v>0.99</v>
      </c>
      <c r="O2" s="2">
        <v>66.930000000000007</v>
      </c>
      <c r="P2" s="2">
        <v>-556.22</v>
      </c>
      <c r="Q2" s="2">
        <v>77.7</v>
      </c>
      <c r="R2" s="2">
        <v>20.04</v>
      </c>
      <c r="S2" s="2">
        <v>15.17</v>
      </c>
      <c r="T2" s="2">
        <v>171.53</v>
      </c>
      <c r="U2" s="2">
        <v>32</v>
      </c>
      <c r="V2" s="2">
        <v>165.45</v>
      </c>
      <c r="W2" s="2">
        <v>22.19</v>
      </c>
      <c r="X2" s="2">
        <v>11.19</v>
      </c>
      <c r="Y2" s="2">
        <v>11.03</v>
      </c>
      <c r="Z2" s="2">
        <v>0</v>
      </c>
      <c r="AA2" s="2">
        <v>0.86</v>
      </c>
      <c r="AB2" s="2">
        <v>2.39</v>
      </c>
      <c r="AC2" s="2">
        <v>0</v>
      </c>
      <c r="AD2" s="2">
        <v>3.86</v>
      </c>
      <c r="AE2" s="2">
        <v>9.8699999999999992</v>
      </c>
      <c r="AF2" s="2">
        <v>65.81</v>
      </c>
      <c r="AG2" s="2">
        <v>16.420000000000002</v>
      </c>
    </row>
    <row r="3" spans="1:33" x14ac:dyDescent="0.2">
      <c r="A3" s="3">
        <v>8005</v>
      </c>
      <c r="B3" s="2">
        <v>56.45</v>
      </c>
      <c r="C3" s="2">
        <v>76.47</v>
      </c>
      <c r="D3" s="2">
        <v>46.97</v>
      </c>
      <c r="E3" s="2">
        <v>-0.41</v>
      </c>
      <c r="F3" s="2">
        <v>22.28</v>
      </c>
      <c r="G3" s="2">
        <v>33.700000000000003</v>
      </c>
      <c r="H3" s="2">
        <v>5.68</v>
      </c>
      <c r="I3" s="2">
        <v>24.58</v>
      </c>
      <c r="J3" s="2">
        <v>-9.85</v>
      </c>
      <c r="K3" s="2">
        <v>12.66</v>
      </c>
      <c r="L3" s="2">
        <v>8.14</v>
      </c>
      <c r="M3" s="2">
        <v>-3.55</v>
      </c>
      <c r="N3" s="2">
        <v>4.96</v>
      </c>
      <c r="O3" s="2">
        <v>47.21</v>
      </c>
      <c r="P3" s="2">
        <v>10.38</v>
      </c>
      <c r="Q3" s="2">
        <v>46.4</v>
      </c>
      <c r="R3" s="2">
        <v>12.34</v>
      </c>
      <c r="S3" s="2">
        <v>8.17</v>
      </c>
      <c r="T3" s="2">
        <v>113.43</v>
      </c>
      <c r="U3" s="2">
        <v>22.47</v>
      </c>
      <c r="V3" s="2">
        <v>116.13</v>
      </c>
      <c r="W3" s="2">
        <v>15.43</v>
      </c>
      <c r="X3" s="2">
        <v>10.57</v>
      </c>
      <c r="Y3" s="2">
        <v>9.36</v>
      </c>
      <c r="Z3" s="2">
        <v>0</v>
      </c>
      <c r="AA3" s="2">
        <v>0.56999999999999995</v>
      </c>
      <c r="AB3" s="2">
        <v>0</v>
      </c>
      <c r="AC3" s="2">
        <v>5.41</v>
      </c>
      <c r="AD3" s="2">
        <v>2.88</v>
      </c>
      <c r="AE3" s="2">
        <v>16.89</v>
      </c>
      <c r="AF3" s="2">
        <v>60.46</v>
      </c>
      <c r="AG3" s="2">
        <v>12.92</v>
      </c>
    </row>
    <row r="4" spans="1:33" x14ac:dyDescent="0.2">
      <c r="A4" s="3">
        <v>8036</v>
      </c>
      <c r="B4" s="2">
        <v>39.840000000000003</v>
      </c>
      <c r="C4" s="2">
        <v>58.81</v>
      </c>
      <c r="D4" s="2">
        <v>58.29</v>
      </c>
      <c r="E4" s="2">
        <v>69.069999999999993</v>
      </c>
      <c r="F4" s="2">
        <v>59.74</v>
      </c>
      <c r="G4" s="2">
        <v>78.23</v>
      </c>
      <c r="H4" s="2">
        <v>20.61</v>
      </c>
      <c r="I4" s="2">
        <v>32.840000000000003</v>
      </c>
      <c r="J4" s="2">
        <v>86.65</v>
      </c>
      <c r="K4" s="2">
        <v>80.040000000000006</v>
      </c>
      <c r="L4" s="2">
        <v>43.85</v>
      </c>
      <c r="M4" s="2">
        <v>41.6</v>
      </c>
      <c r="N4" s="2">
        <v>62.59</v>
      </c>
      <c r="O4" s="2">
        <v>38.57</v>
      </c>
      <c r="P4" s="2">
        <v>91.45</v>
      </c>
      <c r="Q4" s="2">
        <v>34.729999999999997</v>
      </c>
      <c r="R4" s="2">
        <v>12.91</v>
      </c>
      <c r="S4" s="2">
        <v>64.930000000000007</v>
      </c>
      <c r="T4" s="2">
        <v>101.53</v>
      </c>
      <c r="U4" s="2">
        <v>19.8</v>
      </c>
      <c r="V4" s="2">
        <v>86.89</v>
      </c>
      <c r="W4" s="2">
        <v>11.73</v>
      </c>
      <c r="X4" s="2">
        <v>12.26</v>
      </c>
      <c r="Y4" s="2">
        <v>12.27</v>
      </c>
      <c r="Z4" s="2">
        <v>29.79</v>
      </c>
      <c r="AA4" s="2">
        <v>49.32</v>
      </c>
      <c r="AB4" s="2">
        <v>8.18</v>
      </c>
      <c r="AC4" s="2">
        <v>6.02</v>
      </c>
      <c r="AD4" s="2">
        <v>2.97</v>
      </c>
      <c r="AE4" s="2">
        <v>15.73</v>
      </c>
      <c r="AF4" s="2">
        <v>69.56</v>
      </c>
      <c r="AG4" s="2">
        <v>11.2</v>
      </c>
    </row>
    <row r="5" spans="1:33" x14ac:dyDescent="0.2">
      <c r="A5" s="3">
        <v>8067</v>
      </c>
      <c r="B5" s="2">
        <v>28.79</v>
      </c>
      <c r="C5" s="2">
        <v>39.56</v>
      </c>
      <c r="D5" s="2">
        <v>23.07</v>
      </c>
      <c r="E5" s="2">
        <v>2.46</v>
      </c>
      <c r="F5" s="2">
        <v>4.95</v>
      </c>
      <c r="G5" s="2">
        <v>16.510000000000002</v>
      </c>
      <c r="H5" s="2">
        <v>3.76</v>
      </c>
      <c r="I5" s="2">
        <v>23.95</v>
      </c>
      <c r="J5" s="2">
        <v>35.68</v>
      </c>
      <c r="K5" s="2">
        <v>1.02</v>
      </c>
      <c r="L5" s="2">
        <v>22.49</v>
      </c>
      <c r="M5" s="2">
        <v>5.19</v>
      </c>
      <c r="N5" s="2">
        <v>19.64</v>
      </c>
      <c r="O5" s="2">
        <v>31.9</v>
      </c>
      <c r="P5" s="2">
        <v>54.75</v>
      </c>
      <c r="Q5" s="2">
        <v>25.4</v>
      </c>
      <c r="R5" s="2">
        <v>14.51</v>
      </c>
      <c r="S5" s="2">
        <v>34.69</v>
      </c>
      <c r="T5" s="2">
        <v>79.209999999999994</v>
      </c>
      <c r="U5" s="2">
        <v>17.98</v>
      </c>
      <c r="V5" s="2">
        <v>69.42</v>
      </c>
      <c r="W5" s="2">
        <v>4.26</v>
      </c>
      <c r="X5" s="2">
        <v>9.3800000000000008</v>
      </c>
      <c r="Y5" s="2">
        <v>8.18</v>
      </c>
      <c r="Z5" s="2">
        <v>8.75</v>
      </c>
      <c r="AA5" s="2">
        <v>15.77</v>
      </c>
      <c r="AB5" s="2">
        <v>6.18</v>
      </c>
      <c r="AC5" s="2">
        <v>16.29</v>
      </c>
      <c r="AD5" s="2">
        <v>3.06</v>
      </c>
      <c r="AE5" s="2">
        <v>36.36</v>
      </c>
      <c r="AF5" s="2">
        <v>71.25</v>
      </c>
      <c r="AG5" s="2">
        <v>9.8800000000000008</v>
      </c>
    </row>
    <row r="6" spans="1:33" x14ac:dyDescent="0.2">
      <c r="A6" s="3">
        <v>8095</v>
      </c>
      <c r="B6" s="2">
        <v>27.07</v>
      </c>
      <c r="C6" s="2">
        <v>47.48</v>
      </c>
      <c r="D6" s="2">
        <v>51.65</v>
      </c>
      <c r="E6" s="2">
        <v>83.15</v>
      </c>
      <c r="F6" s="2">
        <v>90.46</v>
      </c>
      <c r="G6" s="2">
        <v>124.31</v>
      </c>
      <c r="H6" s="2">
        <v>34.18</v>
      </c>
      <c r="I6" s="2">
        <v>54.4</v>
      </c>
      <c r="J6" s="2">
        <v>110.52</v>
      </c>
      <c r="K6" s="2">
        <v>59.97</v>
      </c>
      <c r="L6" s="2">
        <v>67.77</v>
      </c>
      <c r="M6" s="2">
        <v>43.37</v>
      </c>
      <c r="N6" s="2">
        <v>83.14</v>
      </c>
      <c r="O6" s="2">
        <v>28.56</v>
      </c>
      <c r="P6" s="2">
        <v>70.680000000000007</v>
      </c>
      <c r="Q6" s="2">
        <v>23.66</v>
      </c>
      <c r="R6" s="2">
        <v>18.96</v>
      </c>
      <c r="S6" s="2">
        <v>43.74</v>
      </c>
      <c r="T6" s="2">
        <v>73.8</v>
      </c>
      <c r="U6" s="2">
        <v>17.03</v>
      </c>
      <c r="V6" s="2">
        <v>58.68</v>
      </c>
      <c r="W6" s="2">
        <v>0</v>
      </c>
      <c r="X6" s="2">
        <v>2.96</v>
      </c>
      <c r="Y6" s="2">
        <v>3.21</v>
      </c>
      <c r="Z6" s="2">
        <v>0</v>
      </c>
      <c r="AA6" s="2">
        <v>3.01</v>
      </c>
      <c r="AB6" s="2">
        <v>5.95</v>
      </c>
      <c r="AC6" s="2">
        <v>8.67</v>
      </c>
      <c r="AD6" s="2">
        <v>3.49</v>
      </c>
      <c r="AE6" s="2">
        <v>36.76</v>
      </c>
      <c r="AF6" s="2">
        <v>59.39</v>
      </c>
      <c r="AG6" s="2">
        <v>10.08</v>
      </c>
    </row>
    <row r="7" spans="1:33" x14ac:dyDescent="0.2">
      <c r="A7" s="3">
        <v>8126</v>
      </c>
      <c r="B7" s="2">
        <v>22.1</v>
      </c>
      <c r="C7" s="2">
        <v>28.79</v>
      </c>
      <c r="D7" s="2">
        <v>9.16</v>
      </c>
      <c r="E7" s="2">
        <v>0.76</v>
      </c>
      <c r="F7" s="2">
        <v>12.14</v>
      </c>
      <c r="G7" s="2">
        <v>-6.78</v>
      </c>
      <c r="H7" s="2">
        <v>9.58</v>
      </c>
      <c r="I7" s="2">
        <v>29.03</v>
      </c>
      <c r="J7" s="2">
        <v>7.08</v>
      </c>
      <c r="K7" s="2">
        <v>-5.24</v>
      </c>
      <c r="L7" s="2">
        <v>8.86</v>
      </c>
      <c r="M7" s="2">
        <v>2.11</v>
      </c>
      <c r="N7" s="2">
        <v>26.09</v>
      </c>
      <c r="O7" s="2">
        <v>26.61</v>
      </c>
      <c r="P7" s="2">
        <v>73.42</v>
      </c>
      <c r="Q7" s="2">
        <v>21.49</v>
      </c>
      <c r="R7" s="2">
        <v>13.49</v>
      </c>
      <c r="S7" s="2">
        <v>40.11</v>
      </c>
      <c r="T7" s="2">
        <v>60.06</v>
      </c>
      <c r="U7" s="2">
        <v>15.03</v>
      </c>
      <c r="V7" s="2">
        <v>62.06</v>
      </c>
      <c r="W7" s="2">
        <v>0</v>
      </c>
      <c r="X7" s="2">
        <v>3.79</v>
      </c>
      <c r="Y7" s="2">
        <v>2.94</v>
      </c>
      <c r="Z7" s="2">
        <v>0.96</v>
      </c>
      <c r="AA7" s="2">
        <v>3.15</v>
      </c>
      <c r="AB7" s="2">
        <v>0.56000000000000005</v>
      </c>
      <c r="AC7" s="2">
        <v>15.69</v>
      </c>
      <c r="AD7" s="2">
        <v>5.27</v>
      </c>
      <c r="AE7" s="2">
        <v>22.68</v>
      </c>
      <c r="AF7" s="2">
        <v>70.09</v>
      </c>
      <c r="AG7" s="2">
        <v>10.69</v>
      </c>
    </row>
    <row r="8" spans="1:33" x14ac:dyDescent="0.2">
      <c r="A8" s="3">
        <v>8156</v>
      </c>
      <c r="B8" s="2">
        <v>18.88</v>
      </c>
      <c r="C8" s="2">
        <v>21.65</v>
      </c>
      <c r="D8" s="2">
        <v>22.2</v>
      </c>
      <c r="E8" s="2">
        <v>15.15</v>
      </c>
      <c r="F8" s="2">
        <v>54.46</v>
      </c>
      <c r="G8" s="2">
        <v>0.86</v>
      </c>
      <c r="H8" s="2">
        <v>15.23</v>
      </c>
      <c r="I8" s="2">
        <v>29.79</v>
      </c>
      <c r="J8" s="2">
        <v>13.49</v>
      </c>
      <c r="K8" s="2">
        <v>9.31</v>
      </c>
      <c r="L8" s="2">
        <v>20.87</v>
      </c>
      <c r="M8" s="2">
        <v>10.46</v>
      </c>
      <c r="N8" s="2">
        <v>25.77</v>
      </c>
      <c r="O8" s="2">
        <v>24.76</v>
      </c>
      <c r="P8" s="2">
        <v>72.849999999999994</v>
      </c>
      <c r="Q8" s="2">
        <v>18.11</v>
      </c>
      <c r="R8" s="2">
        <v>12.78</v>
      </c>
      <c r="S8" s="2">
        <v>16.71</v>
      </c>
      <c r="T8" s="2">
        <v>51.46</v>
      </c>
      <c r="U8" s="2">
        <v>16.760000000000002</v>
      </c>
      <c r="V8" s="2">
        <v>52.24</v>
      </c>
      <c r="W8" s="2">
        <v>0</v>
      </c>
      <c r="X8" s="2">
        <v>4.59</v>
      </c>
      <c r="Y8" s="2">
        <v>4.09</v>
      </c>
      <c r="Z8" s="2">
        <v>0</v>
      </c>
      <c r="AA8" s="2">
        <v>0</v>
      </c>
      <c r="AB8" s="2">
        <v>0.22</v>
      </c>
      <c r="AC8" s="2">
        <v>5.46</v>
      </c>
      <c r="AD8" s="2">
        <v>6</v>
      </c>
      <c r="AE8" s="2">
        <v>9.84</v>
      </c>
      <c r="AF8" s="2">
        <v>86.72</v>
      </c>
      <c r="AG8" s="2">
        <v>14.64</v>
      </c>
    </row>
    <row r="9" spans="1:33" x14ac:dyDescent="0.2">
      <c r="A9" s="3">
        <v>8187</v>
      </c>
      <c r="B9" s="2">
        <v>13.53</v>
      </c>
      <c r="C9" s="2">
        <v>17.37</v>
      </c>
      <c r="D9" s="2">
        <v>10.83</v>
      </c>
      <c r="E9" s="2">
        <v>3.4</v>
      </c>
      <c r="F9" s="2">
        <v>82.39</v>
      </c>
      <c r="G9" s="2">
        <v>-1.22</v>
      </c>
      <c r="H9" s="2">
        <v>24.18</v>
      </c>
      <c r="I9" s="2">
        <v>34.21</v>
      </c>
      <c r="J9" s="2">
        <v>71.22</v>
      </c>
      <c r="K9" s="2">
        <v>108.28</v>
      </c>
      <c r="L9" s="2">
        <v>117.71</v>
      </c>
      <c r="M9" s="2">
        <v>94.72</v>
      </c>
      <c r="N9" s="2">
        <v>88.52</v>
      </c>
      <c r="O9" s="2">
        <v>50.12</v>
      </c>
      <c r="P9" s="2">
        <v>247.29</v>
      </c>
      <c r="Q9" s="2">
        <v>23.07</v>
      </c>
      <c r="R9" s="2">
        <v>12.76</v>
      </c>
      <c r="S9" s="2">
        <v>56.92</v>
      </c>
      <c r="T9" s="2">
        <v>75.760000000000005</v>
      </c>
      <c r="U9" s="2">
        <v>15.38</v>
      </c>
      <c r="V9" s="2">
        <v>59.34</v>
      </c>
      <c r="W9" s="2">
        <v>4.88</v>
      </c>
      <c r="X9" s="2">
        <v>7.54</v>
      </c>
      <c r="Y9" s="2">
        <v>6.36</v>
      </c>
      <c r="Z9" s="2">
        <v>0</v>
      </c>
      <c r="AA9" s="2">
        <v>0</v>
      </c>
      <c r="AB9" s="2">
        <v>0</v>
      </c>
      <c r="AC9" s="2">
        <v>0</v>
      </c>
      <c r="AD9" s="2">
        <v>7.67</v>
      </c>
      <c r="AE9" s="2">
        <v>2.94</v>
      </c>
      <c r="AF9" s="2">
        <v>97.94</v>
      </c>
      <c r="AG9" s="2">
        <v>17.690000000000001</v>
      </c>
    </row>
    <row r="10" spans="1:33" x14ac:dyDescent="0.2">
      <c r="A10" s="3">
        <v>8217</v>
      </c>
      <c r="B10" s="2">
        <v>6.33</v>
      </c>
      <c r="C10" s="2">
        <v>9.9600000000000009</v>
      </c>
      <c r="D10" s="2">
        <v>0.7</v>
      </c>
      <c r="E10" s="2">
        <v>-53.63</v>
      </c>
      <c r="F10" s="2">
        <v>-66.2</v>
      </c>
      <c r="G10" s="2">
        <v>-29.38</v>
      </c>
      <c r="H10" s="2">
        <v>-4.54</v>
      </c>
      <c r="I10" s="2">
        <v>25.05</v>
      </c>
      <c r="J10" s="2">
        <v>18.52</v>
      </c>
      <c r="K10" s="2">
        <v>22.37</v>
      </c>
      <c r="L10" s="2">
        <v>31.41</v>
      </c>
      <c r="M10" s="2">
        <v>40.47</v>
      </c>
      <c r="N10" s="2">
        <v>50.21</v>
      </c>
      <c r="O10" s="2">
        <v>71.17</v>
      </c>
      <c r="P10" s="2">
        <v>214.06</v>
      </c>
      <c r="Q10" s="2">
        <v>24.47</v>
      </c>
      <c r="R10" s="2">
        <v>18.16</v>
      </c>
      <c r="S10" s="2">
        <v>50.94</v>
      </c>
      <c r="T10" s="2">
        <v>62.82</v>
      </c>
      <c r="U10" s="2">
        <v>10.19</v>
      </c>
      <c r="V10" s="2">
        <v>58.25</v>
      </c>
      <c r="W10" s="2">
        <v>18.62</v>
      </c>
      <c r="X10" s="2">
        <v>12.84</v>
      </c>
      <c r="Y10" s="2">
        <v>12.41</v>
      </c>
      <c r="Z10" s="2">
        <v>0</v>
      </c>
      <c r="AA10" s="2">
        <v>0</v>
      </c>
      <c r="AB10" s="2">
        <v>0</v>
      </c>
      <c r="AC10" s="2">
        <v>0</v>
      </c>
      <c r="AD10" s="2">
        <v>7.25</v>
      </c>
      <c r="AE10" s="2">
        <v>0.33</v>
      </c>
      <c r="AF10" s="2">
        <v>107.19</v>
      </c>
      <c r="AG10" s="2">
        <v>22.83</v>
      </c>
    </row>
    <row r="11" spans="1:33" x14ac:dyDescent="0.2">
      <c r="A11" s="3">
        <v>8248</v>
      </c>
      <c r="B11" s="2">
        <v>3.23</v>
      </c>
      <c r="C11" s="2">
        <v>7.68</v>
      </c>
      <c r="D11" s="2">
        <v>-1.82</v>
      </c>
      <c r="E11" s="2">
        <v>-64.91</v>
      </c>
      <c r="F11" s="2">
        <v>-74.61</v>
      </c>
      <c r="G11" s="2">
        <v>-40.659999999999997</v>
      </c>
      <c r="H11" s="2">
        <v>-19.260000000000002</v>
      </c>
      <c r="I11" s="2">
        <v>6.47</v>
      </c>
      <c r="J11" s="2">
        <v>-55.15</v>
      </c>
      <c r="K11" s="2">
        <v>-81.459999999999994</v>
      </c>
      <c r="L11" s="2">
        <v>-105.85</v>
      </c>
      <c r="M11" s="2">
        <v>-77.319999999999993</v>
      </c>
      <c r="N11" s="2">
        <v>-20.09</v>
      </c>
      <c r="O11" s="2">
        <v>48.92</v>
      </c>
      <c r="P11" s="2">
        <v>45.22</v>
      </c>
      <c r="Q11" s="2">
        <v>11.2</v>
      </c>
      <c r="R11" s="2">
        <v>9</v>
      </c>
      <c r="S11" s="2">
        <v>19.940000000000001</v>
      </c>
      <c r="T11" s="2">
        <v>61.59</v>
      </c>
      <c r="U11" s="2">
        <v>13.36</v>
      </c>
      <c r="V11" s="2">
        <v>55.23</v>
      </c>
      <c r="W11" s="2">
        <v>30.39</v>
      </c>
      <c r="X11" s="2">
        <v>18.02</v>
      </c>
      <c r="Y11" s="2">
        <v>17.93</v>
      </c>
      <c r="Z11" s="2">
        <v>0</v>
      </c>
      <c r="AA11" s="2">
        <v>1</v>
      </c>
      <c r="AB11" s="2">
        <v>0.11</v>
      </c>
      <c r="AC11" s="2">
        <v>0</v>
      </c>
      <c r="AD11" s="2">
        <v>6.14</v>
      </c>
      <c r="AE11" s="2">
        <v>1</v>
      </c>
      <c r="AF11" s="2">
        <v>116.73</v>
      </c>
      <c r="AG11" s="2">
        <v>24.8</v>
      </c>
    </row>
    <row r="12" spans="1:33" x14ac:dyDescent="0.2">
      <c r="A12" s="3">
        <v>8279</v>
      </c>
      <c r="B12" s="2">
        <v>1.78</v>
      </c>
      <c r="C12" s="2">
        <v>7.02</v>
      </c>
      <c r="D12" s="2">
        <v>1.92</v>
      </c>
      <c r="E12" s="2">
        <v>-37.31</v>
      </c>
      <c r="F12" s="2">
        <v>-16.600000000000001</v>
      </c>
      <c r="G12" s="2">
        <v>-25.66</v>
      </c>
      <c r="H12" s="2">
        <v>-7.91</v>
      </c>
      <c r="I12" s="2">
        <v>4.91</v>
      </c>
      <c r="J12" s="2">
        <v>-47.26</v>
      </c>
      <c r="K12" s="2">
        <v>-58.3</v>
      </c>
      <c r="L12" s="2">
        <v>-55.38</v>
      </c>
      <c r="M12" s="2">
        <v>-38.880000000000003</v>
      </c>
      <c r="N12" s="2">
        <v>-31.02</v>
      </c>
      <c r="O12" s="2">
        <v>41.65</v>
      </c>
      <c r="P12" s="2">
        <v>36.880000000000003</v>
      </c>
      <c r="Q12" s="2">
        <v>4.46</v>
      </c>
      <c r="R12" s="2">
        <v>4.4800000000000004</v>
      </c>
      <c r="S12" s="2">
        <v>11.72</v>
      </c>
      <c r="T12" s="2">
        <v>56.68</v>
      </c>
      <c r="U12" s="2">
        <v>11.56</v>
      </c>
      <c r="V12" s="2">
        <v>52.98</v>
      </c>
      <c r="W12" s="2">
        <v>31.47</v>
      </c>
      <c r="X12" s="2">
        <v>20.32</v>
      </c>
      <c r="Y12" s="2">
        <v>20.38</v>
      </c>
      <c r="Z12" s="2">
        <v>0</v>
      </c>
      <c r="AA12" s="2">
        <v>0</v>
      </c>
      <c r="AB12" s="2">
        <v>2.17</v>
      </c>
      <c r="AC12" s="2">
        <v>0</v>
      </c>
      <c r="AD12" s="2">
        <v>5.6</v>
      </c>
      <c r="AE12" s="2">
        <v>0</v>
      </c>
      <c r="AF12" s="2">
        <v>118.71</v>
      </c>
      <c r="AG12" s="2">
        <v>23.65</v>
      </c>
    </row>
    <row r="13" spans="1:33" x14ac:dyDescent="0.2">
      <c r="A13" s="3">
        <v>8309</v>
      </c>
      <c r="B13" s="2">
        <v>1.76</v>
      </c>
      <c r="C13" s="2">
        <v>7.07</v>
      </c>
      <c r="D13" s="2">
        <v>3.55</v>
      </c>
      <c r="E13" s="2">
        <v>-12.41</v>
      </c>
      <c r="F13" s="2">
        <v>-5.83</v>
      </c>
      <c r="G13" s="2">
        <v>-8.1999999999999993</v>
      </c>
      <c r="H13" s="2">
        <v>1.49</v>
      </c>
      <c r="I13" s="2">
        <v>9.34</v>
      </c>
      <c r="J13" s="2">
        <v>-17.13</v>
      </c>
      <c r="K13" s="2">
        <v>-27.52</v>
      </c>
      <c r="L13" s="2">
        <v>-22.15</v>
      </c>
      <c r="M13" s="2">
        <v>-17.3</v>
      </c>
      <c r="N13" s="2">
        <v>-11.6</v>
      </c>
      <c r="O13" s="2">
        <v>18.43</v>
      </c>
      <c r="P13" s="2">
        <v>5.8</v>
      </c>
      <c r="Q13" s="2">
        <v>5.22</v>
      </c>
      <c r="R13" s="2">
        <v>5.88</v>
      </c>
      <c r="S13" s="2">
        <v>3.86</v>
      </c>
      <c r="T13" s="2">
        <v>40.1</v>
      </c>
      <c r="U13" s="2">
        <v>11.08</v>
      </c>
      <c r="V13" s="2">
        <v>30.58</v>
      </c>
      <c r="W13" s="2">
        <v>26.1</v>
      </c>
      <c r="X13" s="2">
        <v>19.29</v>
      </c>
      <c r="Y13" s="2">
        <v>19.13</v>
      </c>
      <c r="Z13" s="2">
        <v>0</v>
      </c>
      <c r="AA13" s="2">
        <v>0</v>
      </c>
      <c r="AB13" s="2">
        <v>0</v>
      </c>
      <c r="AC13" s="2">
        <v>0</v>
      </c>
      <c r="AD13" s="2">
        <v>4.96</v>
      </c>
      <c r="AE13" s="2">
        <v>1.08</v>
      </c>
      <c r="AF13" s="2">
        <v>110.57</v>
      </c>
      <c r="AG13" s="2">
        <v>20.170000000000002</v>
      </c>
    </row>
    <row r="14" spans="1:33" x14ac:dyDescent="0.2">
      <c r="A14" s="3">
        <v>8340</v>
      </c>
      <c r="B14" s="2">
        <v>2.96</v>
      </c>
      <c r="C14" s="2">
        <v>7.91</v>
      </c>
      <c r="D14" s="2">
        <v>6.52</v>
      </c>
      <c r="E14" s="2">
        <v>9.01</v>
      </c>
      <c r="F14" s="2">
        <v>10.42</v>
      </c>
      <c r="G14" s="2">
        <v>10.98</v>
      </c>
      <c r="H14" s="2">
        <v>7.46</v>
      </c>
      <c r="I14" s="2">
        <v>12.63</v>
      </c>
      <c r="J14" s="2">
        <v>-1.8</v>
      </c>
      <c r="K14" s="2">
        <v>-7.48</v>
      </c>
      <c r="L14" s="2">
        <v>-3.61</v>
      </c>
      <c r="M14" s="2">
        <v>-5.98</v>
      </c>
      <c r="N14" s="2">
        <v>-4.33</v>
      </c>
      <c r="O14" s="2">
        <v>23.18</v>
      </c>
      <c r="P14" s="2">
        <v>11.28</v>
      </c>
      <c r="Q14" s="2">
        <v>3.56</v>
      </c>
      <c r="R14" s="2">
        <v>3.04</v>
      </c>
      <c r="S14" s="2">
        <v>1.2</v>
      </c>
      <c r="T14" s="2">
        <v>39.590000000000003</v>
      </c>
      <c r="U14" s="2">
        <v>9.24</v>
      </c>
      <c r="V14" s="2">
        <v>31.78</v>
      </c>
      <c r="W14" s="2">
        <v>22.19</v>
      </c>
      <c r="X14" s="2">
        <v>17.89</v>
      </c>
      <c r="Y14" s="2">
        <v>17.7</v>
      </c>
      <c r="Z14" s="2">
        <v>0</v>
      </c>
      <c r="AA14" s="2">
        <v>0</v>
      </c>
      <c r="AB14" s="2">
        <v>0</v>
      </c>
      <c r="AC14" s="2">
        <v>3.76</v>
      </c>
      <c r="AD14" s="2">
        <v>5.85</v>
      </c>
      <c r="AE14" s="2">
        <v>5.22</v>
      </c>
      <c r="AF14" s="2">
        <v>100.29</v>
      </c>
      <c r="AG14" s="2">
        <v>16.420000000000002</v>
      </c>
    </row>
    <row r="15" spans="1:33" x14ac:dyDescent="0.2">
      <c r="A15" s="3">
        <v>8370</v>
      </c>
      <c r="B15" s="2">
        <v>3.07</v>
      </c>
      <c r="C15" s="2">
        <v>13.6</v>
      </c>
      <c r="D15" s="2">
        <v>17.670000000000002</v>
      </c>
      <c r="E15" s="2">
        <v>33.659999999999997</v>
      </c>
      <c r="F15" s="2">
        <v>24.7</v>
      </c>
      <c r="G15" s="2">
        <v>37.21</v>
      </c>
      <c r="H15" s="2">
        <v>10.4</v>
      </c>
      <c r="I15" s="2">
        <v>16.55</v>
      </c>
      <c r="J15" s="2">
        <v>15.2</v>
      </c>
      <c r="K15" s="2">
        <v>7.04</v>
      </c>
      <c r="L15" s="2">
        <v>15.07</v>
      </c>
      <c r="M15" s="2">
        <v>8.33</v>
      </c>
      <c r="N15" s="2">
        <v>3.02</v>
      </c>
      <c r="O15" s="2">
        <v>17.170000000000002</v>
      </c>
      <c r="P15" s="2">
        <v>26.38</v>
      </c>
      <c r="Q15" s="2">
        <v>4.22</v>
      </c>
      <c r="R15" s="2">
        <v>2.89</v>
      </c>
      <c r="S15" s="2">
        <v>5.18</v>
      </c>
      <c r="T15" s="2">
        <v>36.799999999999997</v>
      </c>
      <c r="U15" s="2">
        <v>9.34</v>
      </c>
      <c r="V15" s="2">
        <v>27.37</v>
      </c>
      <c r="W15" s="2">
        <v>15.43</v>
      </c>
      <c r="X15" s="2">
        <v>11.77</v>
      </c>
      <c r="Y15" s="2">
        <v>10.53</v>
      </c>
      <c r="Z15" s="2">
        <v>0.14000000000000001</v>
      </c>
      <c r="AA15" s="2">
        <v>0.43</v>
      </c>
      <c r="AB15" s="2">
        <v>5.75</v>
      </c>
      <c r="AC15" s="2">
        <v>3.51</v>
      </c>
      <c r="AD15" s="2">
        <v>4.9000000000000004</v>
      </c>
      <c r="AE15" s="2">
        <v>13.59</v>
      </c>
      <c r="AF15" s="2">
        <v>65.81</v>
      </c>
      <c r="AG15" s="2">
        <v>12.92</v>
      </c>
    </row>
    <row r="16" spans="1:33" x14ac:dyDescent="0.2">
      <c r="A16" s="3">
        <v>8401</v>
      </c>
      <c r="B16" s="2">
        <v>5.81</v>
      </c>
      <c r="C16" s="2">
        <v>18.440000000000001</v>
      </c>
      <c r="D16" s="2">
        <v>44.84</v>
      </c>
      <c r="E16" s="2">
        <v>96.89</v>
      </c>
      <c r="F16" s="2">
        <v>87.35</v>
      </c>
      <c r="G16" s="2">
        <v>122.27</v>
      </c>
      <c r="H16" s="2">
        <v>34.46</v>
      </c>
      <c r="I16" s="2">
        <v>40.76</v>
      </c>
      <c r="J16" s="2">
        <v>108.07</v>
      </c>
      <c r="K16" s="2">
        <v>49.49</v>
      </c>
      <c r="L16" s="2">
        <v>61.51</v>
      </c>
      <c r="M16" s="2">
        <v>43</v>
      </c>
      <c r="N16" s="2">
        <v>51.13</v>
      </c>
      <c r="O16" s="2">
        <v>17.03</v>
      </c>
      <c r="P16" s="2">
        <v>50.06</v>
      </c>
      <c r="Q16" s="2">
        <v>4.54</v>
      </c>
      <c r="R16" s="2">
        <v>6.57</v>
      </c>
      <c r="S16" s="2">
        <v>38.75</v>
      </c>
      <c r="T16" s="2">
        <v>40.83</v>
      </c>
      <c r="U16" s="2">
        <v>9.98</v>
      </c>
      <c r="V16" s="2">
        <v>25.47</v>
      </c>
      <c r="W16" s="2">
        <v>11.73</v>
      </c>
      <c r="X16" s="2">
        <v>9.59</v>
      </c>
      <c r="Y16" s="2">
        <v>9.56</v>
      </c>
      <c r="Z16" s="2">
        <v>0.14000000000000001</v>
      </c>
      <c r="AA16" s="2">
        <v>0.56999999999999995</v>
      </c>
      <c r="AB16" s="2">
        <v>7.46</v>
      </c>
      <c r="AC16" s="2">
        <v>2.11</v>
      </c>
      <c r="AD16" s="2">
        <v>5.0599999999999996</v>
      </c>
      <c r="AE16" s="2">
        <v>20.21</v>
      </c>
      <c r="AF16" s="2">
        <v>60.46</v>
      </c>
      <c r="AG16" s="2">
        <v>11.2</v>
      </c>
    </row>
    <row r="17" spans="1:33" x14ac:dyDescent="0.2">
      <c r="A17" s="3">
        <v>8432</v>
      </c>
      <c r="B17" s="2">
        <v>6.98</v>
      </c>
      <c r="C17" s="2">
        <v>16.68</v>
      </c>
      <c r="D17" s="2">
        <v>6.52</v>
      </c>
      <c r="E17" s="2">
        <v>4.26</v>
      </c>
      <c r="F17" s="2">
        <v>-7.82</v>
      </c>
      <c r="G17" s="2">
        <v>23.4</v>
      </c>
      <c r="H17" s="2">
        <v>7.39</v>
      </c>
      <c r="I17" s="2">
        <v>31.34</v>
      </c>
      <c r="J17" s="2">
        <v>45.35</v>
      </c>
      <c r="K17" s="2">
        <v>-2.2400000000000002</v>
      </c>
      <c r="L17" s="2">
        <v>21.55</v>
      </c>
      <c r="M17" s="2">
        <v>6.28</v>
      </c>
      <c r="N17" s="2">
        <v>22.54</v>
      </c>
      <c r="O17" s="2">
        <v>15.21</v>
      </c>
      <c r="P17" s="2">
        <v>31.73</v>
      </c>
      <c r="Q17" s="2">
        <v>3.21</v>
      </c>
      <c r="R17" s="2">
        <v>5.49</v>
      </c>
      <c r="S17" s="2">
        <v>13.06</v>
      </c>
      <c r="T17" s="2">
        <v>35.92</v>
      </c>
      <c r="U17" s="2">
        <v>9.4700000000000006</v>
      </c>
      <c r="V17" s="2">
        <v>26.79</v>
      </c>
      <c r="W17" s="2">
        <v>4.26</v>
      </c>
      <c r="X17" s="2">
        <v>9.85</v>
      </c>
      <c r="Y17" s="2">
        <v>8.51</v>
      </c>
      <c r="Z17" s="2">
        <v>1.37</v>
      </c>
      <c r="AA17" s="2">
        <v>0.43</v>
      </c>
      <c r="AB17" s="2">
        <v>1.18</v>
      </c>
      <c r="AC17" s="2">
        <v>8.42</v>
      </c>
      <c r="AD17" s="2">
        <v>5.03</v>
      </c>
      <c r="AE17" s="2">
        <v>20.56</v>
      </c>
      <c r="AF17" s="2">
        <v>69.56</v>
      </c>
      <c r="AG17" s="2">
        <v>9.8800000000000008</v>
      </c>
    </row>
    <row r="18" spans="1:33" x14ac:dyDescent="0.2">
      <c r="A18" s="3">
        <v>8460</v>
      </c>
      <c r="B18" s="2">
        <v>4.95</v>
      </c>
      <c r="C18" s="2">
        <v>10.82</v>
      </c>
      <c r="D18" s="2">
        <v>-2.99</v>
      </c>
      <c r="E18" s="2">
        <v>-17.45</v>
      </c>
      <c r="F18" s="2">
        <v>-17.25</v>
      </c>
      <c r="G18" s="2">
        <v>-12.02</v>
      </c>
      <c r="H18" s="2">
        <v>-1.68</v>
      </c>
      <c r="I18" s="2">
        <v>16.59</v>
      </c>
      <c r="J18" s="2">
        <v>-6.78</v>
      </c>
      <c r="K18" s="2">
        <v>-3.91</v>
      </c>
      <c r="L18" s="2">
        <v>-8.15</v>
      </c>
      <c r="M18" s="2">
        <v>-5.76</v>
      </c>
      <c r="N18" s="2">
        <v>13.91</v>
      </c>
      <c r="O18" s="2">
        <v>14.36</v>
      </c>
      <c r="P18" s="2">
        <v>29.95</v>
      </c>
      <c r="Q18" s="2">
        <v>3.09</v>
      </c>
      <c r="R18" s="2">
        <v>4.8</v>
      </c>
      <c r="S18" s="2">
        <v>-0.99</v>
      </c>
      <c r="T18" s="2">
        <v>36.5</v>
      </c>
      <c r="U18" s="2">
        <v>7.67</v>
      </c>
      <c r="V18" s="2">
        <v>23.61</v>
      </c>
      <c r="W18" s="2">
        <v>0</v>
      </c>
      <c r="X18" s="2">
        <v>3.33</v>
      </c>
      <c r="Y18" s="2">
        <v>3.36</v>
      </c>
      <c r="Z18" s="2">
        <v>3.83</v>
      </c>
      <c r="AA18" s="2">
        <v>4.87</v>
      </c>
      <c r="AB18" s="2">
        <v>0.26</v>
      </c>
      <c r="AC18" s="2">
        <v>3.06</v>
      </c>
      <c r="AD18" s="2">
        <v>5.4</v>
      </c>
      <c r="AE18" s="2">
        <v>22.87</v>
      </c>
      <c r="AF18" s="2">
        <v>57.98</v>
      </c>
      <c r="AG18" s="2">
        <v>10.08</v>
      </c>
    </row>
    <row r="19" spans="1:33" x14ac:dyDescent="0.2">
      <c r="A19" s="3">
        <v>8491</v>
      </c>
      <c r="B19" s="2">
        <v>4.3899999999999997</v>
      </c>
      <c r="C19" s="2">
        <v>9.15</v>
      </c>
      <c r="D19" s="2">
        <v>-1.27</v>
      </c>
      <c r="E19" s="2">
        <v>-5.58</v>
      </c>
      <c r="F19" s="2">
        <v>12.31</v>
      </c>
      <c r="G19" s="2">
        <v>-15.04</v>
      </c>
      <c r="H19" s="2">
        <v>5.5</v>
      </c>
      <c r="I19" s="2">
        <v>15.7</v>
      </c>
      <c r="J19" s="2">
        <v>-1.53</v>
      </c>
      <c r="K19" s="2">
        <v>4.03</v>
      </c>
      <c r="L19" s="2">
        <v>-10.79</v>
      </c>
      <c r="M19" s="2">
        <v>-8.94</v>
      </c>
      <c r="N19" s="2">
        <v>12.23</v>
      </c>
      <c r="O19" s="2">
        <v>24.78</v>
      </c>
      <c r="P19" s="2">
        <v>64.33</v>
      </c>
      <c r="Q19" s="2">
        <v>4.6500000000000004</v>
      </c>
      <c r="R19" s="2">
        <v>1.75</v>
      </c>
      <c r="S19" s="2">
        <v>6.16</v>
      </c>
      <c r="T19" s="2">
        <v>39.76</v>
      </c>
      <c r="U19" s="2">
        <v>6.83</v>
      </c>
      <c r="V19" s="2">
        <v>34.130000000000003</v>
      </c>
      <c r="W19" s="2">
        <v>0</v>
      </c>
      <c r="X19" s="2">
        <v>4.22</v>
      </c>
      <c r="Y19" s="2">
        <v>3.23</v>
      </c>
      <c r="Z19" s="2">
        <v>5.47</v>
      </c>
      <c r="AA19" s="2">
        <v>0.14000000000000001</v>
      </c>
      <c r="AB19" s="2">
        <v>0</v>
      </c>
      <c r="AC19" s="2">
        <v>1.55</v>
      </c>
      <c r="AD19" s="2">
        <v>7.09</v>
      </c>
      <c r="AE19" s="2">
        <v>18.03</v>
      </c>
      <c r="AF19" s="2">
        <v>68.42</v>
      </c>
      <c r="AG19" s="2">
        <v>10.69</v>
      </c>
    </row>
    <row r="20" spans="1:33" x14ac:dyDescent="0.2">
      <c r="A20" s="3">
        <v>8521</v>
      </c>
      <c r="B20" s="2">
        <v>7.44</v>
      </c>
      <c r="C20" s="2">
        <v>11.65</v>
      </c>
      <c r="D20" s="2">
        <v>16.79</v>
      </c>
      <c r="E20" s="2">
        <v>40.1</v>
      </c>
      <c r="F20" s="2">
        <v>58.81</v>
      </c>
      <c r="G20" s="2">
        <v>28.24</v>
      </c>
      <c r="H20" s="2">
        <v>23.2</v>
      </c>
      <c r="I20" s="2">
        <v>31.87</v>
      </c>
      <c r="J20" s="2">
        <v>58.36</v>
      </c>
      <c r="K20" s="2">
        <v>67.760000000000005</v>
      </c>
      <c r="L20" s="2">
        <v>46.52</v>
      </c>
      <c r="M20" s="2">
        <v>40.01</v>
      </c>
      <c r="N20" s="2">
        <v>58.51</v>
      </c>
      <c r="O20" s="2">
        <v>15.96</v>
      </c>
      <c r="P20" s="2">
        <v>97.28</v>
      </c>
      <c r="Q20" s="2">
        <v>9.19</v>
      </c>
      <c r="R20" s="2">
        <v>4.83</v>
      </c>
      <c r="S20" s="2">
        <v>58.92</v>
      </c>
      <c r="T20" s="2">
        <v>34.619999999999997</v>
      </c>
      <c r="U20" s="2">
        <v>11.13</v>
      </c>
      <c r="V20" s="2">
        <v>32.04</v>
      </c>
      <c r="W20" s="2">
        <v>0</v>
      </c>
      <c r="X20" s="2">
        <v>5.14</v>
      </c>
      <c r="Y20" s="2">
        <v>4.43</v>
      </c>
      <c r="Z20" s="2">
        <v>0.27</v>
      </c>
      <c r="AA20" s="2">
        <v>0.35</v>
      </c>
      <c r="AB20" s="2">
        <v>3.79</v>
      </c>
      <c r="AC20" s="2">
        <v>11.83</v>
      </c>
      <c r="AD20" s="2">
        <v>8.25</v>
      </c>
      <c r="AE20" s="2">
        <v>9.23</v>
      </c>
      <c r="AF20" s="2">
        <v>84.67</v>
      </c>
      <c r="AG20" s="2">
        <v>14.64</v>
      </c>
    </row>
    <row r="21" spans="1:33" x14ac:dyDescent="0.2">
      <c r="A21" s="3">
        <v>8552</v>
      </c>
      <c r="B21" s="2">
        <v>1.61</v>
      </c>
      <c r="C21" s="2">
        <v>1.44</v>
      </c>
      <c r="D21" s="2">
        <v>-4.82</v>
      </c>
      <c r="E21" s="2">
        <v>-35.14</v>
      </c>
      <c r="F21" s="2">
        <v>-26.53</v>
      </c>
      <c r="G21" s="2">
        <v>-25.53</v>
      </c>
      <c r="H21" s="2">
        <v>-1.22</v>
      </c>
      <c r="I21" s="2">
        <v>20.03</v>
      </c>
      <c r="J21" s="2">
        <v>39.24</v>
      </c>
      <c r="K21" s="2">
        <v>56.6</v>
      </c>
      <c r="L21" s="2">
        <v>40.94</v>
      </c>
      <c r="M21" s="2">
        <v>28.82</v>
      </c>
      <c r="N21" s="2">
        <v>56.8</v>
      </c>
      <c r="O21" s="2">
        <v>28.34</v>
      </c>
      <c r="P21" s="2">
        <v>95.77</v>
      </c>
      <c r="Q21" s="2">
        <v>10.47</v>
      </c>
      <c r="R21" s="2">
        <v>11.17</v>
      </c>
      <c r="S21" s="2">
        <v>43.89</v>
      </c>
      <c r="T21" s="2">
        <v>44.57</v>
      </c>
      <c r="U21" s="2">
        <v>8.82</v>
      </c>
      <c r="V21" s="2">
        <v>38.99</v>
      </c>
      <c r="W21" s="2">
        <v>4.88</v>
      </c>
      <c r="X21" s="2">
        <v>8.14</v>
      </c>
      <c r="Y21" s="2">
        <v>6.76</v>
      </c>
      <c r="Z21" s="2">
        <v>0</v>
      </c>
      <c r="AA21" s="2">
        <v>0</v>
      </c>
      <c r="AB21" s="2">
        <v>2.62</v>
      </c>
      <c r="AC21" s="2">
        <v>0</v>
      </c>
      <c r="AD21" s="2">
        <v>9.1300000000000008</v>
      </c>
      <c r="AE21" s="2">
        <v>2.31</v>
      </c>
      <c r="AF21" s="2">
        <v>95.62</v>
      </c>
      <c r="AG21" s="2">
        <v>17.690000000000001</v>
      </c>
    </row>
    <row r="22" spans="1:33" x14ac:dyDescent="0.2">
      <c r="A22" s="3">
        <v>8582</v>
      </c>
      <c r="B22" s="2">
        <v>-0.42</v>
      </c>
      <c r="C22" s="2">
        <v>3.39</v>
      </c>
      <c r="D22" s="2">
        <v>-3.91</v>
      </c>
      <c r="E22" s="2">
        <v>-40.6</v>
      </c>
      <c r="F22" s="2">
        <v>-30.54</v>
      </c>
      <c r="G22" s="2">
        <v>-29.2</v>
      </c>
      <c r="H22" s="2">
        <v>-4.63</v>
      </c>
      <c r="I22" s="2">
        <v>13.34</v>
      </c>
      <c r="J22" s="2">
        <v>-14.24</v>
      </c>
      <c r="K22" s="2">
        <v>-31.91</v>
      </c>
      <c r="L22" s="2">
        <v>-15.67</v>
      </c>
      <c r="M22" s="2">
        <v>1.59</v>
      </c>
      <c r="N22" s="2">
        <v>5.04</v>
      </c>
      <c r="O22" s="2">
        <v>35.049999999999997</v>
      </c>
      <c r="P22" s="2">
        <v>54.06</v>
      </c>
      <c r="Q22" s="2">
        <v>7.63</v>
      </c>
      <c r="R22" s="2">
        <v>5.95</v>
      </c>
      <c r="S22" s="2">
        <v>23.15</v>
      </c>
      <c r="T22" s="2">
        <v>51.46</v>
      </c>
      <c r="U22" s="2">
        <v>4.6500000000000004</v>
      </c>
      <c r="V22" s="2">
        <v>45.75</v>
      </c>
      <c r="W22" s="2">
        <v>18.62</v>
      </c>
      <c r="X22" s="2">
        <v>13.49</v>
      </c>
      <c r="Y22" s="2">
        <v>12.8</v>
      </c>
      <c r="Z22" s="2">
        <v>0</v>
      </c>
      <c r="AA22" s="2">
        <v>0</v>
      </c>
      <c r="AB22" s="2">
        <v>0</v>
      </c>
      <c r="AC22" s="2">
        <v>0</v>
      </c>
      <c r="AD22" s="2">
        <v>8.42</v>
      </c>
      <c r="AE22" s="2">
        <v>0.5</v>
      </c>
      <c r="AF22" s="2">
        <v>104.64</v>
      </c>
      <c r="AG22" s="2">
        <v>22.83</v>
      </c>
    </row>
    <row r="23" spans="1:33" x14ac:dyDescent="0.2">
      <c r="A23" s="3">
        <v>8613</v>
      </c>
      <c r="B23" s="2">
        <v>-2.19</v>
      </c>
      <c r="C23" s="2">
        <v>2.84</v>
      </c>
      <c r="D23" s="2">
        <v>-3.85</v>
      </c>
      <c r="E23" s="2">
        <v>-36.590000000000003</v>
      </c>
      <c r="F23" s="2">
        <v>-12.9</v>
      </c>
      <c r="G23" s="2">
        <v>-28.06</v>
      </c>
      <c r="H23" s="2">
        <v>-3.42</v>
      </c>
      <c r="I23" s="2">
        <v>8.5399999999999991</v>
      </c>
      <c r="J23" s="2">
        <v>-27.3</v>
      </c>
      <c r="K23" s="2">
        <v>-38.75</v>
      </c>
      <c r="L23" s="2">
        <v>-27.53</v>
      </c>
      <c r="M23" s="2">
        <v>-9.77</v>
      </c>
      <c r="N23" s="2">
        <v>0.85</v>
      </c>
      <c r="O23" s="2">
        <v>40.799999999999997</v>
      </c>
      <c r="P23" s="2">
        <v>52.8</v>
      </c>
      <c r="Q23" s="2">
        <v>4.0199999999999996</v>
      </c>
      <c r="R23" s="2">
        <v>4.59</v>
      </c>
      <c r="S23" s="2">
        <v>16.96</v>
      </c>
      <c r="T23" s="2">
        <v>49.82</v>
      </c>
      <c r="U23" s="2">
        <v>8.18</v>
      </c>
      <c r="V23" s="2">
        <v>45.83</v>
      </c>
      <c r="W23" s="2">
        <v>30.39</v>
      </c>
      <c r="X23" s="2">
        <v>18.739999999999998</v>
      </c>
      <c r="Y23" s="2">
        <v>18.420000000000002</v>
      </c>
      <c r="Z23" s="2">
        <v>0.27</v>
      </c>
      <c r="AA23" s="2">
        <v>0.14000000000000001</v>
      </c>
      <c r="AB23" s="2">
        <v>0.65</v>
      </c>
      <c r="AC23" s="2">
        <v>0</v>
      </c>
      <c r="AD23" s="2">
        <v>8.0299999999999994</v>
      </c>
      <c r="AE23" s="2">
        <v>0.22</v>
      </c>
      <c r="AF23" s="2">
        <v>113.96</v>
      </c>
      <c r="AG23" s="2">
        <v>24.8</v>
      </c>
    </row>
    <row r="24" spans="1:33" x14ac:dyDescent="0.2">
      <c r="A24" s="3">
        <v>8644</v>
      </c>
      <c r="B24" s="2">
        <v>-2.86</v>
      </c>
      <c r="C24" s="2">
        <v>2.91</v>
      </c>
      <c r="D24" s="2">
        <v>-1.19</v>
      </c>
      <c r="E24" s="2">
        <v>-22.94</v>
      </c>
      <c r="F24" s="2">
        <v>-5.41</v>
      </c>
      <c r="G24" s="2">
        <v>-18.41</v>
      </c>
      <c r="H24" s="2">
        <v>1.44</v>
      </c>
      <c r="I24" s="2">
        <v>7.47</v>
      </c>
      <c r="J24" s="2">
        <v>-25.58</v>
      </c>
      <c r="K24" s="2">
        <v>-35.93</v>
      </c>
      <c r="L24" s="2">
        <v>-31.47</v>
      </c>
      <c r="M24" s="2">
        <v>-23.46</v>
      </c>
      <c r="N24" s="2">
        <v>-20.329999999999998</v>
      </c>
      <c r="O24" s="2">
        <v>32.57</v>
      </c>
      <c r="P24" s="2">
        <v>27.51</v>
      </c>
      <c r="Q24" s="2">
        <v>0.69</v>
      </c>
      <c r="R24" s="2">
        <v>0.67</v>
      </c>
      <c r="S24" s="2">
        <v>8.74</v>
      </c>
      <c r="T24" s="2">
        <v>47.54</v>
      </c>
      <c r="U24" s="2">
        <v>6.55</v>
      </c>
      <c r="V24" s="2">
        <v>42.93</v>
      </c>
      <c r="W24" s="2">
        <v>31.47</v>
      </c>
      <c r="X24" s="2">
        <v>21.06</v>
      </c>
      <c r="Y24" s="2">
        <v>20.87</v>
      </c>
      <c r="Z24" s="2">
        <v>0</v>
      </c>
      <c r="AA24" s="2">
        <v>3.01</v>
      </c>
      <c r="AB24" s="2">
        <v>1.44</v>
      </c>
      <c r="AC24" s="2">
        <v>0</v>
      </c>
      <c r="AD24" s="2">
        <v>7.41</v>
      </c>
      <c r="AE24" s="2">
        <v>1.66</v>
      </c>
      <c r="AF24" s="2">
        <v>115.89</v>
      </c>
      <c r="AG24" s="2">
        <v>23.65</v>
      </c>
    </row>
    <row r="25" spans="1:33" x14ac:dyDescent="0.2">
      <c r="A25" s="3">
        <v>8674</v>
      </c>
      <c r="B25" s="2">
        <v>-1.46</v>
      </c>
      <c r="C25" s="2">
        <v>4.71</v>
      </c>
      <c r="D25" s="2">
        <v>3.33</v>
      </c>
      <c r="E25" s="2">
        <v>-2.0499999999999998</v>
      </c>
      <c r="F25" s="2">
        <v>0.72</v>
      </c>
      <c r="G25" s="2">
        <v>-1.9</v>
      </c>
      <c r="H25" s="2">
        <v>7.39</v>
      </c>
      <c r="I25" s="2">
        <v>12.1</v>
      </c>
      <c r="J25" s="2">
        <v>-2.72</v>
      </c>
      <c r="K25" s="2">
        <v>-15.63</v>
      </c>
      <c r="L25" s="2">
        <v>-10.54</v>
      </c>
      <c r="M25" s="2">
        <v>-8.49</v>
      </c>
      <c r="N25" s="2">
        <v>-3.59</v>
      </c>
      <c r="O25" s="2">
        <v>10.9</v>
      </c>
      <c r="P25" s="2">
        <v>14.64</v>
      </c>
      <c r="Q25" s="2">
        <v>2.87</v>
      </c>
      <c r="R25" s="2">
        <v>4.13</v>
      </c>
      <c r="S25" s="2">
        <v>0.94</v>
      </c>
      <c r="T25" s="2">
        <v>32.64</v>
      </c>
      <c r="U25" s="2">
        <v>7.22</v>
      </c>
      <c r="V25" s="2">
        <v>19.95</v>
      </c>
      <c r="W25" s="2">
        <v>26.1</v>
      </c>
      <c r="X25" s="2">
        <v>20</v>
      </c>
      <c r="Y25" s="2">
        <v>19.61</v>
      </c>
      <c r="Z25" s="2">
        <v>0</v>
      </c>
      <c r="AA25" s="2">
        <v>0.43</v>
      </c>
      <c r="AB25" s="2">
        <v>2.62</v>
      </c>
      <c r="AC25" s="2">
        <v>4.5599999999999996</v>
      </c>
      <c r="AD25" s="2">
        <v>6.84</v>
      </c>
      <c r="AE25" s="2">
        <v>2.14</v>
      </c>
      <c r="AF25" s="2">
        <v>107.95</v>
      </c>
      <c r="AG25" s="2">
        <v>20.170000000000002</v>
      </c>
    </row>
    <row r="26" spans="1:33" x14ac:dyDescent="0.2">
      <c r="A26" s="3">
        <v>8705</v>
      </c>
      <c r="B26" s="2">
        <v>-0.73</v>
      </c>
      <c r="C26" s="2">
        <v>4</v>
      </c>
      <c r="D26" s="2">
        <v>-0.12</v>
      </c>
      <c r="E26" s="2">
        <v>2.5299999999999998</v>
      </c>
      <c r="F26" s="2">
        <v>7.64</v>
      </c>
      <c r="G26" s="2">
        <v>8.8699999999999992</v>
      </c>
      <c r="H26" s="2">
        <v>8.4600000000000009</v>
      </c>
      <c r="I26" s="2">
        <v>12.48</v>
      </c>
      <c r="J26" s="2">
        <v>5.86</v>
      </c>
      <c r="K26" s="2">
        <v>-4.3899999999999997</v>
      </c>
      <c r="L26" s="2">
        <v>12.22</v>
      </c>
      <c r="M26" s="2">
        <v>5.17</v>
      </c>
      <c r="N26" s="2">
        <v>2.19</v>
      </c>
      <c r="O26" s="2">
        <v>15.3</v>
      </c>
      <c r="P26" s="2">
        <v>19.41</v>
      </c>
      <c r="Q26" s="2">
        <v>1.71</v>
      </c>
      <c r="R26" s="2">
        <v>1.95</v>
      </c>
      <c r="S26" s="2">
        <v>-0.38</v>
      </c>
      <c r="T26" s="2">
        <v>33.58</v>
      </c>
      <c r="U26" s="2">
        <v>5.66</v>
      </c>
      <c r="V26" s="2">
        <v>21.85</v>
      </c>
      <c r="W26" s="2">
        <v>22.19</v>
      </c>
      <c r="X26" s="2">
        <v>18.54</v>
      </c>
      <c r="Y26" s="2">
        <v>18.13</v>
      </c>
      <c r="Z26" s="2">
        <v>0</v>
      </c>
      <c r="AA26" s="2">
        <v>0</v>
      </c>
      <c r="AB26" s="2">
        <v>0.04</v>
      </c>
      <c r="AC26" s="2">
        <v>2.71</v>
      </c>
      <c r="AD26" s="2">
        <v>3.69</v>
      </c>
      <c r="AE26" s="2">
        <v>7.86</v>
      </c>
      <c r="AF26" s="2">
        <v>97.91</v>
      </c>
      <c r="AG26" s="2">
        <v>16.420000000000002</v>
      </c>
    </row>
    <row r="27" spans="1:33" x14ac:dyDescent="0.2">
      <c r="A27" s="3">
        <v>8735</v>
      </c>
      <c r="B27" s="2">
        <v>-0.86</v>
      </c>
      <c r="C27" s="2">
        <v>2.99</v>
      </c>
      <c r="D27" s="2">
        <v>-2.0299999999999998</v>
      </c>
      <c r="E27" s="2">
        <v>3.17</v>
      </c>
      <c r="F27" s="2">
        <v>2.2000000000000002</v>
      </c>
      <c r="G27" s="2">
        <v>4.9000000000000004</v>
      </c>
      <c r="H27" s="2">
        <v>4.38</v>
      </c>
      <c r="I27" s="2">
        <v>8.8800000000000008</v>
      </c>
      <c r="J27" s="2">
        <v>3.6</v>
      </c>
      <c r="K27" s="2">
        <v>-7.26</v>
      </c>
      <c r="L27" s="2">
        <v>-13.06</v>
      </c>
      <c r="M27" s="2">
        <v>-11.03</v>
      </c>
      <c r="N27" s="2">
        <v>-3.61</v>
      </c>
      <c r="O27" s="2">
        <v>9.42</v>
      </c>
      <c r="P27" s="2">
        <v>14.09</v>
      </c>
      <c r="Q27" s="2">
        <v>1.94</v>
      </c>
      <c r="R27" s="2">
        <v>1.64</v>
      </c>
      <c r="S27" s="2">
        <v>-2.41</v>
      </c>
      <c r="T27" s="2">
        <v>30.76</v>
      </c>
      <c r="U27" s="2">
        <v>6.25</v>
      </c>
      <c r="V27" s="2">
        <v>19.579999999999998</v>
      </c>
      <c r="W27" s="2">
        <v>15.43</v>
      </c>
      <c r="X27" s="2">
        <v>12.11</v>
      </c>
      <c r="Y27" s="2">
        <v>10.7</v>
      </c>
      <c r="Z27" s="2">
        <v>8.8800000000000008</v>
      </c>
      <c r="AA27" s="2">
        <v>11.31</v>
      </c>
      <c r="AB27" s="2">
        <v>1.21</v>
      </c>
      <c r="AC27" s="2">
        <v>4.01</v>
      </c>
      <c r="AD27" s="2">
        <v>2.7</v>
      </c>
      <c r="AE27" s="2">
        <v>6.15</v>
      </c>
      <c r="AF27" s="2">
        <v>64.239999999999995</v>
      </c>
      <c r="AG27" s="2">
        <v>12.92</v>
      </c>
    </row>
    <row r="28" spans="1:33" x14ac:dyDescent="0.2">
      <c r="A28" s="3">
        <v>8766</v>
      </c>
      <c r="B28" s="2">
        <v>-0.6</v>
      </c>
      <c r="C28" s="2">
        <v>4.6399999999999997</v>
      </c>
      <c r="D28" s="2">
        <v>0.6</v>
      </c>
      <c r="E28" s="2">
        <v>8.27</v>
      </c>
      <c r="F28" s="2">
        <v>2.66</v>
      </c>
      <c r="G28" s="2">
        <v>7.33</v>
      </c>
      <c r="H28" s="2">
        <v>3.76</v>
      </c>
      <c r="I28" s="2">
        <v>9.3800000000000008</v>
      </c>
      <c r="J28" s="2">
        <v>5.4</v>
      </c>
      <c r="K28" s="2">
        <v>-3.18</v>
      </c>
      <c r="L28" s="2">
        <v>0.18</v>
      </c>
      <c r="M28" s="2">
        <v>-5.04</v>
      </c>
      <c r="N28" s="2">
        <v>-1.68</v>
      </c>
      <c r="O28" s="2">
        <v>8.36</v>
      </c>
      <c r="P28" s="2">
        <v>14.32</v>
      </c>
      <c r="Q28" s="2">
        <v>1.38</v>
      </c>
      <c r="R28" s="2">
        <v>1.42</v>
      </c>
      <c r="S28" s="2">
        <v>-3.09</v>
      </c>
      <c r="T28" s="2">
        <v>29.19</v>
      </c>
      <c r="U28" s="2">
        <v>6.36</v>
      </c>
      <c r="V28" s="2">
        <v>18.63</v>
      </c>
      <c r="W28" s="2">
        <v>11.73</v>
      </c>
      <c r="X28" s="2">
        <v>9.9</v>
      </c>
      <c r="Y28" s="2">
        <v>9.7100000000000009</v>
      </c>
      <c r="Z28" s="2">
        <v>16.95</v>
      </c>
      <c r="AA28" s="2">
        <v>2.72</v>
      </c>
      <c r="AB28" s="2">
        <v>0.04</v>
      </c>
      <c r="AC28" s="2">
        <v>7.62</v>
      </c>
      <c r="AD28" s="2">
        <v>2.69</v>
      </c>
      <c r="AE28" s="2">
        <v>15.55</v>
      </c>
      <c r="AF28" s="2">
        <v>59.02</v>
      </c>
      <c r="AG28" s="2">
        <v>11.2</v>
      </c>
    </row>
    <row r="29" spans="1:33" x14ac:dyDescent="0.2">
      <c r="A29" s="3">
        <v>8797</v>
      </c>
      <c r="B29" s="2">
        <v>-0.36</v>
      </c>
      <c r="C29" s="2">
        <v>6.48</v>
      </c>
      <c r="D29" s="2">
        <v>4.3099999999999996</v>
      </c>
      <c r="E29" s="2">
        <v>18.18</v>
      </c>
      <c r="F29" s="2">
        <v>8.3000000000000007</v>
      </c>
      <c r="G29" s="2">
        <v>17.62</v>
      </c>
      <c r="H29" s="2">
        <v>5.69</v>
      </c>
      <c r="I29" s="2">
        <v>10.23</v>
      </c>
      <c r="J29" s="2">
        <v>8.7899999999999991</v>
      </c>
      <c r="K29" s="2">
        <v>4.22</v>
      </c>
      <c r="L29" s="2">
        <v>1.78</v>
      </c>
      <c r="M29" s="2">
        <v>-1.3</v>
      </c>
      <c r="N29" s="2">
        <v>-0.61</v>
      </c>
      <c r="O29" s="2">
        <v>10.87</v>
      </c>
      <c r="P29" s="2">
        <v>24.12</v>
      </c>
      <c r="Q29" s="2">
        <v>0.26</v>
      </c>
      <c r="R29" s="2">
        <v>0.34</v>
      </c>
      <c r="S29" s="2">
        <v>-3.23</v>
      </c>
      <c r="T29" s="2">
        <v>31.9</v>
      </c>
      <c r="U29" s="2">
        <v>4.5599999999999996</v>
      </c>
      <c r="V29" s="2">
        <v>23.7</v>
      </c>
      <c r="W29" s="2">
        <v>4.26</v>
      </c>
      <c r="X29" s="2">
        <v>5.65</v>
      </c>
      <c r="Y29" s="2">
        <v>4.26</v>
      </c>
      <c r="Z29" s="2">
        <v>0</v>
      </c>
      <c r="AA29" s="2">
        <v>0</v>
      </c>
      <c r="AB29" s="2">
        <v>0</v>
      </c>
      <c r="AC29" s="2">
        <v>0.5</v>
      </c>
      <c r="AD29" s="2">
        <v>2.69</v>
      </c>
      <c r="AE29" s="2">
        <v>16.53</v>
      </c>
      <c r="AF29" s="2">
        <v>68.83</v>
      </c>
      <c r="AG29" s="2">
        <v>9.8800000000000008</v>
      </c>
    </row>
    <row r="30" spans="1:33" x14ac:dyDescent="0.2">
      <c r="A30" s="3">
        <v>8826</v>
      </c>
      <c r="B30" s="2">
        <v>0.82</v>
      </c>
      <c r="C30" s="2">
        <v>11.1</v>
      </c>
      <c r="D30" s="2">
        <v>7.22</v>
      </c>
      <c r="E30" s="2">
        <v>37.42</v>
      </c>
      <c r="F30" s="2">
        <v>31.34</v>
      </c>
      <c r="G30" s="2">
        <v>39.619999999999997</v>
      </c>
      <c r="H30" s="2">
        <v>10.8</v>
      </c>
      <c r="I30" s="2">
        <v>12.25</v>
      </c>
      <c r="J30" s="2">
        <v>12.25</v>
      </c>
      <c r="K30" s="2">
        <v>-0.36</v>
      </c>
      <c r="L30" s="2">
        <v>-4.24</v>
      </c>
      <c r="M30" s="2">
        <v>-3.33</v>
      </c>
      <c r="N30" s="2">
        <v>-3.27</v>
      </c>
      <c r="O30" s="2">
        <v>7.45</v>
      </c>
      <c r="P30" s="2">
        <v>24.69</v>
      </c>
      <c r="Q30" s="2">
        <v>1.01</v>
      </c>
      <c r="R30" s="2">
        <v>0.89</v>
      </c>
      <c r="S30" s="2">
        <v>-1.18</v>
      </c>
      <c r="T30" s="2">
        <v>29.94</v>
      </c>
      <c r="U30" s="2">
        <v>5.32</v>
      </c>
      <c r="V30" s="2">
        <v>18.28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0.13</v>
      </c>
      <c r="AC30" s="2">
        <v>6.52</v>
      </c>
      <c r="AD30" s="2">
        <v>3.09</v>
      </c>
      <c r="AE30" s="2">
        <v>11.53</v>
      </c>
      <c r="AF30" s="2">
        <v>57.37</v>
      </c>
      <c r="AG30" s="2">
        <v>10.08</v>
      </c>
    </row>
    <row r="31" spans="1:33" x14ac:dyDescent="0.2">
      <c r="A31" s="3">
        <v>8857</v>
      </c>
      <c r="B31" s="2">
        <v>-0.97</v>
      </c>
      <c r="C31" s="2">
        <v>0.92</v>
      </c>
      <c r="D31" s="2">
        <v>-5.73</v>
      </c>
      <c r="E31" s="2">
        <v>-14.9</v>
      </c>
      <c r="F31" s="2">
        <v>-18.93</v>
      </c>
      <c r="G31" s="2">
        <v>-1.83</v>
      </c>
      <c r="H31" s="2">
        <v>-1.42</v>
      </c>
      <c r="I31" s="2">
        <v>7.61</v>
      </c>
      <c r="J31" s="2">
        <v>6.55</v>
      </c>
      <c r="K31" s="2">
        <v>18.899999999999999</v>
      </c>
      <c r="L31" s="2">
        <v>-3.13</v>
      </c>
      <c r="M31" s="2">
        <v>-1.56</v>
      </c>
      <c r="N31" s="2">
        <v>5.51</v>
      </c>
      <c r="O31" s="2">
        <v>13.27</v>
      </c>
      <c r="P31" s="2">
        <v>48.55</v>
      </c>
      <c r="Q31" s="2">
        <v>-0.78</v>
      </c>
      <c r="R31" s="2">
        <v>-1.29</v>
      </c>
      <c r="S31" s="2">
        <v>17.920000000000002</v>
      </c>
      <c r="T31" s="2">
        <v>37</v>
      </c>
      <c r="U31" s="2">
        <v>3.56</v>
      </c>
      <c r="V31" s="2">
        <v>23.23</v>
      </c>
      <c r="W31" s="2">
        <v>0</v>
      </c>
      <c r="X31" s="2">
        <v>7.0000000000000007E-2</v>
      </c>
      <c r="Y31" s="2">
        <v>0</v>
      </c>
      <c r="Z31" s="2">
        <v>0.55000000000000004</v>
      </c>
      <c r="AA31" s="2">
        <v>0.43</v>
      </c>
      <c r="AB31" s="2">
        <v>2.81</v>
      </c>
      <c r="AC31" s="2">
        <v>13.69</v>
      </c>
      <c r="AD31" s="2">
        <v>4.68</v>
      </c>
      <c r="AE31" s="2">
        <v>8.6300000000000008</v>
      </c>
      <c r="AF31" s="2">
        <v>67.7</v>
      </c>
      <c r="AG31" s="2">
        <v>10.69</v>
      </c>
    </row>
    <row r="32" spans="1:33" x14ac:dyDescent="0.2">
      <c r="A32" s="3">
        <v>8887</v>
      </c>
      <c r="B32" s="2">
        <v>-1.77</v>
      </c>
      <c r="C32" s="2">
        <v>-0.97</v>
      </c>
      <c r="D32" s="2">
        <v>-2.56</v>
      </c>
      <c r="E32" s="2">
        <v>-20.88</v>
      </c>
      <c r="F32" s="2">
        <v>2.08</v>
      </c>
      <c r="G32" s="2">
        <v>-3.87</v>
      </c>
      <c r="H32" s="2">
        <v>-1.77</v>
      </c>
      <c r="I32" s="2">
        <v>9.5</v>
      </c>
      <c r="J32" s="2">
        <v>6.82</v>
      </c>
      <c r="K32" s="2">
        <v>10.1</v>
      </c>
      <c r="L32" s="2">
        <v>1.67</v>
      </c>
      <c r="M32" s="2">
        <v>3.42</v>
      </c>
      <c r="N32" s="2">
        <v>21.1</v>
      </c>
      <c r="O32" s="2">
        <v>10.17</v>
      </c>
      <c r="P32" s="2">
        <v>77.94</v>
      </c>
      <c r="Q32" s="2">
        <v>2.46</v>
      </c>
      <c r="R32" s="2">
        <v>2.31</v>
      </c>
      <c r="S32" s="2">
        <v>7.57</v>
      </c>
      <c r="T32" s="2">
        <v>30.32</v>
      </c>
      <c r="U32" s="2">
        <v>6.32</v>
      </c>
      <c r="V32" s="2">
        <v>25.38</v>
      </c>
      <c r="W32" s="2">
        <v>0</v>
      </c>
      <c r="X32" s="2">
        <v>0.02</v>
      </c>
      <c r="Y32" s="2">
        <v>0</v>
      </c>
      <c r="Z32" s="2">
        <v>7.52</v>
      </c>
      <c r="AA32" s="2">
        <v>3.87</v>
      </c>
      <c r="AB32" s="2">
        <v>0.13</v>
      </c>
      <c r="AC32" s="2">
        <v>11.38</v>
      </c>
      <c r="AD32" s="2">
        <v>5.2</v>
      </c>
      <c r="AE32" s="2">
        <v>4.62</v>
      </c>
      <c r="AF32" s="2">
        <v>83.78</v>
      </c>
      <c r="AG32" s="2">
        <v>14.64</v>
      </c>
    </row>
    <row r="33" spans="1:33" x14ac:dyDescent="0.2">
      <c r="A33" s="3">
        <v>8918</v>
      </c>
      <c r="B33" s="2">
        <v>-2.84</v>
      </c>
      <c r="C33" s="2">
        <v>1.59</v>
      </c>
      <c r="D33" s="2">
        <v>-4.49</v>
      </c>
      <c r="E33" s="2">
        <v>-21.44</v>
      </c>
      <c r="F33" s="2">
        <v>-15.57</v>
      </c>
      <c r="G33" s="2">
        <v>-6.78</v>
      </c>
      <c r="H33" s="2">
        <v>-5.36</v>
      </c>
      <c r="I33" s="2">
        <v>9.42</v>
      </c>
      <c r="J33" s="2">
        <v>6.86</v>
      </c>
      <c r="K33" s="2">
        <v>20.94</v>
      </c>
      <c r="L33" s="2">
        <v>3.2</v>
      </c>
      <c r="M33" s="2">
        <v>9.4</v>
      </c>
      <c r="N33" s="2">
        <v>31.96</v>
      </c>
      <c r="O33" s="2">
        <v>20.98</v>
      </c>
      <c r="P33" s="2">
        <v>66.06</v>
      </c>
      <c r="Q33" s="2">
        <v>1.66</v>
      </c>
      <c r="R33" s="2">
        <v>2.5099999999999998</v>
      </c>
      <c r="S33" s="2">
        <v>8.59</v>
      </c>
      <c r="T33" s="2">
        <v>34.83</v>
      </c>
      <c r="U33" s="2">
        <v>5.32</v>
      </c>
      <c r="V33" s="2">
        <v>38.44</v>
      </c>
      <c r="W33" s="2">
        <v>4.88</v>
      </c>
      <c r="X33" s="2">
        <v>2.34</v>
      </c>
      <c r="Y33" s="2">
        <v>0.92</v>
      </c>
      <c r="Z33" s="2">
        <v>5.74</v>
      </c>
      <c r="AA33" s="2">
        <v>7.31</v>
      </c>
      <c r="AB33" s="2">
        <v>0</v>
      </c>
      <c r="AC33" s="2">
        <v>1.65</v>
      </c>
      <c r="AD33" s="2">
        <v>5.33</v>
      </c>
      <c r="AE33" s="2">
        <v>9.69</v>
      </c>
      <c r="AF33" s="2">
        <v>94.61</v>
      </c>
      <c r="AG33" s="2">
        <v>17.690000000000001</v>
      </c>
    </row>
    <row r="34" spans="1:33" x14ac:dyDescent="0.2">
      <c r="A34" s="3">
        <v>8948</v>
      </c>
      <c r="B34" s="2">
        <v>-3.42</v>
      </c>
      <c r="C34" s="2">
        <v>3.14</v>
      </c>
      <c r="D34" s="2">
        <v>-3.35</v>
      </c>
      <c r="E34" s="2">
        <v>-24.31</v>
      </c>
      <c r="F34" s="2">
        <v>-9.74</v>
      </c>
      <c r="G34" s="2">
        <v>-0.67</v>
      </c>
      <c r="H34" s="2">
        <v>-0.28000000000000003</v>
      </c>
      <c r="I34" s="2">
        <v>5.05</v>
      </c>
      <c r="J34" s="2">
        <v>-7.77</v>
      </c>
      <c r="K34" s="2">
        <v>-5.78</v>
      </c>
      <c r="L34" s="2">
        <v>-0.26</v>
      </c>
      <c r="M34" s="2">
        <v>-10.63</v>
      </c>
      <c r="N34" s="2">
        <v>-13.31</v>
      </c>
      <c r="O34" s="2">
        <v>31.2</v>
      </c>
      <c r="P34" s="2">
        <v>39.76</v>
      </c>
      <c r="Q34" s="2">
        <v>-1.97</v>
      </c>
      <c r="R34" s="2">
        <v>-3.21</v>
      </c>
      <c r="S34" s="2">
        <v>6.29</v>
      </c>
      <c r="T34" s="2">
        <v>48.72</v>
      </c>
      <c r="U34" s="2">
        <v>2.23</v>
      </c>
      <c r="V34" s="2">
        <v>44.88</v>
      </c>
      <c r="W34" s="2">
        <v>18.62</v>
      </c>
      <c r="X34" s="2">
        <v>7.16</v>
      </c>
      <c r="Y34" s="2">
        <v>6.4</v>
      </c>
      <c r="Z34" s="2">
        <v>0</v>
      </c>
      <c r="AA34" s="2">
        <v>0</v>
      </c>
      <c r="AB34" s="2">
        <v>0</v>
      </c>
      <c r="AC34" s="2">
        <v>0</v>
      </c>
      <c r="AD34" s="2">
        <v>5.0599999999999996</v>
      </c>
      <c r="AE34" s="2">
        <v>0.8</v>
      </c>
      <c r="AF34" s="2">
        <v>103.54</v>
      </c>
      <c r="AG34" s="2">
        <v>22.83</v>
      </c>
    </row>
    <row r="35" spans="1:33" x14ac:dyDescent="0.2">
      <c r="A35" s="3">
        <v>8979</v>
      </c>
      <c r="B35" s="2">
        <v>-3.87</v>
      </c>
      <c r="C35" s="2">
        <v>2.56</v>
      </c>
      <c r="D35" s="2">
        <v>-2.6</v>
      </c>
      <c r="E35" s="2">
        <v>-18.29</v>
      </c>
      <c r="F35" s="2">
        <v>3.95</v>
      </c>
      <c r="G35" s="2">
        <v>4.03</v>
      </c>
      <c r="H35" s="2">
        <v>5.26</v>
      </c>
      <c r="I35" s="2">
        <v>6.29</v>
      </c>
      <c r="J35" s="2">
        <v>-7.26</v>
      </c>
      <c r="K35" s="2">
        <v>13.72</v>
      </c>
      <c r="L35" s="2">
        <v>3.48</v>
      </c>
      <c r="M35" s="2">
        <v>-8.77</v>
      </c>
      <c r="N35" s="2">
        <v>-0.67</v>
      </c>
      <c r="O35" s="2">
        <v>33.090000000000003</v>
      </c>
      <c r="P35" s="2">
        <v>53.35</v>
      </c>
      <c r="Q35" s="2">
        <v>-2.39</v>
      </c>
      <c r="R35" s="2">
        <v>-4</v>
      </c>
      <c r="S35" s="2">
        <v>5.24</v>
      </c>
      <c r="T35" s="2">
        <v>46.94</v>
      </c>
      <c r="U35" s="2">
        <v>4.3600000000000003</v>
      </c>
      <c r="V35" s="2">
        <v>47.54</v>
      </c>
      <c r="W35" s="2">
        <v>30.39</v>
      </c>
      <c r="X35" s="2">
        <v>11.83</v>
      </c>
      <c r="Y35" s="2">
        <v>11.46</v>
      </c>
      <c r="Z35" s="2">
        <v>0</v>
      </c>
      <c r="AA35" s="2">
        <v>0</v>
      </c>
      <c r="AB35" s="2">
        <v>0</v>
      </c>
      <c r="AC35" s="2">
        <v>0</v>
      </c>
      <c r="AD35" s="2">
        <v>5.0999999999999996</v>
      </c>
      <c r="AE35" s="2">
        <v>0.31</v>
      </c>
      <c r="AF35" s="2">
        <v>112.76</v>
      </c>
      <c r="AG35" s="2">
        <v>24.8</v>
      </c>
    </row>
    <row r="36" spans="1:33" x14ac:dyDescent="0.2">
      <c r="A36" s="3">
        <v>9010</v>
      </c>
      <c r="B36" s="2">
        <v>-4.26</v>
      </c>
      <c r="C36" s="2">
        <v>2.83</v>
      </c>
      <c r="D36" s="2">
        <v>-2.15</v>
      </c>
      <c r="E36" s="2">
        <v>-14.88</v>
      </c>
      <c r="F36" s="2">
        <v>6.9</v>
      </c>
      <c r="G36" s="2">
        <v>7.94</v>
      </c>
      <c r="H36" s="2">
        <v>7.24</v>
      </c>
      <c r="I36" s="2">
        <v>7</v>
      </c>
      <c r="J36" s="2">
        <v>-2.0299999999999998</v>
      </c>
      <c r="K36" s="2">
        <v>18.36</v>
      </c>
      <c r="L36" s="2">
        <v>5.25</v>
      </c>
      <c r="M36" s="2">
        <v>-5.48</v>
      </c>
      <c r="N36" s="2">
        <v>4.58</v>
      </c>
      <c r="O36" s="2">
        <v>29</v>
      </c>
      <c r="P36" s="2">
        <v>46.52</v>
      </c>
      <c r="Q36" s="2">
        <v>-1.49</v>
      </c>
      <c r="R36" s="2">
        <v>-2.9</v>
      </c>
      <c r="S36" s="2">
        <v>6.31</v>
      </c>
      <c r="T36" s="2">
        <v>45.34</v>
      </c>
      <c r="U36" s="2">
        <v>4.17</v>
      </c>
      <c r="V36" s="2">
        <v>41.61</v>
      </c>
      <c r="W36" s="2">
        <v>31.47</v>
      </c>
      <c r="X36" s="2">
        <v>14.04</v>
      </c>
      <c r="Y36" s="2">
        <v>13.78</v>
      </c>
      <c r="Z36" s="2">
        <v>0</v>
      </c>
      <c r="AA36" s="2">
        <v>0</v>
      </c>
      <c r="AB36" s="2">
        <v>0</v>
      </c>
      <c r="AC36" s="2">
        <v>0</v>
      </c>
      <c r="AD36" s="2">
        <v>5.08</v>
      </c>
      <c r="AE36" s="2">
        <v>0.95</v>
      </c>
      <c r="AF36" s="2">
        <v>114.68</v>
      </c>
      <c r="AG36" s="2">
        <v>23.65</v>
      </c>
    </row>
    <row r="37" spans="1:33" x14ac:dyDescent="0.2">
      <c r="A37" s="3">
        <v>9040</v>
      </c>
      <c r="B37" s="2">
        <v>-4.8</v>
      </c>
      <c r="C37" s="2">
        <v>3.31</v>
      </c>
      <c r="D37" s="2">
        <v>-2.4</v>
      </c>
      <c r="E37" s="2">
        <v>-6.99</v>
      </c>
      <c r="F37" s="2">
        <v>9.7899999999999991</v>
      </c>
      <c r="G37" s="2">
        <v>12.31</v>
      </c>
      <c r="H37" s="2">
        <v>10.46</v>
      </c>
      <c r="I37" s="2">
        <v>9.82</v>
      </c>
      <c r="J37" s="2">
        <v>9.61</v>
      </c>
      <c r="K37" s="2">
        <v>4.12</v>
      </c>
      <c r="L37" s="2">
        <v>3.94</v>
      </c>
      <c r="M37" s="2">
        <v>-3.51</v>
      </c>
      <c r="N37" s="2">
        <v>8.01</v>
      </c>
      <c r="O37" s="2">
        <v>3.06</v>
      </c>
      <c r="P37" s="2">
        <v>22.09</v>
      </c>
      <c r="Q37" s="2">
        <v>1.51</v>
      </c>
      <c r="R37" s="2">
        <v>1.62</v>
      </c>
      <c r="S37" s="2">
        <v>-3.32</v>
      </c>
      <c r="T37" s="2">
        <v>29.43</v>
      </c>
      <c r="U37" s="2">
        <v>4.01</v>
      </c>
      <c r="V37" s="2">
        <v>19.82</v>
      </c>
      <c r="W37" s="2">
        <v>26.1</v>
      </c>
      <c r="X37" s="2">
        <v>13.47</v>
      </c>
      <c r="Y37" s="2">
        <v>13.01</v>
      </c>
      <c r="Z37" s="2">
        <v>0</v>
      </c>
      <c r="AA37" s="2">
        <v>0.72</v>
      </c>
      <c r="AB37" s="2">
        <v>0</v>
      </c>
      <c r="AC37" s="2">
        <v>0</v>
      </c>
      <c r="AD37" s="2">
        <v>4.58</v>
      </c>
      <c r="AE37" s="2">
        <v>3.04</v>
      </c>
      <c r="AF37" s="2">
        <v>106.81</v>
      </c>
      <c r="AG37" s="2">
        <v>20.170000000000002</v>
      </c>
    </row>
    <row r="38" spans="1:33" x14ac:dyDescent="0.2">
      <c r="A38" s="3">
        <v>9071</v>
      </c>
      <c r="B38" s="2">
        <v>-2.0299999999999998</v>
      </c>
      <c r="C38" s="2">
        <v>9.4</v>
      </c>
      <c r="D38" s="2">
        <v>11.85</v>
      </c>
      <c r="E38" s="2">
        <v>41.83</v>
      </c>
      <c r="F38" s="2">
        <v>33.99</v>
      </c>
      <c r="G38" s="2">
        <v>28.48</v>
      </c>
      <c r="H38" s="2">
        <v>17.18</v>
      </c>
      <c r="I38" s="2">
        <v>15.29</v>
      </c>
      <c r="J38" s="2">
        <v>18.940000000000001</v>
      </c>
      <c r="K38" s="2">
        <v>6.82</v>
      </c>
      <c r="L38" s="2">
        <v>6.36</v>
      </c>
      <c r="M38" s="2">
        <v>0.3</v>
      </c>
      <c r="N38" s="2">
        <v>6.5</v>
      </c>
      <c r="O38" s="2">
        <v>9.94</v>
      </c>
      <c r="P38" s="2">
        <v>27.46</v>
      </c>
      <c r="Q38" s="2">
        <v>1.23</v>
      </c>
      <c r="R38" s="2">
        <v>0.67</v>
      </c>
      <c r="S38" s="2">
        <v>-6.2</v>
      </c>
      <c r="T38" s="2">
        <v>29.57</v>
      </c>
      <c r="U38" s="2">
        <v>2.76</v>
      </c>
      <c r="V38" s="2">
        <v>19.34</v>
      </c>
      <c r="W38" s="2">
        <v>22.19</v>
      </c>
      <c r="X38" s="2">
        <v>12.62</v>
      </c>
      <c r="Y38" s="2">
        <v>12.15</v>
      </c>
      <c r="Z38" s="2">
        <v>0</v>
      </c>
      <c r="AA38" s="2">
        <v>0</v>
      </c>
      <c r="AB38" s="2">
        <v>0.33</v>
      </c>
      <c r="AC38" s="2">
        <v>4.91</v>
      </c>
      <c r="AD38" s="2">
        <v>3.82</v>
      </c>
      <c r="AE38" s="2">
        <v>3.77</v>
      </c>
      <c r="AF38" s="2">
        <v>96.89</v>
      </c>
      <c r="AG38" s="2">
        <v>16.420000000000002</v>
      </c>
    </row>
    <row r="39" spans="1:33" x14ac:dyDescent="0.2">
      <c r="A39" s="3">
        <v>9101</v>
      </c>
      <c r="B39" s="2">
        <v>-0.2</v>
      </c>
      <c r="C39" s="2">
        <v>8.06</v>
      </c>
      <c r="D39" s="2">
        <v>3.32</v>
      </c>
      <c r="E39" s="2">
        <v>29.4</v>
      </c>
      <c r="F39" s="2">
        <v>9.16</v>
      </c>
      <c r="G39" s="2">
        <v>26.09</v>
      </c>
      <c r="H39" s="2">
        <v>10.27</v>
      </c>
      <c r="I39" s="2">
        <v>14.21</v>
      </c>
      <c r="J39" s="2">
        <v>17.79</v>
      </c>
      <c r="K39" s="2">
        <v>14.49</v>
      </c>
      <c r="L39" s="2">
        <v>20.05</v>
      </c>
      <c r="M39" s="2">
        <v>5.39</v>
      </c>
      <c r="N39" s="2">
        <v>11.23</v>
      </c>
      <c r="O39" s="2">
        <v>4.62</v>
      </c>
      <c r="P39" s="2">
        <v>29.15</v>
      </c>
      <c r="Q39" s="2">
        <v>2.21</v>
      </c>
      <c r="R39" s="2">
        <v>1.55</v>
      </c>
      <c r="S39" s="2">
        <v>4.54</v>
      </c>
      <c r="T39" s="2">
        <v>28.01</v>
      </c>
      <c r="U39" s="2">
        <v>4.78</v>
      </c>
      <c r="V39" s="2">
        <v>17.510000000000002</v>
      </c>
      <c r="W39" s="2">
        <v>15.43</v>
      </c>
      <c r="X39" s="2">
        <v>8.1999999999999993</v>
      </c>
      <c r="Y39" s="2">
        <v>6.75</v>
      </c>
      <c r="Z39" s="2">
        <v>0</v>
      </c>
      <c r="AA39" s="2">
        <v>0</v>
      </c>
      <c r="AB39" s="2">
        <v>1.79</v>
      </c>
      <c r="AC39" s="2">
        <v>2.86</v>
      </c>
      <c r="AD39" s="2">
        <v>2.9</v>
      </c>
      <c r="AE39" s="2">
        <v>13.35</v>
      </c>
      <c r="AF39" s="2">
        <v>63.57</v>
      </c>
      <c r="AG39" s="2">
        <v>12.92</v>
      </c>
    </row>
    <row r="40" spans="1:33" x14ac:dyDescent="0.2">
      <c r="A40" s="3">
        <v>9132</v>
      </c>
      <c r="B40" s="2">
        <v>1.22</v>
      </c>
      <c r="C40" s="2">
        <v>14.5</v>
      </c>
      <c r="D40" s="2">
        <v>22.34</v>
      </c>
      <c r="E40" s="2">
        <v>56.38</v>
      </c>
      <c r="F40" s="2">
        <v>31.6</v>
      </c>
      <c r="G40" s="2">
        <v>58.4</v>
      </c>
      <c r="H40" s="2">
        <v>14.17</v>
      </c>
      <c r="I40" s="2">
        <v>19.93</v>
      </c>
      <c r="J40" s="2">
        <v>39.04</v>
      </c>
      <c r="K40" s="2">
        <v>15.53</v>
      </c>
      <c r="L40" s="2">
        <v>24.41</v>
      </c>
      <c r="M40" s="2">
        <v>12.59</v>
      </c>
      <c r="N40" s="2">
        <v>14.6</v>
      </c>
      <c r="O40" s="2">
        <v>4.51</v>
      </c>
      <c r="P40" s="2">
        <v>47.05</v>
      </c>
      <c r="Q40" s="2">
        <v>1.8</v>
      </c>
      <c r="R40" s="2">
        <v>2.34</v>
      </c>
      <c r="S40" s="2">
        <v>23.82</v>
      </c>
      <c r="T40" s="2">
        <v>28.14</v>
      </c>
      <c r="U40" s="2">
        <v>5.51</v>
      </c>
      <c r="V40" s="2">
        <v>16.34</v>
      </c>
      <c r="W40" s="2">
        <v>11.73</v>
      </c>
      <c r="X40" s="2">
        <v>6.31</v>
      </c>
      <c r="Y40" s="2">
        <v>6.08</v>
      </c>
      <c r="Z40" s="2">
        <v>3.01</v>
      </c>
      <c r="AA40" s="2">
        <v>5.0199999999999996</v>
      </c>
      <c r="AB40" s="2">
        <v>6.83</v>
      </c>
      <c r="AC40" s="2">
        <v>13.79</v>
      </c>
      <c r="AD40" s="2">
        <v>2.95</v>
      </c>
      <c r="AE40" s="2">
        <v>18.399999999999999</v>
      </c>
      <c r="AF40" s="2">
        <v>58.4</v>
      </c>
      <c r="AG40" s="2">
        <v>11.2</v>
      </c>
    </row>
    <row r="41" spans="1:33" x14ac:dyDescent="0.2">
      <c r="A41" s="3">
        <v>9163</v>
      </c>
      <c r="B41" s="2">
        <v>2.0699999999999998</v>
      </c>
      <c r="C41" s="2">
        <v>11.32</v>
      </c>
      <c r="D41" s="2">
        <v>-1.94</v>
      </c>
      <c r="E41" s="2">
        <v>6.36</v>
      </c>
      <c r="F41" s="2">
        <v>-4.6900000000000004</v>
      </c>
      <c r="G41" s="2">
        <v>13.74</v>
      </c>
      <c r="H41" s="2">
        <v>3.16</v>
      </c>
      <c r="I41" s="2">
        <v>14.17</v>
      </c>
      <c r="J41" s="2">
        <v>13.36</v>
      </c>
      <c r="K41" s="2">
        <v>0.98</v>
      </c>
      <c r="L41" s="2">
        <v>-8.1</v>
      </c>
      <c r="M41" s="2">
        <v>-5.39</v>
      </c>
      <c r="N41" s="2">
        <v>4.18</v>
      </c>
      <c r="O41" s="2">
        <v>4.2</v>
      </c>
      <c r="P41" s="2">
        <v>29.25</v>
      </c>
      <c r="Q41" s="2">
        <v>1.25</v>
      </c>
      <c r="R41" s="2">
        <v>2.23</v>
      </c>
      <c r="S41" s="2">
        <v>-0.53</v>
      </c>
      <c r="T41" s="2">
        <v>28.85</v>
      </c>
      <c r="U41" s="2">
        <v>4.43</v>
      </c>
      <c r="V41" s="2">
        <v>18.16</v>
      </c>
      <c r="W41" s="2">
        <v>4.26</v>
      </c>
      <c r="X41" s="2">
        <v>10.15</v>
      </c>
      <c r="Y41" s="2">
        <v>8.81</v>
      </c>
      <c r="Z41" s="2">
        <v>0</v>
      </c>
      <c r="AA41" s="2">
        <v>0.86</v>
      </c>
      <c r="AB41" s="2">
        <v>1.63</v>
      </c>
      <c r="AC41" s="2">
        <v>7.62</v>
      </c>
      <c r="AD41" s="2">
        <v>2.94</v>
      </c>
      <c r="AE41" s="2">
        <v>19.2</v>
      </c>
      <c r="AF41" s="2">
        <v>71.459999999999994</v>
      </c>
      <c r="AG41" s="2">
        <v>9.8800000000000008</v>
      </c>
    </row>
    <row r="42" spans="1:33" x14ac:dyDescent="0.2">
      <c r="A42" s="3">
        <v>9191</v>
      </c>
      <c r="B42" s="2">
        <v>14.07</v>
      </c>
      <c r="C42" s="2">
        <v>45.66</v>
      </c>
      <c r="D42" s="2">
        <v>65.48</v>
      </c>
      <c r="E42" s="2">
        <v>190.84</v>
      </c>
      <c r="F42" s="2">
        <v>149.21</v>
      </c>
      <c r="G42" s="2">
        <v>221.09</v>
      </c>
      <c r="H42" s="2">
        <v>39.159999999999997</v>
      </c>
      <c r="I42" s="2">
        <v>41.33</v>
      </c>
      <c r="J42" s="2">
        <v>101.7</v>
      </c>
      <c r="K42" s="2">
        <v>43.97</v>
      </c>
      <c r="L42" s="2">
        <v>48.76</v>
      </c>
      <c r="M42" s="2">
        <v>17.87</v>
      </c>
      <c r="N42" s="2">
        <v>43.97</v>
      </c>
      <c r="O42" s="2">
        <v>4.66</v>
      </c>
      <c r="P42" s="2">
        <v>47.67</v>
      </c>
      <c r="Q42" s="2">
        <v>2.35</v>
      </c>
      <c r="R42" s="2">
        <v>4.04</v>
      </c>
      <c r="S42" s="2">
        <v>6.6</v>
      </c>
      <c r="T42" s="2">
        <v>28.95</v>
      </c>
      <c r="U42" s="2">
        <v>5.1100000000000003</v>
      </c>
      <c r="V42" s="2">
        <v>15.16</v>
      </c>
      <c r="W42" s="2">
        <v>0</v>
      </c>
      <c r="X42" s="2">
        <v>3.57</v>
      </c>
      <c r="Y42" s="2">
        <v>3.61</v>
      </c>
      <c r="Z42" s="2">
        <v>0</v>
      </c>
      <c r="AA42" s="2">
        <v>0</v>
      </c>
      <c r="AB42" s="2">
        <v>0.38</v>
      </c>
      <c r="AC42" s="2">
        <v>6.67</v>
      </c>
      <c r="AD42" s="2">
        <v>3.43</v>
      </c>
      <c r="AE42" s="2">
        <v>17.329999999999998</v>
      </c>
      <c r="AF42" s="2">
        <v>59.57</v>
      </c>
      <c r="AG42" s="2">
        <v>10.08</v>
      </c>
    </row>
    <row r="43" spans="1:33" x14ac:dyDescent="0.2">
      <c r="A43" s="3">
        <v>9222</v>
      </c>
      <c r="B43" s="2">
        <v>5.77</v>
      </c>
      <c r="C43" s="2">
        <v>15.79</v>
      </c>
      <c r="D43" s="2">
        <v>-21.37</v>
      </c>
      <c r="E43" s="2">
        <v>-63.59</v>
      </c>
      <c r="F43" s="2">
        <v>-59.3</v>
      </c>
      <c r="G43" s="2">
        <v>-55.04</v>
      </c>
      <c r="H43" s="2">
        <v>0.44</v>
      </c>
      <c r="I43" s="2">
        <v>18.190000000000001</v>
      </c>
      <c r="J43" s="2">
        <v>2.98</v>
      </c>
      <c r="K43" s="2">
        <v>-3.24</v>
      </c>
      <c r="L43" s="2">
        <v>19.88</v>
      </c>
      <c r="M43" s="2">
        <v>9.59</v>
      </c>
      <c r="N43" s="2">
        <v>14.43</v>
      </c>
      <c r="O43" s="2">
        <v>14.23</v>
      </c>
      <c r="P43" s="2">
        <v>85.96</v>
      </c>
      <c r="Q43" s="2">
        <v>3.25</v>
      </c>
      <c r="R43" s="2">
        <v>1.92</v>
      </c>
      <c r="S43" s="2">
        <v>21.1</v>
      </c>
      <c r="T43" s="2">
        <v>38.61</v>
      </c>
      <c r="U43" s="2">
        <v>4.29</v>
      </c>
      <c r="V43" s="2">
        <v>25.33</v>
      </c>
      <c r="W43" s="2">
        <v>0</v>
      </c>
      <c r="X43" s="2">
        <v>4.51</v>
      </c>
      <c r="Y43" s="2">
        <v>3.52</v>
      </c>
      <c r="Z43" s="2">
        <v>1.37</v>
      </c>
      <c r="AA43" s="2">
        <v>1.58</v>
      </c>
      <c r="AB43" s="2">
        <v>0</v>
      </c>
      <c r="AC43" s="2">
        <v>16.649999999999999</v>
      </c>
      <c r="AD43" s="2">
        <v>5.0599999999999996</v>
      </c>
      <c r="AE43" s="2">
        <v>16.690000000000001</v>
      </c>
      <c r="AF43" s="2">
        <v>70.290000000000006</v>
      </c>
      <c r="AG43" s="2">
        <v>10.69</v>
      </c>
    </row>
    <row r="44" spans="1:33" x14ac:dyDescent="0.2">
      <c r="A44" s="3">
        <v>9252</v>
      </c>
      <c r="B44" s="2">
        <v>7.44</v>
      </c>
      <c r="C44" s="2">
        <v>15.37</v>
      </c>
      <c r="D44" s="2">
        <v>1.25</v>
      </c>
      <c r="E44" s="2">
        <v>8.91</v>
      </c>
      <c r="F44" s="2">
        <v>25.76</v>
      </c>
      <c r="G44" s="2">
        <v>-13.84</v>
      </c>
      <c r="H44" s="2">
        <v>10.6</v>
      </c>
      <c r="I44" s="2">
        <v>28.13</v>
      </c>
      <c r="J44" s="2">
        <v>48.85</v>
      </c>
      <c r="K44" s="2">
        <v>48.08</v>
      </c>
      <c r="L44" s="2">
        <v>63.18</v>
      </c>
      <c r="M44" s="2">
        <v>46</v>
      </c>
      <c r="N44" s="2">
        <v>51.24</v>
      </c>
      <c r="O44" s="2">
        <v>6.9</v>
      </c>
      <c r="P44" s="2">
        <v>87.93</v>
      </c>
      <c r="Q44" s="2">
        <v>6.58</v>
      </c>
      <c r="R44" s="2">
        <v>2.13</v>
      </c>
      <c r="S44" s="2">
        <v>10.56</v>
      </c>
      <c r="T44" s="2">
        <v>28.04</v>
      </c>
      <c r="U44" s="2">
        <v>6.53</v>
      </c>
      <c r="V44" s="2">
        <v>24.88</v>
      </c>
      <c r="W44" s="2">
        <v>0</v>
      </c>
      <c r="X44" s="2">
        <v>5.5</v>
      </c>
      <c r="Y44" s="2">
        <v>4.79</v>
      </c>
      <c r="Z44" s="2">
        <v>0</v>
      </c>
      <c r="AA44" s="2">
        <v>0.43</v>
      </c>
      <c r="AB44" s="2">
        <v>1.84</v>
      </c>
      <c r="AC44" s="2">
        <v>7.37</v>
      </c>
      <c r="AD44" s="2">
        <v>5.72</v>
      </c>
      <c r="AE44" s="2">
        <v>4.62</v>
      </c>
      <c r="AF44" s="2">
        <v>86.98</v>
      </c>
      <c r="AG44" s="2">
        <v>14.64</v>
      </c>
    </row>
    <row r="45" spans="1:33" x14ac:dyDescent="0.2">
      <c r="A45" s="3">
        <v>9283</v>
      </c>
      <c r="B45" s="2">
        <v>1.8</v>
      </c>
      <c r="C45" s="2">
        <v>10.31</v>
      </c>
      <c r="D45" s="2">
        <v>-5.18</v>
      </c>
      <c r="E45" s="2">
        <v>-42.27</v>
      </c>
      <c r="F45" s="2">
        <v>-26.75</v>
      </c>
      <c r="G45" s="2">
        <v>-30.67</v>
      </c>
      <c r="H45" s="2">
        <v>-2.35</v>
      </c>
      <c r="I45" s="2">
        <v>22.52</v>
      </c>
      <c r="J45" s="2">
        <v>50.96</v>
      </c>
      <c r="K45" s="2">
        <v>61.28</v>
      </c>
      <c r="L45" s="2">
        <v>63.75</v>
      </c>
      <c r="M45" s="2">
        <v>56.36</v>
      </c>
      <c r="N45" s="2">
        <v>63.93</v>
      </c>
      <c r="O45" s="2">
        <v>13.92</v>
      </c>
      <c r="P45" s="2">
        <v>94.77</v>
      </c>
      <c r="Q45" s="2">
        <v>11.47</v>
      </c>
      <c r="R45" s="2">
        <v>9.24</v>
      </c>
      <c r="S45" s="2">
        <v>5.99</v>
      </c>
      <c r="T45" s="2">
        <v>34.4</v>
      </c>
      <c r="U45" s="2">
        <v>5.23</v>
      </c>
      <c r="V45" s="2">
        <v>31.19</v>
      </c>
      <c r="W45" s="2">
        <v>4.88</v>
      </c>
      <c r="X45" s="2">
        <v>8.5399999999999991</v>
      </c>
      <c r="Y45" s="2">
        <v>7.17</v>
      </c>
      <c r="Z45" s="2">
        <v>0</v>
      </c>
      <c r="AA45" s="2">
        <v>0.43</v>
      </c>
      <c r="AB45" s="2">
        <v>0.11</v>
      </c>
      <c r="AC45" s="2">
        <v>1.4</v>
      </c>
      <c r="AD45" s="2">
        <v>6.21</v>
      </c>
      <c r="AE45" s="2">
        <v>2.83</v>
      </c>
      <c r="AF45" s="2">
        <v>98.23</v>
      </c>
      <c r="AG45" s="2">
        <v>17.690000000000001</v>
      </c>
    </row>
    <row r="46" spans="1:33" x14ac:dyDescent="0.2">
      <c r="A46" s="3">
        <v>9313</v>
      </c>
      <c r="B46" s="2">
        <v>-2.1800000000000002</v>
      </c>
      <c r="C46" s="2">
        <v>3.58</v>
      </c>
      <c r="D46" s="2">
        <v>-12.37</v>
      </c>
      <c r="E46" s="2">
        <v>-62.81</v>
      </c>
      <c r="F46" s="2">
        <v>-36.21</v>
      </c>
      <c r="G46" s="2">
        <v>-41.7</v>
      </c>
      <c r="H46" s="2">
        <v>-9.9600000000000009</v>
      </c>
      <c r="I46" s="2">
        <v>10.81</v>
      </c>
      <c r="J46" s="2">
        <v>-18.579999999999998</v>
      </c>
      <c r="K46" s="2">
        <v>-22.67</v>
      </c>
      <c r="L46" s="2">
        <v>-38.51</v>
      </c>
      <c r="M46" s="2">
        <v>-19.82</v>
      </c>
      <c r="N46" s="2">
        <v>16.25</v>
      </c>
      <c r="O46" s="2">
        <v>34.200000000000003</v>
      </c>
      <c r="P46" s="2">
        <v>73.260000000000005</v>
      </c>
      <c r="Q46" s="2">
        <v>6.88</v>
      </c>
      <c r="R46" s="2">
        <v>5.28</v>
      </c>
      <c r="S46" s="2">
        <v>4.0199999999999996</v>
      </c>
      <c r="T46" s="2">
        <v>48.86</v>
      </c>
      <c r="U46" s="2">
        <v>2.98</v>
      </c>
      <c r="V46" s="2">
        <v>34.51</v>
      </c>
      <c r="W46" s="2">
        <v>18.62</v>
      </c>
      <c r="X46" s="2">
        <v>13.93</v>
      </c>
      <c r="Y46" s="2">
        <v>13.25</v>
      </c>
      <c r="Z46" s="2">
        <v>0</v>
      </c>
      <c r="AA46" s="2">
        <v>4.59</v>
      </c>
      <c r="AB46" s="2">
        <v>0.05</v>
      </c>
      <c r="AC46" s="2">
        <v>1.91</v>
      </c>
      <c r="AD46" s="2">
        <v>6.15</v>
      </c>
      <c r="AE46" s="2">
        <v>0.72</v>
      </c>
      <c r="AF46" s="2">
        <v>107.5</v>
      </c>
      <c r="AG46" s="2">
        <v>22.83</v>
      </c>
    </row>
    <row r="47" spans="1:33" x14ac:dyDescent="0.2">
      <c r="A47" s="3">
        <v>9344</v>
      </c>
      <c r="B47" s="2">
        <v>-4.04</v>
      </c>
      <c r="C47" s="2">
        <v>3.37</v>
      </c>
      <c r="D47" s="2">
        <v>-10.76</v>
      </c>
      <c r="E47" s="2">
        <v>-52.45</v>
      </c>
      <c r="F47" s="2">
        <v>-13.71</v>
      </c>
      <c r="G47" s="2">
        <v>-36.25</v>
      </c>
      <c r="H47" s="2">
        <v>-4.7300000000000004</v>
      </c>
      <c r="I47" s="2">
        <v>5.72</v>
      </c>
      <c r="J47" s="2">
        <v>-41.99</v>
      </c>
      <c r="K47" s="2">
        <v>-49.96</v>
      </c>
      <c r="L47" s="2">
        <v>-66.430000000000007</v>
      </c>
      <c r="M47" s="2">
        <v>-38.39</v>
      </c>
      <c r="N47" s="2">
        <v>-6.77</v>
      </c>
      <c r="O47" s="2">
        <v>39.97</v>
      </c>
      <c r="P47" s="2">
        <v>64.260000000000005</v>
      </c>
      <c r="Q47" s="2">
        <v>2.4500000000000002</v>
      </c>
      <c r="R47" s="2">
        <v>1.46</v>
      </c>
      <c r="S47" s="2">
        <v>8.5500000000000007</v>
      </c>
      <c r="T47" s="2">
        <v>44.77</v>
      </c>
      <c r="U47" s="2">
        <v>5.12</v>
      </c>
      <c r="V47" s="2">
        <v>34.33</v>
      </c>
      <c r="W47" s="2">
        <v>30.39</v>
      </c>
      <c r="X47" s="2">
        <v>19.22</v>
      </c>
      <c r="Y47" s="2">
        <v>18.899999999999999</v>
      </c>
      <c r="Z47" s="2">
        <v>0</v>
      </c>
      <c r="AA47" s="2">
        <v>1</v>
      </c>
      <c r="AB47" s="2">
        <v>2.33</v>
      </c>
      <c r="AC47" s="2">
        <v>0</v>
      </c>
      <c r="AD47" s="2">
        <v>5.84</v>
      </c>
      <c r="AE47" s="2">
        <v>0.11</v>
      </c>
      <c r="AF47" s="2">
        <v>117.07</v>
      </c>
      <c r="AG47" s="2">
        <v>24.8</v>
      </c>
    </row>
    <row r="48" spans="1:33" x14ac:dyDescent="0.2">
      <c r="A48" s="3">
        <v>9375</v>
      </c>
      <c r="B48" s="2">
        <v>-4.3499999999999996</v>
      </c>
      <c r="C48" s="2">
        <v>4.3899999999999997</v>
      </c>
      <c r="D48" s="2">
        <v>-5.83</v>
      </c>
      <c r="E48" s="2">
        <v>-30.66</v>
      </c>
      <c r="F48" s="2">
        <v>-7.99</v>
      </c>
      <c r="G48" s="2">
        <v>-22.96</v>
      </c>
      <c r="H48" s="2">
        <v>1.58</v>
      </c>
      <c r="I48" s="2">
        <v>6.23</v>
      </c>
      <c r="J48" s="2">
        <v>-27.03</v>
      </c>
      <c r="K48" s="2">
        <v>-29.14</v>
      </c>
      <c r="L48" s="2">
        <v>-29.82</v>
      </c>
      <c r="M48" s="2">
        <v>-24.98</v>
      </c>
      <c r="N48" s="2">
        <v>-9.8699999999999992</v>
      </c>
      <c r="O48" s="2">
        <v>32.380000000000003</v>
      </c>
      <c r="P48" s="2">
        <v>51.78</v>
      </c>
      <c r="Q48" s="2">
        <v>0.21</v>
      </c>
      <c r="R48" s="2">
        <v>0.02</v>
      </c>
      <c r="S48" s="2">
        <v>8.14</v>
      </c>
      <c r="T48" s="2">
        <v>44.5</v>
      </c>
      <c r="U48" s="2">
        <v>5.35</v>
      </c>
      <c r="V48" s="2">
        <v>33.200000000000003</v>
      </c>
      <c r="W48" s="2">
        <v>31.47</v>
      </c>
      <c r="X48" s="2">
        <v>21.55</v>
      </c>
      <c r="Y48" s="2">
        <v>21.36</v>
      </c>
      <c r="Z48" s="2">
        <v>0</v>
      </c>
      <c r="AA48" s="2">
        <v>0.14000000000000001</v>
      </c>
      <c r="AB48" s="2">
        <v>1.68</v>
      </c>
      <c r="AC48" s="2">
        <v>0</v>
      </c>
      <c r="AD48" s="2">
        <v>5.49</v>
      </c>
      <c r="AE48" s="2">
        <v>0.18</v>
      </c>
      <c r="AF48" s="2">
        <v>119.06</v>
      </c>
      <c r="AG48" s="2">
        <v>23.65</v>
      </c>
    </row>
    <row r="49" spans="1:33" x14ac:dyDescent="0.2">
      <c r="A49" s="3">
        <v>9405</v>
      </c>
      <c r="B49" s="2">
        <v>-3.36</v>
      </c>
      <c r="C49" s="2">
        <v>5.43</v>
      </c>
      <c r="D49" s="2">
        <v>-1.24</v>
      </c>
      <c r="E49" s="2">
        <v>-15.45</v>
      </c>
      <c r="F49" s="2">
        <v>0.15</v>
      </c>
      <c r="G49" s="2">
        <v>-6.6</v>
      </c>
      <c r="H49" s="2">
        <v>7.78</v>
      </c>
      <c r="I49" s="2">
        <v>10.09</v>
      </c>
      <c r="J49" s="2">
        <v>-3.25</v>
      </c>
      <c r="K49" s="2">
        <v>-15.08</v>
      </c>
      <c r="L49" s="2">
        <v>-9.3800000000000008</v>
      </c>
      <c r="M49" s="2">
        <v>-8.19</v>
      </c>
      <c r="N49" s="2">
        <v>1.1399999999999999</v>
      </c>
      <c r="O49" s="2">
        <v>2.57</v>
      </c>
      <c r="P49" s="2">
        <v>17.87</v>
      </c>
      <c r="Q49" s="2">
        <v>1.62</v>
      </c>
      <c r="R49" s="2">
        <v>2.94</v>
      </c>
      <c r="S49" s="2">
        <v>-1.94</v>
      </c>
      <c r="T49" s="2">
        <v>28.6</v>
      </c>
      <c r="U49" s="2">
        <v>4.13</v>
      </c>
      <c r="V49" s="2">
        <v>15.63</v>
      </c>
      <c r="W49" s="2">
        <v>26.1</v>
      </c>
      <c r="X49" s="2">
        <v>20.46</v>
      </c>
      <c r="Y49" s="2">
        <v>20.07</v>
      </c>
      <c r="Z49" s="2">
        <v>0</v>
      </c>
      <c r="AA49" s="2">
        <v>0</v>
      </c>
      <c r="AB49" s="2">
        <v>0</v>
      </c>
      <c r="AC49" s="2">
        <v>0</v>
      </c>
      <c r="AD49" s="2">
        <v>4.8499999999999996</v>
      </c>
      <c r="AE49" s="2">
        <v>1.18</v>
      </c>
      <c r="AF49" s="2">
        <v>110.9</v>
      </c>
      <c r="AG49" s="2">
        <v>20.170000000000002</v>
      </c>
    </row>
    <row r="50" spans="1:33" x14ac:dyDescent="0.2">
      <c r="A50" s="3">
        <v>9436</v>
      </c>
      <c r="B50" s="2">
        <v>-1.67</v>
      </c>
      <c r="C50" s="2">
        <v>5.64</v>
      </c>
      <c r="D50" s="2">
        <v>-4.93</v>
      </c>
      <c r="E50" s="2">
        <v>3.16</v>
      </c>
      <c r="F50" s="2">
        <v>3.31</v>
      </c>
      <c r="G50" s="2">
        <v>3.96</v>
      </c>
      <c r="H50" s="2">
        <v>10.79</v>
      </c>
      <c r="I50" s="2">
        <v>11.9</v>
      </c>
      <c r="J50" s="2">
        <v>5.05</v>
      </c>
      <c r="K50" s="2">
        <v>-1.1399999999999999</v>
      </c>
      <c r="L50" s="2">
        <v>8.1</v>
      </c>
      <c r="M50" s="2">
        <v>0.76</v>
      </c>
      <c r="N50" s="2">
        <v>6.12</v>
      </c>
      <c r="O50" s="2">
        <v>9.66</v>
      </c>
      <c r="P50" s="2">
        <v>27.39</v>
      </c>
      <c r="Q50" s="2">
        <v>0</v>
      </c>
      <c r="R50" s="2">
        <v>1.34</v>
      </c>
      <c r="S50" s="2">
        <v>-2.79</v>
      </c>
      <c r="T50" s="2">
        <v>29.5</v>
      </c>
      <c r="U50" s="2">
        <v>2.83</v>
      </c>
      <c r="V50" s="2">
        <v>16.88</v>
      </c>
      <c r="W50" s="2">
        <v>22.19</v>
      </c>
      <c r="X50" s="2">
        <v>18.95</v>
      </c>
      <c r="Y50" s="2">
        <v>18.55</v>
      </c>
      <c r="Z50" s="2">
        <v>26.24</v>
      </c>
      <c r="AA50" s="2">
        <v>39.29</v>
      </c>
      <c r="AB50" s="2">
        <v>1.33</v>
      </c>
      <c r="AC50" s="2">
        <v>2.2599999999999998</v>
      </c>
      <c r="AD50" s="2">
        <v>3.86</v>
      </c>
      <c r="AE50" s="2">
        <v>3.77</v>
      </c>
      <c r="AF50" s="2">
        <v>100.59</v>
      </c>
      <c r="AG50" s="2">
        <v>16.420000000000002</v>
      </c>
    </row>
    <row r="51" spans="1:33" x14ac:dyDescent="0.2">
      <c r="A51" s="3">
        <v>9466</v>
      </c>
      <c r="B51" s="2">
        <v>-0.92</v>
      </c>
      <c r="C51" s="2">
        <v>5.93</v>
      </c>
      <c r="D51" s="2">
        <v>-0.1</v>
      </c>
      <c r="E51" s="2">
        <v>12.1</v>
      </c>
      <c r="F51" s="2">
        <v>7.16</v>
      </c>
      <c r="G51" s="2">
        <v>10.86</v>
      </c>
      <c r="H51" s="2">
        <v>8.09</v>
      </c>
      <c r="I51" s="2">
        <v>11</v>
      </c>
      <c r="J51" s="2">
        <v>11.65</v>
      </c>
      <c r="K51" s="2">
        <v>3.44</v>
      </c>
      <c r="L51" s="2">
        <v>6.92</v>
      </c>
      <c r="M51" s="2">
        <v>1.86</v>
      </c>
      <c r="N51" s="2">
        <v>3.11</v>
      </c>
      <c r="O51" s="2">
        <v>3.22</v>
      </c>
      <c r="P51" s="2">
        <v>21.78</v>
      </c>
      <c r="Q51" s="2">
        <v>2.1800000000000002</v>
      </c>
      <c r="R51" s="2">
        <v>1.3</v>
      </c>
      <c r="S51" s="2">
        <v>-4.3</v>
      </c>
      <c r="T51" s="2">
        <v>26.71</v>
      </c>
      <c r="U51" s="2">
        <v>4.1900000000000004</v>
      </c>
      <c r="V51" s="2">
        <v>14.58</v>
      </c>
      <c r="W51" s="2">
        <v>15.43</v>
      </c>
      <c r="X51" s="2">
        <v>12.38</v>
      </c>
      <c r="Y51" s="2">
        <v>10.97</v>
      </c>
      <c r="Z51" s="2">
        <v>9.16</v>
      </c>
      <c r="AA51" s="2">
        <v>0.56999999999999995</v>
      </c>
      <c r="AB51" s="2">
        <v>1.28</v>
      </c>
      <c r="AC51" s="2">
        <v>2.76</v>
      </c>
      <c r="AD51" s="2">
        <v>2.87</v>
      </c>
      <c r="AE51" s="2">
        <v>13.35</v>
      </c>
      <c r="AF51" s="2">
        <v>66</v>
      </c>
      <c r="AG51" s="2">
        <v>12.92</v>
      </c>
    </row>
    <row r="52" spans="1:33" x14ac:dyDescent="0.2">
      <c r="A52" s="3">
        <v>9497</v>
      </c>
      <c r="B52" s="2">
        <v>0.15</v>
      </c>
      <c r="C52" s="2">
        <v>8.1300000000000008</v>
      </c>
      <c r="D52" s="2">
        <v>2.06</v>
      </c>
      <c r="E52" s="2">
        <v>20.36</v>
      </c>
      <c r="F52" s="2">
        <v>9.17</v>
      </c>
      <c r="G52" s="2">
        <v>9.51</v>
      </c>
      <c r="H52" s="2">
        <v>7.39</v>
      </c>
      <c r="I52" s="2">
        <v>11.79</v>
      </c>
      <c r="J52" s="2">
        <v>13.96</v>
      </c>
      <c r="K52" s="2">
        <v>4.18</v>
      </c>
      <c r="L52" s="2">
        <v>12.29</v>
      </c>
      <c r="M52" s="2">
        <v>4.8099999999999996</v>
      </c>
      <c r="N52" s="2">
        <v>5.29</v>
      </c>
      <c r="O52" s="2">
        <v>2.64</v>
      </c>
      <c r="P52" s="2">
        <v>26.26</v>
      </c>
      <c r="Q52" s="2">
        <v>1.34</v>
      </c>
      <c r="R52" s="2">
        <v>1.29</v>
      </c>
      <c r="S52" s="2">
        <v>-0.83</v>
      </c>
      <c r="T52" s="2">
        <v>26.09</v>
      </c>
      <c r="U52" s="2">
        <v>4.71</v>
      </c>
      <c r="V52" s="2">
        <v>14.09</v>
      </c>
      <c r="W52" s="2">
        <v>11.73</v>
      </c>
      <c r="X52" s="2">
        <v>10.14</v>
      </c>
      <c r="Y52" s="2">
        <v>9.9600000000000009</v>
      </c>
      <c r="Z52" s="2">
        <v>5.88</v>
      </c>
      <c r="AA52" s="2">
        <v>2.44</v>
      </c>
      <c r="AB52" s="2">
        <v>0.69</v>
      </c>
      <c r="AC52" s="2">
        <v>5.01</v>
      </c>
      <c r="AD52" s="2">
        <v>2.89</v>
      </c>
      <c r="AE52" s="2">
        <v>18.399999999999999</v>
      </c>
      <c r="AF52" s="2">
        <v>60.63</v>
      </c>
      <c r="AG52" s="2">
        <v>11.2</v>
      </c>
    </row>
    <row r="53" spans="1:33" x14ac:dyDescent="0.2">
      <c r="A53" s="3">
        <v>9528</v>
      </c>
      <c r="B53" s="2">
        <v>1.72</v>
      </c>
      <c r="C53" s="2">
        <v>14.96</v>
      </c>
      <c r="D53" s="2">
        <v>19.37</v>
      </c>
      <c r="E53" s="2">
        <v>52.72</v>
      </c>
      <c r="F53" s="2">
        <v>25.08</v>
      </c>
      <c r="G53" s="2">
        <v>51.62</v>
      </c>
      <c r="H53" s="2">
        <v>12.05</v>
      </c>
      <c r="I53" s="2">
        <v>14.47</v>
      </c>
      <c r="J53" s="2">
        <v>19.149999999999999</v>
      </c>
      <c r="K53" s="2">
        <v>3.36</v>
      </c>
      <c r="L53" s="2">
        <v>0.98</v>
      </c>
      <c r="M53" s="2">
        <v>-2.44</v>
      </c>
      <c r="N53" s="2">
        <v>0.4</v>
      </c>
      <c r="O53" s="2">
        <v>2.98</v>
      </c>
      <c r="P53" s="2">
        <v>23.84</v>
      </c>
      <c r="Q53" s="2">
        <v>0.4</v>
      </c>
      <c r="R53" s="2">
        <v>0.74</v>
      </c>
      <c r="S53" s="2">
        <v>-1.42</v>
      </c>
      <c r="T53" s="2">
        <v>26.13</v>
      </c>
      <c r="U53" s="2">
        <v>3.15</v>
      </c>
      <c r="V53" s="2">
        <v>17.66</v>
      </c>
      <c r="W53" s="2">
        <v>4.26</v>
      </c>
      <c r="X53" s="2">
        <v>7.21</v>
      </c>
      <c r="Y53" s="2">
        <v>5.93</v>
      </c>
      <c r="Z53" s="2">
        <v>1.37</v>
      </c>
      <c r="AA53" s="2">
        <v>2.72</v>
      </c>
      <c r="AB53" s="2">
        <v>3.25</v>
      </c>
      <c r="AC53" s="2">
        <v>1.75</v>
      </c>
      <c r="AD53" s="2">
        <v>2.87</v>
      </c>
      <c r="AE53" s="2">
        <v>19.2</v>
      </c>
      <c r="AF53" s="2">
        <v>75.3</v>
      </c>
      <c r="AG53" s="2">
        <v>9.8800000000000008</v>
      </c>
    </row>
    <row r="54" spans="1:33" x14ac:dyDescent="0.2">
      <c r="A54" s="3">
        <v>9556</v>
      </c>
      <c r="B54" s="2">
        <v>9.82</v>
      </c>
      <c r="C54" s="2">
        <v>30.2</v>
      </c>
      <c r="D54" s="2">
        <v>41.71</v>
      </c>
      <c r="E54" s="2">
        <v>119.59</v>
      </c>
      <c r="F54" s="2">
        <v>115.51</v>
      </c>
      <c r="G54" s="2">
        <v>176.61</v>
      </c>
      <c r="H54" s="2">
        <v>30.62</v>
      </c>
      <c r="I54" s="2">
        <v>30.13</v>
      </c>
      <c r="J54" s="2">
        <v>71.930000000000007</v>
      </c>
      <c r="K54" s="2">
        <v>31.31</v>
      </c>
      <c r="L54" s="2">
        <v>-3.17</v>
      </c>
      <c r="M54" s="2">
        <v>9.0299999999999994</v>
      </c>
      <c r="N54" s="2">
        <v>24.09</v>
      </c>
      <c r="O54" s="2">
        <v>2.93</v>
      </c>
      <c r="P54" s="2">
        <v>41.17</v>
      </c>
      <c r="Q54" s="2">
        <v>1.72</v>
      </c>
      <c r="R54" s="2">
        <v>1.99</v>
      </c>
      <c r="S54" s="2">
        <v>15.96</v>
      </c>
      <c r="T54" s="2">
        <v>28.26</v>
      </c>
      <c r="U54" s="2">
        <v>4.74</v>
      </c>
      <c r="V54" s="2">
        <v>13.9</v>
      </c>
      <c r="W54" s="2">
        <v>0</v>
      </c>
      <c r="X54" s="2">
        <v>1.1399999999999999</v>
      </c>
      <c r="Y54" s="2">
        <v>1.29</v>
      </c>
      <c r="Z54" s="2">
        <v>0</v>
      </c>
      <c r="AA54" s="2">
        <v>1.43</v>
      </c>
      <c r="AB54" s="2">
        <v>2.1800000000000002</v>
      </c>
      <c r="AC54" s="2">
        <v>3.81</v>
      </c>
      <c r="AD54" s="2">
        <v>3.3</v>
      </c>
      <c r="AE54" s="2">
        <v>17.329999999999998</v>
      </c>
      <c r="AF54" s="2">
        <v>62.77</v>
      </c>
      <c r="AG54" s="2">
        <v>10.08</v>
      </c>
    </row>
    <row r="55" spans="1:33" x14ac:dyDescent="0.2">
      <c r="A55" s="3">
        <v>9587</v>
      </c>
      <c r="B55" s="2">
        <v>3.61</v>
      </c>
      <c r="C55" s="2">
        <v>12.79</v>
      </c>
      <c r="D55" s="2">
        <v>-17.350000000000001</v>
      </c>
      <c r="E55" s="2">
        <v>-47.72</v>
      </c>
      <c r="F55" s="2">
        <v>-47.26</v>
      </c>
      <c r="G55" s="2">
        <v>-50.69</v>
      </c>
      <c r="H55" s="2">
        <v>-0.06</v>
      </c>
      <c r="I55" s="2">
        <v>12.87</v>
      </c>
      <c r="J55" s="2">
        <v>3.21</v>
      </c>
      <c r="K55" s="2">
        <v>-6.92</v>
      </c>
      <c r="L55" s="2">
        <v>17.47</v>
      </c>
      <c r="M55" s="2">
        <v>-4.71</v>
      </c>
      <c r="N55" s="2">
        <v>12.97</v>
      </c>
      <c r="O55" s="2">
        <v>11.26</v>
      </c>
      <c r="P55" s="2">
        <v>68.61</v>
      </c>
      <c r="Q55" s="2">
        <v>2.21</v>
      </c>
      <c r="R55" s="2">
        <v>1.36</v>
      </c>
      <c r="S55" s="2">
        <v>-3.17</v>
      </c>
      <c r="T55" s="2">
        <v>32.03</v>
      </c>
      <c r="U55" s="2">
        <v>0.75</v>
      </c>
      <c r="V55" s="2">
        <v>20.16</v>
      </c>
      <c r="W55" s="2">
        <v>0</v>
      </c>
      <c r="X55" s="2">
        <v>1.64</v>
      </c>
      <c r="Y55" s="2">
        <v>0.71</v>
      </c>
      <c r="Z55" s="2">
        <v>0</v>
      </c>
      <c r="AA55" s="2">
        <v>0.28999999999999998</v>
      </c>
      <c r="AB55" s="2">
        <v>1.1200000000000001</v>
      </c>
      <c r="AC55" s="2">
        <v>1.7</v>
      </c>
      <c r="AD55" s="2">
        <v>4.97</v>
      </c>
      <c r="AE55" s="2">
        <v>16.690000000000001</v>
      </c>
      <c r="AF55" s="2">
        <v>74.069999999999993</v>
      </c>
      <c r="AG55" s="2">
        <v>10.69</v>
      </c>
    </row>
    <row r="56" spans="1:33" x14ac:dyDescent="0.2">
      <c r="A56" s="3">
        <v>9617</v>
      </c>
      <c r="B56" s="2">
        <v>5.13</v>
      </c>
      <c r="C56" s="2">
        <v>16.670000000000002</v>
      </c>
      <c r="D56" s="2">
        <v>19.059999999999999</v>
      </c>
      <c r="E56" s="2">
        <v>38.47</v>
      </c>
      <c r="F56" s="2">
        <v>73.75</v>
      </c>
      <c r="G56" s="2">
        <v>47.23</v>
      </c>
      <c r="H56" s="2">
        <v>20.51</v>
      </c>
      <c r="I56" s="2">
        <v>27.99</v>
      </c>
      <c r="J56" s="2">
        <v>65.95</v>
      </c>
      <c r="K56" s="2">
        <v>90.86</v>
      </c>
      <c r="L56" s="2">
        <v>58.56</v>
      </c>
      <c r="M56" s="2">
        <v>52.19</v>
      </c>
      <c r="N56" s="2">
        <v>86.27</v>
      </c>
      <c r="O56" s="2">
        <v>6.56</v>
      </c>
      <c r="P56" s="2">
        <v>113.44</v>
      </c>
      <c r="Q56" s="2">
        <v>12.89</v>
      </c>
      <c r="R56" s="2">
        <v>5.19</v>
      </c>
      <c r="S56" s="2">
        <v>37.39</v>
      </c>
      <c r="T56" s="2">
        <v>32.43</v>
      </c>
      <c r="U56" s="2">
        <v>6.83</v>
      </c>
      <c r="V56" s="2">
        <v>26.01</v>
      </c>
      <c r="W56" s="2">
        <v>0</v>
      </c>
      <c r="X56" s="2">
        <v>1.94</v>
      </c>
      <c r="Y56" s="2">
        <v>1.33</v>
      </c>
      <c r="Z56" s="2">
        <v>27.2</v>
      </c>
      <c r="AA56" s="2">
        <v>31.11</v>
      </c>
      <c r="AB56" s="2">
        <v>0.96</v>
      </c>
      <c r="AC56" s="2">
        <v>21.26</v>
      </c>
      <c r="AD56" s="2">
        <v>5.8</v>
      </c>
      <c r="AE56" s="2">
        <v>4.62</v>
      </c>
      <c r="AF56" s="2">
        <v>91.65</v>
      </c>
      <c r="AG56" s="2">
        <v>14.64</v>
      </c>
    </row>
    <row r="57" spans="1:33" x14ac:dyDescent="0.2">
      <c r="A57" s="3">
        <v>9648</v>
      </c>
      <c r="B57" s="2">
        <v>-0.44</v>
      </c>
      <c r="C57" s="2">
        <v>2.59</v>
      </c>
      <c r="D57" s="2">
        <v>-15.26</v>
      </c>
      <c r="E57" s="2">
        <v>-72.489999999999995</v>
      </c>
      <c r="F57" s="2">
        <v>-80.13</v>
      </c>
      <c r="G57" s="2">
        <v>-63.01</v>
      </c>
      <c r="H57" s="2">
        <v>-12.89</v>
      </c>
      <c r="I57" s="2">
        <v>9.3000000000000007</v>
      </c>
      <c r="J57" s="2">
        <v>3.87</v>
      </c>
      <c r="K57" s="2">
        <v>2.68</v>
      </c>
      <c r="L57" s="2">
        <v>2.72</v>
      </c>
      <c r="M57" s="2">
        <v>3.46</v>
      </c>
      <c r="N57" s="2">
        <v>25.7</v>
      </c>
      <c r="O57" s="2">
        <v>14.38</v>
      </c>
      <c r="P57" s="2">
        <v>86.05</v>
      </c>
      <c r="Q57" s="2">
        <v>7.41</v>
      </c>
      <c r="R57" s="2">
        <v>7.31</v>
      </c>
      <c r="S57" s="2">
        <v>6.58</v>
      </c>
      <c r="T57" s="2">
        <v>42.53</v>
      </c>
      <c r="U57" s="2">
        <v>4.87</v>
      </c>
      <c r="V57" s="2">
        <v>30.07</v>
      </c>
      <c r="W57" s="2">
        <v>4.88</v>
      </c>
      <c r="X57" s="2">
        <v>4.54</v>
      </c>
      <c r="Y57" s="2">
        <v>3.25</v>
      </c>
      <c r="Z57" s="2">
        <v>0</v>
      </c>
      <c r="AA57" s="2">
        <v>0</v>
      </c>
      <c r="AB57" s="2">
        <v>0</v>
      </c>
      <c r="AC57" s="2">
        <v>2.5099999999999998</v>
      </c>
      <c r="AD57" s="2">
        <v>6.15</v>
      </c>
      <c r="AE57" s="2">
        <v>2.83</v>
      </c>
      <c r="AF57" s="2">
        <v>103.51</v>
      </c>
      <c r="AG57" s="2">
        <v>17.690000000000001</v>
      </c>
    </row>
    <row r="58" spans="1:33" x14ac:dyDescent="0.2">
      <c r="A58" s="3">
        <v>9678</v>
      </c>
      <c r="B58" s="2">
        <v>-2.5</v>
      </c>
      <c r="C58" s="2">
        <v>3.77</v>
      </c>
      <c r="D58" s="2">
        <v>-11.83</v>
      </c>
      <c r="E58" s="2">
        <v>-63.74</v>
      </c>
      <c r="F58" s="2">
        <v>-31.92</v>
      </c>
      <c r="G58" s="2">
        <v>-47.76</v>
      </c>
      <c r="H58" s="2">
        <v>-11.71</v>
      </c>
      <c r="I58" s="2">
        <v>3.36</v>
      </c>
      <c r="J58" s="2">
        <v>-27.38</v>
      </c>
      <c r="K58" s="2">
        <v>-41.64</v>
      </c>
      <c r="L58" s="2">
        <v>-42.45</v>
      </c>
      <c r="M58" s="2">
        <v>-21.37</v>
      </c>
      <c r="N58" s="2">
        <v>-4.07</v>
      </c>
      <c r="O58" s="2">
        <v>32.21</v>
      </c>
      <c r="P58" s="2">
        <v>70.209999999999994</v>
      </c>
      <c r="Q58" s="2">
        <v>2.33</v>
      </c>
      <c r="R58" s="2">
        <v>-1.49</v>
      </c>
      <c r="S58" s="2">
        <v>8.02</v>
      </c>
      <c r="T58" s="2">
        <v>48.64</v>
      </c>
      <c r="U58" s="2">
        <v>1.66</v>
      </c>
      <c r="V58" s="2">
        <v>31.97</v>
      </c>
      <c r="W58" s="2">
        <v>18.62</v>
      </c>
      <c r="X58" s="2">
        <v>9.56</v>
      </c>
      <c r="Y58" s="2">
        <v>8.98</v>
      </c>
      <c r="Z58" s="2">
        <v>0</v>
      </c>
      <c r="AA58" s="2">
        <v>0.28999999999999998</v>
      </c>
      <c r="AB58" s="2">
        <v>2.4500000000000002</v>
      </c>
      <c r="AC58" s="2">
        <v>0</v>
      </c>
      <c r="AD58" s="2">
        <v>5.63</v>
      </c>
      <c r="AE58" s="2">
        <v>0.72</v>
      </c>
      <c r="AF58" s="2">
        <v>113.28</v>
      </c>
      <c r="AG58" s="2">
        <v>22.83</v>
      </c>
    </row>
    <row r="59" spans="1:33" x14ac:dyDescent="0.2">
      <c r="A59" s="3">
        <v>9709</v>
      </c>
      <c r="B59" s="2">
        <v>-2.95</v>
      </c>
      <c r="C59" s="2">
        <v>5.33</v>
      </c>
      <c r="D59" s="2">
        <v>-6.43</v>
      </c>
      <c r="E59" s="2">
        <v>-45.49</v>
      </c>
      <c r="F59" s="2">
        <v>-13</v>
      </c>
      <c r="G59" s="2">
        <v>-32.22</v>
      </c>
      <c r="H59" s="2">
        <v>-0.6</v>
      </c>
      <c r="I59" s="2">
        <v>5.55</v>
      </c>
      <c r="J59" s="2">
        <v>-26.59</v>
      </c>
      <c r="K59" s="2">
        <v>-30.24</v>
      </c>
      <c r="L59" s="2">
        <v>-18.18</v>
      </c>
      <c r="M59" s="2">
        <v>-19.38</v>
      </c>
      <c r="N59" s="2">
        <v>-12.54</v>
      </c>
      <c r="O59" s="2">
        <v>40.19</v>
      </c>
      <c r="P59" s="2">
        <v>55.18</v>
      </c>
      <c r="Q59" s="2">
        <v>1.02</v>
      </c>
      <c r="R59" s="2">
        <v>-1.78</v>
      </c>
      <c r="S59" s="2">
        <v>14.11</v>
      </c>
      <c r="T59" s="2">
        <v>45.27</v>
      </c>
      <c r="U59" s="2">
        <v>3.94</v>
      </c>
      <c r="V59" s="2">
        <v>39.770000000000003</v>
      </c>
      <c r="W59" s="2">
        <v>30.39</v>
      </c>
      <c r="X59" s="2">
        <v>14.45</v>
      </c>
      <c r="Y59" s="2">
        <v>14.22</v>
      </c>
      <c r="Z59" s="2">
        <v>0</v>
      </c>
      <c r="AA59" s="2">
        <v>0</v>
      </c>
      <c r="AB59" s="2">
        <v>0.05</v>
      </c>
      <c r="AC59" s="2">
        <v>0</v>
      </c>
      <c r="AD59" s="2">
        <v>5.4</v>
      </c>
      <c r="AE59" s="2">
        <v>0.11</v>
      </c>
      <c r="AF59" s="2">
        <v>123.36</v>
      </c>
      <c r="AG59" s="2">
        <v>24.8</v>
      </c>
    </row>
    <row r="60" spans="1:33" x14ac:dyDescent="0.2">
      <c r="A60" s="3">
        <v>9740</v>
      </c>
      <c r="B60" s="2">
        <v>-2.8</v>
      </c>
      <c r="C60" s="2">
        <v>5.15</v>
      </c>
      <c r="D60" s="2">
        <v>-3.73</v>
      </c>
      <c r="E60" s="2">
        <v>-34</v>
      </c>
      <c r="F60" s="2">
        <v>-6.75</v>
      </c>
      <c r="G60" s="2">
        <v>-17.940000000000001</v>
      </c>
      <c r="H60" s="2">
        <v>4.91</v>
      </c>
      <c r="I60" s="2">
        <v>7.91</v>
      </c>
      <c r="J60" s="2">
        <v>-12.79</v>
      </c>
      <c r="K60" s="2">
        <v>-1.75</v>
      </c>
      <c r="L60" s="2">
        <v>-6.53</v>
      </c>
      <c r="M60" s="2">
        <v>-12.64</v>
      </c>
      <c r="N60" s="2">
        <v>1.62</v>
      </c>
      <c r="O60" s="2">
        <v>35.46</v>
      </c>
      <c r="P60" s="2">
        <v>46.91</v>
      </c>
      <c r="Q60" s="2">
        <v>-0.12</v>
      </c>
      <c r="R60" s="2">
        <v>-1.28</v>
      </c>
      <c r="S60" s="2">
        <v>11.61</v>
      </c>
      <c r="T60" s="2">
        <v>44.73</v>
      </c>
      <c r="U60" s="2">
        <v>4.12</v>
      </c>
      <c r="V60" s="2">
        <v>38.869999999999997</v>
      </c>
      <c r="W60" s="2">
        <v>31.47</v>
      </c>
      <c r="X60" s="2">
        <v>16.690000000000001</v>
      </c>
      <c r="Y60" s="2">
        <v>16.61</v>
      </c>
      <c r="Z60" s="2">
        <v>0</v>
      </c>
      <c r="AA60" s="2">
        <v>2.87</v>
      </c>
      <c r="AB60" s="2">
        <v>0.16</v>
      </c>
      <c r="AC60" s="2">
        <v>0</v>
      </c>
      <c r="AD60" s="2">
        <v>5.3</v>
      </c>
      <c r="AE60" s="2">
        <v>0.18</v>
      </c>
      <c r="AF60" s="2">
        <v>125.46</v>
      </c>
      <c r="AG60" s="2">
        <v>23.65</v>
      </c>
    </row>
    <row r="61" spans="1:33" x14ac:dyDescent="0.2">
      <c r="A61" s="3">
        <v>9770</v>
      </c>
      <c r="B61" s="2">
        <v>-2.8</v>
      </c>
      <c r="C61" s="2">
        <v>5.66</v>
      </c>
      <c r="D61" s="2">
        <v>-5.55</v>
      </c>
      <c r="E61" s="2">
        <v>-9.6999999999999993</v>
      </c>
      <c r="F61" s="2">
        <v>7.94</v>
      </c>
      <c r="G61" s="2">
        <v>-3.47</v>
      </c>
      <c r="H61" s="2">
        <v>11.38</v>
      </c>
      <c r="I61" s="2">
        <v>11.52</v>
      </c>
      <c r="J61" s="2">
        <v>5.68</v>
      </c>
      <c r="K61" s="2">
        <v>-3.8</v>
      </c>
      <c r="L61" s="2">
        <v>0.35</v>
      </c>
      <c r="M61" s="2">
        <v>-3</v>
      </c>
      <c r="N61" s="2">
        <v>8.6199999999999992</v>
      </c>
      <c r="O61" s="2">
        <v>0.41</v>
      </c>
      <c r="P61" s="2">
        <v>21.62</v>
      </c>
      <c r="Q61" s="2">
        <v>2</v>
      </c>
      <c r="R61" s="2">
        <v>2.72</v>
      </c>
      <c r="S61" s="2">
        <v>-2.62</v>
      </c>
      <c r="T61" s="2">
        <v>27.03</v>
      </c>
      <c r="U61" s="2">
        <v>2.83</v>
      </c>
      <c r="V61" s="2">
        <v>14.99</v>
      </c>
      <c r="W61" s="2">
        <v>26.1</v>
      </c>
      <c r="X61" s="2">
        <v>15.91</v>
      </c>
      <c r="Y61" s="2">
        <v>15.62</v>
      </c>
      <c r="Z61" s="2">
        <v>0.55000000000000004</v>
      </c>
      <c r="AA61" s="2">
        <v>1.43</v>
      </c>
      <c r="AB61" s="2">
        <v>0</v>
      </c>
      <c r="AC61" s="2">
        <v>0</v>
      </c>
      <c r="AD61" s="2">
        <v>4.78</v>
      </c>
      <c r="AE61" s="2">
        <v>1.18</v>
      </c>
      <c r="AF61" s="2">
        <v>116.86</v>
      </c>
      <c r="AG61" s="2">
        <v>20.170000000000002</v>
      </c>
    </row>
    <row r="62" spans="1:33" x14ac:dyDescent="0.2">
      <c r="A62" s="3">
        <v>9801</v>
      </c>
      <c r="B62" s="2">
        <v>-0.56999999999999995</v>
      </c>
      <c r="C62" s="2">
        <v>7.06</v>
      </c>
      <c r="D62" s="2">
        <v>-1.72</v>
      </c>
      <c r="E62" s="2">
        <v>8.1199999999999992</v>
      </c>
      <c r="F62" s="2">
        <v>4.05</v>
      </c>
      <c r="G62" s="2">
        <v>9.25</v>
      </c>
      <c r="H62" s="2">
        <v>11.6</v>
      </c>
      <c r="I62" s="2">
        <v>12.42</v>
      </c>
      <c r="J62" s="2">
        <v>10.54</v>
      </c>
      <c r="K62" s="2">
        <v>-0.24</v>
      </c>
      <c r="L62" s="2">
        <v>5.69</v>
      </c>
      <c r="M62" s="2">
        <v>1.38</v>
      </c>
      <c r="N62" s="2">
        <v>6.23</v>
      </c>
      <c r="O62" s="2">
        <v>7.44</v>
      </c>
      <c r="P62" s="2">
        <v>25.54</v>
      </c>
      <c r="Q62" s="2">
        <v>1.22</v>
      </c>
      <c r="R62" s="2">
        <v>1.38</v>
      </c>
      <c r="S62" s="2">
        <v>-5.07</v>
      </c>
      <c r="T62" s="2">
        <v>28.12</v>
      </c>
      <c r="U62" s="2">
        <v>1.36</v>
      </c>
      <c r="V62" s="2">
        <v>16.18</v>
      </c>
      <c r="W62" s="2">
        <v>22.19</v>
      </c>
      <c r="X62" s="2">
        <v>14.83</v>
      </c>
      <c r="Y62" s="2">
        <v>14.52</v>
      </c>
      <c r="Z62" s="2">
        <v>0</v>
      </c>
      <c r="AA62" s="2">
        <v>0</v>
      </c>
      <c r="AB62" s="2">
        <v>5.87</v>
      </c>
      <c r="AC62" s="2">
        <v>0</v>
      </c>
      <c r="AD62" s="2">
        <v>4.49</v>
      </c>
      <c r="AE62" s="2">
        <v>8.9600000000000009</v>
      </c>
      <c r="AF62" s="2">
        <v>105.99</v>
      </c>
      <c r="AG62" s="2">
        <v>16.420000000000002</v>
      </c>
    </row>
    <row r="63" spans="1:33" x14ac:dyDescent="0.2">
      <c r="A63" s="3">
        <v>9831</v>
      </c>
      <c r="B63" s="2">
        <v>7.27</v>
      </c>
      <c r="C63" s="2">
        <v>22.09</v>
      </c>
      <c r="D63" s="2">
        <v>43.38</v>
      </c>
      <c r="E63" s="2">
        <v>138.38</v>
      </c>
      <c r="F63" s="2">
        <v>95.62</v>
      </c>
      <c r="G63" s="2">
        <v>136.47</v>
      </c>
      <c r="H63" s="2">
        <v>41.45</v>
      </c>
      <c r="I63" s="2">
        <v>29.73</v>
      </c>
      <c r="J63" s="2">
        <v>59.28</v>
      </c>
      <c r="K63" s="2">
        <v>39.79</v>
      </c>
      <c r="L63" s="2">
        <v>21.13</v>
      </c>
      <c r="M63" s="2">
        <v>20.350000000000001</v>
      </c>
      <c r="N63" s="2">
        <v>39.840000000000003</v>
      </c>
      <c r="O63" s="2">
        <v>5.0999999999999996</v>
      </c>
      <c r="P63" s="2">
        <v>118.87</v>
      </c>
      <c r="Q63" s="2">
        <v>5.91</v>
      </c>
      <c r="R63" s="2">
        <v>5.15</v>
      </c>
      <c r="S63" s="2">
        <v>62.76</v>
      </c>
      <c r="T63" s="2">
        <v>44.16</v>
      </c>
      <c r="U63" s="2">
        <v>4.7699999999999996</v>
      </c>
      <c r="V63" s="2">
        <v>13.31</v>
      </c>
      <c r="W63" s="2">
        <v>15.43</v>
      </c>
      <c r="X63" s="2">
        <v>9.74</v>
      </c>
      <c r="Y63" s="2">
        <v>8.4</v>
      </c>
      <c r="Z63" s="2">
        <v>0</v>
      </c>
      <c r="AA63" s="2">
        <v>0.14000000000000001</v>
      </c>
      <c r="AB63" s="2">
        <v>26.72</v>
      </c>
      <c r="AC63" s="2">
        <v>6.92</v>
      </c>
      <c r="AD63" s="2">
        <v>3.78</v>
      </c>
      <c r="AE63" s="2">
        <v>19.52</v>
      </c>
      <c r="AF63" s="2">
        <v>69.540000000000006</v>
      </c>
      <c r="AG63" s="2">
        <v>12.92</v>
      </c>
    </row>
    <row r="64" spans="1:33" x14ac:dyDescent="0.2">
      <c r="A64" s="3">
        <v>9862</v>
      </c>
      <c r="B64" s="2">
        <v>8.07</v>
      </c>
      <c r="C64" s="2">
        <v>16.809999999999999</v>
      </c>
      <c r="D64" s="2">
        <v>-0.71</v>
      </c>
      <c r="E64" s="2">
        <v>18.29</v>
      </c>
      <c r="F64" s="2">
        <v>-16.25</v>
      </c>
      <c r="G64" s="2">
        <v>31.52</v>
      </c>
      <c r="H64" s="2">
        <v>-2.2200000000000002</v>
      </c>
      <c r="I64" s="2">
        <v>13.34</v>
      </c>
      <c r="J64" s="2">
        <v>11.67</v>
      </c>
      <c r="K64" s="2">
        <v>-9.26</v>
      </c>
      <c r="L64" s="2">
        <v>2.5499999999999998</v>
      </c>
      <c r="M64" s="2">
        <v>1.73</v>
      </c>
      <c r="N64" s="2">
        <v>8.66</v>
      </c>
      <c r="O64" s="2">
        <v>2.5</v>
      </c>
      <c r="P64" s="2">
        <v>34.340000000000003</v>
      </c>
      <c r="Q64" s="2">
        <v>2.12</v>
      </c>
      <c r="R64" s="2">
        <v>4.16</v>
      </c>
      <c r="S64" s="2">
        <v>2.8</v>
      </c>
      <c r="T64" s="2">
        <v>26.95</v>
      </c>
      <c r="U64" s="2">
        <v>4.54</v>
      </c>
      <c r="V64" s="2">
        <v>11.84</v>
      </c>
      <c r="W64" s="2">
        <v>11.73</v>
      </c>
      <c r="X64" s="2">
        <v>7.72</v>
      </c>
      <c r="Y64" s="2">
        <v>7.61</v>
      </c>
      <c r="Z64" s="2">
        <v>56.03</v>
      </c>
      <c r="AA64" s="2">
        <v>48.46</v>
      </c>
      <c r="AB64" s="2">
        <v>1.25</v>
      </c>
      <c r="AC64" s="2">
        <v>8.92</v>
      </c>
      <c r="AD64" s="2">
        <v>3.77</v>
      </c>
      <c r="AE64" s="2">
        <v>31.49</v>
      </c>
      <c r="AF64" s="2">
        <v>63.89</v>
      </c>
      <c r="AG64" s="2">
        <v>11.2</v>
      </c>
    </row>
    <row r="65" spans="1:33" x14ac:dyDescent="0.2">
      <c r="A65" s="3">
        <v>9893</v>
      </c>
      <c r="B65" s="2">
        <v>11.34</v>
      </c>
      <c r="C65" s="2">
        <v>24.37</v>
      </c>
      <c r="D65" s="2">
        <v>12.46</v>
      </c>
      <c r="E65" s="2">
        <v>40.85</v>
      </c>
      <c r="F65" s="2">
        <v>20.98</v>
      </c>
      <c r="G65" s="2">
        <v>44.51</v>
      </c>
      <c r="H65" s="2">
        <v>19.78</v>
      </c>
      <c r="I65" s="2">
        <v>23.77</v>
      </c>
      <c r="J65" s="2">
        <v>39.78</v>
      </c>
      <c r="K65" s="2">
        <v>3.12</v>
      </c>
      <c r="L65" s="2">
        <v>13.03</v>
      </c>
      <c r="M65" s="2">
        <v>0.65</v>
      </c>
      <c r="N65" s="2">
        <v>14.04</v>
      </c>
      <c r="O65" s="2">
        <v>1.97</v>
      </c>
      <c r="P65" s="2">
        <v>36.119999999999997</v>
      </c>
      <c r="Q65" s="2">
        <v>2.08</v>
      </c>
      <c r="R65" s="2">
        <v>3.86</v>
      </c>
      <c r="S65" s="2">
        <v>6.25</v>
      </c>
      <c r="T65" s="2">
        <v>26.12</v>
      </c>
      <c r="U65" s="2">
        <v>4.5</v>
      </c>
      <c r="V65" s="2">
        <v>11.72</v>
      </c>
      <c r="W65" s="2">
        <v>4.26</v>
      </c>
      <c r="X65" s="2">
        <v>10.06</v>
      </c>
      <c r="Y65" s="2">
        <v>8.84</v>
      </c>
      <c r="Z65" s="2">
        <v>4.0999999999999996</v>
      </c>
      <c r="AA65" s="2">
        <v>1</v>
      </c>
      <c r="AB65" s="2">
        <v>0</v>
      </c>
      <c r="AC65" s="2">
        <v>7.42</v>
      </c>
      <c r="AD65" s="2">
        <v>3.67</v>
      </c>
      <c r="AE65" s="2">
        <v>33.75</v>
      </c>
      <c r="AF65" s="2">
        <v>69.56</v>
      </c>
      <c r="AG65" s="2">
        <v>9.8800000000000008</v>
      </c>
    </row>
    <row r="66" spans="1:33" x14ac:dyDescent="0.2">
      <c r="A66" s="3">
        <v>9921</v>
      </c>
      <c r="B66" s="2">
        <v>21.18</v>
      </c>
      <c r="C66" s="2">
        <v>66.709999999999994</v>
      </c>
      <c r="D66" s="2">
        <v>64.27</v>
      </c>
      <c r="E66" s="2">
        <v>162.91</v>
      </c>
      <c r="F66" s="2">
        <v>180.06</v>
      </c>
      <c r="G66" s="2">
        <v>219.19</v>
      </c>
      <c r="H66" s="2">
        <v>24.68</v>
      </c>
      <c r="I66" s="2">
        <v>37.979999999999997</v>
      </c>
      <c r="J66" s="2">
        <v>108.57</v>
      </c>
      <c r="K66" s="2">
        <v>70.92</v>
      </c>
      <c r="L66" s="2">
        <v>67.08</v>
      </c>
      <c r="M66" s="2">
        <v>34.57</v>
      </c>
      <c r="N66" s="2">
        <v>89.68</v>
      </c>
      <c r="O66" s="2">
        <v>4.04</v>
      </c>
      <c r="P66" s="2">
        <v>98.95</v>
      </c>
      <c r="Q66" s="2">
        <v>3.14</v>
      </c>
      <c r="R66" s="2">
        <v>12.41</v>
      </c>
      <c r="S66" s="2">
        <v>44.47</v>
      </c>
      <c r="T66" s="2">
        <v>56.9</v>
      </c>
      <c r="U66" s="2">
        <v>7.4</v>
      </c>
      <c r="V66" s="2">
        <v>14.58</v>
      </c>
      <c r="W66" s="2">
        <v>0</v>
      </c>
      <c r="X66" s="2">
        <v>3.51</v>
      </c>
      <c r="Y66" s="2">
        <v>3.72</v>
      </c>
      <c r="Z66" s="2">
        <v>10.11</v>
      </c>
      <c r="AA66" s="2">
        <v>45.16</v>
      </c>
      <c r="AB66" s="2">
        <v>9.23</v>
      </c>
      <c r="AC66" s="2">
        <v>13.24</v>
      </c>
      <c r="AD66" s="2">
        <v>4.8</v>
      </c>
      <c r="AE66" s="2">
        <v>24.26</v>
      </c>
      <c r="AF66" s="2">
        <v>57.98</v>
      </c>
      <c r="AG66" s="2">
        <v>10.08</v>
      </c>
    </row>
    <row r="67" spans="1:33" x14ac:dyDescent="0.2">
      <c r="A67" s="3">
        <v>9952</v>
      </c>
      <c r="B67" s="2">
        <v>16.329999999999998</v>
      </c>
      <c r="C67" s="2">
        <v>24.8</v>
      </c>
      <c r="D67" s="2">
        <v>-26.83</v>
      </c>
      <c r="E67" s="2">
        <v>-52.15</v>
      </c>
      <c r="F67" s="2">
        <v>-55.4</v>
      </c>
      <c r="G67" s="2">
        <v>-112.82</v>
      </c>
      <c r="H67" s="2">
        <v>13.34</v>
      </c>
      <c r="I67" s="2">
        <v>23.09</v>
      </c>
      <c r="J67" s="2">
        <v>9.2899999999999991</v>
      </c>
      <c r="K67" s="2">
        <v>-8.4499999999999993</v>
      </c>
      <c r="L67" s="2">
        <v>16.649999999999999</v>
      </c>
      <c r="M67" s="2">
        <v>2.5</v>
      </c>
      <c r="N67" s="2">
        <v>17.41</v>
      </c>
      <c r="O67" s="2">
        <v>5.87</v>
      </c>
      <c r="P67" s="2">
        <v>67.150000000000006</v>
      </c>
      <c r="Q67" s="2">
        <v>4.7</v>
      </c>
      <c r="R67" s="2">
        <v>7.62</v>
      </c>
      <c r="S67" s="2">
        <v>17.739999999999998</v>
      </c>
      <c r="T67" s="2">
        <v>29.12</v>
      </c>
      <c r="U67" s="2">
        <v>5.34</v>
      </c>
      <c r="V67" s="2">
        <v>21.03</v>
      </c>
      <c r="W67" s="2">
        <v>0</v>
      </c>
      <c r="X67" s="2">
        <v>4.4400000000000004</v>
      </c>
      <c r="Y67" s="2">
        <v>3.58</v>
      </c>
      <c r="Z67" s="2">
        <v>1.37</v>
      </c>
      <c r="AA67" s="2">
        <v>4.01</v>
      </c>
      <c r="AB67" s="2">
        <v>1.6</v>
      </c>
      <c r="AC67" s="2">
        <v>7.17</v>
      </c>
      <c r="AD67" s="2">
        <v>6.35</v>
      </c>
      <c r="AE67" s="2">
        <v>28.32</v>
      </c>
      <c r="AF67" s="2">
        <v>68.42</v>
      </c>
      <c r="AG67" s="2">
        <v>10.69</v>
      </c>
    </row>
    <row r="68" spans="1:33" x14ac:dyDescent="0.2">
      <c r="A68" s="3">
        <v>9982</v>
      </c>
      <c r="B68" s="2">
        <v>16.239999999999998</v>
      </c>
      <c r="C68" s="2">
        <v>18.239999999999998</v>
      </c>
      <c r="D68" s="2">
        <v>-6</v>
      </c>
      <c r="E68" s="2">
        <v>-6.61</v>
      </c>
      <c r="F68" s="2">
        <v>27.31</v>
      </c>
      <c r="G68" s="2">
        <v>-15.16</v>
      </c>
      <c r="H68" s="2">
        <v>14.46</v>
      </c>
      <c r="I68" s="2">
        <v>30.58</v>
      </c>
      <c r="J68" s="2">
        <v>31.45</v>
      </c>
      <c r="K68" s="2">
        <v>28.53</v>
      </c>
      <c r="L68" s="2">
        <v>35.14</v>
      </c>
      <c r="M68" s="2">
        <v>15.66</v>
      </c>
      <c r="N68" s="2">
        <v>38.19</v>
      </c>
      <c r="O68" s="2">
        <v>4.95</v>
      </c>
      <c r="P68" s="2">
        <v>82.25</v>
      </c>
      <c r="Q68" s="2">
        <v>6.81</v>
      </c>
      <c r="R68" s="2">
        <v>5.14</v>
      </c>
      <c r="S68" s="2">
        <v>4.84</v>
      </c>
      <c r="T68" s="2">
        <v>29.6</v>
      </c>
      <c r="U68" s="2">
        <v>6.08</v>
      </c>
      <c r="V68" s="2">
        <v>19.670000000000002</v>
      </c>
      <c r="W68" s="2">
        <v>0</v>
      </c>
      <c r="X68" s="2">
        <v>5.41</v>
      </c>
      <c r="Y68" s="2">
        <v>4.87</v>
      </c>
      <c r="Z68" s="2">
        <v>0</v>
      </c>
      <c r="AA68" s="2">
        <v>0</v>
      </c>
      <c r="AB68" s="2">
        <v>0.56999999999999995</v>
      </c>
      <c r="AC68" s="2">
        <v>2.91</v>
      </c>
      <c r="AD68" s="2">
        <v>7.11</v>
      </c>
      <c r="AE68" s="2">
        <v>17.37</v>
      </c>
      <c r="AF68" s="2">
        <v>84.67</v>
      </c>
      <c r="AG68" s="2">
        <v>14.64</v>
      </c>
    </row>
    <row r="69" spans="1:33" x14ac:dyDescent="0.2">
      <c r="A69" s="3">
        <v>10013</v>
      </c>
      <c r="B69" s="2">
        <v>9.5500000000000007</v>
      </c>
      <c r="C69" s="2">
        <v>11.38</v>
      </c>
      <c r="D69" s="2">
        <v>-9.44</v>
      </c>
      <c r="E69" s="2">
        <v>-66.540000000000006</v>
      </c>
      <c r="F69" s="2">
        <v>-46.77</v>
      </c>
      <c r="G69" s="2">
        <v>-61.86</v>
      </c>
      <c r="H69" s="2">
        <v>-0.63</v>
      </c>
      <c r="I69" s="2">
        <v>20.34</v>
      </c>
      <c r="J69" s="2">
        <v>31.93</v>
      </c>
      <c r="K69" s="2">
        <v>62.09</v>
      </c>
      <c r="L69" s="2">
        <v>26.04</v>
      </c>
      <c r="M69" s="2">
        <v>30.22</v>
      </c>
      <c r="N69" s="2">
        <v>63.96</v>
      </c>
      <c r="O69" s="2">
        <v>16.43</v>
      </c>
      <c r="P69" s="2">
        <v>129.47</v>
      </c>
      <c r="Q69" s="2">
        <v>10.69</v>
      </c>
      <c r="R69" s="2">
        <v>10.08</v>
      </c>
      <c r="S69" s="2">
        <v>10.79</v>
      </c>
      <c r="T69" s="2">
        <v>54.65</v>
      </c>
      <c r="U69" s="2">
        <v>8.34</v>
      </c>
      <c r="V69" s="2">
        <v>28.33</v>
      </c>
      <c r="W69" s="2">
        <v>4.88</v>
      </c>
      <c r="X69" s="2">
        <v>8.4499999999999993</v>
      </c>
      <c r="Y69" s="2">
        <v>7.25</v>
      </c>
      <c r="Z69" s="2">
        <v>0</v>
      </c>
      <c r="AA69" s="2">
        <v>0</v>
      </c>
      <c r="AB69" s="2">
        <v>0</v>
      </c>
      <c r="AC69" s="2">
        <v>1.1000000000000001</v>
      </c>
      <c r="AD69" s="2">
        <v>8.25</v>
      </c>
      <c r="AE69" s="2">
        <v>2.06</v>
      </c>
      <c r="AF69" s="2">
        <v>95.62</v>
      </c>
      <c r="AG69" s="2">
        <v>17.690000000000001</v>
      </c>
    </row>
    <row r="70" spans="1:33" x14ac:dyDescent="0.2">
      <c r="A70" s="3">
        <v>10043</v>
      </c>
      <c r="B70" s="2">
        <v>4.2699999999999996</v>
      </c>
      <c r="C70" s="2">
        <v>8.2799999999999994</v>
      </c>
      <c r="D70" s="2">
        <v>-9.7100000000000009</v>
      </c>
      <c r="E70" s="2">
        <v>-80.12</v>
      </c>
      <c r="F70" s="2">
        <v>-52.85</v>
      </c>
      <c r="G70" s="2">
        <v>-50.85</v>
      </c>
      <c r="H70" s="2">
        <v>-7.01</v>
      </c>
      <c r="I70" s="2">
        <v>18.82</v>
      </c>
      <c r="J70" s="2">
        <v>5.67</v>
      </c>
      <c r="K70" s="2">
        <v>5.63</v>
      </c>
      <c r="L70" s="2">
        <v>16.54</v>
      </c>
      <c r="M70" s="2">
        <v>24.55</v>
      </c>
      <c r="N70" s="2">
        <v>33.1</v>
      </c>
      <c r="O70" s="2">
        <v>32.71</v>
      </c>
      <c r="P70" s="2">
        <v>81.89</v>
      </c>
      <c r="Q70" s="2">
        <v>9.1199999999999992</v>
      </c>
      <c r="R70" s="2">
        <v>9.65</v>
      </c>
      <c r="S70" s="2">
        <v>8.98</v>
      </c>
      <c r="T70" s="2">
        <v>53.16</v>
      </c>
      <c r="U70" s="2">
        <v>4.49</v>
      </c>
      <c r="V70" s="2">
        <v>27.48</v>
      </c>
      <c r="W70" s="2">
        <v>18.62</v>
      </c>
      <c r="X70" s="2">
        <v>13.84</v>
      </c>
      <c r="Y70" s="2">
        <v>13.36</v>
      </c>
      <c r="Z70" s="2">
        <v>0</v>
      </c>
      <c r="AA70" s="2">
        <v>0</v>
      </c>
      <c r="AB70" s="2">
        <v>0</v>
      </c>
      <c r="AC70" s="2">
        <v>0</v>
      </c>
      <c r="AD70" s="2">
        <v>7.93</v>
      </c>
      <c r="AE70" s="2">
        <v>0.59</v>
      </c>
      <c r="AF70" s="2">
        <v>104.64</v>
      </c>
      <c r="AG70" s="2">
        <v>22.83</v>
      </c>
    </row>
    <row r="71" spans="1:33" x14ac:dyDescent="0.2">
      <c r="A71" s="3">
        <v>10074</v>
      </c>
      <c r="B71" s="2">
        <v>1.64</v>
      </c>
      <c r="C71" s="2">
        <v>7.13</v>
      </c>
      <c r="D71" s="2">
        <v>-9.73</v>
      </c>
      <c r="E71" s="2">
        <v>-79.540000000000006</v>
      </c>
      <c r="F71" s="2">
        <v>-37.130000000000003</v>
      </c>
      <c r="G71" s="2">
        <v>-44.47</v>
      </c>
      <c r="H71" s="2">
        <v>-6.96</v>
      </c>
      <c r="I71" s="2">
        <v>8.1</v>
      </c>
      <c r="J71" s="2">
        <v>-46.19</v>
      </c>
      <c r="K71" s="2">
        <v>-74.69</v>
      </c>
      <c r="L71" s="2">
        <v>-77.42</v>
      </c>
      <c r="M71" s="2">
        <v>-48.31</v>
      </c>
      <c r="N71" s="2">
        <v>-20.92</v>
      </c>
      <c r="O71" s="2">
        <v>45.17</v>
      </c>
      <c r="P71" s="2">
        <v>47.32</v>
      </c>
      <c r="Q71" s="2">
        <v>3.55</v>
      </c>
      <c r="R71" s="2">
        <v>5.6</v>
      </c>
      <c r="S71" s="2">
        <v>12.49</v>
      </c>
      <c r="T71" s="2">
        <v>45.64</v>
      </c>
      <c r="U71" s="2">
        <v>3.58</v>
      </c>
      <c r="V71" s="2">
        <v>26.08</v>
      </c>
      <c r="W71" s="2">
        <v>30.39</v>
      </c>
      <c r="X71" s="2">
        <v>19.11</v>
      </c>
      <c r="Y71" s="2">
        <v>18.989999999999998</v>
      </c>
      <c r="Z71" s="2">
        <v>0.82</v>
      </c>
      <c r="AA71" s="2">
        <v>8.17</v>
      </c>
      <c r="AB71" s="2">
        <v>0.56999999999999995</v>
      </c>
      <c r="AC71" s="2">
        <v>0</v>
      </c>
      <c r="AD71" s="2">
        <v>6.88</v>
      </c>
      <c r="AE71" s="2">
        <v>0.17</v>
      </c>
      <c r="AF71" s="2">
        <v>113.96</v>
      </c>
      <c r="AG71" s="2">
        <v>24.8</v>
      </c>
    </row>
    <row r="72" spans="1:33" x14ac:dyDescent="0.2">
      <c r="A72" s="3">
        <v>10105</v>
      </c>
      <c r="B72" s="2">
        <v>0.93</v>
      </c>
      <c r="C72" s="2">
        <v>7.06</v>
      </c>
      <c r="D72" s="2">
        <v>-5.89</v>
      </c>
      <c r="E72" s="2">
        <v>-59.84</v>
      </c>
      <c r="F72" s="2">
        <v>-15.86</v>
      </c>
      <c r="G72" s="2">
        <v>-28.79</v>
      </c>
      <c r="H72" s="2">
        <v>1.31</v>
      </c>
      <c r="I72" s="2">
        <v>8.56</v>
      </c>
      <c r="J72" s="2">
        <v>-33.99</v>
      </c>
      <c r="K72" s="2">
        <v>-42.79</v>
      </c>
      <c r="L72" s="2">
        <v>-40.380000000000003</v>
      </c>
      <c r="M72" s="2">
        <v>-24.35</v>
      </c>
      <c r="N72" s="2">
        <v>-17.68</v>
      </c>
      <c r="O72" s="2">
        <v>38.090000000000003</v>
      </c>
      <c r="P72" s="2">
        <v>35.67</v>
      </c>
      <c r="Q72" s="2">
        <v>1.42</v>
      </c>
      <c r="R72" s="2">
        <v>1.34</v>
      </c>
      <c r="S72" s="2">
        <v>14.32</v>
      </c>
      <c r="T72" s="2">
        <v>44.69</v>
      </c>
      <c r="U72" s="2">
        <v>5.3</v>
      </c>
      <c r="V72" s="2">
        <v>25.83</v>
      </c>
      <c r="W72" s="2">
        <v>31.47</v>
      </c>
      <c r="X72" s="2">
        <v>21.43</v>
      </c>
      <c r="Y72" s="2">
        <v>21.46</v>
      </c>
      <c r="Z72" s="2">
        <v>0.14000000000000001</v>
      </c>
      <c r="AA72" s="2">
        <v>0.17</v>
      </c>
      <c r="AB72" s="2">
        <v>0</v>
      </c>
      <c r="AC72" s="2">
        <v>0</v>
      </c>
      <c r="AD72" s="2">
        <v>6.22</v>
      </c>
      <c r="AE72" s="2">
        <v>0.48</v>
      </c>
      <c r="AF72" s="2">
        <v>115.89</v>
      </c>
      <c r="AG72" s="2">
        <v>23.65</v>
      </c>
    </row>
    <row r="73" spans="1:33" x14ac:dyDescent="0.2">
      <c r="A73" s="3">
        <v>10135</v>
      </c>
      <c r="B73" s="2">
        <v>0.66</v>
      </c>
      <c r="C73" s="2">
        <v>8.68</v>
      </c>
      <c r="D73" s="2">
        <v>-4.18</v>
      </c>
      <c r="E73" s="2">
        <v>-36.869999999999997</v>
      </c>
      <c r="F73" s="2">
        <v>-4.55</v>
      </c>
      <c r="G73" s="2">
        <v>-13.38</v>
      </c>
      <c r="H73" s="2">
        <v>9.41</v>
      </c>
      <c r="I73" s="2">
        <v>12.69</v>
      </c>
      <c r="J73" s="2">
        <v>-7</v>
      </c>
      <c r="K73" s="2">
        <v>-19.63</v>
      </c>
      <c r="L73" s="2">
        <v>-21.13</v>
      </c>
      <c r="M73" s="2">
        <v>-10.89</v>
      </c>
      <c r="N73" s="2">
        <v>1.33</v>
      </c>
      <c r="O73" s="2">
        <v>1.1200000000000001</v>
      </c>
      <c r="P73" s="2">
        <v>14.96</v>
      </c>
      <c r="Q73" s="2">
        <v>3.2</v>
      </c>
      <c r="R73" s="2">
        <v>4.03</v>
      </c>
      <c r="S73" s="2">
        <v>-0.7</v>
      </c>
      <c r="T73" s="2">
        <v>28.47</v>
      </c>
      <c r="U73" s="2">
        <v>4.6399999999999997</v>
      </c>
      <c r="V73" s="2">
        <v>10.6</v>
      </c>
      <c r="W73" s="2">
        <v>26.1</v>
      </c>
      <c r="X73" s="2">
        <v>20.329999999999998</v>
      </c>
      <c r="Y73" s="2">
        <v>20.14</v>
      </c>
      <c r="Z73" s="2">
        <v>0</v>
      </c>
      <c r="AA73" s="2">
        <v>0</v>
      </c>
      <c r="AB73" s="2">
        <v>2.2799999999999998</v>
      </c>
      <c r="AC73" s="2">
        <v>0</v>
      </c>
      <c r="AD73" s="2">
        <v>5.57</v>
      </c>
      <c r="AE73" s="2">
        <v>1.81</v>
      </c>
      <c r="AF73" s="2">
        <v>107.95</v>
      </c>
      <c r="AG73" s="2">
        <v>20.170000000000002</v>
      </c>
    </row>
    <row r="74" spans="1:33" x14ac:dyDescent="0.2">
      <c r="A74" s="3">
        <v>10166</v>
      </c>
      <c r="B74" s="2">
        <v>1.62</v>
      </c>
      <c r="C74" s="2">
        <v>8.56</v>
      </c>
      <c r="D74" s="2">
        <v>-2.39</v>
      </c>
      <c r="E74" s="2">
        <v>-5.76</v>
      </c>
      <c r="F74" s="2">
        <v>3.93</v>
      </c>
      <c r="G74" s="2">
        <v>3</v>
      </c>
      <c r="H74" s="2">
        <v>10.84</v>
      </c>
      <c r="I74" s="2">
        <v>14.65</v>
      </c>
      <c r="J74" s="2">
        <v>7.7</v>
      </c>
      <c r="K74" s="2">
        <v>2.04</v>
      </c>
      <c r="L74" s="2">
        <v>2.16</v>
      </c>
      <c r="M74" s="2">
        <v>2.19</v>
      </c>
      <c r="N74" s="2">
        <v>5.28</v>
      </c>
      <c r="O74" s="2">
        <v>5.54</v>
      </c>
      <c r="P74" s="2">
        <v>25.6</v>
      </c>
      <c r="Q74" s="2">
        <v>2.25</v>
      </c>
      <c r="R74" s="2">
        <v>1.81</v>
      </c>
      <c r="S74" s="2">
        <v>5.96</v>
      </c>
      <c r="T74" s="2">
        <v>28.28</v>
      </c>
      <c r="U74" s="2">
        <v>4.4000000000000004</v>
      </c>
      <c r="V74" s="2">
        <v>11.53</v>
      </c>
      <c r="W74" s="2">
        <v>22.19</v>
      </c>
      <c r="X74" s="2">
        <v>18.84</v>
      </c>
      <c r="Y74" s="2">
        <v>18.62</v>
      </c>
      <c r="Z74" s="2">
        <v>8.06</v>
      </c>
      <c r="AA74" s="2">
        <v>10.039999999999999</v>
      </c>
      <c r="AB74" s="2">
        <v>1.36</v>
      </c>
      <c r="AC74" s="2">
        <v>8.27</v>
      </c>
      <c r="AD74" s="2">
        <v>3.82</v>
      </c>
      <c r="AE74" s="2">
        <v>9.8699999999999992</v>
      </c>
      <c r="AF74" s="2">
        <v>97.91</v>
      </c>
      <c r="AG74" s="2">
        <v>16.420000000000002</v>
      </c>
    </row>
    <row r="75" spans="1:33" x14ac:dyDescent="0.2">
      <c r="A75" s="3">
        <v>10196</v>
      </c>
      <c r="B75" s="2">
        <v>6.88</v>
      </c>
      <c r="C75" s="2">
        <v>19.43</v>
      </c>
      <c r="D75" s="2">
        <v>14.5</v>
      </c>
      <c r="E75" s="2">
        <v>61.71</v>
      </c>
      <c r="F75" s="2">
        <v>33.97</v>
      </c>
      <c r="G75" s="2">
        <v>45.29</v>
      </c>
      <c r="H75" s="2">
        <v>22.23</v>
      </c>
      <c r="I75" s="2">
        <v>19.79</v>
      </c>
      <c r="J75" s="2">
        <v>22.84</v>
      </c>
      <c r="K75" s="2">
        <v>3.59</v>
      </c>
      <c r="L75" s="2">
        <v>15</v>
      </c>
      <c r="M75" s="2">
        <v>9.08</v>
      </c>
      <c r="N75" s="2">
        <v>11.61</v>
      </c>
      <c r="O75" s="2">
        <v>3.83</v>
      </c>
      <c r="P75" s="2">
        <v>40.9</v>
      </c>
      <c r="Q75" s="2">
        <v>2.54</v>
      </c>
      <c r="R75" s="2">
        <v>4.37</v>
      </c>
      <c r="S75" s="2">
        <v>10.14</v>
      </c>
      <c r="T75" s="2">
        <v>27.84</v>
      </c>
      <c r="U75" s="2">
        <v>5.19</v>
      </c>
      <c r="V75" s="2">
        <v>9.9499999999999993</v>
      </c>
      <c r="W75" s="2">
        <v>15.43</v>
      </c>
      <c r="X75" s="2">
        <v>12.35</v>
      </c>
      <c r="Y75" s="2">
        <v>11.09</v>
      </c>
      <c r="Z75" s="2">
        <v>0</v>
      </c>
      <c r="AA75" s="2">
        <v>7.17</v>
      </c>
      <c r="AB75" s="2">
        <v>2.68</v>
      </c>
      <c r="AC75" s="2">
        <v>7.27</v>
      </c>
      <c r="AD75" s="2">
        <v>2.97</v>
      </c>
      <c r="AE75" s="2">
        <v>16.89</v>
      </c>
      <c r="AF75" s="2">
        <v>64.239999999999995</v>
      </c>
      <c r="AG75" s="2">
        <v>12.92</v>
      </c>
    </row>
    <row r="76" spans="1:33" x14ac:dyDescent="0.2">
      <c r="A76" s="3">
        <v>10227</v>
      </c>
      <c r="B76" s="2">
        <v>6.72</v>
      </c>
      <c r="C76" s="2">
        <v>16.600000000000001</v>
      </c>
      <c r="D76" s="2">
        <v>6.2</v>
      </c>
      <c r="E76" s="2">
        <v>14.59</v>
      </c>
      <c r="F76" s="2">
        <v>-1.32</v>
      </c>
      <c r="G76" s="2">
        <v>36</v>
      </c>
      <c r="H76" s="2">
        <v>9.39</v>
      </c>
      <c r="I76" s="2">
        <v>16.95</v>
      </c>
      <c r="J76" s="2">
        <v>24.06</v>
      </c>
      <c r="K76" s="2">
        <v>5.41</v>
      </c>
      <c r="L76" s="2">
        <v>3.51</v>
      </c>
      <c r="M76" s="2">
        <v>8.5500000000000007</v>
      </c>
      <c r="N76" s="2">
        <v>7.6</v>
      </c>
      <c r="O76" s="2">
        <v>2.1</v>
      </c>
      <c r="P76" s="2">
        <v>30.43</v>
      </c>
      <c r="Q76" s="2">
        <v>1.47</v>
      </c>
      <c r="R76" s="2">
        <v>2.2000000000000002</v>
      </c>
      <c r="S76" s="2">
        <v>4.0599999999999996</v>
      </c>
      <c r="T76" s="2">
        <v>26.36</v>
      </c>
      <c r="U76" s="2">
        <v>5.19</v>
      </c>
      <c r="V76" s="2">
        <v>10.17</v>
      </c>
      <c r="W76" s="2">
        <v>11.73</v>
      </c>
      <c r="X76" s="2">
        <v>10.119999999999999</v>
      </c>
      <c r="Y76" s="2">
        <v>10.08</v>
      </c>
      <c r="Z76" s="2">
        <v>43.05</v>
      </c>
      <c r="AA76" s="2">
        <v>37.28</v>
      </c>
      <c r="AB76" s="2">
        <v>1.1499999999999999</v>
      </c>
      <c r="AC76" s="2">
        <v>10.78</v>
      </c>
      <c r="AD76" s="2">
        <v>2.88</v>
      </c>
      <c r="AE76" s="2">
        <v>15.73</v>
      </c>
      <c r="AF76" s="2">
        <v>59.02</v>
      </c>
      <c r="AG76" s="2">
        <v>11.2</v>
      </c>
    </row>
    <row r="77" spans="1:33" x14ac:dyDescent="0.2">
      <c r="A77" s="3">
        <v>10258</v>
      </c>
      <c r="B77" s="2">
        <v>10.18</v>
      </c>
      <c r="C77" s="2">
        <v>17.87</v>
      </c>
      <c r="D77" s="2">
        <v>4.21</v>
      </c>
      <c r="E77" s="2">
        <v>13.78</v>
      </c>
      <c r="F77" s="2">
        <v>5.0999999999999996</v>
      </c>
      <c r="G77" s="2">
        <v>30.49</v>
      </c>
      <c r="H77" s="2">
        <v>10.63</v>
      </c>
      <c r="I77" s="2">
        <v>15.61</v>
      </c>
      <c r="J77" s="2">
        <v>19.899999999999999</v>
      </c>
      <c r="K77" s="2">
        <v>-2.9</v>
      </c>
      <c r="L77" s="2">
        <v>-0.94</v>
      </c>
      <c r="M77" s="2">
        <v>-5.82</v>
      </c>
      <c r="N77" s="2">
        <v>6.84</v>
      </c>
      <c r="O77" s="2">
        <v>1.64</v>
      </c>
      <c r="P77" s="2">
        <v>31.85</v>
      </c>
      <c r="Q77" s="2">
        <v>1.36</v>
      </c>
      <c r="R77" s="2">
        <v>1.39</v>
      </c>
      <c r="S77" s="2">
        <v>-2.2799999999999998</v>
      </c>
      <c r="T77" s="2">
        <v>28.46</v>
      </c>
      <c r="U77" s="2">
        <v>3.67</v>
      </c>
      <c r="V77" s="2">
        <v>11.1</v>
      </c>
      <c r="W77" s="2">
        <v>4.26</v>
      </c>
      <c r="X77" s="2">
        <v>10.119999999999999</v>
      </c>
      <c r="Y77" s="2">
        <v>8.8000000000000007</v>
      </c>
      <c r="Z77" s="2">
        <v>0</v>
      </c>
      <c r="AA77" s="2">
        <v>0</v>
      </c>
      <c r="AB77" s="2">
        <v>0.05</v>
      </c>
      <c r="AC77" s="2">
        <v>2.0099999999999998</v>
      </c>
      <c r="AD77" s="2">
        <v>2.88</v>
      </c>
      <c r="AE77" s="2">
        <v>36.36</v>
      </c>
      <c r="AF77" s="2">
        <v>71.459999999999994</v>
      </c>
      <c r="AG77" s="2">
        <v>9.8800000000000008</v>
      </c>
    </row>
    <row r="78" spans="1:33" x14ac:dyDescent="0.2">
      <c r="A78" s="3">
        <v>10287</v>
      </c>
      <c r="B78" s="2">
        <v>12.63</v>
      </c>
      <c r="C78" s="2">
        <v>21.47</v>
      </c>
      <c r="D78" s="2">
        <v>8.02</v>
      </c>
      <c r="E78" s="2">
        <v>33.81</v>
      </c>
      <c r="F78" s="2">
        <v>29.3</v>
      </c>
      <c r="G78" s="2">
        <v>56.65</v>
      </c>
      <c r="H78" s="2">
        <v>14.94</v>
      </c>
      <c r="I78" s="2">
        <v>17.940000000000001</v>
      </c>
      <c r="J78" s="2">
        <v>18.239999999999998</v>
      </c>
      <c r="K78" s="2">
        <v>4.66</v>
      </c>
      <c r="L78" s="2">
        <v>5.48</v>
      </c>
      <c r="M78" s="2">
        <v>-2.76</v>
      </c>
      <c r="N78" s="2">
        <v>11.04</v>
      </c>
      <c r="O78" s="2">
        <v>1.37</v>
      </c>
      <c r="P78" s="2">
        <v>33.21</v>
      </c>
      <c r="Q78" s="2">
        <v>1.1100000000000001</v>
      </c>
      <c r="R78" s="2">
        <v>1.35</v>
      </c>
      <c r="S78" s="2">
        <v>0.62</v>
      </c>
      <c r="T78" s="2">
        <v>26.43</v>
      </c>
      <c r="U78" s="2">
        <v>4.25</v>
      </c>
      <c r="V78" s="2">
        <v>10.09</v>
      </c>
      <c r="W78" s="2">
        <v>0</v>
      </c>
      <c r="X78" s="2">
        <v>3.55</v>
      </c>
      <c r="Y78" s="2">
        <v>3.6</v>
      </c>
      <c r="Z78" s="2">
        <v>2.3199999999999998</v>
      </c>
      <c r="AA78" s="2">
        <v>8.4600000000000009</v>
      </c>
      <c r="AB78" s="2">
        <v>0.31</v>
      </c>
      <c r="AC78" s="2">
        <v>5.01</v>
      </c>
      <c r="AD78" s="2">
        <v>3.26</v>
      </c>
      <c r="AE78" s="2">
        <v>36.76</v>
      </c>
      <c r="AF78" s="2">
        <v>59.57</v>
      </c>
      <c r="AG78" s="2">
        <v>10.08</v>
      </c>
    </row>
    <row r="79" spans="1:33" x14ac:dyDescent="0.2">
      <c r="A79" s="3">
        <v>10318</v>
      </c>
      <c r="B79" s="2">
        <v>16.18</v>
      </c>
      <c r="C79" s="2">
        <v>25.93</v>
      </c>
      <c r="D79" s="2">
        <v>22.21</v>
      </c>
      <c r="E79" s="2">
        <v>90.19</v>
      </c>
      <c r="F79" s="2">
        <v>146.51</v>
      </c>
      <c r="G79" s="2">
        <v>122.94</v>
      </c>
      <c r="H79" s="2">
        <v>28.05</v>
      </c>
      <c r="I79" s="2">
        <v>37.14</v>
      </c>
      <c r="J79" s="2">
        <v>80.72</v>
      </c>
      <c r="K79" s="2">
        <v>33.090000000000003</v>
      </c>
      <c r="L79" s="2">
        <v>80.510000000000005</v>
      </c>
      <c r="M79" s="2">
        <v>35.46</v>
      </c>
      <c r="N79" s="2">
        <v>36.619999999999997</v>
      </c>
      <c r="O79" s="2">
        <v>10.11</v>
      </c>
      <c r="P79" s="2">
        <v>76.680000000000007</v>
      </c>
      <c r="Q79" s="2">
        <v>2.2599999999999998</v>
      </c>
      <c r="R79" s="2">
        <v>1.8</v>
      </c>
      <c r="S79" s="2">
        <v>16.23</v>
      </c>
      <c r="T79" s="2">
        <v>30.45</v>
      </c>
      <c r="U79" s="2">
        <v>2.4700000000000002</v>
      </c>
      <c r="V79" s="2">
        <v>15.68</v>
      </c>
      <c r="W79" s="2">
        <v>0</v>
      </c>
      <c r="X79" s="2">
        <v>4.4800000000000004</v>
      </c>
      <c r="Y79" s="2">
        <v>3.52</v>
      </c>
      <c r="Z79" s="2">
        <v>0.82</v>
      </c>
      <c r="AA79" s="2">
        <v>0.56999999999999995</v>
      </c>
      <c r="AB79" s="2">
        <v>1.78</v>
      </c>
      <c r="AC79" s="2">
        <v>4.26</v>
      </c>
      <c r="AD79" s="2">
        <v>4.99</v>
      </c>
      <c r="AE79" s="2">
        <v>22.68</v>
      </c>
      <c r="AF79" s="2">
        <v>70.290000000000006</v>
      </c>
      <c r="AG79" s="2">
        <v>10.69</v>
      </c>
    </row>
    <row r="80" spans="1:33" x14ac:dyDescent="0.2">
      <c r="A80" s="3">
        <v>10348</v>
      </c>
      <c r="B80" s="2">
        <v>12.7</v>
      </c>
      <c r="C80" s="2">
        <v>13.78</v>
      </c>
      <c r="D80" s="2">
        <v>-10.87</v>
      </c>
      <c r="E80" s="2">
        <v>-40.65</v>
      </c>
      <c r="F80" s="2">
        <v>-65.73</v>
      </c>
      <c r="G80" s="2">
        <v>-51.32</v>
      </c>
      <c r="H80" s="2">
        <v>4.25</v>
      </c>
      <c r="I80" s="2">
        <v>23.96</v>
      </c>
      <c r="J80" s="2">
        <v>10.44</v>
      </c>
      <c r="K80" s="2">
        <v>3.28</v>
      </c>
      <c r="L80" s="2">
        <v>5.65</v>
      </c>
      <c r="M80" s="2">
        <v>0.63</v>
      </c>
      <c r="N80" s="2">
        <v>22.06</v>
      </c>
      <c r="O80" s="2">
        <v>5.0599999999999996</v>
      </c>
      <c r="P80" s="2">
        <v>79.23</v>
      </c>
      <c r="Q80" s="2">
        <v>1.72</v>
      </c>
      <c r="R80" s="2">
        <v>0.89</v>
      </c>
      <c r="S80" s="2">
        <v>-0.63</v>
      </c>
      <c r="T80" s="2">
        <v>27.36</v>
      </c>
      <c r="U80" s="2">
        <v>3.77</v>
      </c>
      <c r="V80" s="2">
        <v>19.62</v>
      </c>
      <c r="W80" s="2">
        <v>0</v>
      </c>
      <c r="X80" s="2">
        <v>5.47</v>
      </c>
      <c r="Y80" s="2">
        <v>4.79</v>
      </c>
      <c r="Z80" s="2">
        <v>0</v>
      </c>
      <c r="AA80" s="2">
        <v>0</v>
      </c>
      <c r="AB80" s="2">
        <v>0.31</v>
      </c>
      <c r="AC80" s="2">
        <v>1</v>
      </c>
      <c r="AD80" s="2">
        <v>5.44</v>
      </c>
      <c r="AE80" s="2">
        <v>9.84</v>
      </c>
      <c r="AF80" s="2">
        <v>86.98</v>
      </c>
      <c r="AG80" s="2">
        <v>14.64</v>
      </c>
    </row>
    <row r="81" spans="1:33" x14ac:dyDescent="0.2">
      <c r="A81" s="3">
        <v>10379</v>
      </c>
      <c r="B81" s="2">
        <v>5.44</v>
      </c>
      <c r="C81" s="2">
        <v>5.43</v>
      </c>
      <c r="D81" s="2">
        <v>-10.15</v>
      </c>
      <c r="E81" s="2">
        <v>-67.34</v>
      </c>
      <c r="F81" s="2">
        <v>-58.51</v>
      </c>
      <c r="G81" s="2">
        <v>-52.53</v>
      </c>
      <c r="H81" s="2">
        <v>-8.0299999999999994</v>
      </c>
      <c r="I81" s="2">
        <v>17.309999999999999</v>
      </c>
      <c r="J81" s="2">
        <v>9.6300000000000008</v>
      </c>
      <c r="K81" s="2">
        <v>37.06</v>
      </c>
      <c r="L81" s="2">
        <v>10.78</v>
      </c>
      <c r="M81" s="2">
        <v>13.12</v>
      </c>
      <c r="N81" s="2">
        <v>47.71</v>
      </c>
      <c r="O81" s="2">
        <v>13.29</v>
      </c>
      <c r="P81" s="2">
        <v>88.6</v>
      </c>
      <c r="Q81" s="2">
        <v>4.5999999999999996</v>
      </c>
      <c r="R81" s="2">
        <v>6.06</v>
      </c>
      <c r="S81" s="2">
        <v>6.3</v>
      </c>
      <c r="T81" s="2">
        <v>35.06</v>
      </c>
      <c r="U81" s="2">
        <v>4.07</v>
      </c>
      <c r="V81" s="2">
        <v>27.46</v>
      </c>
      <c r="W81" s="2">
        <v>4.88</v>
      </c>
      <c r="X81" s="2">
        <v>8.5</v>
      </c>
      <c r="Y81" s="2">
        <v>7.17</v>
      </c>
      <c r="Z81" s="2">
        <v>0</v>
      </c>
      <c r="AA81" s="2">
        <v>0</v>
      </c>
      <c r="AB81" s="2">
        <v>4.04</v>
      </c>
      <c r="AC81" s="2">
        <v>5.77</v>
      </c>
      <c r="AD81" s="2">
        <v>5.85</v>
      </c>
      <c r="AE81" s="2">
        <v>2.94</v>
      </c>
      <c r="AF81" s="2">
        <v>98.23</v>
      </c>
      <c r="AG81" s="2">
        <v>17.690000000000001</v>
      </c>
    </row>
    <row r="82" spans="1:33" x14ac:dyDescent="0.2">
      <c r="A82" s="3">
        <v>10409</v>
      </c>
      <c r="B82" s="2">
        <v>2.4</v>
      </c>
      <c r="C82" s="2">
        <v>6.72</v>
      </c>
      <c r="D82" s="2">
        <v>-13.51</v>
      </c>
      <c r="E82" s="2">
        <v>-77</v>
      </c>
      <c r="F82" s="2">
        <v>-43.28</v>
      </c>
      <c r="G82" s="2">
        <v>-38.31</v>
      </c>
      <c r="H82" s="2">
        <v>-9.82</v>
      </c>
      <c r="I82" s="2">
        <v>6.66</v>
      </c>
      <c r="J82" s="2">
        <v>-28.6</v>
      </c>
      <c r="K82" s="2">
        <v>-23.63</v>
      </c>
      <c r="L82" s="2">
        <v>-45.11</v>
      </c>
      <c r="M82" s="2">
        <v>-13.39</v>
      </c>
      <c r="N82" s="2">
        <v>6.26</v>
      </c>
      <c r="O82" s="2">
        <v>35.409999999999997</v>
      </c>
      <c r="P82" s="2">
        <v>84.12</v>
      </c>
      <c r="Q82" s="2">
        <v>1.42</v>
      </c>
      <c r="R82" s="2">
        <v>-1.93</v>
      </c>
      <c r="S82" s="2">
        <v>13.03</v>
      </c>
      <c r="T82" s="2">
        <v>48.21</v>
      </c>
      <c r="U82" s="2">
        <v>2.11</v>
      </c>
      <c r="V82" s="2">
        <v>31.86</v>
      </c>
      <c r="W82" s="2">
        <v>18.62</v>
      </c>
      <c r="X82" s="2">
        <v>13.89</v>
      </c>
      <c r="Y82" s="2">
        <v>13.25</v>
      </c>
      <c r="Z82" s="2">
        <v>0</v>
      </c>
      <c r="AA82" s="2">
        <v>0</v>
      </c>
      <c r="AB82" s="2">
        <v>0</v>
      </c>
      <c r="AC82" s="2">
        <v>0</v>
      </c>
      <c r="AD82" s="2">
        <v>5.68</v>
      </c>
      <c r="AE82" s="2">
        <v>0.33</v>
      </c>
      <c r="AF82" s="2">
        <v>107.5</v>
      </c>
      <c r="AG82" s="2">
        <v>22.83</v>
      </c>
    </row>
    <row r="83" spans="1:33" x14ac:dyDescent="0.2">
      <c r="A83" s="3">
        <v>10440</v>
      </c>
      <c r="B83" s="2">
        <v>1.59</v>
      </c>
      <c r="C83" s="2">
        <v>7.43</v>
      </c>
      <c r="D83" s="2">
        <v>-9.58</v>
      </c>
      <c r="E83" s="2">
        <v>-59.01</v>
      </c>
      <c r="F83" s="2">
        <v>-11.7</v>
      </c>
      <c r="G83" s="2">
        <v>-21.36</v>
      </c>
      <c r="H83" s="2">
        <v>-0.13</v>
      </c>
      <c r="I83" s="2">
        <v>8.2200000000000006</v>
      </c>
      <c r="J83" s="2">
        <v>-28.76</v>
      </c>
      <c r="K83" s="2">
        <v>-25.48</v>
      </c>
      <c r="L83" s="2">
        <v>-38.57</v>
      </c>
      <c r="M83" s="2">
        <v>-23.15</v>
      </c>
      <c r="N83" s="2">
        <v>-14.62</v>
      </c>
      <c r="O83" s="2">
        <v>47.03</v>
      </c>
      <c r="P83" s="2">
        <v>60.3</v>
      </c>
      <c r="Q83" s="2">
        <v>0.11</v>
      </c>
      <c r="R83" s="2">
        <v>-3.89</v>
      </c>
      <c r="S83" s="2">
        <v>20.97</v>
      </c>
      <c r="T83" s="2">
        <v>45.76</v>
      </c>
      <c r="U83" s="2">
        <v>5.71</v>
      </c>
      <c r="V83" s="2">
        <v>37.450000000000003</v>
      </c>
      <c r="W83" s="2">
        <v>30.39</v>
      </c>
      <c r="X83" s="2">
        <v>19.170000000000002</v>
      </c>
      <c r="Y83" s="2">
        <v>18.899999999999999</v>
      </c>
      <c r="Z83" s="2">
        <v>0</v>
      </c>
      <c r="AA83" s="2">
        <v>0</v>
      </c>
      <c r="AB83" s="2">
        <v>0</v>
      </c>
      <c r="AC83" s="2">
        <v>0</v>
      </c>
      <c r="AD83" s="2">
        <v>5.34</v>
      </c>
      <c r="AE83" s="2">
        <v>1</v>
      </c>
      <c r="AF83" s="2">
        <v>117.07</v>
      </c>
      <c r="AG83" s="2">
        <v>24.8</v>
      </c>
    </row>
    <row r="84" spans="1:33" x14ac:dyDescent="0.2">
      <c r="A84" s="3">
        <v>10471</v>
      </c>
      <c r="B84" s="2">
        <v>0.79</v>
      </c>
      <c r="C84" s="2">
        <v>7.38</v>
      </c>
      <c r="D84" s="2">
        <v>-6.41</v>
      </c>
      <c r="E84" s="2">
        <v>-45.07</v>
      </c>
      <c r="F84" s="2">
        <v>-13.8</v>
      </c>
      <c r="G84" s="2">
        <v>-6.54</v>
      </c>
      <c r="H84" s="2">
        <v>5.14</v>
      </c>
      <c r="I84" s="2">
        <v>9.25</v>
      </c>
      <c r="J84" s="2">
        <v>-14.3</v>
      </c>
      <c r="K84" s="2">
        <v>0.71</v>
      </c>
      <c r="L84" s="2">
        <v>-17.989999999999998</v>
      </c>
      <c r="M84" s="2">
        <v>-11.34</v>
      </c>
      <c r="N84" s="2">
        <v>5.61</v>
      </c>
      <c r="O84" s="2">
        <v>37.44</v>
      </c>
      <c r="P84" s="2">
        <v>51.75</v>
      </c>
      <c r="Q84" s="2">
        <v>0.57999999999999996</v>
      </c>
      <c r="R84" s="2">
        <v>-2.98</v>
      </c>
      <c r="S84" s="2">
        <v>15.82</v>
      </c>
      <c r="T84" s="2">
        <v>44.11</v>
      </c>
      <c r="U84" s="2">
        <v>4.8600000000000003</v>
      </c>
      <c r="V84" s="2">
        <v>36.68</v>
      </c>
      <c r="W84" s="2">
        <v>31.47</v>
      </c>
      <c r="X84" s="2">
        <v>21.5</v>
      </c>
      <c r="Y84" s="2">
        <v>21.36</v>
      </c>
      <c r="Z84" s="2">
        <v>0</v>
      </c>
      <c r="AA84" s="2">
        <v>0</v>
      </c>
      <c r="AB84" s="2">
        <v>0</v>
      </c>
      <c r="AC84" s="2">
        <v>0</v>
      </c>
      <c r="AD84" s="2">
        <v>5.24</v>
      </c>
      <c r="AE84" s="2">
        <v>0</v>
      </c>
      <c r="AF84" s="2">
        <v>119.06</v>
      </c>
      <c r="AG84" s="2">
        <v>23.65</v>
      </c>
    </row>
    <row r="85" spans="1:33" x14ac:dyDescent="0.2">
      <c r="A85" s="3">
        <v>10501</v>
      </c>
      <c r="B85" s="2">
        <v>0.38</v>
      </c>
      <c r="C85" s="2">
        <v>8.17</v>
      </c>
      <c r="D85" s="2">
        <v>-6.08</v>
      </c>
      <c r="E85" s="2">
        <v>-16.72</v>
      </c>
      <c r="F85" s="2">
        <v>-0.21</v>
      </c>
      <c r="G85" s="2">
        <v>5.9</v>
      </c>
      <c r="H85" s="2">
        <v>11.33</v>
      </c>
      <c r="I85" s="2">
        <v>13.17</v>
      </c>
      <c r="J85" s="2">
        <v>7.51</v>
      </c>
      <c r="K85" s="2">
        <v>0.15</v>
      </c>
      <c r="L85" s="2">
        <v>-3.56</v>
      </c>
      <c r="M85" s="2">
        <v>1.03</v>
      </c>
      <c r="N85" s="2">
        <v>10.89</v>
      </c>
      <c r="O85" s="2">
        <v>-0.93</v>
      </c>
      <c r="P85" s="2">
        <v>23.14</v>
      </c>
      <c r="Q85" s="2">
        <v>2.98</v>
      </c>
      <c r="R85" s="2">
        <v>1.43</v>
      </c>
      <c r="S85" s="2">
        <v>-2.2799999999999998</v>
      </c>
      <c r="T85" s="2">
        <v>26.95</v>
      </c>
      <c r="U85" s="2">
        <v>2.83</v>
      </c>
      <c r="V85" s="2">
        <v>12.34</v>
      </c>
      <c r="W85" s="2">
        <v>26.1</v>
      </c>
      <c r="X85" s="2">
        <v>20.420000000000002</v>
      </c>
      <c r="Y85" s="2">
        <v>20.07</v>
      </c>
      <c r="Z85" s="2">
        <v>0</v>
      </c>
      <c r="AA85" s="2">
        <v>0</v>
      </c>
      <c r="AB85" s="2">
        <v>0</v>
      </c>
      <c r="AC85" s="2">
        <v>0</v>
      </c>
      <c r="AD85" s="2">
        <v>4.72</v>
      </c>
      <c r="AE85" s="2">
        <v>1.08</v>
      </c>
      <c r="AF85" s="2">
        <v>110.9</v>
      </c>
      <c r="AG85" s="2">
        <v>20.170000000000002</v>
      </c>
    </row>
    <row r="86" spans="1:33" x14ac:dyDescent="0.2">
      <c r="A86" s="3">
        <v>10532</v>
      </c>
      <c r="B86" s="2">
        <v>1.78</v>
      </c>
      <c r="C86" s="2">
        <v>8.49</v>
      </c>
      <c r="D86" s="2">
        <v>-5.63</v>
      </c>
      <c r="E86" s="2">
        <v>-8.64</v>
      </c>
      <c r="F86" s="2">
        <v>0.98</v>
      </c>
      <c r="G86" s="2">
        <v>10.18</v>
      </c>
      <c r="H86" s="2">
        <v>11.62</v>
      </c>
      <c r="I86" s="2">
        <v>13.64</v>
      </c>
      <c r="J86" s="2">
        <v>8.75</v>
      </c>
      <c r="K86" s="2">
        <v>-0.12</v>
      </c>
      <c r="L86" s="2">
        <v>10.23</v>
      </c>
      <c r="M86" s="2">
        <v>7.05</v>
      </c>
      <c r="N86" s="2">
        <v>8.9600000000000009</v>
      </c>
      <c r="O86" s="2">
        <v>6.87</v>
      </c>
      <c r="P86" s="2">
        <v>28.7</v>
      </c>
      <c r="Q86" s="2">
        <v>1.66</v>
      </c>
      <c r="R86" s="2">
        <v>0.36</v>
      </c>
      <c r="S86" s="2">
        <v>-4.57</v>
      </c>
      <c r="T86" s="2">
        <v>27.87</v>
      </c>
      <c r="U86" s="2">
        <v>1.3</v>
      </c>
      <c r="V86" s="2">
        <v>13.63</v>
      </c>
      <c r="W86" s="2">
        <v>22.19</v>
      </c>
      <c r="X86" s="2">
        <v>18.920000000000002</v>
      </c>
      <c r="Y86" s="2">
        <v>18.55</v>
      </c>
      <c r="Z86" s="2">
        <v>3.01</v>
      </c>
      <c r="AA86" s="2">
        <v>0.72</v>
      </c>
      <c r="AB86" s="2">
        <v>0</v>
      </c>
      <c r="AC86" s="2">
        <v>0</v>
      </c>
      <c r="AD86" s="2">
        <v>3.62</v>
      </c>
      <c r="AE86" s="2">
        <v>7.86</v>
      </c>
      <c r="AF86" s="2">
        <v>100.59</v>
      </c>
      <c r="AG86" s="2">
        <v>16.420000000000002</v>
      </c>
    </row>
    <row r="87" spans="1:33" x14ac:dyDescent="0.2">
      <c r="A87" s="3">
        <v>10562</v>
      </c>
      <c r="B87" s="2">
        <v>3.04</v>
      </c>
      <c r="C87" s="2">
        <v>14.79</v>
      </c>
      <c r="D87" s="2">
        <v>7.9</v>
      </c>
      <c r="E87" s="2">
        <v>30.86</v>
      </c>
      <c r="F87" s="2">
        <v>12.95</v>
      </c>
      <c r="G87" s="2">
        <v>24.89</v>
      </c>
      <c r="H87" s="2">
        <v>12.94</v>
      </c>
      <c r="I87" s="2">
        <v>17.57</v>
      </c>
      <c r="J87" s="2">
        <v>22.85</v>
      </c>
      <c r="K87" s="2">
        <v>7.73</v>
      </c>
      <c r="L87" s="2">
        <v>10.24</v>
      </c>
      <c r="M87" s="2">
        <v>6.81</v>
      </c>
      <c r="N87" s="2">
        <v>7.17</v>
      </c>
      <c r="O87" s="2">
        <v>0.22</v>
      </c>
      <c r="P87" s="2">
        <v>30.29</v>
      </c>
      <c r="Q87" s="2">
        <v>1.45</v>
      </c>
      <c r="R87" s="2">
        <v>0.2</v>
      </c>
      <c r="S87" s="2">
        <v>6.42</v>
      </c>
      <c r="T87" s="2">
        <v>24.69</v>
      </c>
      <c r="U87" s="2">
        <v>4.04</v>
      </c>
      <c r="V87" s="2">
        <v>11.38</v>
      </c>
      <c r="W87" s="2">
        <v>15.43</v>
      </c>
      <c r="X87" s="2">
        <v>12.35</v>
      </c>
      <c r="Y87" s="2">
        <v>10.97</v>
      </c>
      <c r="Z87" s="2">
        <v>0</v>
      </c>
      <c r="AA87" s="2">
        <v>0.43</v>
      </c>
      <c r="AB87" s="2">
        <v>2.12</v>
      </c>
      <c r="AC87" s="2">
        <v>6.17</v>
      </c>
      <c r="AD87" s="2">
        <v>2.67</v>
      </c>
      <c r="AE87" s="2">
        <v>6.15</v>
      </c>
      <c r="AF87" s="2">
        <v>66</v>
      </c>
      <c r="AG87" s="2">
        <v>12.92</v>
      </c>
    </row>
    <row r="88" spans="1:33" x14ac:dyDescent="0.2">
      <c r="A88" s="3">
        <v>10593</v>
      </c>
      <c r="B88" s="2">
        <v>3.67</v>
      </c>
      <c r="C88" s="2">
        <v>13.89</v>
      </c>
      <c r="D88" s="2">
        <v>6.21</v>
      </c>
      <c r="E88" s="2">
        <v>18.989999999999998</v>
      </c>
      <c r="F88" s="2">
        <v>11.96</v>
      </c>
      <c r="G88" s="2">
        <v>35.130000000000003</v>
      </c>
      <c r="H88" s="2">
        <v>9.7100000000000009</v>
      </c>
      <c r="I88" s="2">
        <v>17.05</v>
      </c>
      <c r="J88" s="2">
        <v>26.94</v>
      </c>
      <c r="K88" s="2">
        <v>2.56</v>
      </c>
      <c r="L88" s="2">
        <v>-2.35</v>
      </c>
      <c r="M88" s="2">
        <v>-0.38</v>
      </c>
      <c r="N88" s="2">
        <v>11.69</v>
      </c>
      <c r="O88" s="2">
        <v>-0.09</v>
      </c>
      <c r="P88" s="2">
        <v>33.49</v>
      </c>
      <c r="Q88" s="2">
        <v>1.58</v>
      </c>
      <c r="R88" s="2">
        <v>0.72</v>
      </c>
      <c r="S88" s="2">
        <v>12.55</v>
      </c>
      <c r="T88" s="2">
        <v>25.15</v>
      </c>
      <c r="U88" s="2">
        <v>4.21</v>
      </c>
      <c r="V88" s="2">
        <v>11.3</v>
      </c>
      <c r="W88" s="2">
        <v>11.73</v>
      </c>
      <c r="X88" s="2">
        <v>10.119999999999999</v>
      </c>
      <c r="Y88" s="2">
        <v>9.9600000000000009</v>
      </c>
      <c r="Z88" s="2">
        <v>0</v>
      </c>
      <c r="AA88" s="2">
        <v>0.43</v>
      </c>
      <c r="AB88" s="2">
        <v>0.94</v>
      </c>
      <c r="AC88" s="2">
        <v>9.2799999999999994</v>
      </c>
      <c r="AD88" s="2">
        <v>2.68</v>
      </c>
      <c r="AE88" s="2">
        <v>15.55</v>
      </c>
      <c r="AF88" s="2">
        <v>60.63</v>
      </c>
      <c r="AG88" s="2">
        <v>11.2</v>
      </c>
    </row>
    <row r="89" spans="1:33" x14ac:dyDescent="0.2">
      <c r="A89" s="3">
        <v>10624</v>
      </c>
      <c r="B89" s="2">
        <v>3.97</v>
      </c>
      <c r="C89" s="2">
        <v>10</v>
      </c>
      <c r="D89" s="2">
        <v>-5.38</v>
      </c>
      <c r="E89" s="2">
        <v>-6.62</v>
      </c>
      <c r="F89" s="2">
        <v>-6.86</v>
      </c>
      <c r="G89" s="2">
        <v>7.34</v>
      </c>
      <c r="H89" s="2">
        <v>5.07</v>
      </c>
      <c r="I89" s="2">
        <v>14.65</v>
      </c>
      <c r="J89" s="2">
        <v>9.3800000000000008</v>
      </c>
      <c r="K89" s="2">
        <v>-6.84</v>
      </c>
      <c r="L89" s="2">
        <v>-6.47</v>
      </c>
      <c r="M89" s="2">
        <v>-10.25</v>
      </c>
      <c r="N89" s="2">
        <v>1.73</v>
      </c>
      <c r="O89" s="2">
        <v>-1.02</v>
      </c>
      <c r="P89" s="2">
        <v>17.899999999999999</v>
      </c>
      <c r="Q89" s="2">
        <v>0.22</v>
      </c>
      <c r="R89" s="2">
        <v>1.17</v>
      </c>
      <c r="S89" s="2">
        <v>2.15</v>
      </c>
      <c r="T89" s="2">
        <v>24.86</v>
      </c>
      <c r="U89" s="2">
        <v>3.41</v>
      </c>
      <c r="V89" s="2">
        <v>11.73</v>
      </c>
      <c r="W89" s="2">
        <v>4.26</v>
      </c>
      <c r="X89" s="2">
        <v>5.74</v>
      </c>
      <c r="Y89" s="2">
        <v>4.34</v>
      </c>
      <c r="Z89" s="2">
        <v>1.0900000000000001</v>
      </c>
      <c r="AA89" s="2">
        <v>0.56999999999999995</v>
      </c>
      <c r="AB89" s="2">
        <v>0.15</v>
      </c>
      <c r="AC89" s="2">
        <v>12.53</v>
      </c>
      <c r="AD89" s="2">
        <v>2.69</v>
      </c>
      <c r="AE89" s="2">
        <v>16.53</v>
      </c>
      <c r="AF89" s="2">
        <v>68.83</v>
      </c>
      <c r="AG89" s="2">
        <v>9.8800000000000008</v>
      </c>
    </row>
    <row r="90" spans="1:33" x14ac:dyDescent="0.2">
      <c r="A90" s="3">
        <v>10652</v>
      </c>
      <c r="B90" s="2">
        <v>5.86</v>
      </c>
      <c r="C90" s="2">
        <v>16.489999999999998</v>
      </c>
      <c r="D90" s="2">
        <v>3.13</v>
      </c>
      <c r="E90" s="2">
        <v>23.86</v>
      </c>
      <c r="F90" s="2">
        <v>16.62</v>
      </c>
      <c r="G90" s="2">
        <v>34.47</v>
      </c>
      <c r="H90" s="2">
        <v>11.47</v>
      </c>
      <c r="I90" s="2">
        <v>16.55</v>
      </c>
      <c r="J90" s="2">
        <v>13.58</v>
      </c>
      <c r="K90" s="2">
        <v>0.41</v>
      </c>
      <c r="L90" s="2">
        <v>-7.83</v>
      </c>
      <c r="M90" s="2">
        <v>-4.87</v>
      </c>
      <c r="N90" s="2">
        <v>3.82</v>
      </c>
      <c r="O90" s="2">
        <v>-1.23</v>
      </c>
      <c r="P90" s="2">
        <v>18.489999999999998</v>
      </c>
      <c r="Q90" s="2">
        <v>0.26</v>
      </c>
      <c r="R90" s="2">
        <v>1.65</v>
      </c>
      <c r="S90" s="2">
        <v>0.04</v>
      </c>
      <c r="T90" s="2">
        <v>25.62</v>
      </c>
      <c r="U90" s="2">
        <v>2.86</v>
      </c>
      <c r="V90" s="2">
        <v>10.79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2.42</v>
      </c>
      <c r="AC90" s="2">
        <v>2.2599999999999998</v>
      </c>
      <c r="AD90" s="2">
        <v>3.09</v>
      </c>
      <c r="AE90" s="2">
        <v>11.53</v>
      </c>
      <c r="AF90" s="2">
        <v>57.37</v>
      </c>
      <c r="AG90" s="2">
        <v>10.08</v>
      </c>
    </row>
    <row r="91" spans="1:33" x14ac:dyDescent="0.2">
      <c r="A91" s="3">
        <v>10683</v>
      </c>
      <c r="B91" s="2">
        <v>5.14</v>
      </c>
      <c r="C91" s="2">
        <v>8.75</v>
      </c>
      <c r="D91" s="2">
        <v>-3.67</v>
      </c>
      <c r="E91" s="2">
        <v>2.12</v>
      </c>
      <c r="F91" s="2">
        <v>6.65</v>
      </c>
      <c r="G91" s="2">
        <v>10.27</v>
      </c>
      <c r="H91" s="2">
        <v>9.65</v>
      </c>
      <c r="I91" s="2">
        <v>15.05</v>
      </c>
      <c r="J91" s="2">
        <v>14.27</v>
      </c>
      <c r="K91" s="2">
        <v>9.89</v>
      </c>
      <c r="L91" s="2">
        <v>-1.6</v>
      </c>
      <c r="M91" s="2">
        <v>-2.4700000000000002</v>
      </c>
      <c r="N91" s="2">
        <v>19.170000000000002</v>
      </c>
      <c r="O91" s="2">
        <v>4.68</v>
      </c>
      <c r="P91" s="2">
        <v>49.32</v>
      </c>
      <c r="Q91" s="2">
        <v>2</v>
      </c>
      <c r="R91" s="2">
        <v>-0.13</v>
      </c>
      <c r="S91" s="2">
        <v>11.71</v>
      </c>
      <c r="T91" s="2">
        <v>29.86</v>
      </c>
      <c r="U91" s="2">
        <v>2.04</v>
      </c>
      <c r="V91" s="2">
        <v>16.23</v>
      </c>
      <c r="W91" s="2">
        <v>0</v>
      </c>
      <c r="X91" s="2">
        <v>0.17</v>
      </c>
      <c r="Y91" s="2">
        <v>0</v>
      </c>
      <c r="Z91" s="2">
        <v>0</v>
      </c>
      <c r="AA91" s="2">
        <v>1.1499999999999999</v>
      </c>
      <c r="AB91" s="2">
        <v>0.4</v>
      </c>
      <c r="AC91" s="2">
        <v>15.29</v>
      </c>
      <c r="AD91" s="2">
        <v>4.7699999999999996</v>
      </c>
      <c r="AE91" s="2">
        <v>8.6300000000000008</v>
      </c>
      <c r="AF91" s="2">
        <v>67.7</v>
      </c>
      <c r="AG91" s="2">
        <v>10.69</v>
      </c>
    </row>
    <row r="92" spans="1:33" x14ac:dyDescent="0.2">
      <c r="A92" s="3">
        <v>10713</v>
      </c>
      <c r="B92" s="2">
        <v>4.3899999999999997</v>
      </c>
      <c r="C92" s="2">
        <v>7.6</v>
      </c>
      <c r="D92" s="2">
        <v>-4.6500000000000004</v>
      </c>
      <c r="E92" s="2">
        <v>-12.05</v>
      </c>
      <c r="F92" s="2">
        <v>-6.39</v>
      </c>
      <c r="G92" s="2">
        <v>-3.03</v>
      </c>
      <c r="H92" s="2">
        <v>4</v>
      </c>
      <c r="I92" s="2">
        <v>19.12</v>
      </c>
      <c r="J92" s="2">
        <v>12.24</v>
      </c>
      <c r="K92" s="2">
        <v>9.61</v>
      </c>
      <c r="L92" s="2">
        <v>-0.98</v>
      </c>
      <c r="M92" s="2">
        <v>0.76</v>
      </c>
      <c r="N92" s="2">
        <v>21.2</v>
      </c>
      <c r="O92" s="2">
        <v>0.24</v>
      </c>
      <c r="P92" s="2">
        <v>37.29</v>
      </c>
      <c r="Q92" s="2">
        <v>5.01</v>
      </c>
      <c r="R92" s="2">
        <v>2.86</v>
      </c>
      <c r="S92" s="2">
        <v>5.29</v>
      </c>
      <c r="T92" s="2">
        <v>26.33</v>
      </c>
      <c r="U92" s="2">
        <v>3.6</v>
      </c>
      <c r="V92" s="2">
        <v>20.11</v>
      </c>
      <c r="W92" s="2">
        <v>0</v>
      </c>
      <c r="X92" s="2">
        <v>0.14000000000000001</v>
      </c>
      <c r="Y92" s="2">
        <v>0</v>
      </c>
      <c r="Z92" s="2">
        <v>0</v>
      </c>
      <c r="AA92" s="2">
        <v>2.72</v>
      </c>
      <c r="AB92" s="2">
        <v>0</v>
      </c>
      <c r="AC92" s="2">
        <v>5.51</v>
      </c>
      <c r="AD92" s="2">
        <v>5.3</v>
      </c>
      <c r="AE92" s="2">
        <v>4.62</v>
      </c>
      <c r="AF92" s="2">
        <v>83.78</v>
      </c>
      <c r="AG92" s="2">
        <v>14.64</v>
      </c>
    </row>
    <row r="93" spans="1:33" x14ac:dyDescent="0.2">
      <c r="A93" s="3">
        <v>10744</v>
      </c>
      <c r="B93" s="2">
        <v>0.66</v>
      </c>
      <c r="C93" s="2">
        <v>6.29</v>
      </c>
      <c r="D93" s="2">
        <v>-4.05</v>
      </c>
      <c r="E93" s="2">
        <v>-30.05</v>
      </c>
      <c r="F93" s="2">
        <v>0</v>
      </c>
      <c r="G93" s="2">
        <v>-7.13</v>
      </c>
      <c r="H93" s="2">
        <v>6.42</v>
      </c>
      <c r="I93" s="2">
        <v>21.83</v>
      </c>
      <c r="J93" s="2">
        <v>21.81</v>
      </c>
      <c r="K93" s="2">
        <v>23.12</v>
      </c>
      <c r="L93" s="2">
        <v>27.13</v>
      </c>
      <c r="M93" s="2">
        <v>14.37</v>
      </c>
      <c r="N93" s="2">
        <v>40.29</v>
      </c>
      <c r="O93" s="2">
        <v>11.96</v>
      </c>
      <c r="P93" s="2">
        <v>55.21</v>
      </c>
      <c r="Q93" s="2">
        <v>9.82</v>
      </c>
      <c r="R93" s="2">
        <v>15.71</v>
      </c>
      <c r="S93" s="2">
        <v>13.99</v>
      </c>
      <c r="T93" s="2">
        <v>34.799999999999997</v>
      </c>
      <c r="U93" s="2">
        <v>3.49</v>
      </c>
      <c r="V93" s="2">
        <v>30.99</v>
      </c>
      <c r="W93" s="2">
        <v>4.88</v>
      </c>
      <c r="X93" s="2">
        <v>2.4900000000000002</v>
      </c>
      <c r="Y93" s="2">
        <v>1.02</v>
      </c>
      <c r="Z93" s="2">
        <v>0</v>
      </c>
      <c r="AA93" s="2">
        <v>0</v>
      </c>
      <c r="AB93" s="2">
        <v>0.25</v>
      </c>
      <c r="AC93" s="2">
        <v>0</v>
      </c>
      <c r="AD93" s="2">
        <v>5.76</v>
      </c>
      <c r="AE93" s="2">
        <v>9.69</v>
      </c>
      <c r="AF93" s="2">
        <v>94.61</v>
      </c>
      <c r="AG93" s="2">
        <v>17.690000000000001</v>
      </c>
    </row>
    <row r="94" spans="1:33" x14ac:dyDescent="0.2">
      <c r="A94" s="3">
        <v>10774</v>
      </c>
      <c r="B94" s="2">
        <v>0.71</v>
      </c>
      <c r="C94" s="2">
        <v>7.97</v>
      </c>
      <c r="D94" s="2">
        <v>-7.81</v>
      </c>
      <c r="E94" s="2">
        <v>-39.83</v>
      </c>
      <c r="F94" s="2">
        <v>-19.91</v>
      </c>
      <c r="G94" s="2">
        <v>-8.93</v>
      </c>
      <c r="H94" s="2">
        <v>3.38</v>
      </c>
      <c r="I94" s="2">
        <v>15.92</v>
      </c>
      <c r="J94" s="2">
        <v>1.2</v>
      </c>
      <c r="K94" s="2">
        <v>-7.48</v>
      </c>
      <c r="L94" s="2">
        <v>1.01</v>
      </c>
      <c r="M94" s="2">
        <v>0.22</v>
      </c>
      <c r="N94" s="2">
        <v>12.31</v>
      </c>
      <c r="O94" s="2">
        <v>28.72</v>
      </c>
      <c r="P94" s="2">
        <v>46.26</v>
      </c>
      <c r="Q94" s="2">
        <v>4.8600000000000003</v>
      </c>
      <c r="R94" s="2">
        <v>4.9400000000000004</v>
      </c>
      <c r="S94" s="2">
        <v>12.62</v>
      </c>
      <c r="T94" s="2">
        <v>47.18</v>
      </c>
      <c r="U94" s="2">
        <v>1.44</v>
      </c>
      <c r="V94" s="2">
        <v>33.96</v>
      </c>
      <c r="W94" s="2">
        <v>18.62</v>
      </c>
      <c r="X94" s="2">
        <v>7.31</v>
      </c>
      <c r="Y94" s="2">
        <v>6.52</v>
      </c>
      <c r="Z94" s="2">
        <v>0</v>
      </c>
      <c r="AA94" s="2">
        <v>0</v>
      </c>
      <c r="AB94" s="2">
        <v>0.1</v>
      </c>
      <c r="AC94" s="2">
        <v>0</v>
      </c>
      <c r="AD94" s="2">
        <v>5.54</v>
      </c>
      <c r="AE94" s="2">
        <v>0.8</v>
      </c>
      <c r="AF94" s="2">
        <v>103.54</v>
      </c>
      <c r="AG94" s="2">
        <v>22.83</v>
      </c>
    </row>
    <row r="95" spans="1:33" x14ac:dyDescent="0.2">
      <c r="A95" s="3">
        <v>10805</v>
      </c>
      <c r="B95" s="2">
        <v>-1.54</v>
      </c>
      <c r="C95" s="2">
        <v>7.34</v>
      </c>
      <c r="D95" s="2">
        <v>-9.52</v>
      </c>
      <c r="E95" s="2">
        <v>-39.28</v>
      </c>
      <c r="F95" s="2">
        <v>-10.07</v>
      </c>
      <c r="G95" s="2">
        <v>-9.44</v>
      </c>
      <c r="H95" s="2">
        <v>2.69</v>
      </c>
      <c r="I95" s="2">
        <v>9.4499999999999993</v>
      </c>
      <c r="J95" s="2">
        <v>-9.41</v>
      </c>
      <c r="K95" s="2">
        <v>-0.42</v>
      </c>
      <c r="L95" s="2">
        <v>-15.29</v>
      </c>
      <c r="M95" s="2">
        <v>-3.76</v>
      </c>
      <c r="N95" s="2">
        <v>8.68</v>
      </c>
      <c r="O95" s="2">
        <v>45.72</v>
      </c>
      <c r="P95" s="2">
        <v>55.91</v>
      </c>
      <c r="Q95" s="2">
        <v>2.35</v>
      </c>
      <c r="R95" s="2">
        <v>1.94</v>
      </c>
      <c r="S95" s="2">
        <v>20.100000000000001</v>
      </c>
      <c r="T95" s="2">
        <v>43.54</v>
      </c>
      <c r="U95" s="2">
        <v>6.18</v>
      </c>
      <c r="V95" s="2">
        <v>37.04</v>
      </c>
      <c r="W95" s="2">
        <v>30.39</v>
      </c>
      <c r="X95" s="2">
        <v>12</v>
      </c>
      <c r="Y95" s="2">
        <v>11.58</v>
      </c>
      <c r="Z95" s="2">
        <v>0</v>
      </c>
      <c r="AA95" s="2">
        <v>0</v>
      </c>
      <c r="AB95" s="2">
        <v>0</v>
      </c>
      <c r="AC95" s="2">
        <v>0</v>
      </c>
      <c r="AD95" s="2">
        <v>5.32</v>
      </c>
      <c r="AE95" s="2">
        <v>0.31</v>
      </c>
      <c r="AF95" s="2">
        <v>112.76</v>
      </c>
      <c r="AG95" s="2">
        <v>24.8</v>
      </c>
    </row>
    <row r="96" spans="1:33" x14ac:dyDescent="0.2">
      <c r="A96" s="3">
        <v>10836</v>
      </c>
      <c r="B96" s="2">
        <v>-2.19</v>
      </c>
      <c r="C96" s="2">
        <v>7.68</v>
      </c>
      <c r="D96" s="2">
        <v>-7.44</v>
      </c>
      <c r="E96" s="2">
        <v>-28.75</v>
      </c>
      <c r="F96" s="2">
        <v>-1.21</v>
      </c>
      <c r="G96" s="2">
        <v>2.2799999999999998</v>
      </c>
      <c r="H96" s="2">
        <v>7.93</v>
      </c>
      <c r="I96" s="2">
        <v>10.44</v>
      </c>
      <c r="J96" s="2">
        <v>-1.55</v>
      </c>
      <c r="K96" s="2">
        <v>10.72</v>
      </c>
      <c r="L96" s="2">
        <v>-9.4</v>
      </c>
      <c r="M96" s="2">
        <v>-3.63</v>
      </c>
      <c r="N96" s="2">
        <v>10.51</v>
      </c>
      <c r="O96" s="2">
        <v>36.81</v>
      </c>
      <c r="P96" s="2">
        <v>61.85</v>
      </c>
      <c r="Q96" s="2">
        <v>1.92</v>
      </c>
      <c r="R96" s="2">
        <v>0.47</v>
      </c>
      <c r="S96" s="2">
        <v>15.32</v>
      </c>
      <c r="T96" s="2">
        <v>42.87</v>
      </c>
      <c r="U96" s="2">
        <v>4.72</v>
      </c>
      <c r="V96" s="2">
        <v>35.64</v>
      </c>
      <c r="W96" s="2">
        <v>31.47</v>
      </c>
      <c r="X96" s="2">
        <v>14.21</v>
      </c>
      <c r="Y96" s="2">
        <v>13.91</v>
      </c>
      <c r="Z96" s="2">
        <v>1.37</v>
      </c>
      <c r="AA96" s="2">
        <v>4.4400000000000004</v>
      </c>
      <c r="AB96" s="2">
        <v>0</v>
      </c>
      <c r="AC96" s="2">
        <v>0</v>
      </c>
      <c r="AD96" s="2">
        <v>5.14</v>
      </c>
      <c r="AE96" s="2">
        <v>0.95</v>
      </c>
      <c r="AF96" s="2">
        <v>114.68</v>
      </c>
      <c r="AG96" s="2">
        <v>23.65</v>
      </c>
    </row>
    <row r="97" spans="1:33" x14ac:dyDescent="0.2">
      <c r="A97" s="3">
        <v>10866</v>
      </c>
      <c r="B97" s="2">
        <v>-2.62</v>
      </c>
      <c r="C97" s="2">
        <v>7.61</v>
      </c>
      <c r="D97" s="2">
        <v>-6.35</v>
      </c>
      <c r="E97" s="2">
        <v>-13.98</v>
      </c>
      <c r="F97" s="2">
        <v>-0.88</v>
      </c>
      <c r="G97" s="2">
        <v>9.56</v>
      </c>
      <c r="H97" s="2">
        <v>12.35</v>
      </c>
      <c r="I97" s="2">
        <v>13.42</v>
      </c>
      <c r="J97" s="2">
        <v>10.11</v>
      </c>
      <c r="K97" s="2">
        <v>-8.26</v>
      </c>
      <c r="L97" s="2">
        <v>-2.66</v>
      </c>
      <c r="M97" s="2">
        <v>-0.56999999999999995</v>
      </c>
      <c r="N97" s="2">
        <v>6.07</v>
      </c>
      <c r="O97" s="2">
        <v>-2.61</v>
      </c>
      <c r="P97" s="2">
        <v>31.87</v>
      </c>
      <c r="Q97" s="2">
        <v>3.01</v>
      </c>
      <c r="R97" s="2">
        <v>4.1399999999999997</v>
      </c>
      <c r="S97" s="2">
        <v>-2.5099999999999998</v>
      </c>
      <c r="T97" s="2">
        <v>25.57</v>
      </c>
      <c r="U97" s="2">
        <v>2.5</v>
      </c>
      <c r="V97" s="2">
        <v>12.92</v>
      </c>
      <c r="W97" s="2">
        <v>26.1</v>
      </c>
      <c r="X97" s="2">
        <v>13.62</v>
      </c>
      <c r="Y97" s="2">
        <v>13.13</v>
      </c>
      <c r="Z97" s="2">
        <v>1.64</v>
      </c>
      <c r="AA97" s="2">
        <v>12.04</v>
      </c>
      <c r="AB97" s="2">
        <v>0.94</v>
      </c>
      <c r="AC97" s="2">
        <v>0</v>
      </c>
      <c r="AD97" s="2">
        <v>4.6100000000000003</v>
      </c>
      <c r="AE97" s="2">
        <v>3.04</v>
      </c>
      <c r="AF97" s="2">
        <v>106.81</v>
      </c>
      <c r="AG97" s="2">
        <v>20.170000000000002</v>
      </c>
    </row>
    <row r="98" spans="1:33" x14ac:dyDescent="0.2">
      <c r="A98" s="3">
        <v>10897</v>
      </c>
      <c r="B98" s="2">
        <v>-1.63</v>
      </c>
      <c r="C98" s="2">
        <v>8.48</v>
      </c>
      <c r="D98" s="2">
        <v>-6.04</v>
      </c>
      <c r="E98" s="2">
        <v>-1.62</v>
      </c>
      <c r="F98" s="2">
        <v>-3.07</v>
      </c>
      <c r="G98" s="2">
        <v>11.98</v>
      </c>
      <c r="H98" s="2">
        <v>12.7</v>
      </c>
      <c r="I98" s="2">
        <v>13.7</v>
      </c>
      <c r="J98" s="2">
        <v>8.58</v>
      </c>
      <c r="K98" s="2">
        <v>-5.72</v>
      </c>
      <c r="L98" s="2">
        <v>-1.23</v>
      </c>
      <c r="M98" s="2">
        <v>-0.12</v>
      </c>
      <c r="N98" s="2">
        <v>4.05</v>
      </c>
      <c r="O98" s="2">
        <v>2.66</v>
      </c>
      <c r="P98" s="2">
        <v>29.83</v>
      </c>
      <c r="Q98" s="2">
        <v>1.1299999999999999</v>
      </c>
      <c r="R98" s="2">
        <v>1.34</v>
      </c>
      <c r="S98" s="2">
        <v>-7.27</v>
      </c>
      <c r="T98" s="2">
        <v>25.49</v>
      </c>
      <c r="U98" s="2">
        <v>-0.11</v>
      </c>
      <c r="V98" s="2">
        <v>11.98</v>
      </c>
      <c r="W98" s="2">
        <v>22.19</v>
      </c>
      <c r="X98" s="2">
        <v>12.75</v>
      </c>
      <c r="Y98" s="2">
        <v>12.26</v>
      </c>
      <c r="Z98" s="2">
        <v>0</v>
      </c>
      <c r="AA98" s="2">
        <v>0</v>
      </c>
      <c r="AB98" s="2">
        <v>0</v>
      </c>
      <c r="AC98" s="2">
        <v>0</v>
      </c>
      <c r="AD98" s="2">
        <v>4.04</v>
      </c>
      <c r="AE98" s="2">
        <v>3.77</v>
      </c>
      <c r="AF98" s="2">
        <v>96.89</v>
      </c>
      <c r="AG98" s="2">
        <v>16.420000000000002</v>
      </c>
    </row>
    <row r="99" spans="1:33" x14ac:dyDescent="0.2">
      <c r="A99" s="3">
        <v>10927</v>
      </c>
      <c r="B99" s="2">
        <v>-0.39</v>
      </c>
      <c r="C99" s="2">
        <v>7.3</v>
      </c>
      <c r="D99" s="2">
        <v>-4.38</v>
      </c>
      <c r="E99" s="2">
        <v>1.19</v>
      </c>
      <c r="F99" s="2">
        <v>-3.29</v>
      </c>
      <c r="G99" s="2">
        <v>8.7899999999999991</v>
      </c>
      <c r="H99" s="2">
        <v>8.02</v>
      </c>
      <c r="I99" s="2">
        <v>13.55</v>
      </c>
      <c r="J99" s="2">
        <v>13.39</v>
      </c>
      <c r="K99" s="2">
        <v>-2.8</v>
      </c>
      <c r="L99" s="2">
        <v>-2.75</v>
      </c>
      <c r="M99" s="2">
        <v>-2.15</v>
      </c>
      <c r="N99" s="2">
        <v>0.9</v>
      </c>
      <c r="O99" s="2">
        <v>-1.56</v>
      </c>
      <c r="P99" s="2">
        <v>26.7</v>
      </c>
      <c r="Q99" s="2">
        <v>2.59</v>
      </c>
      <c r="R99" s="2">
        <v>1.66</v>
      </c>
      <c r="S99" s="2">
        <v>-6.18</v>
      </c>
      <c r="T99" s="2">
        <v>24.04</v>
      </c>
      <c r="U99" s="2">
        <v>2.77</v>
      </c>
      <c r="V99" s="2">
        <v>11.89</v>
      </c>
      <c r="W99" s="2">
        <v>15.43</v>
      </c>
      <c r="X99" s="2">
        <v>8.32</v>
      </c>
      <c r="Y99" s="2">
        <v>6.83</v>
      </c>
      <c r="Z99" s="2">
        <v>0</v>
      </c>
      <c r="AA99" s="2">
        <v>0</v>
      </c>
      <c r="AB99" s="2">
        <v>0</v>
      </c>
      <c r="AC99" s="2">
        <v>0</v>
      </c>
      <c r="AD99" s="2">
        <v>3.06</v>
      </c>
      <c r="AE99" s="2">
        <v>13.35</v>
      </c>
      <c r="AF99" s="2">
        <v>63.57</v>
      </c>
      <c r="AG99" s="2">
        <v>12.92</v>
      </c>
    </row>
    <row r="100" spans="1:33" x14ac:dyDescent="0.2">
      <c r="A100" s="3">
        <v>10958</v>
      </c>
      <c r="B100" s="2">
        <v>7.59</v>
      </c>
      <c r="C100" s="2">
        <v>23.76</v>
      </c>
      <c r="D100" s="2">
        <v>36.14</v>
      </c>
      <c r="E100" s="2">
        <v>136.83000000000001</v>
      </c>
      <c r="F100" s="2">
        <v>127.43</v>
      </c>
      <c r="G100" s="2">
        <v>132.22999999999999</v>
      </c>
      <c r="H100" s="2">
        <v>43.65</v>
      </c>
      <c r="I100" s="2">
        <v>22.15</v>
      </c>
      <c r="J100" s="2">
        <v>37.729999999999997</v>
      </c>
      <c r="K100" s="2">
        <v>3.16</v>
      </c>
      <c r="L100" s="2">
        <v>1.56</v>
      </c>
      <c r="M100" s="2">
        <v>-1.42</v>
      </c>
      <c r="N100" s="2">
        <v>4.0599999999999996</v>
      </c>
      <c r="O100" s="2">
        <v>-1.95</v>
      </c>
      <c r="P100" s="2">
        <v>23.46</v>
      </c>
      <c r="Q100" s="2">
        <v>1.38</v>
      </c>
      <c r="R100" s="2">
        <v>1.29</v>
      </c>
      <c r="S100" s="2">
        <v>-5.61</v>
      </c>
      <c r="T100" s="2">
        <v>22.7</v>
      </c>
      <c r="U100" s="2">
        <v>3.06</v>
      </c>
      <c r="V100" s="2">
        <v>11.48</v>
      </c>
      <c r="W100" s="2">
        <v>11.73</v>
      </c>
      <c r="X100" s="2">
        <v>6.41</v>
      </c>
      <c r="Y100" s="2">
        <v>6.16</v>
      </c>
      <c r="Z100" s="2">
        <v>0</v>
      </c>
      <c r="AA100" s="2">
        <v>0</v>
      </c>
      <c r="AB100" s="2">
        <v>0</v>
      </c>
      <c r="AC100" s="2">
        <v>0.75</v>
      </c>
      <c r="AD100" s="2">
        <v>3.07</v>
      </c>
      <c r="AE100" s="2">
        <v>18.399999999999999</v>
      </c>
      <c r="AF100" s="2">
        <v>58.4</v>
      </c>
      <c r="AG100" s="2">
        <v>11.2</v>
      </c>
    </row>
    <row r="101" spans="1:33" x14ac:dyDescent="0.2">
      <c r="A101" s="3">
        <v>10989</v>
      </c>
      <c r="B101" s="2">
        <v>4.6100000000000003</v>
      </c>
      <c r="C101" s="2">
        <v>17.510000000000002</v>
      </c>
      <c r="D101" s="2">
        <v>8.1</v>
      </c>
      <c r="E101" s="2">
        <v>12.11</v>
      </c>
      <c r="F101" s="2">
        <v>-34.83</v>
      </c>
      <c r="G101" s="2">
        <v>44.15</v>
      </c>
      <c r="H101" s="2">
        <v>9.01</v>
      </c>
      <c r="I101" s="2">
        <v>20.61</v>
      </c>
      <c r="J101" s="2">
        <v>38.08</v>
      </c>
      <c r="K101" s="2">
        <v>15.23</v>
      </c>
      <c r="L101" s="2">
        <v>15.07</v>
      </c>
      <c r="M101" s="2">
        <v>5.34</v>
      </c>
      <c r="N101" s="2">
        <v>12.97</v>
      </c>
      <c r="O101" s="2">
        <v>-2.06</v>
      </c>
      <c r="P101" s="2">
        <v>38.93</v>
      </c>
      <c r="Q101" s="2">
        <v>1.18</v>
      </c>
      <c r="R101" s="2">
        <v>1.64</v>
      </c>
      <c r="S101" s="2">
        <v>21.5</v>
      </c>
      <c r="T101" s="2">
        <v>28.91</v>
      </c>
      <c r="U101" s="2">
        <v>3.13</v>
      </c>
      <c r="V101" s="2">
        <v>12.49</v>
      </c>
      <c r="W101" s="2">
        <v>4.26</v>
      </c>
      <c r="X101" s="2">
        <v>5.84</v>
      </c>
      <c r="Y101" s="2">
        <v>4.53</v>
      </c>
      <c r="Z101" s="2">
        <v>7.38</v>
      </c>
      <c r="AA101" s="2">
        <v>28.96</v>
      </c>
      <c r="AB101" s="2">
        <v>3.57</v>
      </c>
      <c r="AC101" s="2">
        <v>13.29</v>
      </c>
      <c r="AD101" s="2">
        <v>3.09</v>
      </c>
      <c r="AE101" s="2">
        <v>19.2</v>
      </c>
      <c r="AF101" s="2">
        <v>68.83</v>
      </c>
      <c r="AG101" s="2">
        <v>9.8800000000000008</v>
      </c>
    </row>
    <row r="102" spans="1:33" x14ac:dyDescent="0.2">
      <c r="A102" s="3">
        <v>11017</v>
      </c>
      <c r="B102" s="2">
        <v>7.18</v>
      </c>
      <c r="C102" s="2">
        <v>20.56</v>
      </c>
      <c r="D102" s="2">
        <v>2.67</v>
      </c>
      <c r="E102" s="2">
        <v>13.5</v>
      </c>
      <c r="F102" s="2">
        <v>7.57</v>
      </c>
      <c r="G102" s="2">
        <v>28.74</v>
      </c>
      <c r="H102" s="2">
        <v>9.3000000000000007</v>
      </c>
      <c r="I102" s="2">
        <v>16.23</v>
      </c>
      <c r="J102" s="2">
        <v>12.48</v>
      </c>
      <c r="K102" s="2">
        <v>1.84</v>
      </c>
      <c r="L102" s="2">
        <v>-3.3</v>
      </c>
      <c r="M102" s="2">
        <v>-3.86</v>
      </c>
      <c r="N102" s="2">
        <v>7.4</v>
      </c>
      <c r="O102" s="2">
        <v>-2.2200000000000002</v>
      </c>
      <c r="P102" s="2">
        <v>27.75</v>
      </c>
      <c r="Q102" s="2">
        <v>0.06</v>
      </c>
      <c r="R102" s="2">
        <v>2.72</v>
      </c>
      <c r="S102" s="2">
        <v>9.66</v>
      </c>
      <c r="T102" s="2">
        <v>24.93</v>
      </c>
      <c r="U102" s="2">
        <v>3.66</v>
      </c>
      <c r="V102" s="2">
        <v>10.18</v>
      </c>
      <c r="W102" s="2">
        <v>0</v>
      </c>
      <c r="X102" s="2">
        <v>0</v>
      </c>
      <c r="Y102" s="2">
        <v>0.08</v>
      </c>
      <c r="Z102" s="2">
        <v>0</v>
      </c>
      <c r="AA102" s="2">
        <v>0.14000000000000001</v>
      </c>
      <c r="AB102" s="2">
        <v>9.11</v>
      </c>
      <c r="AC102" s="2">
        <v>9.02</v>
      </c>
      <c r="AD102" s="2">
        <v>3.58</v>
      </c>
      <c r="AE102" s="2">
        <v>17.329999999999998</v>
      </c>
      <c r="AF102" s="2">
        <v>57.37</v>
      </c>
      <c r="AG102" s="2">
        <v>10.08</v>
      </c>
    </row>
    <row r="103" spans="1:33" x14ac:dyDescent="0.2">
      <c r="A103" s="3">
        <v>11048</v>
      </c>
      <c r="B103" s="2">
        <v>7.65</v>
      </c>
      <c r="C103" s="2">
        <v>20.03</v>
      </c>
      <c r="D103" s="2">
        <v>5.05</v>
      </c>
      <c r="E103" s="2">
        <v>26.8</v>
      </c>
      <c r="F103" s="2">
        <v>38.01</v>
      </c>
      <c r="G103" s="2">
        <v>59.63</v>
      </c>
      <c r="H103" s="2">
        <v>13.87</v>
      </c>
      <c r="I103" s="2">
        <v>19.2</v>
      </c>
      <c r="J103" s="2">
        <v>24.48</v>
      </c>
      <c r="K103" s="2">
        <v>8.75</v>
      </c>
      <c r="L103" s="2">
        <v>17.920000000000002</v>
      </c>
      <c r="M103" s="2">
        <v>0.54</v>
      </c>
      <c r="N103" s="2">
        <v>18.920000000000002</v>
      </c>
      <c r="O103" s="2">
        <v>3.17</v>
      </c>
      <c r="P103" s="2">
        <v>53.58</v>
      </c>
      <c r="Q103" s="2">
        <v>3.11</v>
      </c>
      <c r="R103" s="2">
        <v>0.67</v>
      </c>
      <c r="S103" s="2">
        <v>11.71</v>
      </c>
      <c r="T103" s="2">
        <v>29.54</v>
      </c>
      <c r="U103" s="2">
        <v>1.18</v>
      </c>
      <c r="V103" s="2">
        <v>19.32</v>
      </c>
      <c r="W103" s="2">
        <v>0</v>
      </c>
      <c r="X103" s="2">
        <v>0.28999999999999998</v>
      </c>
      <c r="Y103" s="2">
        <v>0</v>
      </c>
      <c r="Z103" s="2">
        <v>14.08</v>
      </c>
      <c r="AA103" s="2">
        <v>9.4600000000000009</v>
      </c>
      <c r="AB103" s="2">
        <v>2.91</v>
      </c>
      <c r="AC103" s="2">
        <v>7.52</v>
      </c>
      <c r="AD103" s="2">
        <v>5.32</v>
      </c>
      <c r="AE103" s="2">
        <v>16.690000000000001</v>
      </c>
      <c r="AF103" s="2">
        <v>67.7</v>
      </c>
      <c r="AG103" s="2">
        <v>10.69</v>
      </c>
    </row>
    <row r="104" spans="1:33" x14ac:dyDescent="0.2">
      <c r="A104" s="3">
        <v>11078</v>
      </c>
      <c r="B104" s="2">
        <v>3.34</v>
      </c>
      <c r="C104" s="2">
        <v>13</v>
      </c>
      <c r="D104" s="2">
        <v>-9.4</v>
      </c>
      <c r="E104" s="2">
        <v>-36.64</v>
      </c>
      <c r="F104" s="2">
        <v>-16.059999999999999</v>
      </c>
      <c r="G104" s="2">
        <v>-34.049999999999997</v>
      </c>
      <c r="H104" s="2">
        <v>3.18</v>
      </c>
      <c r="I104" s="2">
        <v>15.68</v>
      </c>
      <c r="J104" s="2">
        <v>16.170000000000002</v>
      </c>
      <c r="K104" s="2">
        <v>14.37</v>
      </c>
      <c r="L104" s="2">
        <v>21.17</v>
      </c>
      <c r="M104" s="2">
        <v>4.82</v>
      </c>
      <c r="N104" s="2">
        <v>27.11</v>
      </c>
      <c r="O104" s="2">
        <v>0.25</v>
      </c>
      <c r="P104" s="2">
        <v>49.63</v>
      </c>
      <c r="Q104" s="2">
        <v>7.56</v>
      </c>
      <c r="R104" s="2">
        <v>3.16</v>
      </c>
      <c r="S104" s="2">
        <v>10.31</v>
      </c>
      <c r="T104" s="2">
        <v>26.03</v>
      </c>
      <c r="U104" s="2">
        <v>3.2</v>
      </c>
      <c r="V104" s="2">
        <v>23.04</v>
      </c>
      <c r="W104" s="2">
        <v>0</v>
      </c>
      <c r="X104" s="2">
        <v>0.27</v>
      </c>
      <c r="Y104" s="2">
        <v>0</v>
      </c>
      <c r="Z104" s="2">
        <v>0.27</v>
      </c>
      <c r="AA104" s="2">
        <v>0.43</v>
      </c>
      <c r="AB104" s="2">
        <v>1.21</v>
      </c>
      <c r="AC104" s="2">
        <v>0</v>
      </c>
      <c r="AD104" s="2">
        <v>5.94</v>
      </c>
      <c r="AE104" s="2">
        <v>4.62</v>
      </c>
      <c r="AF104" s="2">
        <v>83.78</v>
      </c>
      <c r="AG104" s="2">
        <v>14.64</v>
      </c>
    </row>
    <row r="105" spans="1:33" x14ac:dyDescent="0.2">
      <c r="A105" s="3">
        <v>11109</v>
      </c>
      <c r="B105" s="2">
        <v>0.01</v>
      </c>
      <c r="C105" s="2">
        <v>7.66</v>
      </c>
      <c r="D105" s="2">
        <v>-8.26</v>
      </c>
      <c r="E105" s="2">
        <v>-47.77</v>
      </c>
      <c r="F105" s="2">
        <v>-33.770000000000003</v>
      </c>
      <c r="G105" s="2">
        <v>-35.619999999999997</v>
      </c>
      <c r="H105" s="2">
        <v>-2.19</v>
      </c>
      <c r="I105" s="2">
        <v>17.98</v>
      </c>
      <c r="J105" s="2">
        <v>7.56</v>
      </c>
      <c r="K105" s="2">
        <v>1.94</v>
      </c>
      <c r="L105" s="2">
        <v>6.36</v>
      </c>
      <c r="M105" s="2">
        <v>2.68</v>
      </c>
      <c r="N105" s="2">
        <v>24.06</v>
      </c>
      <c r="O105" s="2">
        <v>7.68</v>
      </c>
      <c r="P105" s="2">
        <v>50.6</v>
      </c>
      <c r="Q105" s="2">
        <v>6.78</v>
      </c>
      <c r="R105" s="2">
        <v>5.85</v>
      </c>
      <c r="S105" s="2">
        <v>15.09</v>
      </c>
      <c r="T105" s="2">
        <v>31.49</v>
      </c>
      <c r="U105" s="2">
        <v>2.93</v>
      </c>
      <c r="V105" s="2">
        <v>26.46</v>
      </c>
      <c r="W105" s="2">
        <v>4.88</v>
      </c>
      <c r="X105" s="2">
        <v>2.65</v>
      </c>
      <c r="Y105" s="2">
        <v>1.3</v>
      </c>
      <c r="Z105" s="2">
        <v>6.01</v>
      </c>
      <c r="AA105" s="2">
        <v>4.7300000000000004</v>
      </c>
      <c r="AB105" s="2">
        <v>3.51</v>
      </c>
      <c r="AC105" s="2">
        <v>12.28</v>
      </c>
      <c r="AD105" s="2">
        <v>6.1</v>
      </c>
      <c r="AE105" s="2">
        <v>2.83</v>
      </c>
      <c r="AF105" s="2">
        <v>94.61</v>
      </c>
      <c r="AG105" s="2">
        <v>17.690000000000001</v>
      </c>
    </row>
    <row r="106" spans="1:33" x14ac:dyDescent="0.2">
      <c r="A106" s="3">
        <v>11139</v>
      </c>
      <c r="B106" s="2">
        <v>-2.29</v>
      </c>
      <c r="C106" s="2">
        <v>6.94</v>
      </c>
      <c r="D106" s="2">
        <v>-9.02</v>
      </c>
      <c r="E106" s="2">
        <v>-69.87</v>
      </c>
      <c r="F106" s="2">
        <v>-31.59</v>
      </c>
      <c r="G106" s="2">
        <v>-32.07</v>
      </c>
      <c r="H106" s="2">
        <v>-3.1</v>
      </c>
      <c r="I106" s="2">
        <v>14</v>
      </c>
      <c r="J106" s="2">
        <v>2.68</v>
      </c>
      <c r="K106" s="2">
        <v>2.81</v>
      </c>
      <c r="L106" s="2">
        <v>16.3</v>
      </c>
      <c r="M106" s="2">
        <v>18.809999999999999</v>
      </c>
      <c r="N106" s="2">
        <v>24.62</v>
      </c>
      <c r="O106" s="2">
        <v>32.06</v>
      </c>
      <c r="P106" s="2">
        <v>52.21</v>
      </c>
      <c r="Q106" s="2">
        <v>5.68</v>
      </c>
      <c r="R106" s="2">
        <v>6.43</v>
      </c>
      <c r="S106" s="2">
        <v>15.63</v>
      </c>
      <c r="T106" s="2">
        <v>46.06</v>
      </c>
      <c r="U106" s="2">
        <v>0.87</v>
      </c>
      <c r="V106" s="2">
        <v>31.53</v>
      </c>
      <c r="W106" s="2">
        <v>18.62</v>
      </c>
      <c r="X106" s="2">
        <v>7.48</v>
      </c>
      <c r="Y106" s="2">
        <v>6.84</v>
      </c>
      <c r="Z106" s="2">
        <v>0</v>
      </c>
      <c r="AA106" s="2">
        <v>0</v>
      </c>
      <c r="AB106" s="2">
        <v>0</v>
      </c>
      <c r="AC106" s="2">
        <v>0</v>
      </c>
      <c r="AD106" s="2">
        <v>6.28</v>
      </c>
      <c r="AE106" s="2">
        <v>0.72</v>
      </c>
      <c r="AF106" s="2">
        <v>103.54</v>
      </c>
      <c r="AG106" s="2">
        <v>22.83</v>
      </c>
    </row>
    <row r="107" spans="1:33" x14ac:dyDescent="0.2">
      <c r="A107" s="3">
        <v>11170</v>
      </c>
      <c r="B107" s="2">
        <v>-2.67</v>
      </c>
      <c r="C107" s="2">
        <v>7.55</v>
      </c>
      <c r="D107" s="2">
        <v>-8.82</v>
      </c>
      <c r="E107" s="2">
        <v>-51.91</v>
      </c>
      <c r="F107" s="2">
        <v>-16.07</v>
      </c>
      <c r="G107" s="2">
        <v>-22.81</v>
      </c>
      <c r="H107" s="2">
        <v>1.79</v>
      </c>
      <c r="I107" s="2">
        <v>11.57</v>
      </c>
      <c r="J107" s="2">
        <v>-9.8800000000000008</v>
      </c>
      <c r="K107" s="2">
        <v>-5.51</v>
      </c>
      <c r="L107" s="2">
        <v>-27.4</v>
      </c>
      <c r="M107" s="2">
        <v>-5.4</v>
      </c>
      <c r="N107" s="2">
        <v>7.52</v>
      </c>
      <c r="O107" s="2">
        <v>44.14</v>
      </c>
      <c r="P107" s="2">
        <v>57.73</v>
      </c>
      <c r="Q107" s="2">
        <v>2.87</v>
      </c>
      <c r="R107" s="2">
        <v>0.17</v>
      </c>
      <c r="S107" s="2">
        <v>18.07</v>
      </c>
      <c r="T107" s="2">
        <v>42.47</v>
      </c>
      <c r="U107" s="2">
        <v>4.26</v>
      </c>
      <c r="V107" s="2">
        <v>34.130000000000003</v>
      </c>
      <c r="W107" s="2">
        <v>30.39</v>
      </c>
      <c r="X107" s="2">
        <v>12.19</v>
      </c>
      <c r="Y107" s="2">
        <v>11.91</v>
      </c>
      <c r="Z107" s="2">
        <v>0</v>
      </c>
      <c r="AA107" s="2">
        <v>0.56999999999999995</v>
      </c>
      <c r="AB107" s="2">
        <v>0</v>
      </c>
      <c r="AC107" s="2">
        <v>0</v>
      </c>
      <c r="AD107" s="2">
        <v>5.75</v>
      </c>
      <c r="AE107" s="2">
        <v>0.11</v>
      </c>
      <c r="AF107" s="2">
        <v>112.76</v>
      </c>
      <c r="AG107" s="2">
        <v>24.8</v>
      </c>
    </row>
    <row r="108" spans="1:33" x14ac:dyDescent="0.2">
      <c r="A108" s="3">
        <v>11201</v>
      </c>
      <c r="B108" s="2">
        <v>-3.13</v>
      </c>
      <c r="C108" s="2">
        <v>7.53</v>
      </c>
      <c r="D108" s="2">
        <v>-5.36</v>
      </c>
      <c r="E108" s="2">
        <v>-37.880000000000003</v>
      </c>
      <c r="F108" s="2">
        <v>-8.65</v>
      </c>
      <c r="G108" s="2">
        <v>-11.15</v>
      </c>
      <c r="H108" s="2">
        <v>7.25</v>
      </c>
      <c r="I108" s="2">
        <v>12.71</v>
      </c>
      <c r="J108" s="2">
        <v>-0.82</v>
      </c>
      <c r="K108" s="2">
        <v>4.7300000000000004</v>
      </c>
      <c r="L108" s="2">
        <v>-17.34</v>
      </c>
      <c r="M108" s="2">
        <v>-4.99</v>
      </c>
      <c r="N108" s="2">
        <v>10.83</v>
      </c>
      <c r="O108" s="2">
        <v>36.020000000000003</v>
      </c>
      <c r="P108" s="2">
        <v>66.709999999999994</v>
      </c>
      <c r="Q108" s="2">
        <v>2.2799999999999998</v>
      </c>
      <c r="R108" s="2">
        <v>-0.8</v>
      </c>
      <c r="S108" s="2">
        <v>14.55</v>
      </c>
      <c r="T108" s="2">
        <v>42.02</v>
      </c>
      <c r="U108" s="2">
        <v>3.47</v>
      </c>
      <c r="V108" s="2">
        <v>34.56</v>
      </c>
      <c r="W108" s="2">
        <v>31.47</v>
      </c>
      <c r="X108" s="2">
        <v>14.4</v>
      </c>
      <c r="Y108" s="2">
        <v>14.25</v>
      </c>
      <c r="Z108" s="2">
        <v>0</v>
      </c>
      <c r="AA108" s="2">
        <v>0.14000000000000001</v>
      </c>
      <c r="AB108" s="2">
        <v>0</v>
      </c>
      <c r="AC108" s="2">
        <v>0</v>
      </c>
      <c r="AD108" s="2">
        <v>5.55</v>
      </c>
      <c r="AE108" s="2">
        <v>0.18</v>
      </c>
      <c r="AF108" s="2">
        <v>114.68</v>
      </c>
      <c r="AG108" s="2">
        <v>23.65</v>
      </c>
    </row>
    <row r="109" spans="1:33" x14ac:dyDescent="0.2">
      <c r="A109" s="3">
        <v>11231</v>
      </c>
      <c r="B109" s="2">
        <v>-2.39</v>
      </c>
      <c r="C109" s="2">
        <v>9.35</v>
      </c>
      <c r="D109" s="2">
        <v>-5.03</v>
      </c>
      <c r="E109" s="2">
        <v>-19.760000000000002</v>
      </c>
      <c r="F109" s="2">
        <v>1.36</v>
      </c>
      <c r="G109" s="2">
        <v>1.65</v>
      </c>
      <c r="H109" s="2">
        <v>13.11</v>
      </c>
      <c r="I109" s="2">
        <v>17.5</v>
      </c>
      <c r="J109" s="2">
        <v>15.26</v>
      </c>
      <c r="K109" s="2">
        <v>-5.07</v>
      </c>
      <c r="L109" s="2">
        <v>-7.78</v>
      </c>
      <c r="M109" s="2">
        <v>-1.47</v>
      </c>
      <c r="N109" s="2">
        <v>8.61</v>
      </c>
      <c r="O109" s="2">
        <v>-3.09</v>
      </c>
      <c r="P109" s="2">
        <v>33.880000000000003</v>
      </c>
      <c r="Q109" s="2">
        <v>3.61</v>
      </c>
      <c r="R109" s="2">
        <v>2.79</v>
      </c>
      <c r="S109" s="2">
        <v>-4.32</v>
      </c>
      <c r="T109" s="2">
        <v>24.69</v>
      </c>
      <c r="U109" s="2">
        <v>1.97</v>
      </c>
      <c r="V109" s="2">
        <v>12.83</v>
      </c>
      <c r="W109" s="2">
        <v>26.1</v>
      </c>
      <c r="X109" s="2">
        <v>13.79</v>
      </c>
      <c r="Y109" s="2">
        <v>13.44</v>
      </c>
      <c r="Z109" s="2">
        <v>0</v>
      </c>
      <c r="AA109" s="2">
        <v>0</v>
      </c>
      <c r="AB109" s="2">
        <v>0</v>
      </c>
      <c r="AC109" s="2">
        <v>0.4</v>
      </c>
      <c r="AD109" s="2">
        <v>5.01</v>
      </c>
      <c r="AE109" s="2">
        <v>1.18</v>
      </c>
      <c r="AF109" s="2">
        <v>106.81</v>
      </c>
      <c r="AG109" s="2">
        <v>20.170000000000002</v>
      </c>
    </row>
    <row r="110" spans="1:33" x14ac:dyDescent="0.2">
      <c r="A110" s="3">
        <v>11262</v>
      </c>
      <c r="B110" s="2">
        <v>-2.2200000000000002</v>
      </c>
      <c r="C110" s="2">
        <v>8.56</v>
      </c>
      <c r="D110" s="2">
        <v>-8.16</v>
      </c>
      <c r="E110" s="2">
        <v>-7.31</v>
      </c>
      <c r="F110" s="2">
        <v>-8.27</v>
      </c>
      <c r="G110" s="2">
        <v>7.32</v>
      </c>
      <c r="H110" s="2">
        <v>12.27</v>
      </c>
      <c r="I110" s="2">
        <v>16.29</v>
      </c>
      <c r="J110" s="2">
        <v>6.76</v>
      </c>
      <c r="K110" s="2">
        <v>-13.44</v>
      </c>
      <c r="L110" s="2">
        <v>-1.67</v>
      </c>
      <c r="M110" s="2">
        <v>-6.61</v>
      </c>
      <c r="N110" s="2">
        <v>3.22</v>
      </c>
      <c r="O110" s="2">
        <v>0.76</v>
      </c>
      <c r="P110" s="2">
        <v>33.82</v>
      </c>
      <c r="Q110" s="2">
        <v>1.83</v>
      </c>
      <c r="R110" s="2">
        <v>0.99</v>
      </c>
      <c r="S110" s="2">
        <v>-7.62</v>
      </c>
      <c r="T110" s="2">
        <v>24.94</v>
      </c>
      <c r="U110" s="2">
        <v>-0.18</v>
      </c>
      <c r="V110" s="2">
        <v>11.68</v>
      </c>
      <c r="W110" s="2">
        <v>22.19</v>
      </c>
      <c r="X110" s="2">
        <v>12.9</v>
      </c>
      <c r="Y110" s="2">
        <v>12.53</v>
      </c>
      <c r="Z110" s="2">
        <v>0</v>
      </c>
      <c r="AA110" s="2">
        <v>0</v>
      </c>
      <c r="AB110" s="2">
        <v>0.39</v>
      </c>
      <c r="AC110" s="2">
        <v>1.1000000000000001</v>
      </c>
      <c r="AD110" s="2">
        <v>4.25</v>
      </c>
      <c r="AE110" s="2">
        <v>7.86</v>
      </c>
      <c r="AF110" s="2">
        <v>96.89</v>
      </c>
      <c r="AG110" s="2">
        <v>16.420000000000002</v>
      </c>
    </row>
    <row r="111" spans="1:33" x14ac:dyDescent="0.2">
      <c r="A111" s="3">
        <v>11292</v>
      </c>
      <c r="B111" s="2">
        <v>-0.95</v>
      </c>
      <c r="C111" s="2">
        <v>8.8000000000000007</v>
      </c>
      <c r="D111" s="2">
        <v>-3.52</v>
      </c>
      <c r="E111" s="2">
        <v>2.2400000000000002</v>
      </c>
      <c r="F111" s="2">
        <v>3.81</v>
      </c>
      <c r="G111" s="2">
        <v>10.99</v>
      </c>
      <c r="H111" s="2">
        <v>11.09</v>
      </c>
      <c r="I111" s="2">
        <v>14.52</v>
      </c>
      <c r="J111" s="2">
        <v>12.91</v>
      </c>
      <c r="K111" s="2">
        <v>-0.57999999999999996</v>
      </c>
      <c r="L111" s="2">
        <v>-0.01</v>
      </c>
      <c r="M111" s="2">
        <v>1.46</v>
      </c>
      <c r="N111" s="2">
        <v>3.36</v>
      </c>
      <c r="O111" s="2">
        <v>-1.95</v>
      </c>
      <c r="P111" s="2">
        <v>31.32</v>
      </c>
      <c r="Q111" s="2">
        <v>2.2400000000000002</v>
      </c>
      <c r="R111" s="2">
        <v>1.35</v>
      </c>
      <c r="S111" s="2">
        <v>0.01</v>
      </c>
      <c r="T111" s="2">
        <v>23.29</v>
      </c>
      <c r="U111" s="2">
        <v>3.07</v>
      </c>
      <c r="V111" s="2">
        <v>11.35</v>
      </c>
      <c r="W111" s="2">
        <v>15.43</v>
      </c>
      <c r="X111" s="2">
        <v>8.44</v>
      </c>
      <c r="Y111" s="2">
        <v>7.06</v>
      </c>
      <c r="Z111" s="2">
        <v>0</v>
      </c>
      <c r="AA111" s="2">
        <v>2.58</v>
      </c>
      <c r="AB111" s="2">
        <v>0.11</v>
      </c>
      <c r="AC111" s="2">
        <v>10.029999999999999</v>
      </c>
      <c r="AD111" s="2">
        <v>3.29</v>
      </c>
      <c r="AE111" s="2">
        <v>6.15</v>
      </c>
      <c r="AF111" s="2">
        <v>63.57</v>
      </c>
      <c r="AG111" s="2">
        <v>12.92</v>
      </c>
    </row>
    <row r="112" spans="1:33" x14ac:dyDescent="0.2">
      <c r="A112" s="3">
        <v>11323</v>
      </c>
      <c r="B112" s="2">
        <v>-0.78</v>
      </c>
      <c r="C112" s="2">
        <v>7.49</v>
      </c>
      <c r="D112" s="2">
        <v>-4.6100000000000003</v>
      </c>
      <c r="E112" s="2">
        <v>-1.02</v>
      </c>
      <c r="F112" s="2">
        <v>-4.8899999999999997</v>
      </c>
      <c r="G112" s="2">
        <v>5.22</v>
      </c>
      <c r="H112" s="2">
        <v>6.72</v>
      </c>
      <c r="I112" s="2">
        <v>10.97</v>
      </c>
      <c r="J112" s="2">
        <v>9.14</v>
      </c>
      <c r="K112" s="2">
        <v>-7.71</v>
      </c>
      <c r="L112" s="2">
        <v>3.58</v>
      </c>
      <c r="M112" s="2">
        <v>-0.39</v>
      </c>
      <c r="N112" s="2">
        <v>0.15</v>
      </c>
      <c r="O112" s="2">
        <v>-2.37</v>
      </c>
      <c r="P112" s="2">
        <v>27.56</v>
      </c>
      <c r="Q112" s="2">
        <v>1.51</v>
      </c>
      <c r="R112" s="2">
        <v>0.36</v>
      </c>
      <c r="S112" s="2">
        <v>-6.21</v>
      </c>
      <c r="T112" s="2">
        <v>22.27</v>
      </c>
      <c r="U112" s="2">
        <v>2.79</v>
      </c>
      <c r="V112" s="2">
        <v>11.06</v>
      </c>
      <c r="W112" s="2">
        <v>11.73</v>
      </c>
      <c r="X112" s="2">
        <v>6.53</v>
      </c>
      <c r="Y112" s="2">
        <v>6.37</v>
      </c>
      <c r="Z112" s="2">
        <v>0</v>
      </c>
      <c r="AA112" s="2">
        <v>0</v>
      </c>
      <c r="AB112" s="2">
        <v>0</v>
      </c>
      <c r="AC112" s="2">
        <v>0</v>
      </c>
      <c r="AD112" s="2">
        <v>3.28</v>
      </c>
      <c r="AE112" s="2">
        <v>15.55</v>
      </c>
      <c r="AF112" s="2">
        <v>58.4</v>
      </c>
      <c r="AG112" s="2">
        <v>11.2</v>
      </c>
    </row>
    <row r="113" spans="1:33" x14ac:dyDescent="0.2">
      <c r="A113" s="3">
        <v>11354</v>
      </c>
      <c r="B113" s="2">
        <v>0.99</v>
      </c>
      <c r="C113" s="2">
        <v>19.07</v>
      </c>
      <c r="D113" s="2">
        <v>17.420000000000002</v>
      </c>
      <c r="E113" s="2">
        <v>50.33</v>
      </c>
      <c r="F113" s="2">
        <v>20.73</v>
      </c>
      <c r="G113" s="2">
        <v>48.37</v>
      </c>
      <c r="H113" s="2">
        <v>14.36</v>
      </c>
      <c r="I113" s="2">
        <v>17.04</v>
      </c>
      <c r="J113" s="2">
        <v>23.93</v>
      </c>
      <c r="K113" s="2">
        <v>21.68</v>
      </c>
      <c r="L113" s="2">
        <v>-2.79</v>
      </c>
      <c r="M113" s="2">
        <v>3.93</v>
      </c>
      <c r="N113" s="2">
        <v>16.3</v>
      </c>
      <c r="O113" s="2">
        <v>-2.4500000000000002</v>
      </c>
      <c r="P113" s="2">
        <v>45.05</v>
      </c>
      <c r="Q113" s="2">
        <v>0.68</v>
      </c>
      <c r="R113" s="2">
        <v>1.1299999999999999</v>
      </c>
      <c r="S113" s="2">
        <v>20.28</v>
      </c>
      <c r="T113" s="2">
        <v>28.65</v>
      </c>
      <c r="U113" s="2">
        <v>2.7</v>
      </c>
      <c r="V113" s="2">
        <v>12.3</v>
      </c>
      <c r="W113" s="2">
        <v>4.26</v>
      </c>
      <c r="X113" s="2">
        <v>5.73</v>
      </c>
      <c r="Y113" s="2">
        <v>4.42</v>
      </c>
      <c r="Z113" s="2">
        <v>1.64</v>
      </c>
      <c r="AA113" s="2">
        <v>3.15</v>
      </c>
      <c r="AB113" s="2">
        <v>3.03</v>
      </c>
      <c r="AC113" s="2">
        <v>15.04</v>
      </c>
      <c r="AD113" s="2">
        <v>3.3</v>
      </c>
      <c r="AE113" s="2">
        <v>24.98</v>
      </c>
      <c r="AF113" s="2">
        <v>68.83</v>
      </c>
      <c r="AG113" s="2">
        <v>9.8800000000000008</v>
      </c>
    </row>
    <row r="114" spans="1:33" x14ac:dyDescent="0.2">
      <c r="A114" s="3">
        <v>11382</v>
      </c>
      <c r="B114" s="2">
        <v>0.61</v>
      </c>
      <c r="C114" s="2">
        <v>10.98</v>
      </c>
      <c r="D114" s="2">
        <v>-7.32</v>
      </c>
      <c r="E114" s="2">
        <v>-6.54</v>
      </c>
      <c r="F114" s="2">
        <v>-8.67</v>
      </c>
      <c r="G114" s="2">
        <v>3.4</v>
      </c>
      <c r="H114" s="2">
        <v>5.49</v>
      </c>
      <c r="I114" s="2">
        <v>13.37</v>
      </c>
      <c r="J114" s="2">
        <v>6.22</v>
      </c>
      <c r="K114" s="2">
        <v>-7.64</v>
      </c>
      <c r="L114" s="2">
        <v>-9.73</v>
      </c>
      <c r="M114" s="2">
        <v>-10.94</v>
      </c>
      <c r="N114" s="2">
        <v>-1.48</v>
      </c>
      <c r="O114" s="2">
        <v>-3.46</v>
      </c>
      <c r="P114" s="2">
        <v>26.6</v>
      </c>
      <c r="Q114" s="2">
        <v>0.74</v>
      </c>
      <c r="R114" s="2">
        <v>1.3</v>
      </c>
      <c r="S114" s="2">
        <v>0.37</v>
      </c>
      <c r="T114" s="2">
        <v>23.17</v>
      </c>
      <c r="U114" s="2">
        <v>3.1</v>
      </c>
      <c r="V114" s="2">
        <v>10.38</v>
      </c>
      <c r="W114" s="2">
        <v>0</v>
      </c>
      <c r="X114" s="2">
        <v>0</v>
      </c>
      <c r="Y114" s="2">
        <v>0</v>
      </c>
      <c r="Z114" s="2">
        <v>20.09</v>
      </c>
      <c r="AA114" s="2">
        <v>24.66</v>
      </c>
      <c r="AB114" s="2">
        <v>1.71</v>
      </c>
      <c r="AC114" s="2">
        <v>12.53</v>
      </c>
      <c r="AD114" s="2">
        <v>3.71</v>
      </c>
      <c r="AE114" s="2">
        <v>14.45</v>
      </c>
      <c r="AF114" s="2">
        <v>57.37</v>
      </c>
      <c r="AG114" s="2">
        <v>10.08</v>
      </c>
    </row>
    <row r="115" spans="1:33" x14ac:dyDescent="0.2">
      <c r="A115" s="3">
        <v>11413</v>
      </c>
      <c r="B115" s="2">
        <v>1.65</v>
      </c>
      <c r="C115" s="2">
        <v>11.25</v>
      </c>
      <c r="D115" s="2">
        <v>-2.65</v>
      </c>
      <c r="E115" s="2">
        <v>8.49</v>
      </c>
      <c r="F115" s="2">
        <v>7.9</v>
      </c>
      <c r="G115" s="2">
        <v>12.38</v>
      </c>
      <c r="H115" s="2">
        <v>9.6300000000000008</v>
      </c>
      <c r="I115" s="2">
        <v>12.53</v>
      </c>
      <c r="J115" s="2">
        <v>8.18</v>
      </c>
      <c r="K115" s="2">
        <v>-0.66</v>
      </c>
      <c r="L115" s="2">
        <v>-12.16</v>
      </c>
      <c r="M115" s="2">
        <v>-11.5</v>
      </c>
      <c r="N115" s="2">
        <v>8.6199999999999992</v>
      </c>
      <c r="O115" s="2">
        <v>1.81</v>
      </c>
      <c r="P115" s="2">
        <v>44.32</v>
      </c>
      <c r="Q115" s="2">
        <v>0.77</v>
      </c>
      <c r="R115" s="2">
        <v>0.09</v>
      </c>
      <c r="S115" s="2">
        <v>-3.33</v>
      </c>
      <c r="T115" s="2">
        <v>29.8</v>
      </c>
      <c r="U115" s="2">
        <v>-1.19</v>
      </c>
      <c r="V115" s="2">
        <v>15.8</v>
      </c>
      <c r="W115" s="2">
        <v>0</v>
      </c>
      <c r="X115" s="2">
        <v>0.16</v>
      </c>
      <c r="Y115" s="2">
        <v>0</v>
      </c>
      <c r="Z115" s="2">
        <v>0</v>
      </c>
      <c r="AA115" s="2">
        <v>0.28999999999999998</v>
      </c>
      <c r="AB115" s="2">
        <v>0</v>
      </c>
      <c r="AC115" s="2">
        <v>2.5099999999999998</v>
      </c>
      <c r="AD115" s="2">
        <v>5.32</v>
      </c>
      <c r="AE115" s="2">
        <v>6.81</v>
      </c>
      <c r="AF115" s="2">
        <v>67.7</v>
      </c>
      <c r="AG115" s="2">
        <v>10.69</v>
      </c>
    </row>
    <row r="116" spans="1:33" x14ac:dyDescent="0.2">
      <c r="A116" s="3">
        <v>11443</v>
      </c>
      <c r="B116" s="2">
        <v>-2.34</v>
      </c>
      <c r="C116" s="2">
        <v>4.99</v>
      </c>
      <c r="D116" s="2">
        <v>-9.14</v>
      </c>
      <c r="E116" s="2">
        <v>-44.14</v>
      </c>
      <c r="F116" s="2">
        <v>-13.63</v>
      </c>
      <c r="G116" s="2">
        <v>-11.72</v>
      </c>
      <c r="H116" s="2">
        <v>0.22</v>
      </c>
      <c r="I116" s="2">
        <v>12.04</v>
      </c>
      <c r="J116" s="2">
        <v>6.13</v>
      </c>
      <c r="K116" s="2">
        <v>11.62</v>
      </c>
      <c r="L116" s="2">
        <v>1.74</v>
      </c>
      <c r="M116" s="2">
        <v>4.17</v>
      </c>
      <c r="N116" s="2">
        <v>27.34</v>
      </c>
      <c r="O116" s="2">
        <v>-1.1200000000000001</v>
      </c>
      <c r="P116" s="2">
        <v>45.68</v>
      </c>
      <c r="Q116" s="2">
        <v>3.34</v>
      </c>
      <c r="R116" s="2">
        <v>-1.02</v>
      </c>
      <c r="S116" s="2">
        <v>2.7</v>
      </c>
      <c r="T116" s="2">
        <v>23.15</v>
      </c>
      <c r="U116" s="2">
        <v>1.0900000000000001</v>
      </c>
      <c r="V116" s="2">
        <v>16.559999999999999</v>
      </c>
      <c r="W116" s="2">
        <v>0</v>
      </c>
      <c r="X116" s="2">
        <v>0.12</v>
      </c>
      <c r="Y116" s="2">
        <v>0</v>
      </c>
      <c r="Z116" s="2">
        <v>11.34</v>
      </c>
      <c r="AA116" s="2">
        <v>5.88</v>
      </c>
      <c r="AB116" s="2">
        <v>4.08</v>
      </c>
      <c r="AC116" s="2">
        <v>3.76</v>
      </c>
      <c r="AD116" s="2">
        <v>5.8</v>
      </c>
      <c r="AE116" s="2">
        <v>4.0999999999999996</v>
      </c>
      <c r="AF116" s="2">
        <v>83.78</v>
      </c>
      <c r="AG116" s="2">
        <v>14.64</v>
      </c>
    </row>
    <row r="117" spans="1:33" x14ac:dyDescent="0.2">
      <c r="A117" s="3">
        <v>11474</v>
      </c>
      <c r="B117" s="2">
        <v>-3.07</v>
      </c>
      <c r="C117" s="2">
        <v>7.39</v>
      </c>
      <c r="D117" s="2">
        <v>1.24</v>
      </c>
      <c r="E117" s="2">
        <v>-46.62</v>
      </c>
      <c r="F117" s="2">
        <v>-10.9</v>
      </c>
      <c r="G117" s="2">
        <v>-8.2799999999999994</v>
      </c>
      <c r="H117" s="2">
        <v>-0.15</v>
      </c>
      <c r="I117" s="2">
        <v>11.1</v>
      </c>
      <c r="J117" s="2">
        <v>6.29</v>
      </c>
      <c r="K117" s="2">
        <v>4.82</v>
      </c>
      <c r="L117" s="2">
        <v>-3.06</v>
      </c>
      <c r="M117" s="2">
        <v>2.15</v>
      </c>
      <c r="N117" s="2">
        <v>24.28</v>
      </c>
      <c r="O117" s="2">
        <v>5.08</v>
      </c>
      <c r="P117" s="2">
        <v>47.31</v>
      </c>
      <c r="Q117" s="2">
        <v>5.72</v>
      </c>
      <c r="R117" s="2">
        <v>3.96</v>
      </c>
      <c r="S117" s="2">
        <v>9.5399999999999991</v>
      </c>
      <c r="T117" s="2">
        <v>35.57</v>
      </c>
      <c r="U117" s="2">
        <v>0.65</v>
      </c>
      <c r="V117" s="2">
        <v>32.979999999999997</v>
      </c>
      <c r="W117" s="2">
        <v>4.88</v>
      </c>
      <c r="X117" s="2">
        <v>2.4700000000000002</v>
      </c>
      <c r="Y117" s="2">
        <v>1.1499999999999999</v>
      </c>
      <c r="Z117" s="2">
        <v>0</v>
      </c>
      <c r="AA117" s="2">
        <v>0</v>
      </c>
      <c r="AB117" s="2">
        <v>0</v>
      </c>
      <c r="AC117" s="2">
        <v>0.5</v>
      </c>
      <c r="AD117" s="2">
        <v>6.03</v>
      </c>
      <c r="AE117" s="2">
        <v>9.8800000000000008</v>
      </c>
      <c r="AF117" s="2">
        <v>94.61</v>
      </c>
      <c r="AG117" s="2">
        <v>17.690000000000001</v>
      </c>
    </row>
    <row r="118" spans="1:33" x14ac:dyDescent="0.2">
      <c r="A118" s="3">
        <v>11504</v>
      </c>
      <c r="B118" s="2">
        <v>-2.96</v>
      </c>
      <c r="C118" s="2">
        <v>8.2899999999999991</v>
      </c>
      <c r="D118" s="2">
        <v>-4.8600000000000003</v>
      </c>
      <c r="E118" s="2">
        <v>-45.19</v>
      </c>
      <c r="F118" s="2">
        <v>-13.21</v>
      </c>
      <c r="G118" s="2">
        <v>-1.87</v>
      </c>
      <c r="H118" s="2">
        <v>3.86</v>
      </c>
      <c r="I118" s="2">
        <v>10.14</v>
      </c>
      <c r="J118" s="2">
        <v>-0.69</v>
      </c>
      <c r="K118" s="2">
        <v>-1.35</v>
      </c>
      <c r="L118" s="2">
        <v>-3.42</v>
      </c>
      <c r="M118" s="2">
        <v>-5.67</v>
      </c>
      <c r="N118" s="2">
        <v>3.36</v>
      </c>
      <c r="O118" s="2">
        <v>13.99</v>
      </c>
      <c r="P118" s="2">
        <v>43.54</v>
      </c>
      <c r="Q118" s="2">
        <v>0.64</v>
      </c>
      <c r="R118" s="2">
        <v>-0.47</v>
      </c>
      <c r="S118" s="2">
        <v>14.41</v>
      </c>
      <c r="T118" s="2">
        <v>42.35</v>
      </c>
      <c r="U118" s="2">
        <v>0.73</v>
      </c>
      <c r="V118" s="2">
        <v>33.6</v>
      </c>
      <c r="W118" s="2">
        <v>18.62</v>
      </c>
      <c r="X118" s="2">
        <v>7.29</v>
      </c>
      <c r="Y118" s="2">
        <v>6.66</v>
      </c>
      <c r="Z118" s="2">
        <v>0</v>
      </c>
      <c r="AA118" s="2">
        <v>1</v>
      </c>
      <c r="AB118" s="2">
        <v>3.42</v>
      </c>
      <c r="AC118" s="2">
        <v>1.5</v>
      </c>
      <c r="AD118" s="2">
        <v>5.81</v>
      </c>
      <c r="AE118" s="2">
        <v>0.56000000000000005</v>
      </c>
      <c r="AF118" s="2">
        <v>103.54</v>
      </c>
      <c r="AG118" s="2">
        <v>22.83</v>
      </c>
    </row>
    <row r="119" spans="1:33" x14ac:dyDescent="0.2">
      <c r="A119" s="3">
        <v>11535</v>
      </c>
      <c r="B119" s="2">
        <v>-3.83</v>
      </c>
      <c r="C119" s="2">
        <v>7.48</v>
      </c>
      <c r="D119" s="2">
        <v>-6.21</v>
      </c>
      <c r="E119" s="2">
        <v>-41.89</v>
      </c>
      <c r="F119" s="2">
        <v>-3.22</v>
      </c>
      <c r="G119" s="2">
        <v>1.67</v>
      </c>
      <c r="H119" s="2">
        <v>7.37</v>
      </c>
      <c r="I119" s="2">
        <v>13.43</v>
      </c>
      <c r="J119" s="2">
        <v>-0.01</v>
      </c>
      <c r="K119" s="2">
        <v>15.65</v>
      </c>
      <c r="L119" s="2">
        <v>-0.31</v>
      </c>
      <c r="M119" s="2">
        <v>-5.93</v>
      </c>
      <c r="N119" s="2">
        <v>10.08</v>
      </c>
      <c r="O119" s="2">
        <v>40.83</v>
      </c>
      <c r="P119" s="2">
        <v>74.34</v>
      </c>
      <c r="Q119" s="2">
        <v>-0.27</v>
      </c>
      <c r="R119" s="2">
        <v>-4.5199999999999996</v>
      </c>
      <c r="S119" s="2">
        <v>18.399999999999999</v>
      </c>
      <c r="T119" s="2">
        <v>42.62</v>
      </c>
      <c r="U119" s="2">
        <v>4.54</v>
      </c>
      <c r="V119" s="2">
        <v>41.53</v>
      </c>
      <c r="W119" s="2">
        <v>30.39</v>
      </c>
      <c r="X119" s="2">
        <v>11.98</v>
      </c>
      <c r="Y119" s="2">
        <v>11.72</v>
      </c>
      <c r="Z119" s="2">
        <v>0</v>
      </c>
      <c r="AA119" s="2">
        <v>0</v>
      </c>
      <c r="AB119" s="2">
        <v>0</v>
      </c>
      <c r="AC119" s="2">
        <v>0</v>
      </c>
      <c r="AD119" s="2">
        <v>5.72</v>
      </c>
      <c r="AE119" s="2">
        <v>0</v>
      </c>
      <c r="AF119" s="2">
        <v>112.76</v>
      </c>
      <c r="AG119" s="2">
        <v>24.8</v>
      </c>
    </row>
    <row r="120" spans="1:33" x14ac:dyDescent="0.2">
      <c r="A120" s="3">
        <v>11566</v>
      </c>
      <c r="B120" s="2">
        <v>-4.3499999999999996</v>
      </c>
      <c r="C120" s="2">
        <v>6.95</v>
      </c>
      <c r="D120" s="2">
        <v>-6.24</v>
      </c>
      <c r="E120" s="2">
        <v>-33.07</v>
      </c>
      <c r="F120" s="2">
        <v>0.96</v>
      </c>
      <c r="G120" s="2">
        <v>7.14</v>
      </c>
      <c r="H120" s="2">
        <v>9.7799999999999994</v>
      </c>
      <c r="I120" s="2">
        <v>12.53</v>
      </c>
      <c r="J120" s="2">
        <v>1.57</v>
      </c>
      <c r="K120" s="2">
        <v>11.55</v>
      </c>
      <c r="L120" s="2">
        <v>-0.14000000000000001</v>
      </c>
      <c r="M120" s="2">
        <v>-7.53</v>
      </c>
      <c r="N120" s="2">
        <v>9.7899999999999991</v>
      </c>
      <c r="O120" s="2">
        <v>33.86</v>
      </c>
      <c r="P120" s="2">
        <v>72.150000000000006</v>
      </c>
      <c r="Q120" s="2">
        <v>-0.28000000000000003</v>
      </c>
      <c r="R120" s="2">
        <v>-3.04</v>
      </c>
      <c r="S120" s="2">
        <v>15.1</v>
      </c>
      <c r="T120" s="2">
        <v>40.4</v>
      </c>
      <c r="U120" s="2">
        <v>3.52</v>
      </c>
      <c r="V120" s="2">
        <v>36.69</v>
      </c>
      <c r="W120" s="2">
        <v>31.47</v>
      </c>
      <c r="X120" s="2">
        <v>14.19</v>
      </c>
      <c r="Y120" s="2">
        <v>14.06</v>
      </c>
      <c r="Z120" s="2">
        <v>4.92</v>
      </c>
      <c r="AA120" s="2">
        <v>3.44</v>
      </c>
      <c r="AB120" s="2">
        <v>8.33</v>
      </c>
      <c r="AC120" s="2">
        <v>0</v>
      </c>
      <c r="AD120" s="2">
        <v>5.69</v>
      </c>
      <c r="AE120" s="2">
        <v>0</v>
      </c>
      <c r="AF120" s="2">
        <v>114.68</v>
      </c>
      <c r="AG120" s="2">
        <v>23.65</v>
      </c>
    </row>
    <row r="121" spans="1:33" x14ac:dyDescent="0.2">
      <c r="A121" s="3">
        <v>11596</v>
      </c>
      <c r="B121" s="2">
        <v>-4.72</v>
      </c>
      <c r="C121" s="2">
        <v>7.87</v>
      </c>
      <c r="D121" s="2">
        <v>-7.13</v>
      </c>
      <c r="E121" s="2">
        <v>-11.24</v>
      </c>
      <c r="F121" s="2">
        <v>6.23</v>
      </c>
      <c r="G121" s="2">
        <v>13.34</v>
      </c>
      <c r="H121" s="2">
        <v>14.43</v>
      </c>
      <c r="I121" s="2">
        <v>13.68</v>
      </c>
      <c r="J121" s="2">
        <v>11.53</v>
      </c>
      <c r="K121" s="2">
        <v>-6.37</v>
      </c>
      <c r="L121" s="2">
        <v>-1.49</v>
      </c>
      <c r="M121" s="2">
        <v>-6.52</v>
      </c>
      <c r="N121" s="2">
        <v>3.8</v>
      </c>
      <c r="O121" s="2">
        <v>-5.56</v>
      </c>
      <c r="P121" s="2">
        <v>36.58</v>
      </c>
      <c r="Q121" s="2">
        <v>1.33</v>
      </c>
      <c r="R121" s="2">
        <v>1.62</v>
      </c>
      <c r="S121" s="2">
        <v>-3.56</v>
      </c>
      <c r="T121" s="2">
        <v>24.65</v>
      </c>
      <c r="U121" s="2">
        <v>1.66</v>
      </c>
      <c r="V121" s="2">
        <v>12.8</v>
      </c>
      <c r="W121" s="2">
        <v>26.1</v>
      </c>
      <c r="X121" s="2">
        <v>13.6</v>
      </c>
      <c r="Y121" s="2">
        <v>13.27</v>
      </c>
      <c r="Z121" s="2">
        <v>2.46</v>
      </c>
      <c r="AA121" s="2">
        <v>8.32</v>
      </c>
      <c r="AB121" s="2">
        <v>0.66</v>
      </c>
      <c r="AC121" s="2">
        <v>0</v>
      </c>
      <c r="AD121" s="2">
        <v>5.2</v>
      </c>
      <c r="AE121" s="2">
        <v>0</v>
      </c>
      <c r="AF121" s="2">
        <v>106.81</v>
      </c>
      <c r="AG121" s="2">
        <v>20.170000000000002</v>
      </c>
    </row>
    <row r="122" spans="1:33" x14ac:dyDescent="0.2">
      <c r="A122" s="3">
        <v>11627</v>
      </c>
      <c r="B122" s="2">
        <v>-2.83</v>
      </c>
      <c r="C122" s="2">
        <v>8.93</v>
      </c>
      <c r="D122" s="2">
        <v>-5.89</v>
      </c>
      <c r="E122" s="2">
        <v>-0.28000000000000003</v>
      </c>
      <c r="F122" s="2">
        <v>8.33</v>
      </c>
      <c r="G122" s="2">
        <v>15.95</v>
      </c>
      <c r="H122" s="2">
        <v>13.65</v>
      </c>
      <c r="I122" s="2">
        <v>13.64</v>
      </c>
      <c r="J122" s="2">
        <v>11.8</v>
      </c>
      <c r="K122" s="2">
        <v>-2.86</v>
      </c>
      <c r="L122" s="2">
        <v>0.06</v>
      </c>
      <c r="M122" s="2">
        <v>-4.3899999999999997</v>
      </c>
      <c r="N122" s="2">
        <v>6.01</v>
      </c>
      <c r="O122" s="2">
        <v>0.25</v>
      </c>
      <c r="P122" s="2">
        <v>38.44</v>
      </c>
      <c r="Q122" s="2">
        <v>0.59</v>
      </c>
      <c r="R122" s="2">
        <v>-0.4</v>
      </c>
      <c r="S122" s="2">
        <v>-7.77</v>
      </c>
      <c r="T122" s="2">
        <v>24.59</v>
      </c>
      <c r="U122" s="2">
        <v>-0.76</v>
      </c>
      <c r="V122" s="2">
        <v>11.37</v>
      </c>
      <c r="W122" s="2">
        <v>22.19</v>
      </c>
      <c r="X122" s="2">
        <v>12.73</v>
      </c>
      <c r="Y122" s="2">
        <v>12.38</v>
      </c>
      <c r="Z122" s="2">
        <v>2.0499999999999998</v>
      </c>
      <c r="AA122" s="2">
        <v>1.29</v>
      </c>
      <c r="AB122" s="2">
        <v>3.87</v>
      </c>
      <c r="AC122" s="2">
        <v>0</v>
      </c>
      <c r="AD122" s="2">
        <v>4.04</v>
      </c>
      <c r="AE122" s="2">
        <v>0.93</v>
      </c>
      <c r="AF122" s="2">
        <v>96.89</v>
      </c>
      <c r="AG122" s="2">
        <v>16.420000000000002</v>
      </c>
    </row>
    <row r="123" spans="1:33" x14ac:dyDescent="0.2">
      <c r="A123" s="3">
        <v>11657</v>
      </c>
      <c r="B123" s="2">
        <v>-1.79</v>
      </c>
      <c r="C123" s="2">
        <v>8.5299999999999994</v>
      </c>
      <c r="D123" s="2">
        <v>-2.95</v>
      </c>
      <c r="E123" s="2">
        <v>8.36</v>
      </c>
      <c r="F123" s="2">
        <v>9.5500000000000007</v>
      </c>
      <c r="G123" s="2">
        <v>17.86</v>
      </c>
      <c r="H123" s="2">
        <v>12.29</v>
      </c>
      <c r="I123" s="2">
        <v>14.35</v>
      </c>
      <c r="J123" s="2">
        <v>18.190000000000001</v>
      </c>
      <c r="K123" s="2">
        <v>7.45</v>
      </c>
      <c r="L123" s="2">
        <v>6.02</v>
      </c>
      <c r="M123" s="2">
        <v>1.96</v>
      </c>
      <c r="N123" s="2">
        <v>9.07</v>
      </c>
      <c r="O123" s="2">
        <v>-3.19</v>
      </c>
      <c r="P123" s="2">
        <v>40.520000000000003</v>
      </c>
      <c r="Q123" s="2">
        <v>1.77</v>
      </c>
      <c r="R123" s="2">
        <v>0.26</v>
      </c>
      <c r="S123" s="2">
        <v>12.18</v>
      </c>
      <c r="T123" s="2">
        <v>24.8</v>
      </c>
      <c r="U123" s="2">
        <v>2.74</v>
      </c>
      <c r="V123" s="2">
        <v>11.52</v>
      </c>
      <c r="W123" s="2">
        <v>15.43</v>
      </c>
      <c r="X123" s="2">
        <v>8.3000000000000007</v>
      </c>
      <c r="Y123" s="2">
        <v>6.94</v>
      </c>
      <c r="Z123" s="2">
        <v>1.0900000000000001</v>
      </c>
      <c r="AA123" s="2">
        <v>9.61</v>
      </c>
      <c r="AB123" s="2">
        <v>1.63</v>
      </c>
      <c r="AC123" s="2">
        <v>7.27</v>
      </c>
      <c r="AD123" s="2">
        <v>3.07</v>
      </c>
      <c r="AE123" s="2">
        <v>22.37</v>
      </c>
      <c r="AF123" s="2">
        <v>63.57</v>
      </c>
      <c r="AG123" s="2">
        <v>12.92</v>
      </c>
    </row>
    <row r="124" spans="1:33" x14ac:dyDescent="0.2">
      <c r="A124" s="3">
        <v>11688</v>
      </c>
      <c r="B124" s="2">
        <v>2.74</v>
      </c>
      <c r="C124" s="2">
        <v>22.89</v>
      </c>
      <c r="D124" s="2">
        <v>43.42</v>
      </c>
      <c r="E124" s="2">
        <v>114.87</v>
      </c>
      <c r="F124" s="2">
        <v>73.63</v>
      </c>
      <c r="G124" s="2">
        <v>148.75</v>
      </c>
      <c r="H124" s="2">
        <v>34.5</v>
      </c>
      <c r="I124" s="2">
        <v>31.45</v>
      </c>
      <c r="J124" s="2">
        <v>106.67</v>
      </c>
      <c r="K124" s="2">
        <v>82.49</v>
      </c>
      <c r="L124" s="2">
        <v>37.25</v>
      </c>
      <c r="M124" s="2">
        <v>42.92</v>
      </c>
      <c r="N124" s="2">
        <v>102.32</v>
      </c>
      <c r="O124" s="2">
        <v>-0.56000000000000005</v>
      </c>
      <c r="P124" s="2">
        <v>116.63</v>
      </c>
      <c r="Q124" s="2">
        <v>4.99</v>
      </c>
      <c r="R124" s="2">
        <v>3.77</v>
      </c>
      <c r="S124" s="2">
        <v>72.58</v>
      </c>
      <c r="T124" s="2">
        <v>47.81</v>
      </c>
      <c r="U124" s="2">
        <v>5.25</v>
      </c>
      <c r="V124" s="2">
        <v>20.440000000000001</v>
      </c>
      <c r="W124" s="2">
        <v>11.73</v>
      </c>
      <c r="X124" s="2">
        <v>6.4</v>
      </c>
      <c r="Y124" s="2">
        <v>6.25</v>
      </c>
      <c r="Z124" s="2">
        <v>3.55</v>
      </c>
      <c r="AA124" s="2">
        <v>7.6</v>
      </c>
      <c r="AB124" s="2">
        <v>9.15</v>
      </c>
      <c r="AC124" s="2">
        <v>22.96</v>
      </c>
      <c r="AD124" s="2">
        <v>3.18</v>
      </c>
      <c r="AE124" s="2">
        <v>50.53</v>
      </c>
      <c r="AF124" s="2">
        <v>58.4</v>
      </c>
      <c r="AG124" s="2">
        <v>11.2</v>
      </c>
    </row>
    <row r="125" spans="1:33" x14ac:dyDescent="0.2">
      <c r="A125" s="3">
        <v>11719</v>
      </c>
      <c r="B125" s="2">
        <v>1.94</v>
      </c>
      <c r="C125" s="2">
        <v>16.29</v>
      </c>
      <c r="D125" s="2">
        <v>-6.19</v>
      </c>
      <c r="E125" s="2">
        <v>-7.21</v>
      </c>
      <c r="F125" s="2">
        <v>-12.95</v>
      </c>
      <c r="G125" s="2">
        <v>36.82</v>
      </c>
      <c r="H125" s="2">
        <v>3.5</v>
      </c>
      <c r="I125" s="2">
        <v>19.71</v>
      </c>
      <c r="J125" s="2">
        <v>25.43</v>
      </c>
      <c r="K125" s="2">
        <v>-11.77</v>
      </c>
      <c r="L125" s="2">
        <v>4.04</v>
      </c>
      <c r="M125" s="2">
        <v>-2.91</v>
      </c>
      <c r="N125" s="2">
        <v>29.77</v>
      </c>
      <c r="O125" s="2">
        <v>-3.22</v>
      </c>
      <c r="P125" s="2">
        <v>32.979999999999997</v>
      </c>
      <c r="Q125" s="2">
        <v>2.4900000000000002</v>
      </c>
      <c r="R125" s="2">
        <v>7.39</v>
      </c>
      <c r="S125" s="2">
        <v>23.17</v>
      </c>
      <c r="T125" s="2">
        <v>28.32</v>
      </c>
      <c r="U125" s="2">
        <v>5.17</v>
      </c>
      <c r="V125" s="2">
        <v>18.510000000000002</v>
      </c>
      <c r="W125" s="2">
        <v>4.26</v>
      </c>
      <c r="X125" s="2">
        <v>10.09</v>
      </c>
      <c r="Y125" s="2">
        <v>8.85</v>
      </c>
      <c r="Z125" s="2">
        <v>0</v>
      </c>
      <c r="AA125" s="2">
        <v>0</v>
      </c>
      <c r="AB125" s="2">
        <v>2.36</v>
      </c>
      <c r="AC125" s="2">
        <v>10.28</v>
      </c>
      <c r="AD125" s="2">
        <v>3.24</v>
      </c>
      <c r="AE125" s="2">
        <v>24.8</v>
      </c>
      <c r="AF125" s="2">
        <v>69.56</v>
      </c>
      <c r="AG125" s="2">
        <v>9.8800000000000008</v>
      </c>
    </row>
    <row r="126" spans="1:33" x14ac:dyDescent="0.2">
      <c r="A126" s="3">
        <v>11748</v>
      </c>
      <c r="B126" s="2">
        <v>1.07</v>
      </c>
      <c r="C126" s="2">
        <v>14.56</v>
      </c>
      <c r="D126" s="2">
        <v>-6.98</v>
      </c>
      <c r="E126" s="2">
        <v>-11.77</v>
      </c>
      <c r="F126" s="2">
        <v>-8.19</v>
      </c>
      <c r="G126" s="2">
        <v>4.1900000000000004</v>
      </c>
      <c r="H126" s="2">
        <v>8.06</v>
      </c>
      <c r="I126" s="2">
        <v>29.91</v>
      </c>
      <c r="J126" s="2">
        <v>63.56</v>
      </c>
      <c r="K126" s="2">
        <v>35.92</v>
      </c>
      <c r="L126" s="2">
        <v>65.37</v>
      </c>
      <c r="M126" s="2">
        <v>39.130000000000003</v>
      </c>
      <c r="N126" s="2">
        <v>95.37</v>
      </c>
      <c r="O126" s="2">
        <v>-1.58</v>
      </c>
      <c r="P126" s="2">
        <v>50.63</v>
      </c>
      <c r="Q126" s="2">
        <v>3.88</v>
      </c>
      <c r="R126" s="2">
        <v>11.15</v>
      </c>
      <c r="S126" s="2">
        <v>37.78</v>
      </c>
      <c r="T126" s="2">
        <v>46.84</v>
      </c>
      <c r="U126" s="2">
        <v>6.51</v>
      </c>
      <c r="V126" s="2">
        <v>20.55</v>
      </c>
      <c r="W126" s="2">
        <v>0</v>
      </c>
      <c r="X126" s="2">
        <v>3.54</v>
      </c>
      <c r="Y126" s="2">
        <v>3.73</v>
      </c>
      <c r="Z126" s="2">
        <v>18.86</v>
      </c>
      <c r="AA126" s="2">
        <v>21.94</v>
      </c>
      <c r="AB126" s="2">
        <v>3.09</v>
      </c>
      <c r="AC126" s="2">
        <v>17.05</v>
      </c>
      <c r="AD126" s="2">
        <v>3.83</v>
      </c>
      <c r="AE126" s="2">
        <v>26.85</v>
      </c>
      <c r="AF126" s="2">
        <v>57.98</v>
      </c>
      <c r="AG126" s="2">
        <v>10.08</v>
      </c>
    </row>
    <row r="127" spans="1:33" x14ac:dyDescent="0.2">
      <c r="A127" s="3">
        <v>11779</v>
      </c>
      <c r="B127" s="2">
        <v>4.7300000000000004</v>
      </c>
      <c r="C127" s="2">
        <v>16.95</v>
      </c>
      <c r="D127" s="2">
        <v>-0.69</v>
      </c>
      <c r="E127" s="2">
        <v>23.75</v>
      </c>
      <c r="F127" s="2">
        <v>29.94</v>
      </c>
      <c r="G127" s="2">
        <v>3.34</v>
      </c>
      <c r="H127" s="2">
        <v>20.350000000000001</v>
      </c>
      <c r="I127" s="2">
        <v>22.25</v>
      </c>
      <c r="J127" s="2">
        <v>8.98</v>
      </c>
      <c r="K127" s="2">
        <v>-10.199999999999999</v>
      </c>
      <c r="L127" s="2">
        <v>-5.75</v>
      </c>
      <c r="M127" s="2">
        <v>-14.32</v>
      </c>
      <c r="N127" s="2">
        <v>21.22</v>
      </c>
      <c r="O127" s="2">
        <v>1.66</v>
      </c>
      <c r="P127" s="2">
        <v>46.54</v>
      </c>
      <c r="Q127" s="2">
        <v>7.59</v>
      </c>
      <c r="R127" s="2">
        <v>8.74</v>
      </c>
      <c r="S127" s="2">
        <v>-0.44</v>
      </c>
      <c r="T127" s="2">
        <v>48.52</v>
      </c>
      <c r="U127" s="2">
        <v>4.76</v>
      </c>
      <c r="V127" s="2">
        <v>24.34</v>
      </c>
      <c r="W127" s="2">
        <v>0</v>
      </c>
      <c r="X127" s="2">
        <v>4.47</v>
      </c>
      <c r="Y127" s="2">
        <v>3.59</v>
      </c>
      <c r="Z127" s="2">
        <v>0</v>
      </c>
      <c r="AA127" s="2">
        <v>0</v>
      </c>
      <c r="AB127" s="2">
        <v>0</v>
      </c>
      <c r="AC127" s="2">
        <v>4.76</v>
      </c>
      <c r="AD127" s="2">
        <v>5.75</v>
      </c>
      <c r="AE127" s="2">
        <v>2.42</v>
      </c>
      <c r="AF127" s="2">
        <v>68.42</v>
      </c>
      <c r="AG127" s="2">
        <v>10.69</v>
      </c>
    </row>
    <row r="128" spans="1:33" x14ac:dyDescent="0.2">
      <c r="A128" s="3">
        <v>11809</v>
      </c>
      <c r="B128" s="2">
        <v>0.96</v>
      </c>
      <c r="C128" s="2">
        <v>8.02</v>
      </c>
      <c r="D128" s="2">
        <v>-7.28</v>
      </c>
      <c r="E128" s="2">
        <v>-15.19</v>
      </c>
      <c r="F128" s="2">
        <v>7.57</v>
      </c>
      <c r="G128" s="2">
        <v>-7.37</v>
      </c>
      <c r="H128" s="2">
        <v>13.67</v>
      </c>
      <c r="I128" s="2">
        <v>22.99</v>
      </c>
      <c r="J128" s="2">
        <v>14.85</v>
      </c>
      <c r="K128" s="2">
        <v>8.2100000000000009</v>
      </c>
      <c r="L128" s="2">
        <v>20.92</v>
      </c>
      <c r="M128" s="2">
        <v>9.33</v>
      </c>
      <c r="N128" s="2">
        <v>28.58</v>
      </c>
      <c r="O128" s="2">
        <v>0.94</v>
      </c>
      <c r="P128" s="2">
        <v>56.21</v>
      </c>
      <c r="Q128" s="2">
        <v>8.8000000000000007</v>
      </c>
      <c r="R128" s="2">
        <v>9.19</v>
      </c>
      <c r="S128" s="2">
        <v>11.24</v>
      </c>
      <c r="T128" s="2">
        <v>61.16</v>
      </c>
      <c r="U128" s="2">
        <v>2.8</v>
      </c>
      <c r="V128" s="2">
        <v>26.85</v>
      </c>
      <c r="W128" s="2">
        <v>0</v>
      </c>
      <c r="X128" s="2">
        <v>5.45</v>
      </c>
      <c r="Y128" s="2">
        <v>4.88</v>
      </c>
      <c r="Z128" s="2">
        <v>0.14000000000000001</v>
      </c>
      <c r="AA128" s="2">
        <v>0.17</v>
      </c>
      <c r="AB128" s="2">
        <v>0</v>
      </c>
      <c r="AC128" s="2">
        <v>8.27</v>
      </c>
      <c r="AD128" s="2">
        <v>6.63</v>
      </c>
      <c r="AE128" s="2">
        <v>3.45</v>
      </c>
      <c r="AF128" s="2">
        <v>84.67</v>
      </c>
      <c r="AG128" s="2">
        <v>14.64</v>
      </c>
    </row>
    <row r="129" spans="1:33" x14ac:dyDescent="0.2">
      <c r="A129" s="3">
        <v>11840</v>
      </c>
      <c r="B129" s="2">
        <v>-0.75</v>
      </c>
      <c r="C129" s="2">
        <v>9.19</v>
      </c>
      <c r="D129" s="2">
        <v>-1.17</v>
      </c>
      <c r="E129" s="2">
        <v>-8.02</v>
      </c>
      <c r="F129" s="2">
        <v>9.73</v>
      </c>
      <c r="G129" s="2">
        <v>0.15</v>
      </c>
      <c r="H129" s="2">
        <v>14.53</v>
      </c>
      <c r="I129" s="2">
        <v>23.99</v>
      </c>
      <c r="J129" s="2">
        <v>46.03</v>
      </c>
      <c r="K129" s="2">
        <v>43.51</v>
      </c>
      <c r="L129" s="2">
        <v>68.98</v>
      </c>
      <c r="M129" s="2">
        <v>39.03</v>
      </c>
      <c r="N129" s="2">
        <v>55.49</v>
      </c>
      <c r="O129" s="2">
        <v>11.05</v>
      </c>
      <c r="P129" s="2">
        <v>83.67</v>
      </c>
      <c r="Q129" s="2">
        <v>14.16</v>
      </c>
      <c r="R129" s="2">
        <v>22.17</v>
      </c>
      <c r="S129" s="2">
        <v>29.9</v>
      </c>
      <c r="T129" s="2">
        <v>115.7</v>
      </c>
      <c r="U129" s="2">
        <v>1.7</v>
      </c>
      <c r="V129" s="2">
        <v>36.1</v>
      </c>
      <c r="W129" s="2">
        <v>4.88</v>
      </c>
      <c r="X129" s="2">
        <v>8.5</v>
      </c>
      <c r="Y129" s="2">
        <v>7.26</v>
      </c>
      <c r="Z129" s="2">
        <v>0</v>
      </c>
      <c r="AA129" s="2">
        <v>0.86</v>
      </c>
      <c r="AB129" s="2">
        <v>1.01</v>
      </c>
      <c r="AC129" s="2">
        <v>6.02</v>
      </c>
      <c r="AD129" s="2">
        <v>7.15</v>
      </c>
      <c r="AE129" s="2">
        <v>0.84</v>
      </c>
      <c r="AF129" s="2">
        <v>95.62</v>
      </c>
      <c r="AG129" s="2">
        <v>17.690000000000001</v>
      </c>
    </row>
    <row r="130" spans="1:33" x14ac:dyDescent="0.2">
      <c r="A130" s="3">
        <v>11870</v>
      </c>
      <c r="B130" s="2">
        <v>-5.13</v>
      </c>
      <c r="C130" s="2">
        <v>5.86</v>
      </c>
      <c r="D130" s="2">
        <v>-16.04</v>
      </c>
      <c r="E130" s="2">
        <v>-68.63</v>
      </c>
      <c r="F130" s="2">
        <v>-42.63</v>
      </c>
      <c r="G130" s="2">
        <v>-14.52</v>
      </c>
      <c r="H130" s="2">
        <v>-0.47</v>
      </c>
      <c r="I130" s="2">
        <v>21.79</v>
      </c>
      <c r="J130" s="2">
        <v>18.86</v>
      </c>
      <c r="K130" s="2">
        <v>21.14</v>
      </c>
      <c r="L130" s="2">
        <v>17.7</v>
      </c>
      <c r="M130" s="2">
        <v>29.64</v>
      </c>
      <c r="N130" s="2">
        <v>43.38</v>
      </c>
      <c r="O130" s="2">
        <v>29.96</v>
      </c>
      <c r="P130" s="2">
        <v>77.22</v>
      </c>
      <c r="Q130" s="2">
        <v>17.690000000000001</v>
      </c>
      <c r="R130" s="2">
        <v>23.23</v>
      </c>
      <c r="S130" s="2">
        <v>25.18</v>
      </c>
      <c r="T130" s="2">
        <v>134.38</v>
      </c>
      <c r="U130" s="2">
        <v>0.37</v>
      </c>
      <c r="V130" s="2">
        <v>41.19</v>
      </c>
      <c r="W130" s="2">
        <v>18.62</v>
      </c>
      <c r="X130" s="2">
        <v>13.88</v>
      </c>
      <c r="Y130" s="2">
        <v>13.38</v>
      </c>
      <c r="Z130" s="2">
        <v>2.0499999999999998</v>
      </c>
      <c r="AA130" s="2">
        <v>1.29</v>
      </c>
      <c r="AB130" s="2">
        <v>3.43</v>
      </c>
      <c r="AC130" s="2">
        <v>0</v>
      </c>
      <c r="AD130" s="2">
        <v>7.27</v>
      </c>
      <c r="AE130" s="2">
        <v>0</v>
      </c>
      <c r="AF130" s="2">
        <v>104.64</v>
      </c>
      <c r="AG130" s="2">
        <v>22.83</v>
      </c>
    </row>
    <row r="131" spans="1:33" x14ac:dyDescent="0.2">
      <c r="A131" s="3">
        <v>11901</v>
      </c>
      <c r="B131" s="2">
        <v>-5.69</v>
      </c>
      <c r="C131" s="2">
        <v>6.65</v>
      </c>
      <c r="D131" s="2">
        <v>-12.88</v>
      </c>
      <c r="E131" s="2">
        <v>-49.16</v>
      </c>
      <c r="F131" s="2">
        <v>-30.06</v>
      </c>
      <c r="G131" s="2">
        <v>-15.55</v>
      </c>
      <c r="H131" s="2">
        <v>-2.9</v>
      </c>
      <c r="I131" s="2">
        <v>12.76</v>
      </c>
      <c r="J131" s="2">
        <v>-33.340000000000003</v>
      </c>
      <c r="K131" s="2">
        <v>-52.99</v>
      </c>
      <c r="L131" s="2">
        <v>-68.13</v>
      </c>
      <c r="M131" s="2">
        <v>-34.57</v>
      </c>
      <c r="N131" s="2">
        <v>-0.43</v>
      </c>
      <c r="O131" s="2">
        <v>44.12</v>
      </c>
      <c r="P131" s="2">
        <v>38.32</v>
      </c>
      <c r="Q131" s="2">
        <v>7.92</v>
      </c>
      <c r="R131" s="2">
        <v>37.18</v>
      </c>
      <c r="S131" s="2">
        <v>13.63</v>
      </c>
      <c r="T131" s="2">
        <v>75.73</v>
      </c>
      <c r="U131" s="2">
        <v>0.03</v>
      </c>
      <c r="V131" s="2">
        <v>36.9</v>
      </c>
      <c r="W131" s="2">
        <v>30.39</v>
      </c>
      <c r="X131" s="2">
        <v>19.16</v>
      </c>
      <c r="Y131" s="2">
        <v>19</v>
      </c>
      <c r="Z131" s="2">
        <v>0</v>
      </c>
      <c r="AA131" s="2">
        <v>0</v>
      </c>
      <c r="AB131" s="2">
        <v>0</v>
      </c>
      <c r="AC131" s="2">
        <v>0</v>
      </c>
      <c r="AD131" s="2">
        <v>6.53</v>
      </c>
      <c r="AE131" s="2">
        <v>0</v>
      </c>
      <c r="AF131" s="2">
        <v>113.96</v>
      </c>
      <c r="AG131" s="2">
        <v>24.8</v>
      </c>
    </row>
    <row r="132" spans="1:33" x14ac:dyDescent="0.2">
      <c r="A132" s="3">
        <v>11932</v>
      </c>
      <c r="B132" s="2">
        <v>-6.02</v>
      </c>
      <c r="C132" s="2">
        <v>6.72</v>
      </c>
      <c r="D132" s="2">
        <v>-9.82</v>
      </c>
      <c r="E132" s="2">
        <v>-28.42</v>
      </c>
      <c r="F132" s="2">
        <v>-17.809999999999999</v>
      </c>
      <c r="G132" s="2">
        <v>-1.1100000000000001</v>
      </c>
      <c r="H132" s="2">
        <v>4.3</v>
      </c>
      <c r="I132" s="2">
        <v>13.53</v>
      </c>
      <c r="J132" s="2">
        <v>-29.23</v>
      </c>
      <c r="K132" s="2">
        <v>-44.51</v>
      </c>
      <c r="L132" s="2">
        <v>-47.11</v>
      </c>
      <c r="M132" s="2">
        <v>-25.63</v>
      </c>
      <c r="N132" s="2">
        <v>-10.4</v>
      </c>
      <c r="O132" s="2">
        <v>33.69</v>
      </c>
      <c r="P132" s="2">
        <v>34.15</v>
      </c>
      <c r="Q132" s="2">
        <v>4.95</v>
      </c>
      <c r="R132" s="2">
        <v>21.1</v>
      </c>
      <c r="S132" s="2">
        <v>11.67</v>
      </c>
      <c r="T132" s="2">
        <v>41.41</v>
      </c>
      <c r="U132" s="2">
        <v>2.21</v>
      </c>
      <c r="V132" s="2">
        <v>27.51</v>
      </c>
      <c r="W132" s="2">
        <v>31.47</v>
      </c>
      <c r="X132" s="2">
        <v>21.48</v>
      </c>
      <c r="Y132" s="2">
        <v>21.48</v>
      </c>
      <c r="Z132" s="2">
        <v>0</v>
      </c>
      <c r="AA132" s="2">
        <v>0</v>
      </c>
      <c r="AB132" s="2">
        <v>0.22</v>
      </c>
      <c r="AC132" s="2">
        <v>0</v>
      </c>
      <c r="AD132" s="2">
        <v>5.77</v>
      </c>
      <c r="AE132" s="2">
        <v>0</v>
      </c>
      <c r="AF132" s="2">
        <v>115.89</v>
      </c>
      <c r="AG132" s="2">
        <v>23.65</v>
      </c>
    </row>
    <row r="133" spans="1:33" x14ac:dyDescent="0.2">
      <c r="A133" s="3">
        <v>11962</v>
      </c>
      <c r="B133" s="2">
        <v>-6.13</v>
      </c>
      <c r="C133" s="2">
        <v>8.0399999999999991</v>
      </c>
      <c r="D133" s="2">
        <v>-7.65</v>
      </c>
      <c r="E133" s="2">
        <v>-18.39</v>
      </c>
      <c r="F133" s="2">
        <v>-7.16</v>
      </c>
      <c r="G133" s="2">
        <v>6.85</v>
      </c>
      <c r="H133" s="2">
        <v>10.33</v>
      </c>
      <c r="I133" s="2">
        <v>18.36</v>
      </c>
      <c r="J133" s="2">
        <v>-0.11</v>
      </c>
      <c r="K133" s="2">
        <v>-18.059999999999999</v>
      </c>
      <c r="L133" s="2">
        <v>-26.2</v>
      </c>
      <c r="M133" s="2">
        <v>-12.59</v>
      </c>
      <c r="N133" s="2">
        <v>8.6999999999999993</v>
      </c>
      <c r="O133" s="2">
        <v>-2.25</v>
      </c>
      <c r="P133" s="2">
        <v>25.12</v>
      </c>
      <c r="Q133" s="2">
        <v>6.51</v>
      </c>
      <c r="R133" s="2">
        <v>15.67</v>
      </c>
      <c r="S133" s="2">
        <v>0.35</v>
      </c>
      <c r="T133" s="2">
        <v>25.74</v>
      </c>
      <c r="U133" s="2">
        <v>3.37</v>
      </c>
      <c r="V133" s="2">
        <v>9.99</v>
      </c>
      <c r="W133" s="2">
        <v>26.1</v>
      </c>
      <c r="X133" s="2">
        <v>20.38</v>
      </c>
      <c r="Y133" s="2">
        <v>20.16</v>
      </c>
      <c r="Z133" s="2">
        <v>9.19</v>
      </c>
      <c r="AA133" s="2">
        <v>3.15</v>
      </c>
      <c r="AB133" s="2">
        <v>6.57</v>
      </c>
      <c r="AC133" s="2">
        <v>3.26</v>
      </c>
      <c r="AD133" s="2">
        <v>5.1100000000000003</v>
      </c>
      <c r="AE133" s="2">
        <v>0</v>
      </c>
      <c r="AF133" s="2">
        <v>107.95</v>
      </c>
      <c r="AG133" s="2">
        <v>20.170000000000002</v>
      </c>
    </row>
    <row r="134" spans="1:33" x14ac:dyDescent="0.2">
      <c r="A134" s="3">
        <v>11993</v>
      </c>
      <c r="B134" s="2">
        <v>-6.2</v>
      </c>
      <c r="C134" s="2">
        <v>7.45</v>
      </c>
      <c r="D134" s="2">
        <v>-6.7</v>
      </c>
      <c r="E134" s="2">
        <v>-8</v>
      </c>
      <c r="F134" s="2">
        <v>-7.93</v>
      </c>
      <c r="G134" s="2">
        <v>10.46</v>
      </c>
      <c r="H134" s="2">
        <v>11.23</v>
      </c>
      <c r="I134" s="2">
        <v>18.260000000000002</v>
      </c>
      <c r="J134" s="2">
        <v>6.22</v>
      </c>
      <c r="K134" s="2">
        <v>-5.44</v>
      </c>
      <c r="L134" s="2">
        <v>-2.2200000000000002</v>
      </c>
      <c r="M134" s="2">
        <v>3.86</v>
      </c>
      <c r="N134" s="2">
        <v>10.61</v>
      </c>
      <c r="O134" s="2">
        <v>1.37</v>
      </c>
      <c r="P134" s="2">
        <v>28.53</v>
      </c>
      <c r="Q134" s="2">
        <v>3.76</v>
      </c>
      <c r="R134" s="2">
        <v>9.33</v>
      </c>
      <c r="S134" s="2">
        <v>-3.7</v>
      </c>
      <c r="T134" s="2">
        <v>25.2</v>
      </c>
      <c r="U134" s="2">
        <v>1.78</v>
      </c>
      <c r="V134" s="2">
        <v>11.77</v>
      </c>
      <c r="W134" s="2">
        <v>22.19</v>
      </c>
      <c r="X134" s="2">
        <v>18.88</v>
      </c>
      <c r="Y134" s="2">
        <v>18.63</v>
      </c>
      <c r="Z134" s="2">
        <v>0</v>
      </c>
      <c r="AA134" s="2">
        <v>16.2</v>
      </c>
      <c r="AB134" s="2">
        <v>0.66</v>
      </c>
      <c r="AC134" s="2">
        <v>1</v>
      </c>
      <c r="AD134" s="2">
        <v>3.65</v>
      </c>
      <c r="AE134" s="2">
        <v>0</v>
      </c>
      <c r="AF134" s="2">
        <v>97.91</v>
      </c>
      <c r="AG134" s="2">
        <v>16.420000000000002</v>
      </c>
    </row>
    <row r="135" spans="1:33" x14ac:dyDescent="0.2">
      <c r="A135" s="3">
        <v>12023</v>
      </c>
      <c r="B135" s="2">
        <v>-3.09</v>
      </c>
      <c r="C135" s="2">
        <v>8.18</v>
      </c>
      <c r="D135" s="2">
        <v>-3.88</v>
      </c>
      <c r="E135" s="2">
        <v>3.76</v>
      </c>
      <c r="F135" s="2">
        <v>0.17</v>
      </c>
      <c r="G135" s="2">
        <v>11.67</v>
      </c>
      <c r="H135" s="2">
        <v>8.6300000000000008</v>
      </c>
      <c r="I135" s="2">
        <v>15.97</v>
      </c>
      <c r="J135" s="2">
        <v>8.25</v>
      </c>
      <c r="K135" s="2">
        <v>-13.39</v>
      </c>
      <c r="L135" s="2">
        <v>1.25</v>
      </c>
      <c r="M135" s="2">
        <v>-2.2599999999999998</v>
      </c>
      <c r="N135" s="2">
        <v>-1.57</v>
      </c>
      <c r="O135" s="2">
        <v>-1.19</v>
      </c>
      <c r="P135" s="2">
        <v>25.06</v>
      </c>
      <c r="Q135" s="2">
        <v>3.37</v>
      </c>
      <c r="R135" s="2">
        <v>6.92</v>
      </c>
      <c r="S135" s="2">
        <v>-3.72</v>
      </c>
      <c r="T135" s="2">
        <v>23.85</v>
      </c>
      <c r="U135" s="2">
        <v>3.92</v>
      </c>
      <c r="V135" s="2">
        <v>11.24</v>
      </c>
      <c r="W135" s="2">
        <v>15.43</v>
      </c>
      <c r="X135" s="2">
        <v>12.39</v>
      </c>
      <c r="Y135" s="2">
        <v>11.1</v>
      </c>
      <c r="Z135" s="2">
        <v>3.25</v>
      </c>
      <c r="AA135" s="2">
        <v>0</v>
      </c>
      <c r="AB135" s="2">
        <v>0</v>
      </c>
      <c r="AC135" s="2">
        <v>2.5099999999999998</v>
      </c>
      <c r="AD135" s="2">
        <v>2.64</v>
      </c>
      <c r="AE135" s="2">
        <v>4.01</v>
      </c>
      <c r="AF135" s="2">
        <v>64.239999999999995</v>
      </c>
      <c r="AG135" s="2">
        <v>12.92</v>
      </c>
    </row>
    <row r="136" spans="1:33" x14ac:dyDescent="0.2">
      <c r="A136" s="3">
        <v>12054</v>
      </c>
      <c r="B136" s="2">
        <v>-2.27</v>
      </c>
      <c r="C136" s="2">
        <v>10.78</v>
      </c>
      <c r="D136" s="2">
        <v>3.39</v>
      </c>
      <c r="E136" s="2">
        <v>20.85</v>
      </c>
      <c r="F136" s="2">
        <v>20.51</v>
      </c>
      <c r="G136" s="2">
        <v>23.59</v>
      </c>
      <c r="H136" s="2">
        <v>11.73</v>
      </c>
      <c r="I136" s="2">
        <v>17.920000000000002</v>
      </c>
      <c r="J136" s="2">
        <v>14.25</v>
      </c>
      <c r="K136" s="2">
        <v>0.4</v>
      </c>
      <c r="L136" s="2">
        <v>-0.08</v>
      </c>
      <c r="M136" s="2">
        <v>-3.76</v>
      </c>
      <c r="N136" s="2">
        <v>5.25</v>
      </c>
      <c r="O136" s="2">
        <v>-1.72</v>
      </c>
      <c r="P136" s="2">
        <v>26.81</v>
      </c>
      <c r="Q136" s="2">
        <v>1.8</v>
      </c>
      <c r="R136" s="2">
        <v>5.04</v>
      </c>
      <c r="S136" s="2">
        <v>5.43</v>
      </c>
      <c r="T136" s="2">
        <v>22.58</v>
      </c>
      <c r="U136" s="2">
        <v>4.76</v>
      </c>
      <c r="V136" s="2">
        <v>15.37</v>
      </c>
      <c r="W136" s="2">
        <v>11.73</v>
      </c>
      <c r="X136" s="2">
        <v>10.16</v>
      </c>
      <c r="Y136" s="2">
        <v>10.09</v>
      </c>
      <c r="Z136" s="2">
        <v>0.33</v>
      </c>
      <c r="AA136" s="2">
        <v>6.6</v>
      </c>
      <c r="AB136" s="2">
        <v>0.71</v>
      </c>
      <c r="AC136" s="2">
        <v>12.78</v>
      </c>
      <c r="AD136" s="2">
        <v>2.65</v>
      </c>
      <c r="AE136" s="2">
        <v>18.64</v>
      </c>
      <c r="AF136" s="2">
        <v>59.02</v>
      </c>
      <c r="AG136" s="2">
        <v>11.2</v>
      </c>
    </row>
    <row r="137" spans="1:33" x14ac:dyDescent="0.2">
      <c r="A137" s="3">
        <v>12085</v>
      </c>
      <c r="B137" s="2">
        <v>-0.89</v>
      </c>
      <c r="C137" s="2">
        <v>16.739999999999998</v>
      </c>
      <c r="D137" s="2">
        <v>12.29</v>
      </c>
      <c r="E137" s="2">
        <v>40.85</v>
      </c>
      <c r="F137" s="2">
        <v>20.51</v>
      </c>
      <c r="G137" s="2">
        <v>55.79</v>
      </c>
      <c r="H137" s="2">
        <v>15.99</v>
      </c>
      <c r="I137" s="2">
        <v>23.13</v>
      </c>
      <c r="J137" s="2">
        <v>47.51</v>
      </c>
      <c r="K137" s="2">
        <v>38.44</v>
      </c>
      <c r="L137" s="2">
        <v>0.77</v>
      </c>
      <c r="M137" s="2">
        <v>11.15</v>
      </c>
      <c r="N137" s="2">
        <v>34.159999999999997</v>
      </c>
      <c r="O137" s="2">
        <v>-0.88</v>
      </c>
      <c r="P137" s="2">
        <v>117.76</v>
      </c>
      <c r="Q137" s="2">
        <v>4.75</v>
      </c>
      <c r="R137" s="2">
        <v>7.25</v>
      </c>
      <c r="S137" s="2">
        <v>103.98</v>
      </c>
      <c r="T137" s="2">
        <v>77.3</v>
      </c>
      <c r="U137" s="2">
        <v>7.76</v>
      </c>
      <c r="V137" s="2">
        <v>21.11</v>
      </c>
      <c r="W137" s="2">
        <v>4.26</v>
      </c>
      <c r="X137" s="2">
        <v>7.15</v>
      </c>
      <c r="Y137" s="2">
        <v>5.93</v>
      </c>
      <c r="Z137" s="2">
        <v>18.190000000000001</v>
      </c>
      <c r="AA137" s="2">
        <v>6.88</v>
      </c>
      <c r="AB137" s="2">
        <v>7.03</v>
      </c>
      <c r="AC137" s="2">
        <v>22.46</v>
      </c>
      <c r="AD137" s="2">
        <v>2.69</v>
      </c>
      <c r="AE137" s="2">
        <v>35.979999999999997</v>
      </c>
      <c r="AF137" s="2">
        <v>75.3</v>
      </c>
      <c r="AG137" s="2">
        <v>9.8800000000000008</v>
      </c>
    </row>
    <row r="138" spans="1:33" x14ac:dyDescent="0.2">
      <c r="A138" s="3">
        <v>12113</v>
      </c>
      <c r="B138" s="2">
        <v>-1.1399999999999999</v>
      </c>
      <c r="C138" s="2">
        <v>8.6199999999999992</v>
      </c>
      <c r="D138" s="2">
        <v>-8.99</v>
      </c>
      <c r="E138" s="2">
        <v>-14.47</v>
      </c>
      <c r="F138" s="2">
        <v>-12.67</v>
      </c>
      <c r="G138" s="2">
        <v>12.83</v>
      </c>
      <c r="H138" s="2">
        <v>7.13</v>
      </c>
      <c r="I138" s="2">
        <v>16.989999999999998</v>
      </c>
      <c r="J138" s="2">
        <v>6.67</v>
      </c>
      <c r="K138" s="2">
        <v>-14.39</v>
      </c>
      <c r="L138" s="2">
        <v>-4.09</v>
      </c>
      <c r="M138" s="2">
        <v>-11.6</v>
      </c>
      <c r="N138" s="2">
        <v>0.14000000000000001</v>
      </c>
      <c r="O138" s="2">
        <v>-2.15</v>
      </c>
      <c r="P138" s="2">
        <v>20.87</v>
      </c>
      <c r="Q138" s="2">
        <v>1.65</v>
      </c>
      <c r="R138" s="2">
        <v>5.61</v>
      </c>
      <c r="S138" s="2">
        <v>-3.64</v>
      </c>
      <c r="T138" s="2">
        <v>24.43</v>
      </c>
      <c r="U138" s="2">
        <v>4.88</v>
      </c>
      <c r="V138" s="2">
        <v>9.4</v>
      </c>
      <c r="W138" s="2">
        <v>0</v>
      </c>
      <c r="X138" s="2">
        <v>1.0900000000000001</v>
      </c>
      <c r="Y138" s="2">
        <v>1.29</v>
      </c>
      <c r="Z138" s="2">
        <v>0</v>
      </c>
      <c r="AA138" s="2">
        <v>0</v>
      </c>
      <c r="AB138" s="2">
        <v>0.05</v>
      </c>
      <c r="AC138" s="2">
        <v>4.6100000000000003</v>
      </c>
      <c r="AD138" s="2">
        <v>3.12</v>
      </c>
      <c r="AE138" s="2">
        <v>2.0499999999999998</v>
      </c>
      <c r="AF138" s="2">
        <v>62.77</v>
      </c>
      <c r="AG138" s="2">
        <v>10.08</v>
      </c>
    </row>
    <row r="139" spans="1:33" x14ac:dyDescent="0.2">
      <c r="A139" s="3">
        <v>12144</v>
      </c>
      <c r="B139" s="2">
        <v>5.18</v>
      </c>
      <c r="C139" s="2">
        <v>18.399999999999999</v>
      </c>
      <c r="D139" s="2">
        <v>8.58</v>
      </c>
      <c r="E139" s="2">
        <v>58.43</v>
      </c>
      <c r="F139" s="2">
        <v>23.08</v>
      </c>
      <c r="G139" s="2">
        <v>36.86</v>
      </c>
      <c r="H139" s="2">
        <v>22.35</v>
      </c>
      <c r="I139" s="2">
        <v>22.88</v>
      </c>
      <c r="J139" s="2">
        <v>18.940000000000001</v>
      </c>
      <c r="K139" s="2">
        <v>6.01</v>
      </c>
      <c r="L139" s="2">
        <v>-4.88</v>
      </c>
      <c r="M139" s="2">
        <v>-4.22</v>
      </c>
      <c r="N139" s="2">
        <v>19.3</v>
      </c>
      <c r="O139" s="2">
        <v>2.83</v>
      </c>
      <c r="P139" s="2">
        <v>49.07</v>
      </c>
      <c r="Q139" s="2">
        <v>1.98</v>
      </c>
      <c r="R139" s="2">
        <v>2.69</v>
      </c>
      <c r="S139" s="2">
        <v>-3.26</v>
      </c>
      <c r="T139" s="2">
        <v>28.94</v>
      </c>
      <c r="U139" s="2">
        <v>4.37</v>
      </c>
      <c r="V139" s="2">
        <v>17.149999999999999</v>
      </c>
      <c r="W139" s="2">
        <v>0</v>
      </c>
      <c r="X139" s="2">
        <v>1.59</v>
      </c>
      <c r="Y139" s="2">
        <v>0.71</v>
      </c>
      <c r="Z139" s="2">
        <v>0</v>
      </c>
      <c r="AA139" s="2">
        <v>0</v>
      </c>
      <c r="AB139" s="2">
        <v>0</v>
      </c>
      <c r="AC139" s="2">
        <v>0</v>
      </c>
      <c r="AD139" s="2">
        <v>4.8499999999999996</v>
      </c>
      <c r="AE139" s="2">
        <v>17.989999999999998</v>
      </c>
      <c r="AF139" s="2">
        <v>74.069999999999993</v>
      </c>
      <c r="AG139" s="2">
        <v>10.69</v>
      </c>
    </row>
    <row r="140" spans="1:33" x14ac:dyDescent="0.2">
      <c r="A140" s="3">
        <v>12174</v>
      </c>
      <c r="B140" s="2">
        <v>-0.2</v>
      </c>
      <c r="C140" s="2">
        <v>6.87</v>
      </c>
      <c r="D140" s="2">
        <v>-5.15</v>
      </c>
      <c r="E140" s="2">
        <v>-15.05</v>
      </c>
      <c r="F140" s="2">
        <v>5.85</v>
      </c>
      <c r="G140" s="2">
        <v>-0.32</v>
      </c>
      <c r="H140" s="2">
        <v>7.52</v>
      </c>
      <c r="I140" s="2">
        <v>19.39</v>
      </c>
      <c r="J140" s="2">
        <v>10.94</v>
      </c>
      <c r="K140" s="2">
        <v>10.29</v>
      </c>
      <c r="L140" s="2">
        <v>0.9</v>
      </c>
      <c r="M140" s="2">
        <v>7.87</v>
      </c>
      <c r="N140" s="2">
        <v>29.97</v>
      </c>
      <c r="O140" s="2">
        <v>0.8</v>
      </c>
      <c r="P140" s="2">
        <v>48.15</v>
      </c>
      <c r="Q140" s="2">
        <v>5.71</v>
      </c>
      <c r="R140" s="2">
        <v>8.74</v>
      </c>
      <c r="S140" s="2">
        <v>8.3000000000000007</v>
      </c>
      <c r="T140" s="2">
        <v>22.26</v>
      </c>
      <c r="U140" s="2">
        <v>3.38</v>
      </c>
      <c r="V140" s="2">
        <v>19.739999999999998</v>
      </c>
      <c r="W140" s="2">
        <v>0</v>
      </c>
      <c r="X140" s="2">
        <v>1.87</v>
      </c>
      <c r="Y140" s="2">
        <v>1.33</v>
      </c>
      <c r="Z140" s="2">
        <v>0.33</v>
      </c>
      <c r="AA140" s="2">
        <v>2.0099999999999998</v>
      </c>
      <c r="AB140" s="2">
        <v>0.25</v>
      </c>
      <c r="AC140" s="2">
        <v>2.41</v>
      </c>
      <c r="AD140" s="2">
        <v>5.45</v>
      </c>
      <c r="AE140" s="2">
        <v>1.4</v>
      </c>
      <c r="AF140" s="2">
        <v>91.65</v>
      </c>
      <c r="AG140" s="2">
        <v>14.64</v>
      </c>
    </row>
    <row r="141" spans="1:33" x14ac:dyDescent="0.2">
      <c r="A141" s="3">
        <v>12205</v>
      </c>
      <c r="B141" s="2">
        <v>-2.5299999999999998</v>
      </c>
      <c r="C141" s="2">
        <v>8.19</v>
      </c>
      <c r="D141" s="2">
        <v>-4.58</v>
      </c>
      <c r="E141" s="2">
        <v>-14.15</v>
      </c>
      <c r="F141" s="2">
        <v>2.91</v>
      </c>
      <c r="G141" s="2">
        <v>4.5599999999999996</v>
      </c>
      <c r="H141" s="2">
        <v>7.33</v>
      </c>
      <c r="I141" s="2">
        <v>17.64</v>
      </c>
      <c r="J141" s="2">
        <v>14.56</v>
      </c>
      <c r="K141" s="2">
        <v>7.35</v>
      </c>
      <c r="L141" s="2">
        <v>10.42</v>
      </c>
      <c r="M141" s="2">
        <v>4.08</v>
      </c>
      <c r="N141" s="2">
        <v>28.32</v>
      </c>
      <c r="O141" s="2">
        <v>8.0399999999999991</v>
      </c>
      <c r="P141" s="2">
        <v>71.040000000000006</v>
      </c>
      <c r="Q141" s="2">
        <v>5.31</v>
      </c>
      <c r="R141" s="2">
        <v>4.13</v>
      </c>
      <c r="S141" s="2">
        <v>11.7</v>
      </c>
      <c r="T141" s="2">
        <v>37.869999999999997</v>
      </c>
      <c r="U141" s="2">
        <v>4.62</v>
      </c>
      <c r="V141" s="2">
        <v>22.78</v>
      </c>
      <c r="W141" s="2">
        <v>4.88</v>
      </c>
      <c r="X141" s="2">
        <v>4.46</v>
      </c>
      <c r="Y141" s="2">
        <v>3.25</v>
      </c>
      <c r="Z141" s="2">
        <v>1.67</v>
      </c>
      <c r="AA141" s="2">
        <v>0.14000000000000001</v>
      </c>
      <c r="AB141" s="2">
        <v>0</v>
      </c>
      <c r="AC141" s="2">
        <v>4.01</v>
      </c>
      <c r="AD141" s="2">
        <v>5.47</v>
      </c>
      <c r="AE141" s="2">
        <v>4.1900000000000004</v>
      </c>
      <c r="AF141" s="2">
        <v>103.51</v>
      </c>
      <c r="AG141" s="2">
        <v>17.690000000000001</v>
      </c>
    </row>
    <row r="142" spans="1:33" x14ac:dyDescent="0.2">
      <c r="A142" s="3">
        <v>12235</v>
      </c>
      <c r="B142" s="2">
        <v>-5.32</v>
      </c>
      <c r="C142" s="2">
        <v>7.07</v>
      </c>
      <c r="D142" s="2">
        <v>-13.97</v>
      </c>
      <c r="E142" s="2">
        <v>-47.6</v>
      </c>
      <c r="F142" s="2">
        <v>-14.37</v>
      </c>
      <c r="G142" s="2">
        <v>-0.54</v>
      </c>
      <c r="H142" s="2">
        <v>6.24</v>
      </c>
      <c r="I142" s="2">
        <v>15.35</v>
      </c>
      <c r="J142" s="2">
        <v>23.5</v>
      </c>
      <c r="K142" s="2">
        <v>25.31</v>
      </c>
      <c r="L142" s="2">
        <v>54.8</v>
      </c>
      <c r="M142" s="2">
        <v>27.38</v>
      </c>
      <c r="N142" s="2">
        <v>41.55</v>
      </c>
      <c r="O142" s="2">
        <v>27.04</v>
      </c>
      <c r="P142" s="2">
        <v>67.44</v>
      </c>
      <c r="Q142" s="2">
        <v>10.029999999999999</v>
      </c>
      <c r="R142" s="2">
        <v>19.46</v>
      </c>
      <c r="S142" s="2">
        <v>17.21</v>
      </c>
      <c r="T142" s="2">
        <v>42.89</v>
      </c>
      <c r="U142" s="2">
        <v>4.7300000000000004</v>
      </c>
      <c r="V142" s="2">
        <v>30.93</v>
      </c>
      <c r="W142" s="2">
        <v>18.62</v>
      </c>
      <c r="X142" s="2">
        <v>9.4700000000000006</v>
      </c>
      <c r="Y142" s="2">
        <v>8.98</v>
      </c>
      <c r="Z142" s="2">
        <v>0.38</v>
      </c>
      <c r="AA142" s="2">
        <v>0</v>
      </c>
      <c r="AB142" s="2">
        <v>0.25</v>
      </c>
      <c r="AC142" s="2">
        <v>3.36</v>
      </c>
      <c r="AD142" s="2">
        <v>6.1</v>
      </c>
      <c r="AE142" s="2">
        <v>0.09</v>
      </c>
      <c r="AF142" s="2">
        <v>113.28</v>
      </c>
      <c r="AG142" s="2">
        <v>22.83</v>
      </c>
    </row>
    <row r="143" spans="1:33" x14ac:dyDescent="0.2">
      <c r="A143" s="3">
        <v>12266</v>
      </c>
      <c r="B143" s="2">
        <v>-6.18</v>
      </c>
      <c r="C143" s="2">
        <v>6.79</v>
      </c>
      <c r="D143" s="2">
        <v>-13.44</v>
      </c>
      <c r="E143" s="2">
        <v>-48.27</v>
      </c>
      <c r="F143" s="2">
        <v>-26.97</v>
      </c>
      <c r="G143" s="2">
        <v>-5.59</v>
      </c>
      <c r="H143" s="2">
        <v>0.67</v>
      </c>
      <c r="I143" s="2">
        <v>13.07</v>
      </c>
      <c r="J143" s="2">
        <v>-13.37</v>
      </c>
      <c r="K143" s="2">
        <v>-25.52</v>
      </c>
      <c r="L143" s="2">
        <v>-31.94</v>
      </c>
      <c r="M143" s="2">
        <v>-14.43</v>
      </c>
      <c r="N143" s="2">
        <v>-4.41</v>
      </c>
      <c r="O143" s="2">
        <v>41.57</v>
      </c>
      <c r="P143" s="2">
        <v>39.11</v>
      </c>
      <c r="Q143" s="2">
        <v>2.2000000000000002</v>
      </c>
      <c r="R143" s="2">
        <v>11.53</v>
      </c>
      <c r="S143" s="2">
        <v>5.79</v>
      </c>
      <c r="T143" s="2">
        <v>38.82</v>
      </c>
      <c r="U143" s="2">
        <v>3.9</v>
      </c>
      <c r="V143" s="2">
        <v>29.12</v>
      </c>
      <c r="W143" s="2">
        <v>30.39</v>
      </c>
      <c r="X143" s="2">
        <v>14.35</v>
      </c>
      <c r="Y143" s="2">
        <v>14.22</v>
      </c>
      <c r="Z143" s="2">
        <v>0</v>
      </c>
      <c r="AA143" s="2">
        <v>0</v>
      </c>
      <c r="AB143" s="2">
        <v>0</v>
      </c>
      <c r="AC143" s="2">
        <v>0</v>
      </c>
      <c r="AD143" s="2">
        <v>5.54</v>
      </c>
      <c r="AE143" s="2">
        <v>0</v>
      </c>
      <c r="AF143" s="2">
        <v>123.36</v>
      </c>
      <c r="AG143" s="2">
        <v>24.8</v>
      </c>
    </row>
    <row r="144" spans="1:33" x14ac:dyDescent="0.2">
      <c r="A144" s="3">
        <v>12297</v>
      </c>
      <c r="B144" s="2">
        <v>-6.5</v>
      </c>
      <c r="C144" s="2">
        <v>6.68</v>
      </c>
      <c r="D144" s="2">
        <v>-8.89</v>
      </c>
      <c r="E144" s="2">
        <v>-32.75</v>
      </c>
      <c r="F144" s="2">
        <v>-12.67</v>
      </c>
      <c r="G144" s="2">
        <v>3.38</v>
      </c>
      <c r="H144" s="2">
        <v>6.11</v>
      </c>
      <c r="I144" s="2">
        <v>14.34</v>
      </c>
      <c r="J144" s="2">
        <v>-5.92</v>
      </c>
      <c r="K144" s="2">
        <v>-7.86</v>
      </c>
      <c r="L144" s="2">
        <v>-19.329999999999998</v>
      </c>
      <c r="M144" s="2">
        <v>-9.43</v>
      </c>
      <c r="N144" s="2">
        <v>8.15</v>
      </c>
      <c r="O144" s="2">
        <v>33.130000000000003</v>
      </c>
      <c r="P144" s="2">
        <v>44.69</v>
      </c>
      <c r="Q144" s="2">
        <v>4.08</v>
      </c>
      <c r="R144" s="2">
        <v>5.95</v>
      </c>
      <c r="S144" s="2">
        <v>11.43</v>
      </c>
      <c r="T144" s="2">
        <v>39.43</v>
      </c>
      <c r="U144" s="2">
        <v>6</v>
      </c>
      <c r="V144" s="2">
        <v>28.28</v>
      </c>
      <c r="W144" s="2">
        <v>31.47</v>
      </c>
      <c r="X144" s="2">
        <v>16.59</v>
      </c>
      <c r="Y144" s="2">
        <v>16.61</v>
      </c>
      <c r="Z144" s="2">
        <v>4.74</v>
      </c>
      <c r="AA144" s="2">
        <v>0</v>
      </c>
      <c r="AB144" s="2">
        <v>0.1</v>
      </c>
      <c r="AC144" s="2">
        <v>0</v>
      </c>
      <c r="AD144" s="2">
        <v>5.17</v>
      </c>
      <c r="AE144" s="2">
        <v>0</v>
      </c>
      <c r="AF144" s="2">
        <v>125.46</v>
      </c>
      <c r="AG144" s="2">
        <v>23.65</v>
      </c>
    </row>
    <row r="145" spans="1:33" x14ac:dyDescent="0.2">
      <c r="A145" s="3">
        <v>12327</v>
      </c>
      <c r="B145" s="2">
        <v>-6.36</v>
      </c>
      <c r="C145" s="2">
        <v>7.59</v>
      </c>
      <c r="D145" s="2">
        <v>-7.49</v>
      </c>
      <c r="E145" s="2">
        <v>-15.43</v>
      </c>
      <c r="F145" s="2">
        <v>-3.66</v>
      </c>
      <c r="G145" s="2">
        <v>9.8699999999999992</v>
      </c>
      <c r="H145" s="2">
        <v>12.78</v>
      </c>
      <c r="I145" s="2">
        <v>17.12</v>
      </c>
      <c r="J145" s="2">
        <v>12.44</v>
      </c>
      <c r="K145" s="2">
        <v>-2.92</v>
      </c>
      <c r="L145" s="2">
        <v>-4.99</v>
      </c>
      <c r="M145" s="2">
        <v>-1.1299999999999999</v>
      </c>
      <c r="N145" s="2">
        <v>14.14</v>
      </c>
      <c r="O145" s="2">
        <v>-2.6</v>
      </c>
      <c r="P145" s="2">
        <v>30.52</v>
      </c>
      <c r="Q145" s="2">
        <v>5.05</v>
      </c>
      <c r="R145" s="2">
        <v>7.06</v>
      </c>
      <c r="S145" s="2">
        <v>-2.82</v>
      </c>
      <c r="T145" s="2">
        <v>24.84</v>
      </c>
      <c r="U145" s="2">
        <v>4.62</v>
      </c>
      <c r="V145" s="2">
        <v>11.24</v>
      </c>
      <c r="W145" s="2">
        <v>26.1</v>
      </c>
      <c r="X145" s="2">
        <v>15.83</v>
      </c>
      <c r="Y145" s="2">
        <v>15.62</v>
      </c>
      <c r="Z145" s="2">
        <v>0</v>
      </c>
      <c r="AA145" s="2">
        <v>0</v>
      </c>
      <c r="AB145" s="2">
        <v>0</v>
      </c>
      <c r="AC145" s="2">
        <v>0</v>
      </c>
      <c r="AD145" s="2">
        <v>4.5999999999999996</v>
      </c>
      <c r="AE145" s="2">
        <v>0</v>
      </c>
      <c r="AF145" s="2">
        <v>116.86</v>
      </c>
      <c r="AG145" s="2">
        <v>20.170000000000002</v>
      </c>
    </row>
    <row r="146" spans="1:33" x14ac:dyDescent="0.2">
      <c r="A146" s="3">
        <v>12358</v>
      </c>
      <c r="B146" s="2">
        <v>-5.56</v>
      </c>
      <c r="C146" s="2">
        <v>8.3699999999999992</v>
      </c>
      <c r="D146" s="2">
        <v>-4.88</v>
      </c>
      <c r="E146" s="2">
        <v>2.4500000000000002</v>
      </c>
      <c r="F146" s="2">
        <v>10.29</v>
      </c>
      <c r="G146" s="2">
        <v>16.32</v>
      </c>
      <c r="H146" s="2">
        <v>14.08</v>
      </c>
      <c r="I146" s="2">
        <v>18.79</v>
      </c>
      <c r="J146" s="2">
        <v>11.98</v>
      </c>
      <c r="K146" s="2">
        <v>-12.06</v>
      </c>
      <c r="L146" s="2">
        <v>-0.8</v>
      </c>
      <c r="M146" s="2">
        <v>-2.87</v>
      </c>
      <c r="N146" s="2">
        <v>2.69</v>
      </c>
      <c r="O146" s="2">
        <v>0.71</v>
      </c>
      <c r="P146" s="2">
        <v>31.62</v>
      </c>
      <c r="Q146" s="2">
        <v>1.87</v>
      </c>
      <c r="R146" s="2">
        <v>3.6</v>
      </c>
      <c r="S146" s="2">
        <v>-6.28</v>
      </c>
      <c r="T146" s="2">
        <v>24.14</v>
      </c>
      <c r="U146" s="2">
        <v>2.41</v>
      </c>
      <c r="V146" s="2">
        <v>10.8</v>
      </c>
      <c r="W146" s="2">
        <v>22.19</v>
      </c>
      <c r="X146" s="2">
        <v>14.75</v>
      </c>
      <c r="Y146" s="2">
        <v>14.52</v>
      </c>
      <c r="Z146" s="2">
        <v>1.05</v>
      </c>
      <c r="AA146" s="2">
        <v>0.14000000000000001</v>
      </c>
      <c r="AB146" s="2">
        <v>0.57999999999999996</v>
      </c>
      <c r="AC146" s="2">
        <v>0</v>
      </c>
      <c r="AD146" s="2">
        <v>3.9</v>
      </c>
      <c r="AE146" s="2">
        <v>8.9499999999999993</v>
      </c>
      <c r="AF146" s="2">
        <v>105.99</v>
      </c>
      <c r="AG146" s="2">
        <v>16.420000000000002</v>
      </c>
    </row>
    <row r="147" spans="1:33" x14ac:dyDescent="0.2">
      <c r="A147" s="3">
        <v>12388</v>
      </c>
      <c r="B147" s="2">
        <v>-4.0199999999999996</v>
      </c>
      <c r="C147" s="2">
        <v>7.93</v>
      </c>
      <c r="D147" s="2">
        <v>-6.68</v>
      </c>
      <c r="E147" s="2">
        <v>2.74</v>
      </c>
      <c r="F147" s="2">
        <v>0.19</v>
      </c>
      <c r="G147" s="2">
        <v>12.3</v>
      </c>
      <c r="H147" s="2">
        <v>10.8</v>
      </c>
      <c r="I147" s="2">
        <v>14.79</v>
      </c>
      <c r="J147" s="2">
        <v>16.63</v>
      </c>
      <c r="K147" s="2">
        <v>-6.01</v>
      </c>
      <c r="L147" s="2">
        <v>-5.21</v>
      </c>
      <c r="M147" s="2">
        <v>-4.8</v>
      </c>
      <c r="N147" s="2">
        <v>2.02</v>
      </c>
      <c r="O147" s="2">
        <v>-1.51</v>
      </c>
      <c r="P147" s="2">
        <v>27.69</v>
      </c>
      <c r="Q147" s="2">
        <v>3.08</v>
      </c>
      <c r="R147" s="2">
        <v>3.39</v>
      </c>
      <c r="S147" s="2">
        <v>-4.57</v>
      </c>
      <c r="T147" s="2">
        <v>23.01</v>
      </c>
      <c r="U147" s="2">
        <v>4.76</v>
      </c>
      <c r="V147" s="2">
        <v>10.85</v>
      </c>
      <c r="W147" s="2">
        <v>15.43</v>
      </c>
      <c r="X147" s="2">
        <v>9.67</v>
      </c>
      <c r="Y147" s="2">
        <v>8.4</v>
      </c>
      <c r="Z147" s="2">
        <v>6.65</v>
      </c>
      <c r="AA147" s="2">
        <v>0</v>
      </c>
      <c r="AB147" s="2">
        <v>0.16</v>
      </c>
      <c r="AC147" s="2">
        <v>4.88</v>
      </c>
      <c r="AD147" s="2">
        <v>2.91</v>
      </c>
      <c r="AE147" s="2">
        <v>0</v>
      </c>
      <c r="AF147" s="2">
        <v>69.540000000000006</v>
      </c>
      <c r="AG147" s="2">
        <v>12.92</v>
      </c>
    </row>
    <row r="148" spans="1:33" x14ac:dyDescent="0.2">
      <c r="A148" s="3">
        <v>12419</v>
      </c>
      <c r="B148" s="2">
        <v>7.0000000000000007E-2</v>
      </c>
      <c r="C148" s="2">
        <v>22.63</v>
      </c>
      <c r="D148" s="2">
        <v>38.450000000000003</v>
      </c>
      <c r="E148" s="2">
        <v>102.74</v>
      </c>
      <c r="F148" s="2">
        <v>48.42</v>
      </c>
      <c r="G148" s="2">
        <v>97.06</v>
      </c>
      <c r="H148" s="2">
        <v>29.88</v>
      </c>
      <c r="I148" s="2">
        <v>29.43</v>
      </c>
      <c r="J148" s="2">
        <v>56.37</v>
      </c>
      <c r="K148" s="2">
        <v>27.58</v>
      </c>
      <c r="L148" s="2">
        <v>18.13</v>
      </c>
      <c r="M148" s="2">
        <v>18.43</v>
      </c>
      <c r="N148" s="2">
        <v>23.21</v>
      </c>
      <c r="O148" s="2">
        <v>-1.62</v>
      </c>
      <c r="P148" s="2">
        <v>31.4</v>
      </c>
      <c r="Q148" s="2">
        <v>2.64</v>
      </c>
      <c r="R148" s="2">
        <v>3.94</v>
      </c>
      <c r="S148" s="2">
        <v>9.89</v>
      </c>
      <c r="T148" s="2">
        <v>22.19</v>
      </c>
      <c r="U148" s="2">
        <v>4.7</v>
      </c>
      <c r="V148" s="2">
        <v>10.59</v>
      </c>
      <c r="W148" s="2">
        <v>11.73</v>
      </c>
      <c r="X148" s="2">
        <v>7.66</v>
      </c>
      <c r="Y148" s="2">
        <v>7.6</v>
      </c>
      <c r="Z148" s="2">
        <v>0</v>
      </c>
      <c r="AA148" s="2">
        <v>1.86</v>
      </c>
      <c r="AB148" s="2">
        <v>2.64</v>
      </c>
      <c r="AC148" s="2">
        <v>0.5</v>
      </c>
      <c r="AD148" s="2">
        <v>2.98</v>
      </c>
      <c r="AE148" s="2">
        <v>33.56</v>
      </c>
      <c r="AF148" s="2">
        <v>63.89</v>
      </c>
      <c r="AG148" s="2">
        <v>11.2</v>
      </c>
    </row>
    <row r="149" spans="1:33" x14ac:dyDescent="0.2">
      <c r="A149" s="3">
        <v>12450</v>
      </c>
      <c r="B149" s="2">
        <v>1.94</v>
      </c>
      <c r="C149" s="2">
        <v>17.14</v>
      </c>
      <c r="D149" s="2">
        <v>-6.74</v>
      </c>
      <c r="E149" s="2">
        <v>14.38</v>
      </c>
      <c r="F149" s="2">
        <v>6.67</v>
      </c>
      <c r="G149" s="2">
        <v>32.049999999999997</v>
      </c>
      <c r="H149" s="2">
        <v>10.16</v>
      </c>
      <c r="I149" s="2">
        <v>21.19</v>
      </c>
      <c r="J149" s="2">
        <v>19.920000000000002</v>
      </c>
      <c r="K149" s="2">
        <v>-4.63</v>
      </c>
      <c r="L149" s="2">
        <v>-17.510000000000002</v>
      </c>
      <c r="M149" s="2">
        <v>-13.6</v>
      </c>
      <c r="N149" s="2">
        <v>7.81</v>
      </c>
      <c r="O149" s="2">
        <v>-2.36</v>
      </c>
      <c r="P149" s="2">
        <v>25.9</v>
      </c>
      <c r="Q149" s="2">
        <v>1.48</v>
      </c>
      <c r="R149" s="2">
        <v>4.1399999999999997</v>
      </c>
      <c r="S149" s="2">
        <v>4.24</v>
      </c>
      <c r="T149" s="2">
        <v>23.99</v>
      </c>
      <c r="U149" s="2">
        <v>4.2699999999999996</v>
      </c>
      <c r="V149" s="2">
        <v>10.83</v>
      </c>
      <c r="W149" s="2">
        <v>4.26</v>
      </c>
      <c r="X149" s="2">
        <v>5.66</v>
      </c>
      <c r="Y149" s="2">
        <v>4.4000000000000004</v>
      </c>
      <c r="Z149" s="2">
        <v>10.1</v>
      </c>
      <c r="AA149" s="2">
        <v>1.58</v>
      </c>
      <c r="AB149" s="2">
        <v>2.69</v>
      </c>
      <c r="AC149" s="2">
        <v>27.28</v>
      </c>
      <c r="AD149" s="2">
        <v>3.01</v>
      </c>
      <c r="AE149" s="2">
        <v>7.27</v>
      </c>
      <c r="AF149" s="2">
        <v>68.83</v>
      </c>
      <c r="AG149" s="2">
        <v>9.8800000000000008</v>
      </c>
    </row>
    <row r="150" spans="1:33" x14ac:dyDescent="0.2">
      <c r="A150" s="3">
        <v>12478</v>
      </c>
      <c r="B150" s="2">
        <v>2.76</v>
      </c>
      <c r="C150" s="2">
        <v>18.59</v>
      </c>
      <c r="D150" s="2">
        <v>2.77</v>
      </c>
      <c r="E150" s="2">
        <v>21.88</v>
      </c>
      <c r="F150" s="2">
        <v>13.44</v>
      </c>
      <c r="G150" s="2">
        <v>34.64</v>
      </c>
      <c r="H150" s="2">
        <v>14.77</v>
      </c>
      <c r="I150" s="2">
        <v>24.24</v>
      </c>
      <c r="J150" s="2">
        <v>40.19</v>
      </c>
      <c r="K150" s="2">
        <v>10.97</v>
      </c>
      <c r="L150" s="2">
        <v>-1.03</v>
      </c>
      <c r="M150" s="2">
        <v>0.68</v>
      </c>
      <c r="N150" s="2">
        <v>20.18</v>
      </c>
      <c r="O150" s="2">
        <v>-2.2400000000000002</v>
      </c>
      <c r="P150" s="2">
        <v>29.75</v>
      </c>
      <c r="Q150" s="2">
        <v>7.0000000000000007E-2</v>
      </c>
      <c r="R150" s="2">
        <v>3.49</v>
      </c>
      <c r="S150" s="2">
        <v>6.92</v>
      </c>
      <c r="T150" s="2">
        <v>23.49</v>
      </c>
      <c r="U150" s="2">
        <v>4.8499999999999996</v>
      </c>
      <c r="V150" s="2">
        <v>9.75</v>
      </c>
      <c r="W150" s="2">
        <v>0</v>
      </c>
      <c r="X150" s="2">
        <v>0</v>
      </c>
      <c r="Y150" s="2">
        <v>0</v>
      </c>
      <c r="Z150" s="2">
        <v>3.3</v>
      </c>
      <c r="AA150" s="2">
        <v>1.29</v>
      </c>
      <c r="AB150" s="2">
        <v>0.16</v>
      </c>
      <c r="AC150" s="2">
        <v>0</v>
      </c>
      <c r="AD150" s="2">
        <v>3.37</v>
      </c>
      <c r="AE150" s="2">
        <v>26.57</v>
      </c>
      <c r="AF150" s="2">
        <v>57.37</v>
      </c>
      <c r="AG150" s="2">
        <v>10.08</v>
      </c>
    </row>
    <row r="151" spans="1:33" x14ac:dyDescent="0.2">
      <c r="A151" s="3">
        <v>12509</v>
      </c>
      <c r="B151" s="2">
        <v>1.65</v>
      </c>
      <c r="C151" s="2">
        <v>15.71</v>
      </c>
      <c r="D151" s="2">
        <v>-9.0500000000000007</v>
      </c>
      <c r="E151" s="2">
        <v>-8.2899999999999991</v>
      </c>
      <c r="F151" s="2">
        <v>-3.13</v>
      </c>
      <c r="G151" s="2">
        <v>-4.04</v>
      </c>
      <c r="H151" s="2">
        <v>9.32</v>
      </c>
      <c r="I151" s="2">
        <v>18.41</v>
      </c>
      <c r="J151" s="2">
        <v>11</v>
      </c>
      <c r="K151" s="2">
        <v>3.52</v>
      </c>
      <c r="L151" s="2">
        <v>-13.09</v>
      </c>
      <c r="M151" s="2">
        <v>-5.79</v>
      </c>
      <c r="N151" s="2">
        <v>16.23</v>
      </c>
      <c r="O151" s="2">
        <v>3.09</v>
      </c>
      <c r="P151" s="2">
        <v>55.32</v>
      </c>
      <c r="Q151" s="2">
        <v>3.89</v>
      </c>
      <c r="R151" s="2">
        <v>1.28</v>
      </c>
      <c r="S151" s="2">
        <v>-4.1500000000000004</v>
      </c>
      <c r="T151" s="2">
        <v>28.72</v>
      </c>
      <c r="U151" s="2">
        <v>1.64</v>
      </c>
      <c r="V151" s="2">
        <v>20.440000000000001</v>
      </c>
      <c r="W151" s="2">
        <v>0</v>
      </c>
      <c r="X151" s="2">
        <v>0.09</v>
      </c>
      <c r="Y151" s="2">
        <v>0</v>
      </c>
      <c r="Z151" s="2">
        <v>0.96</v>
      </c>
      <c r="AA151" s="2">
        <v>0.35</v>
      </c>
      <c r="AB151" s="2">
        <v>1.59</v>
      </c>
      <c r="AC151" s="2">
        <v>0</v>
      </c>
      <c r="AD151" s="2">
        <v>5.07</v>
      </c>
      <c r="AE151" s="2">
        <v>0</v>
      </c>
      <c r="AF151" s="2">
        <v>67.7</v>
      </c>
      <c r="AG151" s="2">
        <v>10.69</v>
      </c>
    </row>
    <row r="152" spans="1:33" x14ac:dyDescent="0.2">
      <c r="A152" s="3">
        <v>12539</v>
      </c>
      <c r="B152" s="2">
        <v>-0.91</v>
      </c>
      <c r="C152" s="2">
        <v>6.98</v>
      </c>
      <c r="D152" s="2">
        <v>-9.94</v>
      </c>
      <c r="E152" s="2">
        <v>-34.53</v>
      </c>
      <c r="F152" s="2">
        <v>-17.11</v>
      </c>
      <c r="G152" s="2">
        <v>-13.07</v>
      </c>
      <c r="H152" s="2">
        <v>3.63</v>
      </c>
      <c r="I152" s="2">
        <v>16.79</v>
      </c>
      <c r="J152" s="2">
        <v>5.28</v>
      </c>
      <c r="K152" s="2">
        <v>5.81</v>
      </c>
      <c r="L152" s="2">
        <v>-1.68</v>
      </c>
      <c r="M152" s="2">
        <v>5.49</v>
      </c>
      <c r="N152" s="2">
        <v>25.66</v>
      </c>
      <c r="O152" s="2">
        <v>0.81</v>
      </c>
      <c r="P152" s="2">
        <v>53.04</v>
      </c>
      <c r="Q152" s="2">
        <v>5.5</v>
      </c>
      <c r="R152" s="2">
        <v>2.15</v>
      </c>
      <c r="S152" s="2">
        <v>3.48</v>
      </c>
      <c r="T152" s="2">
        <v>24.28</v>
      </c>
      <c r="U152" s="2">
        <v>4.3099999999999996</v>
      </c>
      <c r="V152" s="2">
        <v>21.83</v>
      </c>
      <c r="W152" s="2">
        <v>0</v>
      </c>
      <c r="X152" s="2">
        <v>0.04</v>
      </c>
      <c r="Y152" s="2">
        <v>0</v>
      </c>
      <c r="Z152" s="2">
        <v>0</v>
      </c>
      <c r="AA152" s="2">
        <v>0</v>
      </c>
      <c r="AB152" s="2">
        <v>0</v>
      </c>
      <c r="AC152" s="2">
        <v>0.5</v>
      </c>
      <c r="AD152" s="2">
        <v>5.6</v>
      </c>
      <c r="AE152" s="2">
        <v>1.77</v>
      </c>
      <c r="AF152" s="2">
        <v>83.78</v>
      </c>
      <c r="AG152" s="2">
        <v>14.64</v>
      </c>
    </row>
    <row r="153" spans="1:33" x14ac:dyDescent="0.2">
      <c r="A153" s="3">
        <v>12570</v>
      </c>
      <c r="B153" s="2">
        <v>-3.87</v>
      </c>
      <c r="C153" s="2">
        <v>6.83</v>
      </c>
      <c r="D153" s="2">
        <v>-9.48</v>
      </c>
      <c r="E153" s="2">
        <v>-41.56</v>
      </c>
      <c r="F153" s="2">
        <v>-17.12</v>
      </c>
      <c r="G153" s="2">
        <v>-13.39</v>
      </c>
      <c r="H153" s="2">
        <v>-0.65</v>
      </c>
      <c r="I153" s="2">
        <v>14.62</v>
      </c>
      <c r="J153" s="2">
        <v>1.1299999999999999</v>
      </c>
      <c r="K153" s="2">
        <v>-10.14</v>
      </c>
      <c r="L153" s="2">
        <v>-6.98</v>
      </c>
      <c r="M153" s="2">
        <v>-2.02</v>
      </c>
      <c r="N153" s="2">
        <v>14.88</v>
      </c>
      <c r="O153" s="2">
        <v>3.27</v>
      </c>
      <c r="P153" s="2">
        <v>45.56</v>
      </c>
      <c r="Q153" s="2">
        <v>0.9</v>
      </c>
      <c r="R153" s="2">
        <v>1.61</v>
      </c>
      <c r="S153" s="2">
        <v>1.41</v>
      </c>
      <c r="T153" s="2">
        <v>34.79</v>
      </c>
      <c r="U153" s="2">
        <v>4</v>
      </c>
      <c r="V153" s="2">
        <v>25.44</v>
      </c>
      <c r="W153" s="2">
        <v>4.88</v>
      </c>
      <c r="X153" s="2">
        <v>2.37</v>
      </c>
      <c r="Y153" s="2">
        <v>1.1200000000000001</v>
      </c>
      <c r="Z153" s="2">
        <v>0</v>
      </c>
      <c r="AA153" s="2">
        <v>0</v>
      </c>
      <c r="AB153" s="2">
        <v>0.16</v>
      </c>
      <c r="AC153" s="2">
        <v>2.5099999999999998</v>
      </c>
      <c r="AD153" s="2">
        <v>5.63</v>
      </c>
      <c r="AE153" s="2">
        <v>9.6</v>
      </c>
      <c r="AF153" s="2">
        <v>94.61</v>
      </c>
      <c r="AG153" s="2">
        <v>17.690000000000001</v>
      </c>
    </row>
    <row r="154" spans="1:33" x14ac:dyDescent="0.2">
      <c r="A154" s="3">
        <v>12600</v>
      </c>
      <c r="B154" s="2">
        <v>-4.4400000000000004</v>
      </c>
      <c r="C154" s="2">
        <v>8.34</v>
      </c>
      <c r="D154" s="2">
        <v>-11.63</v>
      </c>
      <c r="E154" s="2">
        <v>-46.24</v>
      </c>
      <c r="F154" s="2">
        <v>-14.04</v>
      </c>
      <c r="G154" s="2">
        <v>-8.49</v>
      </c>
      <c r="H154" s="2">
        <v>2.92</v>
      </c>
      <c r="I154" s="2">
        <v>12.06</v>
      </c>
      <c r="J154" s="2">
        <v>-3.55</v>
      </c>
      <c r="K154" s="2">
        <v>-3.27</v>
      </c>
      <c r="L154" s="2">
        <v>-1.45</v>
      </c>
      <c r="M154" s="2">
        <v>-4.1900000000000004</v>
      </c>
      <c r="N154" s="2">
        <v>5.87</v>
      </c>
      <c r="O154" s="2">
        <v>20.239999999999998</v>
      </c>
      <c r="P154" s="2">
        <v>46.67</v>
      </c>
      <c r="Q154" s="2">
        <v>1.24</v>
      </c>
      <c r="R154" s="2">
        <v>-2.1</v>
      </c>
      <c r="S154" s="2">
        <v>11.78</v>
      </c>
      <c r="T154" s="2">
        <v>43.96</v>
      </c>
      <c r="U154" s="2">
        <v>3.42</v>
      </c>
      <c r="V154" s="2">
        <v>27.89</v>
      </c>
      <c r="W154" s="2">
        <v>18.62</v>
      </c>
      <c r="X154" s="2">
        <v>7.18</v>
      </c>
      <c r="Y154" s="2">
        <v>6.63</v>
      </c>
      <c r="Z154" s="2">
        <v>0.19</v>
      </c>
      <c r="AA154" s="2">
        <v>0</v>
      </c>
      <c r="AB154" s="2">
        <v>0</v>
      </c>
      <c r="AC154" s="2">
        <v>0.56999999999999995</v>
      </c>
      <c r="AD154" s="2">
        <v>5.4</v>
      </c>
      <c r="AE154" s="2">
        <v>4.0999999999999996</v>
      </c>
      <c r="AF154" s="2">
        <v>103.54</v>
      </c>
      <c r="AG154" s="2">
        <v>22.83</v>
      </c>
    </row>
    <row r="155" spans="1:33" x14ac:dyDescent="0.2">
      <c r="A155" s="3">
        <v>12631</v>
      </c>
      <c r="B155" s="2">
        <v>-5.08</v>
      </c>
      <c r="C155" s="2">
        <v>8.39</v>
      </c>
      <c r="D155" s="2">
        <v>-9.77</v>
      </c>
      <c r="E155" s="2">
        <v>-37.47</v>
      </c>
      <c r="F155" s="2">
        <v>-6.5</v>
      </c>
      <c r="G155" s="2">
        <v>-2.73</v>
      </c>
      <c r="H155" s="2">
        <v>7.67</v>
      </c>
      <c r="I155" s="2">
        <v>15.21</v>
      </c>
      <c r="J155" s="2">
        <v>-0.64</v>
      </c>
      <c r="K155" s="2">
        <v>12.34</v>
      </c>
      <c r="L155" s="2">
        <v>-1.93</v>
      </c>
      <c r="M155" s="2">
        <v>-1.28</v>
      </c>
      <c r="N155" s="2">
        <v>13.45</v>
      </c>
      <c r="O155" s="2">
        <v>41.25</v>
      </c>
      <c r="P155" s="2">
        <v>76.16</v>
      </c>
      <c r="Q155" s="2">
        <v>1.48</v>
      </c>
      <c r="R155" s="2">
        <v>-2.87</v>
      </c>
      <c r="S155" s="2">
        <v>17.47</v>
      </c>
      <c r="T155" s="2">
        <v>41.01</v>
      </c>
      <c r="U155" s="2">
        <v>7.28</v>
      </c>
      <c r="V155" s="2">
        <v>34.869999999999997</v>
      </c>
      <c r="W155" s="2">
        <v>30.39</v>
      </c>
      <c r="X155" s="2">
        <v>11.87</v>
      </c>
      <c r="Y155" s="2">
        <v>11.69</v>
      </c>
      <c r="Z155" s="2">
        <v>0</v>
      </c>
      <c r="AA155" s="2">
        <v>0</v>
      </c>
      <c r="AB155" s="2">
        <v>3.43</v>
      </c>
      <c r="AC155" s="2">
        <v>0</v>
      </c>
      <c r="AD155" s="2">
        <v>5.38</v>
      </c>
      <c r="AE155" s="2">
        <v>0</v>
      </c>
      <c r="AF155" s="2">
        <v>112.76</v>
      </c>
      <c r="AG155" s="2">
        <v>24.8</v>
      </c>
    </row>
    <row r="156" spans="1:33" x14ac:dyDescent="0.2">
      <c r="A156" s="3">
        <v>12662</v>
      </c>
      <c r="B156" s="2">
        <v>-5.42</v>
      </c>
      <c r="C156" s="2">
        <v>8.48</v>
      </c>
      <c r="D156" s="2">
        <v>-7.51</v>
      </c>
      <c r="E156" s="2">
        <v>-29.34</v>
      </c>
      <c r="F156" s="2">
        <v>-0.76</v>
      </c>
      <c r="G156" s="2">
        <v>3.8</v>
      </c>
      <c r="H156" s="2">
        <v>10.14</v>
      </c>
      <c r="I156" s="2">
        <v>15.26</v>
      </c>
      <c r="J156" s="2">
        <v>3.36</v>
      </c>
      <c r="K156" s="2">
        <v>12.44</v>
      </c>
      <c r="L156" s="2">
        <v>-3.83</v>
      </c>
      <c r="M156" s="2">
        <v>-7.26</v>
      </c>
      <c r="N156" s="2">
        <v>10.19</v>
      </c>
      <c r="O156" s="2">
        <v>32.159999999999997</v>
      </c>
      <c r="P156" s="2">
        <v>69.209999999999994</v>
      </c>
      <c r="Q156" s="2">
        <v>-0.14000000000000001</v>
      </c>
      <c r="R156" s="2">
        <v>-2.02</v>
      </c>
      <c r="S156" s="2">
        <v>14.79</v>
      </c>
      <c r="T156" s="2">
        <v>37.979999999999997</v>
      </c>
      <c r="U156" s="2">
        <v>5.98</v>
      </c>
      <c r="V156" s="2">
        <v>33.93</v>
      </c>
      <c r="W156" s="2">
        <v>31.47</v>
      </c>
      <c r="X156" s="2">
        <v>14.08</v>
      </c>
      <c r="Y156" s="2">
        <v>14.03</v>
      </c>
      <c r="Z156" s="2">
        <v>0.24</v>
      </c>
      <c r="AA156" s="2">
        <v>0.72</v>
      </c>
      <c r="AB156" s="2">
        <v>1.1100000000000001</v>
      </c>
      <c r="AC156" s="2">
        <v>7.11</v>
      </c>
      <c r="AD156" s="2">
        <v>5.34</v>
      </c>
      <c r="AE156" s="2">
        <v>0</v>
      </c>
      <c r="AF156" s="2">
        <v>114.68</v>
      </c>
      <c r="AG156" s="2">
        <v>23.65</v>
      </c>
    </row>
    <row r="157" spans="1:33" x14ac:dyDescent="0.2">
      <c r="A157" s="3">
        <v>12692</v>
      </c>
      <c r="B157" s="2">
        <v>-5.46</v>
      </c>
      <c r="C157" s="2">
        <v>9.1</v>
      </c>
      <c r="D157" s="2">
        <v>-7.12</v>
      </c>
      <c r="E157" s="2">
        <v>-15.03</v>
      </c>
      <c r="F157" s="2">
        <v>5.1100000000000003</v>
      </c>
      <c r="G157" s="2">
        <v>11.48</v>
      </c>
      <c r="H157" s="2">
        <v>14.53</v>
      </c>
      <c r="I157" s="2">
        <v>18.38</v>
      </c>
      <c r="J157" s="2">
        <v>14.71</v>
      </c>
      <c r="K157" s="2">
        <v>-6.39</v>
      </c>
      <c r="L157" s="2">
        <v>-2.85</v>
      </c>
      <c r="M157" s="2">
        <v>-7.95</v>
      </c>
      <c r="N157" s="2">
        <v>9.25</v>
      </c>
      <c r="O157" s="2">
        <v>-4.46</v>
      </c>
      <c r="P157" s="2">
        <v>36.619999999999997</v>
      </c>
      <c r="Q157" s="2">
        <v>1.62</v>
      </c>
      <c r="R157" s="2">
        <v>1.76</v>
      </c>
      <c r="S157" s="2">
        <v>-3.79</v>
      </c>
      <c r="T157" s="2">
        <v>23.91</v>
      </c>
      <c r="U157" s="2">
        <v>3.36</v>
      </c>
      <c r="V157" s="2">
        <v>11.85</v>
      </c>
      <c r="W157" s="2">
        <v>26.1</v>
      </c>
      <c r="X157" s="2">
        <v>13.5</v>
      </c>
      <c r="Y157" s="2">
        <v>13.23</v>
      </c>
      <c r="Z157" s="2">
        <v>0</v>
      </c>
      <c r="AA157" s="2">
        <v>0</v>
      </c>
      <c r="AB157" s="2">
        <v>0</v>
      </c>
      <c r="AC157" s="2">
        <v>0</v>
      </c>
      <c r="AD157" s="2">
        <v>4.84</v>
      </c>
      <c r="AE157" s="2">
        <v>4.01</v>
      </c>
      <c r="AF157" s="2">
        <v>106.81</v>
      </c>
      <c r="AG157" s="2">
        <v>20.170000000000002</v>
      </c>
    </row>
    <row r="158" spans="1:33" x14ac:dyDescent="0.2">
      <c r="A158" s="3">
        <v>12723</v>
      </c>
      <c r="B158" s="2">
        <v>-3.83</v>
      </c>
      <c r="C158" s="2">
        <v>9.61</v>
      </c>
      <c r="D158" s="2">
        <v>-4.04</v>
      </c>
      <c r="E158" s="2">
        <v>4.93</v>
      </c>
      <c r="F158" s="2">
        <v>2.02</v>
      </c>
      <c r="G158" s="2">
        <v>15.84</v>
      </c>
      <c r="H158" s="2">
        <v>15.03</v>
      </c>
      <c r="I158" s="2">
        <v>19.850000000000001</v>
      </c>
      <c r="J158" s="2">
        <v>14.66</v>
      </c>
      <c r="K158" s="2">
        <v>-0.76</v>
      </c>
      <c r="L158" s="2">
        <v>4.93</v>
      </c>
      <c r="M158" s="2">
        <v>1.29</v>
      </c>
      <c r="N158" s="2">
        <v>8.24</v>
      </c>
      <c r="O158" s="2">
        <v>-1.1299999999999999</v>
      </c>
      <c r="P158" s="2">
        <v>35.799999999999997</v>
      </c>
      <c r="Q158" s="2">
        <v>1</v>
      </c>
      <c r="R158" s="2">
        <v>0.06</v>
      </c>
      <c r="S158" s="2">
        <v>-6.48</v>
      </c>
      <c r="T158" s="2">
        <v>23.04</v>
      </c>
      <c r="U158" s="2">
        <v>1.79</v>
      </c>
      <c r="V158" s="2">
        <v>10.33</v>
      </c>
      <c r="W158" s="2">
        <v>22.19</v>
      </c>
      <c r="X158" s="2">
        <v>12.64</v>
      </c>
      <c r="Y158" s="2">
        <v>12.35</v>
      </c>
      <c r="Z158" s="2">
        <v>4.4000000000000004</v>
      </c>
      <c r="AA158" s="2">
        <v>0.43</v>
      </c>
      <c r="AB158" s="2">
        <v>2.6</v>
      </c>
      <c r="AC158" s="2">
        <v>1.58</v>
      </c>
      <c r="AD158" s="2">
        <v>3.99</v>
      </c>
      <c r="AE158" s="2">
        <v>5.13</v>
      </c>
      <c r="AF158" s="2">
        <v>96.89</v>
      </c>
      <c r="AG158" s="2">
        <v>16.420000000000002</v>
      </c>
    </row>
    <row r="159" spans="1:33" x14ac:dyDescent="0.2">
      <c r="A159" s="3">
        <v>12753</v>
      </c>
      <c r="B159" s="2">
        <v>-7.0000000000000007E-2</v>
      </c>
      <c r="C159" s="2">
        <v>20.45</v>
      </c>
      <c r="D159" s="2">
        <v>13.81</v>
      </c>
      <c r="E159" s="2">
        <v>64.040000000000006</v>
      </c>
      <c r="F159" s="2">
        <v>26.93</v>
      </c>
      <c r="G159" s="2">
        <v>42.27</v>
      </c>
      <c r="H159" s="2">
        <v>21.63</v>
      </c>
      <c r="I159" s="2">
        <v>22.63</v>
      </c>
      <c r="J159" s="2">
        <v>26.35</v>
      </c>
      <c r="K159" s="2">
        <v>12.24</v>
      </c>
      <c r="L159" s="2">
        <v>13.89</v>
      </c>
      <c r="M159" s="2">
        <v>3.57</v>
      </c>
      <c r="N159" s="2">
        <v>15.74</v>
      </c>
      <c r="O159" s="2">
        <v>-2.1</v>
      </c>
      <c r="P159" s="2">
        <v>45.16</v>
      </c>
      <c r="Q159" s="2">
        <v>2.2000000000000002</v>
      </c>
      <c r="R159" s="2">
        <v>0.98</v>
      </c>
      <c r="S159" s="2">
        <v>16.46</v>
      </c>
      <c r="T159" s="2">
        <v>26.07</v>
      </c>
      <c r="U159" s="2">
        <v>4.6399999999999997</v>
      </c>
      <c r="V159" s="2">
        <v>11.28</v>
      </c>
      <c r="W159" s="2">
        <v>15.43</v>
      </c>
      <c r="X159" s="2">
        <v>8.2200000000000006</v>
      </c>
      <c r="Y159" s="2">
        <v>6.91</v>
      </c>
      <c r="Z159" s="2">
        <v>12.01</v>
      </c>
      <c r="AA159" s="2">
        <v>0</v>
      </c>
      <c r="AB159" s="2">
        <v>1.49</v>
      </c>
      <c r="AC159" s="2">
        <v>9.98</v>
      </c>
      <c r="AD159" s="2">
        <v>3.04</v>
      </c>
      <c r="AE159" s="2">
        <v>23.21</v>
      </c>
      <c r="AF159" s="2">
        <v>63.57</v>
      </c>
      <c r="AG159" s="2">
        <v>12.92</v>
      </c>
    </row>
    <row r="160" spans="1:33" x14ac:dyDescent="0.2">
      <c r="A160" s="3">
        <v>12784</v>
      </c>
      <c r="B160" s="2">
        <v>0.04</v>
      </c>
      <c r="C160" s="2">
        <v>12.59</v>
      </c>
      <c r="D160" s="2">
        <v>-3.09</v>
      </c>
      <c r="E160" s="2">
        <v>9.75</v>
      </c>
      <c r="F160" s="2">
        <v>2.2200000000000002</v>
      </c>
      <c r="G160" s="2">
        <v>23.85</v>
      </c>
      <c r="H160" s="2">
        <v>9.98</v>
      </c>
      <c r="I160" s="2">
        <v>18.39</v>
      </c>
      <c r="J160" s="2">
        <v>27.03</v>
      </c>
      <c r="K160" s="2">
        <v>12.6</v>
      </c>
      <c r="L160" s="2">
        <v>13.7</v>
      </c>
      <c r="M160" s="2">
        <v>7.88</v>
      </c>
      <c r="N160" s="2">
        <v>26.48</v>
      </c>
      <c r="O160" s="2">
        <v>-2.29</v>
      </c>
      <c r="P160" s="2">
        <v>40.68</v>
      </c>
      <c r="Q160" s="2">
        <v>2.46</v>
      </c>
      <c r="R160" s="2">
        <v>1.68</v>
      </c>
      <c r="S160" s="2">
        <v>12.59</v>
      </c>
      <c r="T160" s="2">
        <v>25.17</v>
      </c>
      <c r="U160" s="2">
        <v>3.79</v>
      </c>
      <c r="V160" s="2">
        <v>11.18</v>
      </c>
      <c r="W160" s="2">
        <v>11.73</v>
      </c>
      <c r="X160" s="2">
        <v>6.33</v>
      </c>
      <c r="Y160" s="2">
        <v>6.23</v>
      </c>
      <c r="Z160" s="2">
        <v>7.8</v>
      </c>
      <c r="AA160" s="2">
        <v>3.58</v>
      </c>
      <c r="AB160" s="2">
        <v>2.98</v>
      </c>
      <c r="AC160" s="2">
        <v>0</v>
      </c>
      <c r="AD160" s="2">
        <v>3.07</v>
      </c>
      <c r="AE160" s="2">
        <v>30.76</v>
      </c>
      <c r="AF160" s="2">
        <v>58.4</v>
      </c>
      <c r="AG160" s="2">
        <v>11.2</v>
      </c>
    </row>
    <row r="161" spans="1:33" x14ac:dyDescent="0.2">
      <c r="A161" s="3">
        <v>12815</v>
      </c>
      <c r="B161" s="2">
        <v>5.61</v>
      </c>
      <c r="C161" s="2">
        <v>24.62</v>
      </c>
      <c r="D161" s="2">
        <v>36.799999999999997</v>
      </c>
      <c r="E161" s="2">
        <v>83.46</v>
      </c>
      <c r="F161" s="2">
        <v>53.79</v>
      </c>
      <c r="G161" s="2">
        <v>153.26</v>
      </c>
      <c r="H161" s="2">
        <v>28.01</v>
      </c>
      <c r="I161" s="2">
        <v>29.24</v>
      </c>
      <c r="J161" s="2">
        <v>82.73</v>
      </c>
      <c r="K161" s="2">
        <v>41.06</v>
      </c>
      <c r="L161" s="2">
        <v>15.85</v>
      </c>
      <c r="M161" s="2">
        <v>20.76</v>
      </c>
      <c r="N161" s="2">
        <v>73.959999999999994</v>
      </c>
      <c r="O161" s="2">
        <v>-2.0699999999999998</v>
      </c>
      <c r="P161" s="2">
        <v>58.82</v>
      </c>
      <c r="Q161" s="2">
        <v>4.13</v>
      </c>
      <c r="R161" s="2">
        <v>5.85</v>
      </c>
      <c r="S161" s="2">
        <v>28.14</v>
      </c>
      <c r="T161" s="2">
        <v>37.020000000000003</v>
      </c>
      <c r="U161" s="2">
        <v>5.24</v>
      </c>
      <c r="V161" s="2">
        <v>11.23</v>
      </c>
      <c r="W161" s="2">
        <v>4.26</v>
      </c>
      <c r="X161" s="2">
        <v>10.15</v>
      </c>
      <c r="Y161" s="2">
        <v>8.89</v>
      </c>
      <c r="Z161" s="2">
        <v>11.1</v>
      </c>
      <c r="AA161" s="2">
        <v>8.4600000000000009</v>
      </c>
      <c r="AB161" s="2">
        <v>4.58</v>
      </c>
      <c r="AC161" s="2">
        <v>15.14</v>
      </c>
      <c r="AD161" s="2">
        <v>3.08</v>
      </c>
      <c r="AE161" s="2">
        <v>35.14</v>
      </c>
      <c r="AF161" s="2">
        <v>69.56</v>
      </c>
      <c r="AG161" s="2">
        <v>9.8800000000000008</v>
      </c>
    </row>
    <row r="162" spans="1:33" x14ac:dyDescent="0.2">
      <c r="A162" s="3">
        <v>12843</v>
      </c>
      <c r="B162" s="2">
        <v>6.94</v>
      </c>
      <c r="C162" s="2">
        <v>25.96</v>
      </c>
      <c r="D162" s="2">
        <v>-0.72</v>
      </c>
      <c r="E162" s="2">
        <v>6.71</v>
      </c>
      <c r="F162" s="2">
        <v>-7.9</v>
      </c>
      <c r="G162" s="2">
        <v>5.78</v>
      </c>
      <c r="H162" s="2">
        <v>13.25</v>
      </c>
      <c r="I162" s="2">
        <v>21.33</v>
      </c>
      <c r="J162" s="2">
        <v>12.97</v>
      </c>
      <c r="K162" s="2">
        <v>-10.4</v>
      </c>
      <c r="L162" s="2">
        <v>-6.73</v>
      </c>
      <c r="M162" s="2">
        <v>-8.82</v>
      </c>
      <c r="N162" s="2">
        <v>21.96</v>
      </c>
      <c r="O162" s="2">
        <v>-2.5</v>
      </c>
      <c r="P162" s="2">
        <v>28.39</v>
      </c>
      <c r="Q162" s="2">
        <v>4.43</v>
      </c>
      <c r="R162" s="2">
        <v>8.17</v>
      </c>
      <c r="S162" s="2">
        <v>13.49</v>
      </c>
      <c r="T162" s="2">
        <v>22.88</v>
      </c>
      <c r="U162" s="2">
        <v>5.56</v>
      </c>
      <c r="V162" s="2">
        <v>10.24</v>
      </c>
      <c r="W162" s="2">
        <v>0</v>
      </c>
      <c r="X162" s="2">
        <v>3.6</v>
      </c>
      <c r="Y162" s="2">
        <v>3.77</v>
      </c>
      <c r="Z162" s="2">
        <v>4.12</v>
      </c>
      <c r="AA162" s="2">
        <v>18.64</v>
      </c>
      <c r="AB162" s="2">
        <v>3.42</v>
      </c>
      <c r="AC162" s="2">
        <v>4.95</v>
      </c>
      <c r="AD162" s="2">
        <v>3.52</v>
      </c>
      <c r="AE162" s="2">
        <v>4.29</v>
      </c>
      <c r="AF162" s="2">
        <v>57.98</v>
      </c>
      <c r="AG162" s="2">
        <v>10.08</v>
      </c>
    </row>
    <row r="163" spans="1:33" x14ac:dyDescent="0.2">
      <c r="A163" s="3">
        <v>12874</v>
      </c>
      <c r="B163" s="2">
        <v>7.34</v>
      </c>
      <c r="C163" s="2">
        <v>26.17</v>
      </c>
      <c r="D163" s="2">
        <v>8.61</v>
      </c>
      <c r="E163" s="2">
        <v>31.08</v>
      </c>
      <c r="F163" s="2">
        <v>39.08</v>
      </c>
      <c r="G163" s="2">
        <v>90.54</v>
      </c>
      <c r="H163" s="2">
        <v>18.010000000000002</v>
      </c>
      <c r="I163" s="2">
        <v>25.44</v>
      </c>
      <c r="J163" s="2">
        <v>35.78</v>
      </c>
      <c r="K163" s="2">
        <v>26.96</v>
      </c>
      <c r="L163" s="2">
        <v>-0.18</v>
      </c>
      <c r="M163" s="2">
        <v>12.62</v>
      </c>
      <c r="N163" s="2">
        <v>50.41</v>
      </c>
      <c r="O163" s="2">
        <v>-0.96</v>
      </c>
      <c r="P163" s="2">
        <v>56.91</v>
      </c>
      <c r="Q163" s="2">
        <v>8.4700000000000006</v>
      </c>
      <c r="R163" s="2">
        <v>7.61</v>
      </c>
      <c r="S163" s="2">
        <v>27.44</v>
      </c>
      <c r="T163" s="2">
        <v>25.39</v>
      </c>
      <c r="U163" s="2">
        <v>5.15</v>
      </c>
      <c r="V163" s="2">
        <v>18.920000000000002</v>
      </c>
      <c r="W163" s="2">
        <v>0</v>
      </c>
      <c r="X163" s="2">
        <v>4.54</v>
      </c>
      <c r="Y163" s="2">
        <v>3.63</v>
      </c>
      <c r="Z163" s="2">
        <v>8.42</v>
      </c>
      <c r="AA163" s="2">
        <v>2.72</v>
      </c>
      <c r="AB163" s="2">
        <v>1.93</v>
      </c>
      <c r="AC163" s="2">
        <v>1.44</v>
      </c>
      <c r="AD163" s="2">
        <v>5.17</v>
      </c>
      <c r="AE163" s="2">
        <v>31.23</v>
      </c>
      <c r="AF163" s="2">
        <v>68.42</v>
      </c>
      <c r="AG163" s="2">
        <v>10.69</v>
      </c>
    </row>
    <row r="164" spans="1:33" x14ac:dyDescent="0.2">
      <c r="A164" s="3">
        <v>12904</v>
      </c>
      <c r="B164" s="2">
        <v>11.64</v>
      </c>
      <c r="C164" s="2">
        <v>28.53</v>
      </c>
      <c r="D164" s="2">
        <v>10.98</v>
      </c>
      <c r="E164" s="2">
        <v>88.79</v>
      </c>
      <c r="F164" s="2">
        <v>152.44999999999999</v>
      </c>
      <c r="G164" s="2">
        <v>58.63</v>
      </c>
      <c r="H164" s="2">
        <v>24.59</v>
      </c>
      <c r="I164" s="2">
        <v>33.43</v>
      </c>
      <c r="J164" s="2">
        <v>91.17</v>
      </c>
      <c r="K164" s="2">
        <v>66.790000000000006</v>
      </c>
      <c r="L164" s="2">
        <v>116.99</v>
      </c>
      <c r="M164" s="2">
        <v>69.540000000000006</v>
      </c>
      <c r="N164" s="2">
        <v>86.51</v>
      </c>
      <c r="O164" s="2">
        <v>3.38</v>
      </c>
      <c r="P164" s="2">
        <v>89.83</v>
      </c>
      <c r="Q164" s="2">
        <v>14.34</v>
      </c>
      <c r="R164" s="2">
        <v>13.91</v>
      </c>
      <c r="S164" s="2">
        <v>55.45</v>
      </c>
      <c r="T164" s="2">
        <v>22.67</v>
      </c>
      <c r="U164" s="2">
        <v>7.77</v>
      </c>
      <c r="V164" s="2">
        <v>26.41</v>
      </c>
      <c r="W164" s="2">
        <v>0</v>
      </c>
      <c r="X164" s="2">
        <v>5.53</v>
      </c>
      <c r="Y164" s="2">
        <v>4.9400000000000004</v>
      </c>
      <c r="Z164" s="2">
        <v>2.68</v>
      </c>
      <c r="AA164" s="2">
        <v>0</v>
      </c>
      <c r="AB164" s="2">
        <v>3.31</v>
      </c>
      <c r="AC164" s="2">
        <v>0</v>
      </c>
      <c r="AD164" s="2">
        <v>6.09</v>
      </c>
      <c r="AE164" s="2">
        <v>28.25</v>
      </c>
      <c r="AF164" s="2">
        <v>84.67</v>
      </c>
      <c r="AG164" s="2">
        <v>14.64</v>
      </c>
    </row>
    <row r="165" spans="1:33" x14ac:dyDescent="0.2">
      <c r="A165" s="3">
        <v>12935</v>
      </c>
      <c r="B165" s="2">
        <v>2.11</v>
      </c>
      <c r="C165" s="2">
        <v>14.15</v>
      </c>
      <c r="D165" s="2">
        <v>-17.88</v>
      </c>
      <c r="E165" s="2">
        <v>-63.46</v>
      </c>
      <c r="F165" s="2">
        <v>-68.03</v>
      </c>
      <c r="G165" s="2">
        <v>-52.6</v>
      </c>
      <c r="H165" s="2">
        <v>13.9</v>
      </c>
      <c r="I165" s="2">
        <v>24.32</v>
      </c>
      <c r="J165" s="2">
        <v>23.1</v>
      </c>
      <c r="K165" s="2">
        <v>9.74</v>
      </c>
      <c r="L165" s="2">
        <v>44.16</v>
      </c>
      <c r="M165" s="2">
        <v>13.5</v>
      </c>
      <c r="N165" s="2">
        <v>43.72</v>
      </c>
      <c r="O165" s="2">
        <v>10.89</v>
      </c>
      <c r="P165" s="2">
        <v>59.3</v>
      </c>
      <c r="Q165" s="2">
        <v>15.24</v>
      </c>
      <c r="R165" s="2">
        <v>18.91</v>
      </c>
      <c r="S165" s="2">
        <v>13.3</v>
      </c>
      <c r="T165" s="2">
        <v>32.19</v>
      </c>
      <c r="U165" s="2">
        <v>5.37</v>
      </c>
      <c r="V165" s="2">
        <v>26.58</v>
      </c>
      <c r="W165" s="2">
        <v>4.88</v>
      </c>
      <c r="X165" s="2">
        <v>8.6</v>
      </c>
      <c r="Y165" s="2">
        <v>7.33</v>
      </c>
      <c r="Z165" s="2">
        <v>0</v>
      </c>
      <c r="AA165" s="2">
        <v>3.73</v>
      </c>
      <c r="AB165" s="2">
        <v>0</v>
      </c>
      <c r="AC165" s="2">
        <v>0</v>
      </c>
      <c r="AD165" s="2">
        <v>6.46</v>
      </c>
      <c r="AE165" s="2">
        <v>0</v>
      </c>
      <c r="AF165" s="2">
        <v>95.62</v>
      </c>
      <c r="AG165" s="2">
        <v>17.690000000000001</v>
      </c>
    </row>
    <row r="166" spans="1:33" x14ac:dyDescent="0.2">
      <c r="A166" s="3">
        <v>12965</v>
      </c>
      <c r="B166" s="2">
        <v>-3.12</v>
      </c>
      <c r="C166" s="2">
        <v>8.27</v>
      </c>
      <c r="D166" s="2">
        <v>-20.85</v>
      </c>
      <c r="E166" s="2">
        <v>-86.01</v>
      </c>
      <c r="F166" s="2">
        <v>-77.81</v>
      </c>
      <c r="G166" s="2">
        <v>-43.3</v>
      </c>
      <c r="H166" s="2">
        <v>-4.37</v>
      </c>
      <c r="I166" s="2">
        <v>19.07</v>
      </c>
      <c r="J166" s="2">
        <v>-5.8</v>
      </c>
      <c r="K166" s="2">
        <v>-3.11</v>
      </c>
      <c r="L166" s="2">
        <v>0.86</v>
      </c>
      <c r="M166" s="2">
        <v>10.32</v>
      </c>
      <c r="N166" s="2">
        <v>31.85</v>
      </c>
      <c r="O166" s="2">
        <v>16.64</v>
      </c>
      <c r="P166" s="2">
        <v>58.43</v>
      </c>
      <c r="Q166" s="2">
        <v>14.7</v>
      </c>
      <c r="R166" s="2">
        <v>15.95</v>
      </c>
      <c r="S166" s="2">
        <v>17.93</v>
      </c>
      <c r="T166" s="2">
        <v>36.549999999999997</v>
      </c>
      <c r="U166" s="2">
        <v>6.16</v>
      </c>
      <c r="V166" s="2">
        <v>31.49</v>
      </c>
      <c r="W166" s="2">
        <v>18.62</v>
      </c>
      <c r="X166" s="2">
        <v>13.99</v>
      </c>
      <c r="Y166" s="2">
        <v>13.45</v>
      </c>
      <c r="Z166" s="2">
        <v>0</v>
      </c>
      <c r="AA166" s="2">
        <v>0</v>
      </c>
      <c r="AB166" s="2">
        <v>0</v>
      </c>
      <c r="AC166" s="2">
        <v>0.28999999999999998</v>
      </c>
      <c r="AD166" s="2">
        <v>6.8</v>
      </c>
      <c r="AE166" s="2">
        <v>0</v>
      </c>
      <c r="AF166" s="2">
        <v>104.64</v>
      </c>
      <c r="AG166" s="2">
        <v>22.83</v>
      </c>
    </row>
    <row r="167" spans="1:33" x14ac:dyDescent="0.2">
      <c r="A167" s="3">
        <v>12996</v>
      </c>
      <c r="B167" s="2">
        <v>-3.64</v>
      </c>
      <c r="C167" s="2">
        <v>8.91</v>
      </c>
      <c r="D167" s="2">
        <v>-16.14</v>
      </c>
      <c r="E167" s="2">
        <v>-71.34</v>
      </c>
      <c r="F167" s="2">
        <v>-45.23</v>
      </c>
      <c r="G167" s="2">
        <v>-33.43</v>
      </c>
      <c r="H167" s="2">
        <v>-3.8</v>
      </c>
      <c r="I167" s="2">
        <v>11.64</v>
      </c>
      <c r="J167" s="2">
        <v>-45.68</v>
      </c>
      <c r="K167" s="2">
        <v>-58.28</v>
      </c>
      <c r="L167" s="2">
        <v>-79.319999999999993</v>
      </c>
      <c r="M167" s="2">
        <v>-48.62</v>
      </c>
      <c r="N167" s="2">
        <v>-6.44</v>
      </c>
      <c r="O167" s="2">
        <v>24.5</v>
      </c>
      <c r="P167" s="2">
        <v>30.72</v>
      </c>
      <c r="Q167" s="2">
        <v>4.28</v>
      </c>
      <c r="R167" s="2">
        <v>32.49</v>
      </c>
      <c r="S167" s="2">
        <v>10.18</v>
      </c>
      <c r="T167" s="2">
        <v>36.700000000000003</v>
      </c>
      <c r="U167" s="2">
        <v>0.41</v>
      </c>
      <c r="V167" s="2">
        <v>27.91</v>
      </c>
      <c r="W167" s="2">
        <v>30.39</v>
      </c>
      <c r="X167" s="2">
        <v>19.27</v>
      </c>
      <c r="Y167" s="2">
        <v>19.079999999999998</v>
      </c>
      <c r="Z167" s="2">
        <v>0</v>
      </c>
      <c r="AA167" s="2">
        <v>0</v>
      </c>
      <c r="AB167" s="2">
        <v>0.28000000000000003</v>
      </c>
      <c r="AC167" s="2">
        <v>0</v>
      </c>
      <c r="AD167" s="2">
        <v>5.86</v>
      </c>
      <c r="AE167" s="2">
        <v>0</v>
      </c>
      <c r="AF167" s="2">
        <v>113.96</v>
      </c>
      <c r="AG167" s="2">
        <v>24.8</v>
      </c>
    </row>
    <row r="168" spans="1:33" x14ac:dyDescent="0.2">
      <c r="A168" s="3">
        <v>13027</v>
      </c>
      <c r="B168" s="2">
        <v>-3.67</v>
      </c>
      <c r="C168" s="2">
        <v>9.89</v>
      </c>
      <c r="D168" s="2">
        <v>-10.08</v>
      </c>
      <c r="E168" s="2">
        <v>-48.11</v>
      </c>
      <c r="F168" s="2">
        <v>-14.59</v>
      </c>
      <c r="G168" s="2">
        <v>-14.61</v>
      </c>
      <c r="H168" s="2">
        <v>4.9400000000000004</v>
      </c>
      <c r="I168" s="2">
        <v>14.02</v>
      </c>
      <c r="J168" s="2">
        <v>-25.88</v>
      </c>
      <c r="K168" s="2">
        <v>-30.3</v>
      </c>
      <c r="L168" s="2">
        <v>-40.36</v>
      </c>
      <c r="M168" s="2">
        <v>-25.81</v>
      </c>
      <c r="N168" s="2">
        <v>0.83</v>
      </c>
      <c r="O168" s="2">
        <v>27.2</v>
      </c>
      <c r="P168" s="2">
        <v>37.18</v>
      </c>
      <c r="Q168" s="2">
        <v>5.15</v>
      </c>
      <c r="R168" s="2">
        <v>18.7</v>
      </c>
      <c r="S168" s="2">
        <v>11.96</v>
      </c>
      <c r="T168" s="2">
        <v>35.26</v>
      </c>
      <c r="U168" s="2">
        <v>2.63</v>
      </c>
      <c r="V168" s="2">
        <v>27.27</v>
      </c>
      <c r="W168" s="2">
        <v>31.47</v>
      </c>
      <c r="X168" s="2">
        <v>21.6</v>
      </c>
      <c r="Y168" s="2">
        <v>21.55</v>
      </c>
      <c r="Z168" s="2">
        <v>6.6</v>
      </c>
      <c r="AA168" s="2">
        <v>6.74</v>
      </c>
      <c r="AB168" s="2">
        <v>1.1000000000000001</v>
      </c>
      <c r="AC168" s="2">
        <v>0.36</v>
      </c>
      <c r="AD168" s="2">
        <v>5.57</v>
      </c>
      <c r="AE168" s="2">
        <v>3.26</v>
      </c>
      <c r="AF168" s="2">
        <v>115.89</v>
      </c>
      <c r="AG168" s="2">
        <v>23.65</v>
      </c>
    </row>
    <row r="169" spans="1:33" x14ac:dyDescent="0.2">
      <c r="A169" s="3">
        <v>13057</v>
      </c>
      <c r="B169" s="2">
        <v>-3.66</v>
      </c>
      <c r="C169" s="2">
        <v>10.11</v>
      </c>
      <c r="D169" s="2">
        <v>-7.9</v>
      </c>
      <c r="E169" s="2">
        <v>-26.35</v>
      </c>
      <c r="F169" s="2">
        <v>-8.69</v>
      </c>
      <c r="G169" s="2">
        <v>-0.57999999999999996</v>
      </c>
      <c r="H169" s="2">
        <v>12.1</v>
      </c>
      <c r="I169" s="2">
        <v>18.46</v>
      </c>
      <c r="J169" s="2">
        <v>2.87</v>
      </c>
      <c r="K169" s="2">
        <v>-12.84</v>
      </c>
      <c r="L169" s="2">
        <v>-17.739999999999998</v>
      </c>
      <c r="M169" s="2">
        <v>-9.14</v>
      </c>
      <c r="N169" s="2">
        <v>12.86</v>
      </c>
      <c r="O169" s="2">
        <v>-1.38</v>
      </c>
      <c r="P169" s="2">
        <v>27.91</v>
      </c>
      <c r="Q169" s="2">
        <v>6</v>
      </c>
      <c r="R169" s="2">
        <v>14.71</v>
      </c>
      <c r="S169" s="2">
        <v>1.04</v>
      </c>
      <c r="T169" s="2">
        <v>23.1</v>
      </c>
      <c r="U169" s="2">
        <v>4.4800000000000004</v>
      </c>
      <c r="V169" s="2">
        <v>11.57</v>
      </c>
      <c r="W169" s="2">
        <v>26.1</v>
      </c>
      <c r="X169" s="2">
        <v>20.48</v>
      </c>
      <c r="Y169" s="2">
        <v>20.23</v>
      </c>
      <c r="Z169" s="2">
        <v>0.33</v>
      </c>
      <c r="AA169" s="2">
        <v>0</v>
      </c>
      <c r="AB169" s="2">
        <v>0.61</v>
      </c>
      <c r="AC169" s="2">
        <v>0</v>
      </c>
      <c r="AD169" s="2">
        <v>5.01</v>
      </c>
      <c r="AE169" s="2">
        <v>0</v>
      </c>
      <c r="AF169" s="2">
        <v>107.95</v>
      </c>
      <c r="AG169" s="2">
        <v>20.170000000000002</v>
      </c>
    </row>
    <row r="170" spans="1:33" x14ac:dyDescent="0.2">
      <c r="A170" s="3">
        <v>13088</v>
      </c>
      <c r="B170" s="2">
        <v>-2.27</v>
      </c>
      <c r="C170" s="2">
        <v>10.95</v>
      </c>
      <c r="D170" s="2">
        <v>-5.84</v>
      </c>
      <c r="E170" s="2">
        <v>-3.28</v>
      </c>
      <c r="F170" s="2">
        <v>-3.83</v>
      </c>
      <c r="G170" s="2">
        <v>8.56</v>
      </c>
      <c r="H170" s="2">
        <v>12.42</v>
      </c>
      <c r="I170" s="2">
        <v>20.399999999999999</v>
      </c>
      <c r="J170" s="2">
        <v>9.4600000000000009</v>
      </c>
      <c r="K170" s="2">
        <v>-3.32</v>
      </c>
      <c r="L170" s="2">
        <v>-4.6900000000000004</v>
      </c>
      <c r="M170" s="2">
        <v>-2.61</v>
      </c>
      <c r="N170" s="2">
        <v>10.08</v>
      </c>
      <c r="O170" s="2">
        <v>1.41</v>
      </c>
      <c r="P170" s="2">
        <v>29.32</v>
      </c>
      <c r="Q170" s="2">
        <v>3.44</v>
      </c>
      <c r="R170" s="2">
        <v>8.8000000000000007</v>
      </c>
      <c r="S170" s="2">
        <v>-0.5</v>
      </c>
      <c r="T170" s="2">
        <v>22.91</v>
      </c>
      <c r="U170" s="2">
        <v>2.3199999999999998</v>
      </c>
      <c r="V170" s="2">
        <v>10.52</v>
      </c>
      <c r="W170" s="2">
        <v>22.19</v>
      </c>
      <c r="X170" s="2">
        <v>18.97</v>
      </c>
      <c r="Y170" s="2">
        <v>18.690000000000001</v>
      </c>
      <c r="Z170" s="2">
        <v>0.33</v>
      </c>
      <c r="AA170" s="2">
        <v>0.14000000000000001</v>
      </c>
      <c r="AB170" s="2">
        <v>4.75</v>
      </c>
      <c r="AC170" s="2">
        <v>6.6</v>
      </c>
      <c r="AD170" s="2">
        <v>4.26</v>
      </c>
      <c r="AE170" s="2">
        <v>7.83</v>
      </c>
      <c r="AF170" s="2">
        <v>97.91</v>
      </c>
      <c r="AG170" s="2">
        <v>16.420000000000002</v>
      </c>
    </row>
    <row r="171" spans="1:33" x14ac:dyDescent="0.2">
      <c r="A171" s="3">
        <v>13118</v>
      </c>
      <c r="B171" s="2">
        <v>-0.93</v>
      </c>
      <c r="C171" s="2">
        <v>10.89</v>
      </c>
      <c r="D171" s="2">
        <v>-5.01</v>
      </c>
      <c r="E171" s="2">
        <v>0.48</v>
      </c>
      <c r="F171" s="2">
        <v>-1.95</v>
      </c>
      <c r="G171" s="2">
        <v>8.2799999999999994</v>
      </c>
      <c r="H171" s="2">
        <v>10.119999999999999</v>
      </c>
      <c r="I171" s="2">
        <v>17.52</v>
      </c>
      <c r="J171" s="2">
        <v>13.01</v>
      </c>
      <c r="K171" s="2">
        <v>-7.25</v>
      </c>
      <c r="L171" s="2">
        <v>-4.8099999999999996</v>
      </c>
      <c r="M171" s="2">
        <v>-4.99</v>
      </c>
      <c r="N171" s="2">
        <v>5.75</v>
      </c>
      <c r="O171" s="2">
        <v>-0.65</v>
      </c>
      <c r="P171" s="2">
        <v>25.08</v>
      </c>
      <c r="Q171" s="2">
        <v>3.69</v>
      </c>
      <c r="R171" s="2">
        <v>6.88</v>
      </c>
      <c r="S171" s="2">
        <v>-1.02</v>
      </c>
      <c r="T171" s="2">
        <v>22</v>
      </c>
      <c r="U171" s="2">
        <v>4.54</v>
      </c>
      <c r="V171" s="2">
        <v>11.14</v>
      </c>
      <c r="W171" s="2">
        <v>15.43</v>
      </c>
      <c r="X171" s="2">
        <v>12.47</v>
      </c>
      <c r="Y171" s="2">
        <v>11.16</v>
      </c>
      <c r="Z171" s="2">
        <v>1.53</v>
      </c>
      <c r="AA171" s="2">
        <v>4.59</v>
      </c>
      <c r="AB171" s="2">
        <v>0</v>
      </c>
      <c r="AC171" s="2">
        <v>18.02</v>
      </c>
      <c r="AD171" s="2">
        <v>3.27</v>
      </c>
      <c r="AE171" s="2">
        <v>2.14</v>
      </c>
      <c r="AF171" s="2">
        <v>64.239999999999995</v>
      </c>
      <c r="AG171" s="2">
        <v>12.92</v>
      </c>
    </row>
    <row r="172" spans="1:33" x14ac:dyDescent="0.2">
      <c r="A172" s="3">
        <v>13149</v>
      </c>
      <c r="B172" s="2">
        <v>1</v>
      </c>
      <c r="C172" s="2">
        <v>15.55</v>
      </c>
      <c r="D172" s="2">
        <v>3.85</v>
      </c>
      <c r="E172" s="2">
        <v>32.450000000000003</v>
      </c>
      <c r="F172" s="2">
        <v>11.13</v>
      </c>
      <c r="G172" s="2">
        <v>18.28</v>
      </c>
      <c r="H172" s="2">
        <v>13.72</v>
      </c>
      <c r="I172" s="2">
        <v>19.079999999999998</v>
      </c>
      <c r="J172" s="2">
        <v>16.05</v>
      </c>
      <c r="K172" s="2">
        <v>-2.39</v>
      </c>
      <c r="L172" s="2">
        <v>0.51</v>
      </c>
      <c r="M172" s="2">
        <v>3.63</v>
      </c>
      <c r="N172" s="2">
        <v>4.59</v>
      </c>
      <c r="O172" s="2">
        <v>-1.1100000000000001</v>
      </c>
      <c r="P172" s="2">
        <v>26.48</v>
      </c>
      <c r="Q172" s="2">
        <v>1.49</v>
      </c>
      <c r="R172" s="2">
        <v>4.9400000000000004</v>
      </c>
      <c r="S172" s="2">
        <v>4.88</v>
      </c>
      <c r="T172" s="2">
        <v>20.65</v>
      </c>
      <c r="U172" s="2">
        <v>4.04</v>
      </c>
      <c r="V172" s="2">
        <v>10.14</v>
      </c>
      <c r="W172" s="2">
        <v>11.73</v>
      </c>
      <c r="X172" s="2">
        <v>10.23</v>
      </c>
      <c r="Y172" s="2">
        <v>10.14</v>
      </c>
      <c r="Z172" s="2">
        <v>0.19</v>
      </c>
      <c r="AA172" s="2">
        <v>4.59</v>
      </c>
      <c r="AB172" s="2">
        <v>10.69</v>
      </c>
      <c r="AC172" s="2">
        <v>11.7</v>
      </c>
      <c r="AD172" s="2">
        <v>3.28</v>
      </c>
      <c r="AE172" s="2">
        <v>10.81</v>
      </c>
      <c r="AF172" s="2">
        <v>59.02</v>
      </c>
      <c r="AG172" s="2">
        <v>11.2</v>
      </c>
    </row>
    <row r="173" spans="1:33" x14ac:dyDescent="0.2">
      <c r="A173" s="3">
        <v>13180</v>
      </c>
      <c r="B173" s="2">
        <v>9.64</v>
      </c>
      <c r="C173" s="2">
        <v>25.99</v>
      </c>
      <c r="D173" s="2">
        <v>21.77</v>
      </c>
      <c r="E173" s="2">
        <v>121.67</v>
      </c>
      <c r="F173" s="2">
        <v>122.72</v>
      </c>
      <c r="G173" s="2">
        <v>143.46</v>
      </c>
      <c r="H173" s="2">
        <v>33.200000000000003</v>
      </c>
      <c r="I173" s="2">
        <v>32.85</v>
      </c>
      <c r="J173" s="2">
        <v>65.180000000000007</v>
      </c>
      <c r="K173" s="2">
        <v>9.02</v>
      </c>
      <c r="L173" s="2">
        <v>11.45</v>
      </c>
      <c r="M173" s="2">
        <v>2.95</v>
      </c>
      <c r="N173" s="2">
        <v>14.63</v>
      </c>
      <c r="O173" s="2">
        <v>-1.47</v>
      </c>
      <c r="P173" s="2">
        <v>25.99</v>
      </c>
      <c r="Q173" s="2">
        <v>1.1000000000000001</v>
      </c>
      <c r="R173" s="2">
        <v>4.3499999999999996</v>
      </c>
      <c r="S173" s="2">
        <v>2.76</v>
      </c>
      <c r="T173" s="2">
        <v>23.98</v>
      </c>
      <c r="U173" s="2">
        <v>3.25</v>
      </c>
      <c r="V173" s="2">
        <v>12.2</v>
      </c>
      <c r="W173" s="2">
        <v>4.26</v>
      </c>
      <c r="X173" s="2">
        <v>9.8699999999999992</v>
      </c>
      <c r="Y173" s="2">
        <v>8.58</v>
      </c>
      <c r="Z173" s="2">
        <v>0.19</v>
      </c>
      <c r="AA173" s="2">
        <v>0.28999999999999998</v>
      </c>
      <c r="AB173" s="2">
        <v>0.11</v>
      </c>
      <c r="AC173" s="2">
        <v>16.649999999999999</v>
      </c>
      <c r="AD173" s="2">
        <v>3.31</v>
      </c>
      <c r="AE173" s="2">
        <v>16.41</v>
      </c>
      <c r="AF173" s="2">
        <v>69.56</v>
      </c>
      <c r="AG173" s="2">
        <v>9.8800000000000008</v>
      </c>
    </row>
    <row r="174" spans="1:33" x14ac:dyDescent="0.2">
      <c r="A174" s="3">
        <v>13209</v>
      </c>
      <c r="B174" s="2">
        <v>13.34</v>
      </c>
      <c r="C174" s="2">
        <v>34.65</v>
      </c>
      <c r="D174" s="2">
        <v>43.37</v>
      </c>
      <c r="E174" s="2">
        <v>118.79</v>
      </c>
      <c r="F174" s="2">
        <v>130.18</v>
      </c>
      <c r="G174" s="2">
        <v>200.49</v>
      </c>
      <c r="H174" s="2">
        <v>29.42</v>
      </c>
      <c r="I174" s="2">
        <v>55.63</v>
      </c>
      <c r="J174" s="2">
        <v>167.19</v>
      </c>
      <c r="K174" s="2">
        <v>144.05000000000001</v>
      </c>
      <c r="L174" s="2">
        <v>94.34</v>
      </c>
      <c r="M174" s="2">
        <v>77.8</v>
      </c>
      <c r="N174" s="2">
        <v>188.27</v>
      </c>
      <c r="O174" s="2">
        <v>3.62</v>
      </c>
      <c r="P174" s="2">
        <v>206.89</v>
      </c>
      <c r="Q174" s="2">
        <v>4.6100000000000003</v>
      </c>
      <c r="R174" s="2">
        <v>13.55</v>
      </c>
      <c r="S174" s="2">
        <v>155.4</v>
      </c>
      <c r="T174" s="2">
        <v>74.06</v>
      </c>
      <c r="U174" s="2">
        <v>8.5399999999999991</v>
      </c>
      <c r="V174" s="2">
        <v>25.53</v>
      </c>
      <c r="W174" s="2">
        <v>0</v>
      </c>
      <c r="X174" s="2">
        <v>3.34</v>
      </c>
      <c r="Y174" s="2">
        <v>3.44</v>
      </c>
      <c r="Z174" s="2">
        <v>15.22</v>
      </c>
      <c r="AA174" s="2">
        <v>13.62</v>
      </c>
      <c r="AB174" s="2">
        <v>17.079999999999998</v>
      </c>
      <c r="AC174" s="2">
        <v>6.17</v>
      </c>
      <c r="AD174" s="2">
        <v>4.0999999999999996</v>
      </c>
      <c r="AE174" s="2">
        <v>50.25</v>
      </c>
      <c r="AF174" s="2">
        <v>57.98</v>
      </c>
      <c r="AG174" s="2">
        <v>10.08</v>
      </c>
    </row>
    <row r="175" spans="1:33" x14ac:dyDescent="0.2">
      <c r="A175" s="3">
        <v>13240</v>
      </c>
      <c r="B175" s="2">
        <v>8.3000000000000007</v>
      </c>
      <c r="C175" s="2">
        <v>19.89</v>
      </c>
      <c r="D175" s="2">
        <v>-25.53</v>
      </c>
      <c r="E175" s="2">
        <v>-56.04</v>
      </c>
      <c r="F175" s="2">
        <v>-69.510000000000005</v>
      </c>
      <c r="G175" s="2">
        <v>-83.83</v>
      </c>
      <c r="H175" s="2">
        <v>12.73</v>
      </c>
      <c r="I175" s="2">
        <v>30.36</v>
      </c>
      <c r="J175" s="2">
        <v>-0.43</v>
      </c>
      <c r="K175" s="2">
        <v>-46.01</v>
      </c>
      <c r="L175" s="2">
        <v>11.05</v>
      </c>
      <c r="M175" s="2">
        <v>-13.46</v>
      </c>
      <c r="N175" s="2">
        <v>2.14</v>
      </c>
      <c r="O175" s="2">
        <v>2.34</v>
      </c>
      <c r="P175" s="2">
        <v>25.62</v>
      </c>
      <c r="Q175" s="2">
        <v>6.79</v>
      </c>
      <c r="R175" s="2">
        <v>8.4600000000000009</v>
      </c>
      <c r="S175" s="2">
        <v>11.53</v>
      </c>
      <c r="T175" s="2">
        <v>23.41</v>
      </c>
      <c r="U175" s="2">
        <v>6.5</v>
      </c>
      <c r="V175" s="2">
        <v>18.2</v>
      </c>
      <c r="W175" s="2">
        <v>0</v>
      </c>
      <c r="X175" s="2">
        <v>4.24</v>
      </c>
      <c r="Y175" s="2">
        <v>3.31</v>
      </c>
      <c r="Z175" s="2">
        <v>3.45</v>
      </c>
      <c r="AA175" s="2">
        <v>1.86</v>
      </c>
      <c r="AB175" s="2">
        <v>0.11</v>
      </c>
      <c r="AC175" s="2">
        <v>12.63</v>
      </c>
      <c r="AD175" s="2">
        <v>5.8</v>
      </c>
      <c r="AE175" s="2">
        <v>8.1999999999999993</v>
      </c>
      <c r="AF175" s="2">
        <v>68.42</v>
      </c>
      <c r="AG175" s="2">
        <v>10.69</v>
      </c>
    </row>
    <row r="176" spans="1:33" x14ac:dyDescent="0.2">
      <c r="A176" s="3">
        <v>13270</v>
      </c>
      <c r="B176" s="2">
        <v>5.64</v>
      </c>
      <c r="C176" s="2">
        <v>19.41</v>
      </c>
      <c r="D176" s="2">
        <v>-8.86</v>
      </c>
      <c r="E176" s="2">
        <v>-26.47</v>
      </c>
      <c r="F176" s="2">
        <v>-3.79</v>
      </c>
      <c r="G176" s="2">
        <v>-29.49</v>
      </c>
      <c r="H176" s="2">
        <v>14.64</v>
      </c>
      <c r="I176" s="2">
        <v>37.44</v>
      </c>
      <c r="J176" s="2">
        <v>22.56</v>
      </c>
      <c r="K176" s="2">
        <v>13.95</v>
      </c>
      <c r="L176" s="2">
        <v>21.98</v>
      </c>
      <c r="M176" s="2">
        <v>7.66</v>
      </c>
      <c r="N176" s="2">
        <v>33.450000000000003</v>
      </c>
      <c r="O176" s="2">
        <v>5.0599999999999996</v>
      </c>
      <c r="P176" s="2">
        <v>60.55</v>
      </c>
      <c r="Q176" s="2">
        <v>11.21</v>
      </c>
      <c r="R176" s="2">
        <v>12.76</v>
      </c>
      <c r="S176" s="2">
        <v>17.2</v>
      </c>
      <c r="T176" s="2">
        <v>15.26</v>
      </c>
      <c r="U176" s="2">
        <v>15.5</v>
      </c>
      <c r="V176" s="2">
        <v>24.59</v>
      </c>
      <c r="W176" s="2">
        <v>0</v>
      </c>
      <c r="X176" s="2">
        <v>5.17</v>
      </c>
      <c r="Y176" s="2">
        <v>4.53</v>
      </c>
      <c r="Z176" s="2">
        <v>1.91</v>
      </c>
      <c r="AA176" s="2">
        <v>0.56999999999999995</v>
      </c>
      <c r="AB176" s="2">
        <v>2.15</v>
      </c>
      <c r="AC176" s="2">
        <v>4.0199999999999996</v>
      </c>
      <c r="AD176" s="2">
        <v>7.42</v>
      </c>
      <c r="AE176" s="2">
        <v>10.72</v>
      </c>
      <c r="AF176" s="2">
        <v>84.67</v>
      </c>
      <c r="AG176" s="2">
        <v>14.64</v>
      </c>
    </row>
    <row r="177" spans="1:33" x14ac:dyDescent="0.2">
      <c r="A177" s="3">
        <v>13301</v>
      </c>
      <c r="B177" s="2">
        <v>1.63</v>
      </c>
      <c r="C177" s="2">
        <v>9.83</v>
      </c>
      <c r="D177" s="2">
        <v>-9.34</v>
      </c>
      <c r="E177" s="2">
        <v>-55.81</v>
      </c>
      <c r="F177" s="2">
        <v>-43.72</v>
      </c>
      <c r="G177" s="2">
        <v>-38.49</v>
      </c>
      <c r="H177" s="2">
        <v>2.9</v>
      </c>
      <c r="I177" s="2">
        <v>23.17</v>
      </c>
      <c r="J177" s="2">
        <v>16.25</v>
      </c>
      <c r="K177" s="2">
        <v>14.6</v>
      </c>
      <c r="L177" s="2">
        <v>27.9</v>
      </c>
      <c r="M177" s="2">
        <v>19.649999999999999</v>
      </c>
      <c r="N177" s="2">
        <v>38.69</v>
      </c>
      <c r="O177" s="2">
        <v>12.87</v>
      </c>
      <c r="P177" s="2">
        <v>59.99</v>
      </c>
      <c r="Q177" s="2">
        <v>16.63</v>
      </c>
      <c r="R177" s="2">
        <v>21.78</v>
      </c>
      <c r="S177" s="2">
        <v>17.7</v>
      </c>
      <c r="T177" s="2">
        <v>28.05</v>
      </c>
      <c r="U177" s="2">
        <v>23.36</v>
      </c>
      <c r="V177" s="2">
        <v>30.64</v>
      </c>
      <c r="W177" s="2">
        <v>4.88</v>
      </c>
      <c r="X177" s="2">
        <v>8.17</v>
      </c>
      <c r="Y177" s="2">
        <v>6.87</v>
      </c>
      <c r="Z177" s="2">
        <v>0</v>
      </c>
      <c r="AA177" s="2">
        <v>0</v>
      </c>
      <c r="AB177" s="2">
        <v>0</v>
      </c>
      <c r="AC177" s="2">
        <v>0</v>
      </c>
      <c r="AD177" s="2">
        <v>8.19</v>
      </c>
      <c r="AE177" s="2">
        <v>7.55</v>
      </c>
      <c r="AF177" s="2">
        <v>95.62</v>
      </c>
      <c r="AG177" s="2">
        <v>17.690000000000001</v>
      </c>
    </row>
    <row r="178" spans="1:33" x14ac:dyDescent="0.2">
      <c r="A178" s="3">
        <v>13331</v>
      </c>
      <c r="B178" s="2">
        <v>0.54</v>
      </c>
      <c r="C178" s="2">
        <v>11.89</v>
      </c>
      <c r="D178" s="2">
        <v>-11.05</v>
      </c>
      <c r="E178" s="2">
        <v>-59.49</v>
      </c>
      <c r="F178" s="2">
        <v>-40.53</v>
      </c>
      <c r="G178" s="2">
        <v>-30.48</v>
      </c>
      <c r="H178" s="2">
        <v>1.69</v>
      </c>
      <c r="I178" s="2">
        <v>24.48</v>
      </c>
      <c r="J178" s="2">
        <v>-13.42</v>
      </c>
      <c r="K178" s="2">
        <v>-24.49</v>
      </c>
      <c r="L178" s="2">
        <v>-23.58</v>
      </c>
      <c r="M178" s="2">
        <v>-10.51</v>
      </c>
      <c r="N178" s="2">
        <v>10.14</v>
      </c>
      <c r="O178" s="2">
        <v>16.62</v>
      </c>
      <c r="P178" s="2">
        <v>39.53</v>
      </c>
      <c r="Q178" s="2">
        <v>10.48</v>
      </c>
      <c r="R178" s="2">
        <v>7.46</v>
      </c>
      <c r="S178" s="2">
        <v>11.45</v>
      </c>
      <c r="T178" s="2">
        <v>37.44</v>
      </c>
      <c r="U178" s="2">
        <v>8.06</v>
      </c>
      <c r="V178" s="2">
        <v>25.65</v>
      </c>
      <c r="W178" s="2">
        <v>18.62</v>
      </c>
      <c r="X178" s="2">
        <v>13.53</v>
      </c>
      <c r="Y178" s="2">
        <v>12.93</v>
      </c>
      <c r="Z178" s="2">
        <v>0.72</v>
      </c>
      <c r="AA178" s="2">
        <v>0</v>
      </c>
      <c r="AB178" s="2">
        <v>0</v>
      </c>
      <c r="AC178" s="2">
        <v>0</v>
      </c>
      <c r="AD178" s="2">
        <v>7.18</v>
      </c>
      <c r="AE178" s="2">
        <v>3.64</v>
      </c>
      <c r="AF178" s="2">
        <v>104.64</v>
      </c>
      <c r="AG178" s="2">
        <v>22.83</v>
      </c>
    </row>
    <row r="179" spans="1:33" x14ac:dyDescent="0.2">
      <c r="A179" s="3">
        <v>13362</v>
      </c>
      <c r="B179" s="2">
        <v>-1.1299999999999999</v>
      </c>
      <c r="C179" s="2">
        <v>9.8000000000000007</v>
      </c>
      <c r="D179" s="2">
        <v>-13.75</v>
      </c>
      <c r="E179" s="2">
        <v>-64.78</v>
      </c>
      <c r="F179" s="2">
        <v>-30.22</v>
      </c>
      <c r="G179" s="2">
        <v>-30.56</v>
      </c>
      <c r="H179" s="2">
        <v>0.43</v>
      </c>
      <c r="I179" s="2">
        <v>16.41</v>
      </c>
      <c r="J179" s="2">
        <v>-35.369999999999997</v>
      </c>
      <c r="K179" s="2">
        <v>-31.59</v>
      </c>
      <c r="L179" s="2">
        <v>-62.42</v>
      </c>
      <c r="M179" s="2">
        <v>-33.24</v>
      </c>
      <c r="N179" s="2">
        <v>6.48</v>
      </c>
      <c r="O179" s="2">
        <v>28.42</v>
      </c>
      <c r="P179" s="2">
        <v>33.799999999999997</v>
      </c>
      <c r="Q179" s="2">
        <v>3.49</v>
      </c>
      <c r="R179" s="2">
        <v>32.14</v>
      </c>
      <c r="S179" s="2">
        <v>13.6</v>
      </c>
      <c r="T179" s="2">
        <v>37.26</v>
      </c>
      <c r="U179" s="2">
        <v>1.38</v>
      </c>
      <c r="V179" s="2">
        <v>25.59</v>
      </c>
      <c r="W179" s="2">
        <v>30.39</v>
      </c>
      <c r="X179" s="2">
        <v>18.77</v>
      </c>
      <c r="Y179" s="2">
        <v>18.55</v>
      </c>
      <c r="Z179" s="2">
        <v>0.24</v>
      </c>
      <c r="AA179" s="2">
        <v>26.81</v>
      </c>
      <c r="AB179" s="2">
        <v>2.4300000000000002</v>
      </c>
      <c r="AC179" s="2">
        <v>0</v>
      </c>
      <c r="AD179" s="2">
        <v>6.42</v>
      </c>
      <c r="AE179" s="2">
        <v>0.19</v>
      </c>
      <c r="AF179" s="2">
        <v>113.96</v>
      </c>
      <c r="AG179" s="2">
        <v>24.8</v>
      </c>
    </row>
    <row r="180" spans="1:33" x14ac:dyDescent="0.2">
      <c r="A180" s="3">
        <v>13393</v>
      </c>
      <c r="B180" s="2">
        <v>-1.76</v>
      </c>
      <c r="C180" s="2">
        <v>10.29</v>
      </c>
      <c r="D180" s="2">
        <v>-8.67</v>
      </c>
      <c r="E180" s="2">
        <v>-46.9</v>
      </c>
      <c r="F180" s="2">
        <v>-12.52</v>
      </c>
      <c r="G180" s="2">
        <v>-18.04</v>
      </c>
      <c r="H180" s="2">
        <v>6.62</v>
      </c>
      <c r="I180" s="2">
        <v>18.079999999999998</v>
      </c>
      <c r="J180" s="2">
        <v>-18.649999999999999</v>
      </c>
      <c r="K180" s="2">
        <v>-16.059999999999999</v>
      </c>
      <c r="L180" s="2">
        <v>-37.76</v>
      </c>
      <c r="M180" s="2">
        <v>-24.22</v>
      </c>
      <c r="N180" s="2">
        <v>2.41</v>
      </c>
      <c r="O180" s="2">
        <v>28.2</v>
      </c>
      <c r="P180" s="2">
        <v>34.19</v>
      </c>
      <c r="Q180" s="2">
        <v>4.58</v>
      </c>
      <c r="R180" s="2">
        <v>17.809999999999999</v>
      </c>
      <c r="S180" s="2">
        <v>12.71</v>
      </c>
      <c r="T180" s="2">
        <v>34.53</v>
      </c>
      <c r="U180" s="2">
        <v>2.37</v>
      </c>
      <c r="V180" s="2">
        <v>25.51</v>
      </c>
      <c r="W180" s="2">
        <v>31.47</v>
      </c>
      <c r="X180" s="2">
        <v>21.1</v>
      </c>
      <c r="Y180" s="2">
        <v>21</v>
      </c>
      <c r="Z180" s="2">
        <v>0.1</v>
      </c>
      <c r="AA180" s="2">
        <v>4.3</v>
      </c>
      <c r="AB180" s="2">
        <v>0.79</v>
      </c>
      <c r="AC180" s="2">
        <v>9.91</v>
      </c>
      <c r="AD180" s="2">
        <v>6</v>
      </c>
      <c r="AE180" s="2">
        <v>0</v>
      </c>
      <c r="AF180" s="2">
        <v>115.89</v>
      </c>
      <c r="AG180" s="2">
        <v>23.65</v>
      </c>
    </row>
    <row r="181" spans="1:33" x14ac:dyDescent="0.2">
      <c r="A181" s="3">
        <v>13423</v>
      </c>
      <c r="B181" s="2">
        <v>-2.11</v>
      </c>
      <c r="C181" s="2">
        <v>10.57</v>
      </c>
      <c r="D181" s="2">
        <v>-7.68</v>
      </c>
      <c r="E181" s="2">
        <v>-21.73</v>
      </c>
      <c r="F181" s="2">
        <v>-7.65</v>
      </c>
      <c r="G181" s="2">
        <v>-1.77</v>
      </c>
      <c r="H181" s="2">
        <v>13.95</v>
      </c>
      <c r="I181" s="2">
        <v>22.61</v>
      </c>
      <c r="J181" s="2">
        <v>5.97</v>
      </c>
      <c r="K181" s="2">
        <v>-9.1199999999999992</v>
      </c>
      <c r="L181" s="2">
        <v>-17.02</v>
      </c>
      <c r="M181" s="2">
        <v>-10.34</v>
      </c>
      <c r="N181" s="2">
        <v>14.26</v>
      </c>
      <c r="O181" s="2">
        <v>-0.5</v>
      </c>
      <c r="P181" s="2">
        <v>25.85</v>
      </c>
      <c r="Q181" s="2">
        <v>5.97</v>
      </c>
      <c r="R181" s="2">
        <v>12.56</v>
      </c>
      <c r="S181" s="2">
        <v>2.59</v>
      </c>
      <c r="T181" s="2">
        <v>24.29</v>
      </c>
      <c r="U181" s="2">
        <v>5.27</v>
      </c>
      <c r="V181" s="2">
        <v>10.24</v>
      </c>
      <c r="W181" s="2">
        <v>26.1</v>
      </c>
      <c r="X181" s="2">
        <v>20.03</v>
      </c>
      <c r="Y181" s="2">
        <v>19.73</v>
      </c>
      <c r="Z181" s="2">
        <v>0</v>
      </c>
      <c r="AA181" s="2">
        <v>0</v>
      </c>
      <c r="AB181" s="2">
        <v>0</v>
      </c>
      <c r="AC181" s="2">
        <v>0.5</v>
      </c>
      <c r="AD181" s="2">
        <v>5.27</v>
      </c>
      <c r="AE181" s="2">
        <v>0</v>
      </c>
      <c r="AF181" s="2">
        <v>107.95</v>
      </c>
      <c r="AG181" s="2">
        <v>20.170000000000002</v>
      </c>
    </row>
    <row r="182" spans="1:33" x14ac:dyDescent="0.2">
      <c r="A182" s="3">
        <v>13454</v>
      </c>
      <c r="B182" s="2">
        <v>-2.1800000000000002</v>
      </c>
      <c r="C182" s="2">
        <v>11.38</v>
      </c>
      <c r="D182" s="2">
        <v>-7.21</v>
      </c>
      <c r="E182" s="2">
        <v>-9.32</v>
      </c>
      <c r="F182" s="2">
        <v>-8.86</v>
      </c>
      <c r="G182" s="2">
        <v>3.53</v>
      </c>
      <c r="H182" s="2">
        <v>12.86</v>
      </c>
      <c r="I182" s="2">
        <v>22.77</v>
      </c>
      <c r="J182" s="2">
        <v>8.68</v>
      </c>
      <c r="K182" s="2">
        <v>-2.35</v>
      </c>
      <c r="L182" s="2">
        <v>-6.7</v>
      </c>
      <c r="M182" s="2">
        <v>-0.95</v>
      </c>
      <c r="N182" s="2">
        <v>6.93</v>
      </c>
      <c r="O182" s="2">
        <v>1.55</v>
      </c>
      <c r="P182" s="2">
        <v>32.32</v>
      </c>
      <c r="Q182" s="2">
        <v>3.77</v>
      </c>
      <c r="R182" s="2">
        <v>6.88</v>
      </c>
      <c r="S182" s="2">
        <v>11.76</v>
      </c>
      <c r="T182" s="2">
        <v>24.94</v>
      </c>
      <c r="U182" s="2">
        <v>5.59</v>
      </c>
      <c r="V182" s="2">
        <v>10.16</v>
      </c>
      <c r="W182" s="2">
        <v>22.19</v>
      </c>
      <c r="X182" s="2">
        <v>18.57</v>
      </c>
      <c r="Y182" s="2">
        <v>18.239999999999998</v>
      </c>
      <c r="Z182" s="2">
        <v>0.19</v>
      </c>
      <c r="AA182" s="2">
        <v>22.22</v>
      </c>
      <c r="AB182" s="2">
        <v>15.45</v>
      </c>
      <c r="AC182" s="2">
        <v>0.5</v>
      </c>
      <c r="AD182" s="2">
        <v>3.2</v>
      </c>
      <c r="AE182" s="2">
        <v>7.92</v>
      </c>
      <c r="AF182" s="2">
        <v>97.91</v>
      </c>
      <c r="AG182" s="2">
        <v>16.420000000000002</v>
      </c>
    </row>
    <row r="183" spans="1:33" x14ac:dyDescent="0.2">
      <c r="A183" s="3">
        <v>13484</v>
      </c>
      <c r="B183" s="2">
        <v>0.28999999999999998</v>
      </c>
      <c r="C183" s="2">
        <v>10.67</v>
      </c>
      <c r="D183" s="2">
        <v>-5.33</v>
      </c>
      <c r="E183" s="2">
        <v>-2</v>
      </c>
      <c r="F183" s="2">
        <v>-5.01</v>
      </c>
      <c r="G183" s="2">
        <v>5.52</v>
      </c>
      <c r="H183" s="2">
        <v>11.45</v>
      </c>
      <c r="I183" s="2">
        <v>19.05</v>
      </c>
      <c r="J183" s="2">
        <v>10.029999999999999</v>
      </c>
      <c r="K183" s="2">
        <v>-4.63</v>
      </c>
      <c r="L183" s="2">
        <v>-1.56</v>
      </c>
      <c r="M183" s="2">
        <v>-4.5999999999999996</v>
      </c>
      <c r="N183" s="2">
        <v>5.75</v>
      </c>
      <c r="O183" s="2">
        <v>-0.87</v>
      </c>
      <c r="P183" s="2">
        <v>26.24</v>
      </c>
      <c r="Q183" s="2">
        <v>3.57</v>
      </c>
      <c r="R183" s="2">
        <v>4.78</v>
      </c>
      <c r="S183" s="2">
        <v>-0.52</v>
      </c>
      <c r="T183" s="2">
        <v>23.37</v>
      </c>
      <c r="U183" s="2">
        <v>4.74</v>
      </c>
      <c r="V183" s="2">
        <v>9.9499999999999993</v>
      </c>
      <c r="W183" s="2">
        <v>15.43</v>
      </c>
      <c r="X183" s="2">
        <v>12.13</v>
      </c>
      <c r="Y183" s="2">
        <v>10.79</v>
      </c>
      <c r="Z183" s="2">
        <v>23.69</v>
      </c>
      <c r="AA183" s="2">
        <v>7.89</v>
      </c>
      <c r="AB183" s="2">
        <v>0</v>
      </c>
      <c r="AC183" s="2">
        <v>2.2999999999999998</v>
      </c>
      <c r="AD183" s="2">
        <v>1.93</v>
      </c>
      <c r="AE183" s="2">
        <v>0.28000000000000003</v>
      </c>
      <c r="AF183" s="2">
        <v>64.239999999999995</v>
      </c>
      <c r="AG183" s="2">
        <v>12.92</v>
      </c>
    </row>
    <row r="184" spans="1:33" x14ac:dyDescent="0.2">
      <c r="A184" s="3">
        <v>13515</v>
      </c>
      <c r="B184" s="2">
        <v>1.77</v>
      </c>
      <c r="C184" s="2">
        <v>13.08</v>
      </c>
      <c r="D184" s="2">
        <v>-0.09</v>
      </c>
      <c r="E184" s="2">
        <v>18.899999999999999</v>
      </c>
      <c r="F184" s="2">
        <v>2.62</v>
      </c>
      <c r="G184" s="2">
        <v>20.58</v>
      </c>
      <c r="H184" s="2">
        <v>12.68</v>
      </c>
      <c r="I184" s="2">
        <v>23.27</v>
      </c>
      <c r="J184" s="2">
        <v>27.3</v>
      </c>
      <c r="K184" s="2">
        <v>27</v>
      </c>
      <c r="L184" s="2">
        <v>12.18</v>
      </c>
      <c r="M184" s="2">
        <v>17.53</v>
      </c>
      <c r="N184" s="2">
        <v>23.69</v>
      </c>
      <c r="O184" s="2">
        <v>0.69</v>
      </c>
      <c r="P184" s="2">
        <v>87.33</v>
      </c>
      <c r="Q184" s="2">
        <v>4.97</v>
      </c>
      <c r="R184" s="2">
        <v>6.02</v>
      </c>
      <c r="S184" s="2">
        <v>63.27</v>
      </c>
      <c r="T184" s="2">
        <v>51.25</v>
      </c>
      <c r="U184" s="2">
        <v>5.46</v>
      </c>
      <c r="V184" s="2">
        <v>14.77</v>
      </c>
      <c r="W184" s="2">
        <v>11.73</v>
      </c>
      <c r="X184" s="2">
        <v>9.92</v>
      </c>
      <c r="Y184" s="2">
        <v>9.7899999999999991</v>
      </c>
      <c r="Z184" s="2">
        <v>2.78</v>
      </c>
      <c r="AA184" s="2">
        <v>19.36</v>
      </c>
      <c r="AB184" s="2">
        <v>11.93</v>
      </c>
      <c r="AC184" s="2">
        <v>0.28999999999999998</v>
      </c>
      <c r="AD184" s="2">
        <v>1.92</v>
      </c>
      <c r="AE184" s="2">
        <v>35.979999999999997</v>
      </c>
      <c r="AF184" s="2">
        <v>59.02</v>
      </c>
      <c r="AG184" s="2">
        <v>11.2</v>
      </c>
    </row>
    <row r="185" spans="1:33" x14ac:dyDescent="0.2">
      <c r="A185" s="3">
        <v>13546</v>
      </c>
      <c r="B185" s="2">
        <v>2.38</v>
      </c>
      <c r="C185" s="2">
        <v>14.34</v>
      </c>
      <c r="D185" s="2">
        <v>2.99</v>
      </c>
      <c r="E185" s="2">
        <v>23.41</v>
      </c>
      <c r="F185" s="2">
        <v>7</v>
      </c>
      <c r="G185" s="2">
        <v>28.35</v>
      </c>
      <c r="H185" s="2">
        <v>13.3</v>
      </c>
      <c r="I185" s="2">
        <v>25.85</v>
      </c>
      <c r="J185" s="2">
        <v>31.27</v>
      </c>
      <c r="K185" s="2">
        <v>2.5299999999999998</v>
      </c>
      <c r="L185" s="2">
        <v>1.7</v>
      </c>
      <c r="M185" s="2">
        <v>-0.66</v>
      </c>
      <c r="N185" s="2">
        <v>11.8</v>
      </c>
      <c r="O185" s="2">
        <v>-0.77</v>
      </c>
      <c r="P185" s="2">
        <v>28.99</v>
      </c>
      <c r="Q185" s="2">
        <v>1.08</v>
      </c>
      <c r="R185" s="2">
        <v>6.09</v>
      </c>
      <c r="S185" s="2">
        <v>21.4</v>
      </c>
      <c r="T185" s="2">
        <v>25.28</v>
      </c>
      <c r="U185" s="2">
        <v>5.97</v>
      </c>
      <c r="V185" s="2">
        <v>10.92</v>
      </c>
      <c r="W185" s="2">
        <v>4.26</v>
      </c>
      <c r="X185" s="2">
        <v>9.32</v>
      </c>
      <c r="Y185" s="2">
        <v>8.06</v>
      </c>
      <c r="Z185" s="2">
        <v>9.19</v>
      </c>
      <c r="AA185" s="2">
        <v>3.01</v>
      </c>
      <c r="AB185" s="2">
        <v>2.78</v>
      </c>
      <c r="AC185" s="2">
        <v>0.28999999999999998</v>
      </c>
      <c r="AD185" s="2">
        <v>1.94</v>
      </c>
      <c r="AE185" s="2">
        <v>29.27</v>
      </c>
      <c r="AF185" s="2">
        <v>71.25</v>
      </c>
      <c r="AG185" s="2">
        <v>9.8800000000000008</v>
      </c>
    </row>
    <row r="186" spans="1:33" x14ac:dyDescent="0.2">
      <c r="A186" s="3">
        <v>13574</v>
      </c>
      <c r="B186" s="2">
        <v>4.8099999999999996</v>
      </c>
      <c r="C186" s="2">
        <v>23.69</v>
      </c>
      <c r="D186" s="2">
        <v>31.03</v>
      </c>
      <c r="E186" s="2">
        <v>74.48</v>
      </c>
      <c r="F186" s="2">
        <v>58.32</v>
      </c>
      <c r="G186" s="2">
        <v>155.46</v>
      </c>
      <c r="H186" s="2">
        <v>32.03</v>
      </c>
      <c r="I186" s="2">
        <v>43.59</v>
      </c>
      <c r="J186" s="2">
        <v>107.39</v>
      </c>
      <c r="K186" s="2">
        <v>91.92</v>
      </c>
      <c r="L186" s="2">
        <v>47.43</v>
      </c>
      <c r="M186" s="2">
        <v>44.05</v>
      </c>
      <c r="N186" s="2">
        <v>142.38</v>
      </c>
      <c r="O186" s="2">
        <v>3.31</v>
      </c>
      <c r="P186" s="2">
        <v>138.44</v>
      </c>
      <c r="Q186" s="2">
        <v>12.62</v>
      </c>
      <c r="R186" s="2">
        <v>14.27</v>
      </c>
      <c r="S186" s="2">
        <v>74.099999999999994</v>
      </c>
      <c r="T186" s="2">
        <v>47.79</v>
      </c>
      <c r="U186" s="2">
        <v>24.2</v>
      </c>
      <c r="V186" s="2">
        <v>35.4</v>
      </c>
      <c r="W186" s="2">
        <v>0</v>
      </c>
      <c r="X186" s="2">
        <v>2.9</v>
      </c>
      <c r="Y186" s="2">
        <v>3.08</v>
      </c>
      <c r="Z186" s="2">
        <v>10.86</v>
      </c>
      <c r="AA186" s="2">
        <v>10.75</v>
      </c>
      <c r="AB186" s="2">
        <v>12.73</v>
      </c>
      <c r="AC186" s="2">
        <v>22.83</v>
      </c>
      <c r="AD186" s="2">
        <v>2.4300000000000002</v>
      </c>
      <c r="AE186" s="2">
        <v>36.92</v>
      </c>
      <c r="AF186" s="2">
        <v>59.39</v>
      </c>
      <c r="AG186" s="2">
        <v>10.08</v>
      </c>
    </row>
    <row r="187" spans="1:33" x14ac:dyDescent="0.2">
      <c r="A187" s="3">
        <v>13605</v>
      </c>
      <c r="B187" s="2">
        <v>11.96</v>
      </c>
      <c r="C187" s="2">
        <v>29.72</v>
      </c>
      <c r="D187" s="2">
        <v>21.64</v>
      </c>
      <c r="E187" s="2">
        <v>91.96</v>
      </c>
      <c r="F187" s="2">
        <v>86.11</v>
      </c>
      <c r="G187" s="2">
        <v>85.3</v>
      </c>
      <c r="H187" s="2">
        <v>27.02</v>
      </c>
      <c r="I187" s="2">
        <v>48.32</v>
      </c>
      <c r="J187" s="2">
        <v>75.81</v>
      </c>
      <c r="K187" s="2">
        <v>7.21</v>
      </c>
      <c r="L187" s="2">
        <v>28.61</v>
      </c>
      <c r="M187" s="2">
        <v>17.22</v>
      </c>
      <c r="N187" s="2">
        <v>49.3</v>
      </c>
      <c r="O187" s="2">
        <v>4.08</v>
      </c>
      <c r="P187" s="2">
        <v>78.81</v>
      </c>
      <c r="Q187" s="2">
        <v>11.61</v>
      </c>
      <c r="R187" s="2">
        <v>0.65</v>
      </c>
      <c r="S187" s="2">
        <v>42.8</v>
      </c>
      <c r="T187" s="2">
        <v>28.83</v>
      </c>
      <c r="U187" s="2">
        <v>21.57</v>
      </c>
      <c r="V187" s="2">
        <v>22.09</v>
      </c>
      <c r="W187" s="2">
        <v>0</v>
      </c>
      <c r="X187" s="2">
        <v>3.72</v>
      </c>
      <c r="Y187" s="2">
        <v>2.82</v>
      </c>
      <c r="Z187" s="2">
        <v>12.16</v>
      </c>
      <c r="AA187" s="2">
        <v>1.29</v>
      </c>
      <c r="AB187" s="2">
        <v>0.23</v>
      </c>
      <c r="AC187" s="2">
        <v>5.17</v>
      </c>
      <c r="AD187" s="2">
        <v>4.17</v>
      </c>
      <c r="AE187" s="2">
        <v>58.17</v>
      </c>
      <c r="AF187" s="2">
        <v>70.09</v>
      </c>
      <c r="AG187" s="2">
        <v>10.69</v>
      </c>
    </row>
    <row r="188" spans="1:33" x14ac:dyDescent="0.2">
      <c r="A188" s="3">
        <v>13635</v>
      </c>
      <c r="B188" s="2">
        <v>10.34</v>
      </c>
      <c r="C188" s="2">
        <v>20.53</v>
      </c>
      <c r="D188" s="2">
        <v>-9.59</v>
      </c>
      <c r="E188" s="2">
        <v>2.2599999999999998</v>
      </c>
      <c r="F188" s="2">
        <v>19.239999999999998</v>
      </c>
      <c r="G188" s="2">
        <v>-20.34</v>
      </c>
      <c r="H188" s="2">
        <v>25.03</v>
      </c>
      <c r="I188" s="2">
        <v>36.950000000000003</v>
      </c>
      <c r="J188" s="2">
        <v>17.149999999999999</v>
      </c>
      <c r="K188" s="2">
        <v>-12.36</v>
      </c>
      <c r="L188" s="2">
        <v>22.43</v>
      </c>
      <c r="M188" s="2">
        <v>2.6</v>
      </c>
      <c r="N188" s="2">
        <v>26.11</v>
      </c>
      <c r="O188" s="2">
        <v>6.9</v>
      </c>
      <c r="P188" s="2">
        <v>38.200000000000003</v>
      </c>
      <c r="Q188" s="2">
        <v>10.38</v>
      </c>
      <c r="R188" s="2">
        <v>5.51</v>
      </c>
      <c r="S188" s="2">
        <v>12.48</v>
      </c>
      <c r="T188" s="2">
        <v>-3.35</v>
      </c>
      <c r="U188" s="2">
        <v>29.89</v>
      </c>
      <c r="V188" s="2">
        <v>27.1</v>
      </c>
      <c r="W188" s="2">
        <v>0</v>
      </c>
      <c r="X188" s="2">
        <v>4.51</v>
      </c>
      <c r="Y188" s="2">
        <v>3.93</v>
      </c>
      <c r="Z188" s="2">
        <v>0.43</v>
      </c>
      <c r="AA188" s="2">
        <v>0</v>
      </c>
      <c r="AB188" s="2">
        <v>0</v>
      </c>
      <c r="AC188" s="2">
        <v>2.87</v>
      </c>
      <c r="AD188" s="2">
        <v>5.95</v>
      </c>
      <c r="AE188" s="2">
        <v>7.08</v>
      </c>
      <c r="AF188" s="2">
        <v>86.72</v>
      </c>
      <c r="AG188" s="2">
        <v>14.64</v>
      </c>
    </row>
    <row r="189" spans="1:33" x14ac:dyDescent="0.2">
      <c r="A189" s="3">
        <v>13666</v>
      </c>
      <c r="B189" s="2">
        <v>4.01</v>
      </c>
      <c r="C189" s="2">
        <v>13.56</v>
      </c>
      <c r="D189" s="2">
        <v>-11.06</v>
      </c>
      <c r="E189" s="2">
        <v>-37.99</v>
      </c>
      <c r="F189" s="2">
        <v>-20.59</v>
      </c>
      <c r="G189" s="2">
        <v>-30.03</v>
      </c>
      <c r="H189" s="2">
        <v>10.210000000000001</v>
      </c>
      <c r="I189" s="2">
        <v>26.56</v>
      </c>
      <c r="J189" s="2">
        <v>47.63</v>
      </c>
      <c r="K189" s="2">
        <v>69.790000000000006</v>
      </c>
      <c r="L189" s="2">
        <v>69.37</v>
      </c>
      <c r="M189" s="2">
        <v>52.09</v>
      </c>
      <c r="N189" s="2">
        <v>75.67</v>
      </c>
      <c r="O189" s="2">
        <v>19.100000000000001</v>
      </c>
      <c r="P189" s="2">
        <v>127.56</v>
      </c>
      <c r="Q189" s="2">
        <v>19.350000000000001</v>
      </c>
      <c r="R189" s="2">
        <v>17.559999999999999</v>
      </c>
      <c r="S189" s="2">
        <v>46.66</v>
      </c>
      <c r="T189" s="2">
        <v>23.18</v>
      </c>
      <c r="U189" s="2">
        <v>53.84</v>
      </c>
      <c r="V189" s="2">
        <v>43.51</v>
      </c>
      <c r="W189" s="2">
        <v>4.88</v>
      </c>
      <c r="X189" s="2">
        <v>7.45</v>
      </c>
      <c r="Y189" s="2">
        <v>6.18</v>
      </c>
      <c r="Z189" s="2">
        <v>1.58</v>
      </c>
      <c r="AA189" s="2">
        <v>0</v>
      </c>
      <c r="AB189" s="2">
        <v>0.23</v>
      </c>
      <c r="AC189" s="2">
        <v>0</v>
      </c>
      <c r="AD189" s="2">
        <v>9.84</v>
      </c>
      <c r="AE189" s="2">
        <v>0.47</v>
      </c>
      <c r="AF189" s="2">
        <v>97.94</v>
      </c>
      <c r="AG189" s="2">
        <v>17.690000000000001</v>
      </c>
    </row>
    <row r="190" spans="1:33" x14ac:dyDescent="0.2">
      <c r="A190" s="3">
        <v>13696</v>
      </c>
      <c r="B190" s="2">
        <v>0.76</v>
      </c>
      <c r="C190" s="2">
        <v>11.55</v>
      </c>
      <c r="D190" s="2">
        <v>-15.94</v>
      </c>
      <c r="E190" s="2">
        <v>-68.47</v>
      </c>
      <c r="F190" s="2">
        <v>-63.78</v>
      </c>
      <c r="G190" s="2">
        <v>-34.31</v>
      </c>
      <c r="H190" s="2">
        <v>-0.96</v>
      </c>
      <c r="I190" s="2">
        <v>22.65</v>
      </c>
      <c r="J190" s="2">
        <v>-17.440000000000001</v>
      </c>
      <c r="K190" s="2">
        <v>-22.72</v>
      </c>
      <c r="L190" s="2">
        <v>-47.33</v>
      </c>
      <c r="M190" s="2">
        <v>-28.65</v>
      </c>
      <c r="N190" s="2">
        <v>10.91</v>
      </c>
      <c r="O190" s="2">
        <v>22.25</v>
      </c>
      <c r="P190" s="2">
        <v>30.61</v>
      </c>
      <c r="Q190" s="2">
        <v>15.36</v>
      </c>
      <c r="R190" s="2">
        <v>11.37</v>
      </c>
      <c r="S190" s="2">
        <v>33.090000000000003</v>
      </c>
      <c r="T190" s="2">
        <v>11.66</v>
      </c>
      <c r="U190" s="2">
        <v>32.880000000000003</v>
      </c>
      <c r="V190" s="2">
        <v>27.8</v>
      </c>
      <c r="W190" s="2">
        <v>18.62</v>
      </c>
      <c r="X190" s="2">
        <v>12.74</v>
      </c>
      <c r="Y190" s="2">
        <v>12.2</v>
      </c>
      <c r="Z190" s="2">
        <v>0.72</v>
      </c>
      <c r="AA190" s="2">
        <v>0</v>
      </c>
      <c r="AB190" s="2">
        <v>0</v>
      </c>
      <c r="AC190" s="2">
        <v>1.08</v>
      </c>
      <c r="AD190" s="2">
        <v>12.36</v>
      </c>
      <c r="AE190" s="2">
        <v>0.65</v>
      </c>
      <c r="AF190" s="2">
        <v>107.19</v>
      </c>
      <c r="AG190" s="2">
        <v>22.83</v>
      </c>
    </row>
    <row r="191" spans="1:33" x14ac:dyDescent="0.2">
      <c r="A191" s="3">
        <v>13727</v>
      </c>
      <c r="B191" s="2">
        <v>-1.42</v>
      </c>
      <c r="C191" s="2">
        <v>9.93</v>
      </c>
      <c r="D191" s="2">
        <v>-15.39</v>
      </c>
      <c r="E191" s="2">
        <v>-69.25</v>
      </c>
      <c r="F191" s="2">
        <v>-34.53</v>
      </c>
      <c r="G191" s="2">
        <v>-30.91</v>
      </c>
      <c r="H191" s="2">
        <v>-0.24</v>
      </c>
      <c r="I191" s="2">
        <v>18.32</v>
      </c>
      <c r="J191" s="2">
        <v>-38.340000000000003</v>
      </c>
      <c r="K191" s="2">
        <v>-41</v>
      </c>
      <c r="L191" s="2">
        <v>-66.709999999999994</v>
      </c>
      <c r="M191" s="2">
        <v>-45.13</v>
      </c>
      <c r="N191" s="2">
        <v>-5.61</v>
      </c>
      <c r="O191" s="2">
        <v>22.66</v>
      </c>
      <c r="P191" s="2">
        <v>5.34</v>
      </c>
      <c r="Q191" s="2">
        <v>5.01</v>
      </c>
      <c r="R191" s="2">
        <v>32.76</v>
      </c>
      <c r="S191" s="2">
        <v>19.25</v>
      </c>
      <c r="T191" s="2">
        <v>36.33</v>
      </c>
      <c r="U191" s="2">
        <v>5.76</v>
      </c>
      <c r="V191" s="2">
        <v>23.26</v>
      </c>
      <c r="W191" s="2">
        <v>30.39</v>
      </c>
      <c r="X191" s="2">
        <v>17.91</v>
      </c>
      <c r="Y191" s="2">
        <v>17.72</v>
      </c>
      <c r="Z191" s="2">
        <v>0</v>
      </c>
      <c r="AA191" s="2">
        <v>2.61</v>
      </c>
      <c r="AB191" s="2">
        <v>0</v>
      </c>
      <c r="AC191" s="2">
        <v>0.36</v>
      </c>
      <c r="AD191" s="2">
        <v>11.12</v>
      </c>
      <c r="AE191" s="2">
        <v>0</v>
      </c>
      <c r="AF191" s="2">
        <v>116.73</v>
      </c>
      <c r="AG191" s="2">
        <v>24.8</v>
      </c>
    </row>
    <row r="192" spans="1:33" x14ac:dyDescent="0.2">
      <c r="A192" s="3">
        <v>13758</v>
      </c>
      <c r="B192" s="2">
        <v>-1.99</v>
      </c>
      <c r="C192" s="2">
        <v>10.17</v>
      </c>
      <c r="D192" s="2">
        <v>-8.42</v>
      </c>
      <c r="E192" s="2">
        <v>-51.49</v>
      </c>
      <c r="F192" s="2">
        <v>-25.6</v>
      </c>
      <c r="G192" s="2">
        <v>-20.61</v>
      </c>
      <c r="H192" s="2">
        <v>5.92</v>
      </c>
      <c r="I192" s="2">
        <v>19.27</v>
      </c>
      <c r="J192" s="2">
        <v>-21.9</v>
      </c>
      <c r="K192" s="2">
        <v>-7.07</v>
      </c>
      <c r="L192" s="2">
        <v>-34.020000000000003</v>
      </c>
      <c r="M192" s="2">
        <v>-25.04</v>
      </c>
      <c r="N192" s="2">
        <v>-4.6100000000000003</v>
      </c>
      <c r="O192" s="2">
        <v>25.67</v>
      </c>
      <c r="P192" s="2">
        <v>15.48</v>
      </c>
      <c r="Q192" s="2">
        <v>4.0199999999999996</v>
      </c>
      <c r="R192" s="2">
        <v>14.55</v>
      </c>
      <c r="S192" s="2">
        <v>11.93</v>
      </c>
      <c r="T192" s="2">
        <v>34.270000000000003</v>
      </c>
      <c r="U192" s="2">
        <v>4.42</v>
      </c>
      <c r="V192" s="2">
        <v>23.73</v>
      </c>
      <c r="W192" s="2">
        <v>31.47</v>
      </c>
      <c r="X192" s="2">
        <v>20.21</v>
      </c>
      <c r="Y192" s="2">
        <v>20.170000000000002</v>
      </c>
      <c r="Z192" s="2">
        <v>0</v>
      </c>
      <c r="AA192" s="2">
        <v>0.14000000000000001</v>
      </c>
      <c r="AB192" s="2">
        <v>0</v>
      </c>
      <c r="AC192" s="2">
        <v>0.14000000000000001</v>
      </c>
      <c r="AD192" s="2">
        <v>7.36</v>
      </c>
      <c r="AE192" s="2">
        <v>0</v>
      </c>
      <c r="AF192" s="2">
        <v>118.71</v>
      </c>
      <c r="AG192" s="2">
        <v>23.65</v>
      </c>
    </row>
    <row r="193" spans="1:33" x14ac:dyDescent="0.2">
      <c r="A193" s="3">
        <v>13788</v>
      </c>
      <c r="B193" s="2">
        <v>-2.2999999999999998</v>
      </c>
      <c r="C193" s="2">
        <v>10.95</v>
      </c>
      <c r="D193" s="2">
        <v>-6.75</v>
      </c>
      <c r="E193" s="2">
        <v>-44.38</v>
      </c>
      <c r="F193" s="2">
        <v>-3.48</v>
      </c>
      <c r="G193" s="2">
        <v>-9.67</v>
      </c>
      <c r="H193" s="2">
        <v>12.65</v>
      </c>
      <c r="I193" s="2">
        <v>23.31</v>
      </c>
      <c r="J193" s="2">
        <v>3.99</v>
      </c>
      <c r="K193" s="2">
        <v>-11.81</v>
      </c>
      <c r="L193" s="2">
        <v>-12.84</v>
      </c>
      <c r="M193" s="2">
        <v>-7.83</v>
      </c>
      <c r="N193" s="2">
        <v>12.39</v>
      </c>
      <c r="O193" s="2">
        <v>1.18</v>
      </c>
      <c r="P193" s="2">
        <v>14.2</v>
      </c>
      <c r="Q193" s="2">
        <v>5.74</v>
      </c>
      <c r="R193" s="2">
        <v>9.52</v>
      </c>
      <c r="S193" s="2">
        <v>5.13</v>
      </c>
      <c r="T193" s="2">
        <v>23.53</v>
      </c>
      <c r="U193" s="2">
        <v>7.83</v>
      </c>
      <c r="V193" s="2">
        <v>10.17</v>
      </c>
      <c r="W193" s="2">
        <v>26.1</v>
      </c>
      <c r="X193" s="2">
        <v>19.190000000000001</v>
      </c>
      <c r="Y193" s="2">
        <v>18.940000000000001</v>
      </c>
      <c r="Z193" s="2">
        <v>0</v>
      </c>
      <c r="AA193" s="2">
        <v>0</v>
      </c>
      <c r="AB193" s="2">
        <v>0.11</v>
      </c>
      <c r="AC193" s="2">
        <v>0</v>
      </c>
      <c r="AD193" s="2">
        <v>4.59</v>
      </c>
      <c r="AE193" s="2">
        <v>0</v>
      </c>
      <c r="AF193" s="2">
        <v>110.57</v>
      </c>
      <c r="AG193" s="2">
        <v>20.170000000000002</v>
      </c>
    </row>
    <row r="194" spans="1:33" x14ac:dyDescent="0.2">
      <c r="A194" s="3">
        <v>13819</v>
      </c>
      <c r="B194" s="2">
        <v>1</v>
      </c>
      <c r="C194" s="2">
        <v>14.36</v>
      </c>
      <c r="D194" s="2">
        <v>-0.34</v>
      </c>
      <c r="E194" s="2">
        <v>-3.41</v>
      </c>
      <c r="F194" s="2">
        <v>7.76</v>
      </c>
      <c r="G194" s="2">
        <v>10.56</v>
      </c>
      <c r="H194" s="2">
        <v>19.600000000000001</v>
      </c>
      <c r="I194" s="2">
        <v>26.47</v>
      </c>
      <c r="J194" s="2">
        <v>11.38</v>
      </c>
      <c r="K194" s="2">
        <v>-17.48</v>
      </c>
      <c r="L194" s="2">
        <v>-7.42</v>
      </c>
      <c r="M194" s="2">
        <v>-1.06</v>
      </c>
      <c r="N194" s="2">
        <v>-0.37</v>
      </c>
      <c r="O194" s="2">
        <v>3.34</v>
      </c>
      <c r="P194" s="2">
        <v>17.89</v>
      </c>
      <c r="Q194" s="2">
        <v>2.87</v>
      </c>
      <c r="R194" s="2">
        <v>3.72</v>
      </c>
      <c r="S194" s="2">
        <v>0.66</v>
      </c>
      <c r="T194" s="2">
        <v>22.72</v>
      </c>
      <c r="U194" s="2">
        <v>5.88</v>
      </c>
      <c r="V194" s="2">
        <v>10.31</v>
      </c>
      <c r="W194" s="2">
        <v>22.19</v>
      </c>
      <c r="X194" s="2">
        <v>17.8</v>
      </c>
      <c r="Y194" s="2">
        <v>17.52</v>
      </c>
      <c r="Z194" s="2">
        <v>0</v>
      </c>
      <c r="AA194" s="2">
        <v>0</v>
      </c>
      <c r="AB194" s="2">
        <v>0</v>
      </c>
      <c r="AC194" s="2">
        <v>0.28999999999999998</v>
      </c>
      <c r="AD194" s="2">
        <v>3</v>
      </c>
      <c r="AE194" s="2">
        <v>3.54</v>
      </c>
      <c r="AF194" s="2">
        <v>100.29</v>
      </c>
      <c r="AG194" s="2">
        <v>16.420000000000002</v>
      </c>
    </row>
    <row r="195" spans="1:33" x14ac:dyDescent="0.2">
      <c r="A195" s="3">
        <v>13849</v>
      </c>
      <c r="B195" s="2">
        <v>9.31</v>
      </c>
      <c r="C195" s="2">
        <v>26.91</v>
      </c>
      <c r="D195" s="2">
        <v>25.15</v>
      </c>
      <c r="E195" s="2">
        <v>116.83</v>
      </c>
      <c r="F195" s="2">
        <v>76.09</v>
      </c>
      <c r="G195" s="2">
        <v>98.81</v>
      </c>
      <c r="H195" s="2">
        <v>31.58</v>
      </c>
      <c r="I195" s="2">
        <v>28.44</v>
      </c>
      <c r="J195" s="2">
        <v>28.67</v>
      </c>
      <c r="K195" s="2">
        <v>-3.35</v>
      </c>
      <c r="L195" s="2">
        <v>-1.34</v>
      </c>
      <c r="M195" s="2">
        <v>-3.4</v>
      </c>
      <c r="N195" s="2">
        <v>4.5199999999999996</v>
      </c>
      <c r="O195" s="2">
        <v>1.46</v>
      </c>
      <c r="P195" s="2">
        <v>18.43</v>
      </c>
      <c r="Q195" s="2">
        <v>3.43</v>
      </c>
      <c r="R195" s="2">
        <v>2.13</v>
      </c>
      <c r="S195" s="2">
        <v>1.37</v>
      </c>
      <c r="T195" s="2">
        <v>21.58</v>
      </c>
      <c r="U195" s="2">
        <v>6.28</v>
      </c>
      <c r="V195" s="2">
        <v>10.26</v>
      </c>
      <c r="W195" s="2">
        <v>15.43</v>
      </c>
      <c r="X195" s="2">
        <v>11.7</v>
      </c>
      <c r="Y195" s="2">
        <v>10.39</v>
      </c>
      <c r="Z195" s="2">
        <v>6.94</v>
      </c>
      <c r="AA195" s="2">
        <v>0</v>
      </c>
      <c r="AB195" s="2">
        <v>0</v>
      </c>
      <c r="AC195" s="2">
        <v>35.53</v>
      </c>
      <c r="AD195" s="2">
        <v>1.75</v>
      </c>
      <c r="AE195" s="2">
        <v>10.35</v>
      </c>
      <c r="AF195" s="2">
        <v>65.81</v>
      </c>
      <c r="AG195" s="2">
        <v>12.92</v>
      </c>
    </row>
    <row r="196" spans="1:33" x14ac:dyDescent="0.2">
      <c r="A196" s="3">
        <v>13880</v>
      </c>
      <c r="B196" s="2">
        <v>14.13</v>
      </c>
      <c r="C196" s="2">
        <v>31.66</v>
      </c>
      <c r="D196" s="2">
        <v>30.56</v>
      </c>
      <c r="E196" s="2">
        <v>118.98</v>
      </c>
      <c r="F196" s="2">
        <v>139.85</v>
      </c>
      <c r="G196" s="2">
        <v>167.39</v>
      </c>
      <c r="H196" s="2">
        <v>31.09</v>
      </c>
      <c r="I196" s="2">
        <v>33.11</v>
      </c>
      <c r="J196" s="2">
        <v>75.7</v>
      </c>
      <c r="K196" s="2">
        <v>70.62</v>
      </c>
      <c r="L196" s="2">
        <v>43.63</v>
      </c>
      <c r="M196" s="2">
        <v>30.51</v>
      </c>
      <c r="N196" s="2">
        <v>61.7</v>
      </c>
      <c r="O196" s="2">
        <v>4.54</v>
      </c>
      <c r="P196" s="2">
        <v>109.1</v>
      </c>
      <c r="Q196" s="2">
        <v>6.57</v>
      </c>
      <c r="R196" s="2">
        <v>7.06</v>
      </c>
      <c r="S196" s="2">
        <v>71.3</v>
      </c>
      <c r="T196" s="2">
        <v>18.88</v>
      </c>
      <c r="U196" s="2">
        <v>9.59</v>
      </c>
      <c r="V196" s="2">
        <v>21.25</v>
      </c>
      <c r="W196" s="2">
        <v>11.73</v>
      </c>
      <c r="X196" s="2">
        <v>9.52</v>
      </c>
      <c r="Y196" s="2">
        <v>9.43</v>
      </c>
      <c r="Z196" s="2">
        <v>0.1</v>
      </c>
      <c r="AA196" s="2">
        <v>3.3</v>
      </c>
      <c r="AB196" s="2">
        <v>13.05</v>
      </c>
      <c r="AC196" s="2">
        <v>4.16</v>
      </c>
      <c r="AD196" s="2">
        <v>1.8</v>
      </c>
      <c r="AE196" s="2">
        <v>32.53</v>
      </c>
      <c r="AF196" s="2">
        <v>60.46</v>
      </c>
      <c r="AG196" s="2">
        <v>11.2</v>
      </c>
    </row>
    <row r="197" spans="1:33" x14ac:dyDescent="0.2">
      <c r="A197" s="3">
        <v>13911</v>
      </c>
      <c r="B197" s="2">
        <v>12.32</v>
      </c>
      <c r="C197" s="2">
        <v>32.74</v>
      </c>
      <c r="D197" s="2">
        <v>-1.45</v>
      </c>
      <c r="E197" s="2">
        <v>-10.44</v>
      </c>
      <c r="F197" s="2">
        <v>-70.45</v>
      </c>
      <c r="G197" s="2">
        <v>-27.18</v>
      </c>
      <c r="H197" s="2">
        <v>17.420000000000002</v>
      </c>
      <c r="I197" s="2">
        <v>29.86</v>
      </c>
      <c r="J197" s="2">
        <v>42.42</v>
      </c>
      <c r="K197" s="2">
        <v>-1.56</v>
      </c>
      <c r="L197" s="2">
        <v>5.62</v>
      </c>
      <c r="M197" s="2">
        <v>5.12</v>
      </c>
      <c r="N197" s="2">
        <v>17.98</v>
      </c>
      <c r="O197" s="2">
        <v>3</v>
      </c>
      <c r="P197" s="2">
        <v>32.93</v>
      </c>
      <c r="Q197" s="2">
        <v>1.05</v>
      </c>
      <c r="R197" s="2">
        <v>4.68</v>
      </c>
      <c r="S197" s="2">
        <v>21.65</v>
      </c>
      <c r="T197" s="2">
        <v>24.49</v>
      </c>
      <c r="U197" s="2">
        <v>7.85</v>
      </c>
      <c r="V197" s="2">
        <v>8.84</v>
      </c>
      <c r="W197" s="2">
        <v>4.26</v>
      </c>
      <c r="X197" s="2">
        <v>9.27</v>
      </c>
      <c r="Y197" s="2">
        <v>8.07</v>
      </c>
      <c r="Z197" s="2">
        <v>2.44</v>
      </c>
      <c r="AA197" s="2">
        <v>2.72</v>
      </c>
      <c r="AB197" s="2">
        <v>0.06</v>
      </c>
      <c r="AC197" s="2">
        <v>13.78</v>
      </c>
      <c r="AD197" s="2">
        <v>1.81</v>
      </c>
      <c r="AE197" s="2">
        <v>38.590000000000003</v>
      </c>
      <c r="AF197" s="2">
        <v>71.25</v>
      </c>
      <c r="AG197" s="2">
        <v>9.8800000000000008</v>
      </c>
    </row>
    <row r="198" spans="1:33" x14ac:dyDescent="0.2">
      <c r="A198" s="3">
        <v>13939</v>
      </c>
      <c r="B198" s="2">
        <v>24.03</v>
      </c>
      <c r="C198" s="2">
        <v>72.430000000000007</v>
      </c>
      <c r="D198" s="2">
        <v>83.62</v>
      </c>
      <c r="E198" s="2">
        <v>197.9</v>
      </c>
      <c r="F198" s="2">
        <v>236.26</v>
      </c>
      <c r="G198" s="2">
        <v>281.39</v>
      </c>
      <c r="H198" s="2">
        <v>34.15</v>
      </c>
      <c r="I198" s="2">
        <v>59.49</v>
      </c>
      <c r="J198" s="2">
        <v>161.82</v>
      </c>
      <c r="K198" s="2">
        <v>102.76</v>
      </c>
      <c r="L198" s="2">
        <v>88.07</v>
      </c>
      <c r="M198" s="2">
        <v>83.99</v>
      </c>
      <c r="N198" s="2">
        <v>161.02000000000001</v>
      </c>
      <c r="O198" s="2">
        <v>5.03</v>
      </c>
      <c r="P198" s="2">
        <v>128.66</v>
      </c>
      <c r="Q198" s="2">
        <v>8.36</v>
      </c>
      <c r="R198" s="2">
        <v>18.149999999999999</v>
      </c>
      <c r="S198" s="2">
        <v>58.08</v>
      </c>
      <c r="T198" s="2">
        <v>54.62</v>
      </c>
      <c r="U198" s="2">
        <v>9.73</v>
      </c>
      <c r="V198" s="2">
        <v>14.73</v>
      </c>
      <c r="W198" s="2">
        <v>0</v>
      </c>
      <c r="X198" s="2">
        <v>2.86</v>
      </c>
      <c r="Y198" s="2">
        <v>3.08</v>
      </c>
      <c r="Z198" s="2">
        <v>20.87</v>
      </c>
      <c r="AA198" s="2">
        <v>10.039999999999999</v>
      </c>
      <c r="AB198" s="2">
        <v>6.1</v>
      </c>
      <c r="AC198" s="2">
        <v>16.29</v>
      </c>
      <c r="AD198" s="2">
        <v>2.2599999999999998</v>
      </c>
      <c r="AE198" s="2">
        <v>58.92</v>
      </c>
      <c r="AF198" s="2">
        <v>59.39</v>
      </c>
      <c r="AG198" s="2">
        <v>10.08</v>
      </c>
    </row>
    <row r="199" spans="1:33" x14ac:dyDescent="0.2">
      <c r="A199" s="3">
        <v>13970</v>
      </c>
      <c r="B199" s="2">
        <v>29.76</v>
      </c>
      <c r="C199" s="2">
        <v>69.91</v>
      </c>
      <c r="D199" s="2">
        <v>10.16</v>
      </c>
      <c r="E199" s="2">
        <v>107.43</v>
      </c>
      <c r="F199" s="2">
        <v>146.13</v>
      </c>
      <c r="G199" s="2">
        <v>-31.8</v>
      </c>
      <c r="H199" s="2">
        <v>20.81</v>
      </c>
      <c r="I199" s="2">
        <v>59.13</v>
      </c>
      <c r="J199" s="2">
        <v>80.44</v>
      </c>
      <c r="K199" s="2">
        <v>96.81</v>
      </c>
      <c r="L199" s="2">
        <v>48</v>
      </c>
      <c r="M199" s="2">
        <v>63.81</v>
      </c>
      <c r="N199" s="2">
        <v>187.76</v>
      </c>
      <c r="O199" s="2">
        <v>17.489999999999998</v>
      </c>
      <c r="P199" s="2">
        <v>286.69</v>
      </c>
      <c r="Q199" s="2">
        <v>16.72</v>
      </c>
      <c r="R199" s="2">
        <v>27.93</v>
      </c>
      <c r="S199" s="2">
        <v>155.53</v>
      </c>
      <c r="T199" s="2">
        <v>95.35</v>
      </c>
      <c r="U199" s="2">
        <v>31.47</v>
      </c>
      <c r="V199" s="2">
        <v>39.21</v>
      </c>
      <c r="W199" s="2">
        <v>0</v>
      </c>
      <c r="X199" s="2">
        <v>3.67</v>
      </c>
      <c r="Y199" s="2">
        <v>2.82</v>
      </c>
      <c r="Z199" s="2">
        <v>23.55</v>
      </c>
      <c r="AA199" s="2">
        <v>10.75</v>
      </c>
      <c r="AB199" s="2">
        <v>12.32</v>
      </c>
      <c r="AC199" s="2">
        <v>18.23</v>
      </c>
      <c r="AD199" s="2">
        <v>3.9</v>
      </c>
      <c r="AE199" s="2">
        <v>39.43</v>
      </c>
      <c r="AF199" s="2">
        <v>70.09</v>
      </c>
      <c r="AG199" s="2">
        <v>10.69</v>
      </c>
    </row>
    <row r="200" spans="1:33" x14ac:dyDescent="0.2">
      <c r="A200" s="3">
        <v>14000</v>
      </c>
      <c r="B200" s="2">
        <v>21.85</v>
      </c>
      <c r="C200" s="2">
        <v>33.94</v>
      </c>
      <c r="D200" s="2">
        <v>-21.59</v>
      </c>
      <c r="E200" s="2">
        <v>-63.24</v>
      </c>
      <c r="F200" s="2">
        <v>-3.17</v>
      </c>
      <c r="G200" s="2">
        <v>-65.61</v>
      </c>
      <c r="H200" s="2">
        <v>26.42</v>
      </c>
      <c r="I200" s="2">
        <v>48.81</v>
      </c>
      <c r="J200" s="2">
        <v>9.26</v>
      </c>
      <c r="K200" s="2">
        <v>-57.14</v>
      </c>
      <c r="L200" s="2">
        <v>2.59</v>
      </c>
      <c r="M200" s="2">
        <v>-24.7</v>
      </c>
      <c r="N200" s="2">
        <v>9.5</v>
      </c>
      <c r="O200" s="2">
        <v>11.47</v>
      </c>
      <c r="P200" s="2">
        <v>61.43</v>
      </c>
      <c r="Q200" s="2">
        <v>15.59</v>
      </c>
      <c r="R200" s="2">
        <v>3.54</v>
      </c>
      <c r="S200" s="2">
        <v>51.41</v>
      </c>
      <c r="T200" s="2">
        <v>5.0199999999999996</v>
      </c>
      <c r="U200" s="2">
        <v>39.229999999999997</v>
      </c>
      <c r="V200" s="2">
        <v>28.39</v>
      </c>
      <c r="W200" s="2">
        <v>0</v>
      </c>
      <c r="X200" s="2">
        <v>4.46</v>
      </c>
      <c r="Y200" s="2">
        <v>3.93</v>
      </c>
      <c r="Z200" s="2">
        <v>1.34</v>
      </c>
      <c r="AA200" s="2">
        <v>0</v>
      </c>
      <c r="AB200" s="2">
        <v>0</v>
      </c>
      <c r="AC200" s="2">
        <v>0.65</v>
      </c>
      <c r="AD200" s="2">
        <v>4.78</v>
      </c>
      <c r="AE200" s="2">
        <v>10.35</v>
      </c>
      <c r="AF200" s="2">
        <v>86.72</v>
      </c>
      <c r="AG200" s="2">
        <v>14.64</v>
      </c>
    </row>
    <row r="201" spans="1:33" x14ac:dyDescent="0.2">
      <c r="A201" s="3">
        <v>14031</v>
      </c>
      <c r="B201" s="2">
        <v>16.47</v>
      </c>
      <c r="C201" s="2">
        <v>25.81</v>
      </c>
      <c r="D201" s="2">
        <v>-10.98</v>
      </c>
      <c r="E201" s="2">
        <v>-70.05</v>
      </c>
      <c r="F201" s="2">
        <v>-23.24</v>
      </c>
      <c r="G201" s="2">
        <v>-38.79</v>
      </c>
      <c r="H201" s="2">
        <v>25.63</v>
      </c>
      <c r="I201" s="2">
        <v>38.03</v>
      </c>
      <c r="J201" s="2">
        <v>30.46</v>
      </c>
      <c r="K201" s="2">
        <v>32.869999999999997</v>
      </c>
      <c r="L201" s="2">
        <v>49.47</v>
      </c>
      <c r="M201" s="2">
        <v>24.91</v>
      </c>
      <c r="N201" s="2">
        <v>53.19</v>
      </c>
      <c r="O201" s="2">
        <v>27.23</v>
      </c>
      <c r="P201" s="2">
        <v>124.79</v>
      </c>
      <c r="Q201" s="2">
        <v>17.600000000000001</v>
      </c>
      <c r="R201" s="2">
        <v>13.09</v>
      </c>
      <c r="S201" s="2">
        <v>71.150000000000006</v>
      </c>
      <c r="T201" s="2">
        <v>2.0499999999999998</v>
      </c>
      <c r="U201" s="2">
        <v>50.04</v>
      </c>
      <c r="V201" s="2">
        <v>37.520000000000003</v>
      </c>
      <c r="W201" s="2">
        <v>4.88</v>
      </c>
      <c r="X201" s="2">
        <v>7.38</v>
      </c>
      <c r="Y201" s="2">
        <v>6.19</v>
      </c>
      <c r="Z201" s="2">
        <v>0</v>
      </c>
      <c r="AA201" s="2">
        <v>0</v>
      </c>
      <c r="AB201" s="2">
        <v>3.62</v>
      </c>
      <c r="AC201" s="2">
        <v>2.37</v>
      </c>
      <c r="AD201" s="2">
        <v>10.06</v>
      </c>
      <c r="AE201" s="2">
        <v>0</v>
      </c>
      <c r="AF201" s="2">
        <v>97.94</v>
      </c>
      <c r="AG201" s="2">
        <v>17.690000000000001</v>
      </c>
    </row>
    <row r="202" spans="1:33" x14ac:dyDescent="0.2">
      <c r="A202" s="3">
        <v>14061</v>
      </c>
      <c r="B202" s="2">
        <v>7.77</v>
      </c>
      <c r="C202" s="2">
        <v>20.27</v>
      </c>
      <c r="D202" s="2">
        <v>-16.059999999999999</v>
      </c>
      <c r="E202" s="2">
        <v>-117.58</v>
      </c>
      <c r="F202" s="2">
        <v>-132.87</v>
      </c>
      <c r="G202" s="2">
        <v>-52.14</v>
      </c>
      <c r="H202" s="2">
        <v>5.3</v>
      </c>
      <c r="I202" s="2">
        <v>32.380000000000003</v>
      </c>
      <c r="J202" s="2">
        <v>4.55</v>
      </c>
      <c r="K202" s="2">
        <v>30.63</v>
      </c>
      <c r="L202" s="2">
        <v>14.08</v>
      </c>
      <c r="M202" s="2">
        <v>39</v>
      </c>
      <c r="N202" s="2">
        <v>52.15</v>
      </c>
      <c r="O202" s="2">
        <v>43.5</v>
      </c>
      <c r="P202" s="2">
        <v>187.2</v>
      </c>
      <c r="Q202" s="2">
        <v>20.18</v>
      </c>
      <c r="R202" s="2">
        <v>15.4</v>
      </c>
      <c r="S202" s="2">
        <v>70.180000000000007</v>
      </c>
      <c r="T202" s="2">
        <v>18.809999999999999</v>
      </c>
      <c r="U202" s="2">
        <v>43.13</v>
      </c>
      <c r="V202" s="2">
        <v>34.880000000000003</v>
      </c>
      <c r="W202" s="2">
        <v>18.62</v>
      </c>
      <c r="X202" s="2">
        <v>12.66</v>
      </c>
      <c r="Y202" s="2">
        <v>12.21</v>
      </c>
      <c r="Z202" s="2">
        <v>0</v>
      </c>
      <c r="AA202" s="2">
        <v>0</v>
      </c>
      <c r="AB202" s="2">
        <v>0.62</v>
      </c>
      <c r="AC202" s="2">
        <v>1.08</v>
      </c>
      <c r="AD202" s="2">
        <v>12.9</v>
      </c>
      <c r="AE202" s="2">
        <v>0</v>
      </c>
      <c r="AF202" s="2">
        <v>107.19</v>
      </c>
      <c r="AG202" s="2">
        <v>22.83</v>
      </c>
    </row>
    <row r="203" spans="1:33" x14ac:dyDescent="0.2">
      <c r="A203" s="3">
        <v>14092</v>
      </c>
      <c r="B203" s="2">
        <v>4.1399999999999997</v>
      </c>
      <c r="C203" s="2">
        <v>14.81</v>
      </c>
      <c r="D203" s="2">
        <v>-16.329999999999998</v>
      </c>
      <c r="E203" s="2">
        <v>-113.55</v>
      </c>
      <c r="F203" s="2">
        <v>-106.76</v>
      </c>
      <c r="G203" s="2">
        <v>-51.42</v>
      </c>
      <c r="H203" s="2">
        <v>-6.65</v>
      </c>
      <c r="I203" s="2">
        <v>21.64</v>
      </c>
      <c r="J203" s="2">
        <v>-43.23</v>
      </c>
      <c r="K203" s="2">
        <v>-74.64</v>
      </c>
      <c r="L203" s="2">
        <v>-99.84</v>
      </c>
      <c r="M203" s="2">
        <v>-71.23</v>
      </c>
      <c r="N203" s="2">
        <v>-11.79</v>
      </c>
      <c r="O203" s="2">
        <v>26.92</v>
      </c>
      <c r="P203" s="2">
        <v>-5.54</v>
      </c>
      <c r="Q203" s="2">
        <v>11.74</v>
      </c>
      <c r="R203" s="2">
        <v>4.41</v>
      </c>
      <c r="S203" s="2">
        <v>29.47</v>
      </c>
      <c r="T203" s="2">
        <v>25.65</v>
      </c>
      <c r="U203" s="2">
        <v>16.12</v>
      </c>
      <c r="V203" s="2">
        <v>25.61</v>
      </c>
      <c r="W203" s="2">
        <v>30.39</v>
      </c>
      <c r="X203" s="2">
        <v>17.829999999999998</v>
      </c>
      <c r="Y203" s="2">
        <v>17.72</v>
      </c>
      <c r="Z203" s="2">
        <v>0</v>
      </c>
      <c r="AA203" s="2">
        <v>1</v>
      </c>
      <c r="AB203" s="2">
        <v>0.23</v>
      </c>
      <c r="AC203" s="2">
        <v>0</v>
      </c>
      <c r="AD203" s="2">
        <v>10.76</v>
      </c>
      <c r="AE203" s="2">
        <v>0</v>
      </c>
      <c r="AF203" s="2">
        <v>116.73</v>
      </c>
      <c r="AG203" s="2">
        <v>24.8</v>
      </c>
    </row>
    <row r="204" spans="1:33" x14ac:dyDescent="0.2">
      <c r="A204" s="3">
        <v>14123</v>
      </c>
      <c r="B204" s="2">
        <v>2.83</v>
      </c>
      <c r="C204" s="2">
        <v>13.8</v>
      </c>
      <c r="D204" s="2">
        <v>-11.58</v>
      </c>
      <c r="E204" s="2">
        <v>-84.4</v>
      </c>
      <c r="F204" s="2">
        <v>-44.87</v>
      </c>
      <c r="G204" s="2">
        <v>-26.67</v>
      </c>
      <c r="H204" s="2">
        <v>2.96</v>
      </c>
      <c r="I204" s="2">
        <v>21.36</v>
      </c>
      <c r="J204" s="2">
        <v>-39</v>
      </c>
      <c r="K204" s="2">
        <v>-59.79</v>
      </c>
      <c r="L204" s="2">
        <v>-67.52</v>
      </c>
      <c r="M204" s="2">
        <v>-47.07</v>
      </c>
      <c r="N204" s="2">
        <v>-20.69</v>
      </c>
      <c r="O204" s="2">
        <v>25.48</v>
      </c>
      <c r="P204" s="2">
        <v>-6.48</v>
      </c>
      <c r="Q204" s="2">
        <v>0.98</v>
      </c>
      <c r="R204" s="2">
        <v>22.53</v>
      </c>
      <c r="S204" s="2">
        <v>15.22</v>
      </c>
      <c r="T204" s="2">
        <v>33.93</v>
      </c>
      <c r="U204" s="2">
        <v>7.07</v>
      </c>
      <c r="V204" s="2">
        <v>22.75</v>
      </c>
      <c r="W204" s="2">
        <v>31.47</v>
      </c>
      <c r="X204" s="2">
        <v>20.13</v>
      </c>
      <c r="Y204" s="2">
        <v>20.18</v>
      </c>
      <c r="Z204" s="2">
        <v>5.69</v>
      </c>
      <c r="AA204" s="2">
        <v>1</v>
      </c>
      <c r="AB204" s="2">
        <v>0.17</v>
      </c>
      <c r="AC204" s="2">
        <v>0</v>
      </c>
      <c r="AD204" s="2">
        <v>6.49</v>
      </c>
      <c r="AE204" s="2">
        <v>0</v>
      </c>
      <c r="AF204" s="2">
        <v>118.71</v>
      </c>
      <c r="AG204" s="2">
        <v>23.65</v>
      </c>
    </row>
    <row r="205" spans="1:33" x14ac:dyDescent="0.2">
      <c r="A205" s="3">
        <v>14153</v>
      </c>
      <c r="B205" s="2">
        <v>2.77</v>
      </c>
      <c r="C205" s="2">
        <v>15</v>
      </c>
      <c r="D205" s="2">
        <v>-5.9</v>
      </c>
      <c r="E205" s="2">
        <v>-49.75</v>
      </c>
      <c r="F205" s="2">
        <v>-26.63</v>
      </c>
      <c r="G205" s="2">
        <v>-6.84</v>
      </c>
      <c r="H205" s="2">
        <v>12.42</v>
      </c>
      <c r="I205" s="2">
        <v>26.05</v>
      </c>
      <c r="J205" s="2">
        <v>-12.27</v>
      </c>
      <c r="K205" s="2">
        <v>-31.79</v>
      </c>
      <c r="L205" s="2">
        <v>-28.89</v>
      </c>
      <c r="M205" s="2">
        <v>-16.88</v>
      </c>
      <c r="N205" s="2">
        <v>-3.01</v>
      </c>
      <c r="O205" s="2">
        <v>6.4</v>
      </c>
      <c r="P205" s="2">
        <v>-4.4000000000000004</v>
      </c>
      <c r="Q205" s="2">
        <v>4.83</v>
      </c>
      <c r="R205" s="2">
        <v>11.04</v>
      </c>
      <c r="S205" s="2">
        <v>5.43</v>
      </c>
      <c r="T205" s="2">
        <v>23.06</v>
      </c>
      <c r="U205" s="2">
        <v>10.46</v>
      </c>
      <c r="V205" s="2">
        <v>11.19</v>
      </c>
      <c r="W205" s="2">
        <v>26.1</v>
      </c>
      <c r="X205" s="2">
        <v>19.12</v>
      </c>
      <c r="Y205" s="2">
        <v>18.940000000000001</v>
      </c>
      <c r="Z205" s="2">
        <v>0.77</v>
      </c>
      <c r="AA205" s="2">
        <v>0</v>
      </c>
      <c r="AB205" s="2">
        <v>0.45</v>
      </c>
      <c r="AC205" s="2">
        <v>0</v>
      </c>
      <c r="AD205" s="2">
        <v>4.32</v>
      </c>
      <c r="AE205" s="2">
        <v>1.4</v>
      </c>
      <c r="AF205" s="2">
        <v>110.57</v>
      </c>
      <c r="AG205" s="2">
        <v>20.170000000000002</v>
      </c>
    </row>
    <row r="206" spans="1:33" x14ac:dyDescent="0.2">
      <c r="A206" s="3">
        <v>14184</v>
      </c>
      <c r="B206" s="2">
        <v>3.63</v>
      </c>
      <c r="C206" s="2">
        <v>15.04</v>
      </c>
      <c r="D206" s="2">
        <v>-4.26</v>
      </c>
      <c r="E206" s="2">
        <v>-18.52</v>
      </c>
      <c r="F206" s="2">
        <v>-15.28</v>
      </c>
      <c r="G206" s="2">
        <v>4.78</v>
      </c>
      <c r="H206" s="2">
        <v>15.05</v>
      </c>
      <c r="I206" s="2">
        <v>28.14</v>
      </c>
      <c r="J206" s="2">
        <v>1.1200000000000001</v>
      </c>
      <c r="K206" s="2">
        <v>-29.87</v>
      </c>
      <c r="L206" s="2">
        <v>-9.24</v>
      </c>
      <c r="M206" s="2">
        <v>-12.15</v>
      </c>
      <c r="N206" s="2">
        <v>-11.52</v>
      </c>
      <c r="O206" s="2">
        <v>6.44</v>
      </c>
      <c r="P206" s="2">
        <v>2.27</v>
      </c>
      <c r="Q206" s="2">
        <v>0.66</v>
      </c>
      <c r="R206" s="2">
        <v>2.76</v>
      </c>
      <c r="S206" s="2">
        <v>4.07</v>
      </c>
      <c r="T206" s="2">
        <v>23.09</v>
      </c>
      <c r="U206" s="2">
        <v>8.4</v>
      </c>
      <c r="V206" s="2">
        <v>10.44</v>
      </c>
      <c r="W206" s="2">
        <v>22.19</v>
      </c>
      <c r="X206" s="2">
        <v>17.739999999999998</v>
      </c>
      <c r="Y206" s="2">
        <v>17.53</v>
      </c>
      <c r="Z206" s="2">
        <v>0</v>
      </c>
      <c r="AA206" s="2">
        <v>0</v>
      </c>
      <c r="AB206" s="2">
        <v>0.9</v>
      </c>
      <c r="AC206" s="2">
        <v>0</v>
      </c>
      <c r="AD206" s="2">
        <v>2.4700000000000002</v>
      </c>
      <c r="AE206" s="2">
        <v>11.28</v>
      </c>
      <c r="AF206" s="2">
        <v>100.29</v>
      </c>
      <c r="AG206" s="2">
        <v>16.420000000000002</v>
      </c>
    </row>
    <row r="207" spans="1:33" x14ac:dyDescent="0.2">
      <c r="A207" s="3">
        <v>14214</v>
      </c>
      <c r="B207" s="2">
        <v>3.76</v>
      </c>
      <c r="C207" s="2">
        <v>14.11</v>
      </c>
      <c r="D207" s="2">
        <v>-5.82</v>
      </c>
      <c r="E207" s="2">
        <v>-15.85</v>
      </c>
      <c r="F207" s="2">
        <v>-8.92</v>
      </c>
      <c r="G207" s="2">
        <v>6.06</v>
      </c>
      <c r="H207" s="2">
        <v>12.19</v>
      </c>
      <c r="I207" s="2">
        <v>25.05</v>
      </c>
      <c r="J207" s="2">
        <v>12.62</v>
      </c>
      <c r="K207" s="2">
        <v>-0.78</v>
      </c>
      <c r="L207" s="2">
        <v>3.55</v>
      </c>
      <c r="M207" s="2">
        <v>-0.82</v>
      </c>
      <c r="N207" s="2">
        <v>11.78</v>
      </c>
      <c r="O207" s="2">
        <v>4.9000000000000004</v>
      </c>
      <c r="P207" s="2">
        <v>4.9400000000000004</v>
      </c>
      <c r="Q207" s="2">
        <v>3.78</v>
      </c>
      <c r="R207" s="2">
        <v>0.14000000000000001</v>
      </c>
      <c r="S207" s="2">
        <v>5.38</v>
      </c>
      <c r="T207" s="2">
        <v>22.39</v>
      </c>
      <c r="U207" s="2">
        <v>9.67</v>
      </c>
      <c r="V207" s="2">
        <v>10.38</v>
      </c>
      <c r="W207" s="2">
        <v>15.43</v>
      </c>
      <c r="X207" s="2">
        <v>11.64</v>
      </c>
      <c r="Y207" s="2">
        <v>10.39</v>
      </c>
      <c r="Z207" s="2">
        <v>22.78</v>
      </c>
      <c r="AA207" s="2">
        <v>0</v>
      </c>
      <c r="AB207" s="2">
        <v>0.06</v>
      </c>
      <c r="AC207" s="2">
        <v>10.41</v>
      </c>
      <c r="AD207" s="2">
        <v>1.3</v>
      </c>
      <c r="AE207" s="2">
        <v>11.93</v>
      </c>
      <c r="AF207" s="2">
        <v>65.81</v>
      </c>
      <c r="AG207" s="2">
        <v>12.92</v>
      </c>
    </row>
    <row r="208" spans="1:33" x14ac:dyDescent="0.2">
      <c r="A208" s="3">
        <v>14245</v>
      </c>
      <c r="B208" s="2">
        <v>4.93</v>
      </c>
      <c r="C208" s="2">
        <v>17.18</v>
      </c>
      <c r="D208" s="2">
        <v>-0.91</v>
      </c>
      <c r="E208" s="2">
        <v>3.32</v>
      </c>
      <c r="F208" s="2">
        <v>-5.81</v>
      </c>
      <c r="G208" s="2">
        <v>12.36</v>
      </c>
      <c r="H208" s="2">
        <v>12.43</v>
      </c>
      <c r="I208" s="2">
        <v>24.6</v>
      </c>
      <c r="J208" s="2">
        <v>12.02</v>
      </c>
      <c r="K208" s="2">
        <v>2.4</v>
      </c>
      <c r="L208" s="2">
        <v>-6.52</v>
      </c>
      <c r="M208" s="2">
        <v>-6.73</v>
      </c>
      <c r="N208" s="2">
        <v>7.88</v>
      </c>
      <c r="O208" s="2">
        <v>4.07</v>
      </c>
      <c r="P208" s="2">
        <v>13.61</v>
      </c>
      <c r="Q208" s="2">
        <v>1.22</v>
      </c>
      <c r="R208" s="2">
        <v>-0.43</v>
      </c>
      <c r="S208" s="2">
        <v>11.87</v>
      </c>
      <c r="T208" s="2">
        <v>21.89</v>
      </c>
      <c r="U208" s="2">
        <v>8.85</v>
      </c>
      <c r="V208" s="2">
        <v>11.48</v>
      </c>
      <c r="W208" s="2">
        <v>11.73</v>
      </c>
      <c r="X208" s="2">
        <v>9.4700000000000006</v>
      </c>
      <c r="Y208" s="2">
        <v>9.43</v>
      </c>
      <c r="Z208" s="2">
        <v>0</v>
      </c>
      <c r="AA208" s="2">
        <v>33.119999999999997</v>
      </c>
      <c r="AB208" s="2">
        <v>5.01</v>
      </c>
      <c r="AC208" s="2">
        <v>0.14000000000000001</v>
      </c>
      <c r="AD208" s="2">
        <v>1.79</v>
      </c>
      <c r="AE208" s="2">
        <v>13.8</v>
      </c>
      <c r="AF208" s="2">
        <v>60.46</v>
      </c>
      <c r="AG208" s="2">
        <v>11.2</v>
      </c>
    </row>
    <row r="209" spans="1:33" x14ac:dyDescent="0.2">
      <c r="A209" s="3">
        <v>14276</v>
      </c>
      <c r="B209" s="2">
        <v>4.28</v>
      </c>
      <c r="C209" s="2">
        <v>16.3</v>
      </c>
      <c r="D209" s="2">
        <v>-2.58</v>
      </c>
      <c r="E209" s="2">
        <v>-1.36</v>
      </c>
      <c r="F209" s="2">
        <v>-9.02</v>
      </c>
      <c r="G209" s="2">
        <v>17.84</v>
      </c>
      <c r="H209" s="2">
        <v>10.54</v>
      </c>
      <c r="I209" s="2">
        <v>23.78</v>
      </c>
      <c r="J209" s="2">
        <v>17.78</v>
      </c>
      <c r="K209" s="2">
        <v>11.58</v>
      </c>
      <c r="L209" s="2">
        <v>2.0099999999999998</v>
      </c>
      <c r="M209" s="2">
        <v>-0.32</v>
      </c>
      <c r="N209" s="2">
        <v>9.2200000000000006</v>
      </c>
      <c r="O209" s="2">
        <v>3.88</v>
      </c>
      <c r="P209" s="2">
        <v>19.21</v>
      </c>
      <c r="Q209" s="2">
        <v>-0.15</v>
      </c>
      <c r="R209" s="2">
        <v>-0.22</v>
      </c>
      <c r="S209" s="2">
        <v>12.42</v>
      </c>
      <c r="T209" s="2">
        <v>23.47</v>
      </c>
      <c r="U209" s="2">
        <v>8.8800000000000008</v>
      </c>
      <c r="V209" s="2">
        <v>11.5</v>
      </c>
      <c r="W209" s="2">
        <v>4.26</v>
      </c>
      <c r="X209" s="2">
        <v>7.11</v>
      </c>
      <c r="Y209" s="2">
        <v>5.83</v>
      </c>
      <c r="Z209" s="2">
        <v>7.9</v>
      </c>
      <c r="AA209" s="2">
        <v>13.91</v>
      </c>
      <c r="AB209" s="2">
        <v>6.98</v>
      </c>
      <c r="AC209" s="2">
        <v>3.66</v>
      </c>
      <c r="AD209" s="2">
        <v>1.42</v>
      </c>
      <c r="AE209" s="2">
        <v>23.68</v>
      </c>
      <c r="AF209" s="2">
        <v>75.3</v>
      </c>
      <c r="AG209" s="2">
        <v>9.8800000000000008</v>
      </c>
    </row>
    <row r="210" spans="1:33" x14ac:dyDescent="0.2">
      <c r="A210" s="3">
        <v>14304</v>
      </c>
      <c r="B210" s="2">
        <v>3.58</v>
      </c>
      <c r="C210" s="2">
        <v>14.78</v>
      </c>
      <c r="D210" s="2">
        <v>-6.21</v>
      </c>
      <c r="E210" s="2">
        <v>-13.58</v>
      </c>
      <c r="F210" s="2">
        <v>-11.22</v>
      </c>
      <c r="G210" s="2">
        <v>9.27</v>
      </c>
      <c r="H210" s="2">
        <v>9.9499999999999993</v>
      </c>
      <c r="I210" s="2">
        <v>23.48</v>
      </c>
      <c r="J210" s="2">
        <v>12.43</v>
      </c>
      <c r="K210" s="2">
        <v>4.9400000000000004</v>
      </c>
      <c r="L210" s="2">
        <v>-13.86</v>
      </c>
      <c r="M210" s="2">
        <v>-3.57</v>
      </c>
      <c r="N210" s="2">
        <v>10.78</v>
      </c>
      <c r="O210" s="2">
        <v>3.58</v>
      </c>
      <c r="P210" s="2">
        <v>25.73</v>
      </c>
      <c r="Q210" s="2">
        <v>-0.03</v>
      </c>
      <c r="R210" s="2">
        <v>-0.41</v>
      </c>
      <c r="S210" s="2">
        <v>10.25</v>
      </c>
      <c r="T210" s="2">
        <v>16.36</v>
      </c>
      <c r="U210" s="2">
        <v>10.69</v>
      </c>
      <c r="V210" s="2">
        <v>14.42</v>
      </c>
      <c r="W210" s="2">
        <v>0</v>
      </c>
      <c r="X210" s="2">
        <v>1.06</v>
      </c>
      <c r="Y210" s="2">
        <v>1.18</v>
      </c>
      <c r="Z210" s="2">
        <v>3.73</v>
      </c>
      <c r="AA210" s="2">
        <v>1.43</v>
      </c>
      <c r="AB210" s="2">
        <v>1.86</v>
      </c>
      <c r="AC210" s="2">
        <v>31.29</v>
      </c>
      <c r="AD210" s="2">
        <v>1.83</v>
      </c>
      <c r="AE210" s="2">
        <v>14.45</v>
      </c>
      <c r="AF210" s="2">
        <v>62.77</v>
      </c>
      <c r="AG210" s="2">
        <v>10.08</v>
      </c>
    </row>
    <row r="211" spans="1:33" x14ac:dyDescent="0.2">
      <c r="A211" s="3">
        <v>14335</v>
      </c>
      <c r="B211" s="2">
        <v>6.95</v>
      </c>
      <c r="C211" s="2">
        <v>18.45</v>
      </c>
      <c r="D211" s="2">
        <v>3.27</v>
      </c>
      <c r="E211" s="2">
        <v>24.35</v>
      </c>
      <c r="F211" s="2">
        <v>20.56</v>
      </c>
      <c r="G211" s="2">
        <v>27.26</v>
      </c>
      <c r="H211" s="2">
        <v>19.61</v>
      </c>
      <c r="I211" s="2">
        <v>27.18</v>
      </c>
      <c r="J211" s="2">
        <v>20.43</v>
      </c>
      <c r="K211" s="2">
        <v>19.059999999999999</v>
      </c>
      <c r="L211" s="2">
        <v>-8.2799999999999994</v>
      </c>
      <c r="M211" s="2">
        <v>-5.63</v>
      </c>
      <c r="N211" s="2">
        <v>25.8</v>
      </c>
      <c r="O211" s="2">
        <v>6</v>
      </c>
      <c r="P211" s="2">
        <v>43.4</v>
      </c>
      <c r="Q211" s="2">
        <v>1.77</v>
      </c>
      <c r="R211" s="2">
        <v>-2.52</v>
      </c>
      <c r="S211" s="2">
        <v>26.53</v>
      </c>
      <c r="T211" s="2">
        <v>25.68</v>
      </c>
      <c r="U211" s="2">
        <v>10.88</v>
      </c>
      <c r="V211" s="2">
        <v>22.33</v>
      </c>
      <c r="W211" s="2">
        <v>0</v>
      </c>
      <c r="X211" s="2">
        <v>1.54</v>
      </c>
      <c r="Y211" s="2">
        <v>0.6</v>
      </c>
      <c r="Z211" s="2">
        <v>8.18</v>
      </c>
      <c r="AA211" s="2">
        <v>0</v>
      </c>
      <c r="AB211" s="2">
        <v>6.3</v>
      </c>
      <c r="AC211" s="2">
        <v>35.31</v>
      </c>
      <c r="AD211" s="2">
        <v>3.66</v>
      </c>
      <c r="AE211" s="2">
        <v>19.579999999999998</v>
      </c>
      <c r="AF211" s="2">
        <v>74.069999999999993</v>
      </c>
      <c r="AG211" s="2">
        <v>10.69</v>
      </c>
    </row>
    <row r="212" spans="1:33" x14ac:dyDescent="0.2">
      <c r="A212" s="3">
        <v>14365</v>
      </c>
      <c r="B212" s="2">
        <v>0.38</v>
      </c>
      <c r="C212" s="2">
        <v>7.27</v>
      </c>
      <c r="D212" s="2">
        <v>-7.42</v>
      </c>
      <c r="E212" s="2">
        <v>-38.86</v>
      </c>
      <c r="F212" s="2">
        <v>-13.66</v>
      </c>
      <c r="G212" s="2">
        <v>-6.85</v>
      </c>
      <c r="H212" s="2">
        <v>4.49</v>
      </c>
      <c r="I212" s="2">
        <v>16.07</v>
      </c>
      <c r="J212" s="2">
        <v>9.17</v>
      </c>
      <c r="K212" s="2">
        <v>9.06</v>
      </c>
      <c r="L212" s="2">
        <v>15.92</v>
      </c>
      <c r="M212" s="2">
        <v>0.97</v>
      </c>
      <c r="N212" s="2">
        <v>30.32</v>
      </c>
      <c r="O212" s="2">
        <v>6.84</v>
      </c>
      <c r="P212" s="2">
        <v>38.28</v>
      </c>
      <c r="Q212" s="2">
        <v>5.98</v>
      </c>
      <c r="R212" s="2">
        <v>3.25</v>
      </c>
      <c r="S212" s="2">
        <v>6.73</v>
      </c>
      <c r="T212" s="2">
        <v>20.49</v>
      </c>
      <c r="U212" s="2">
        <v>9.1300000000000008</v>
      </c>
      <c r="V212" s="2">
        <v>21.24</v>
      </c>
      <c r="W212" s="2">
        <v>0</v>
      </c>
      <c r="X212" s="2">
        <v>1.82</v>
      </c>
      <c r="Y212" s="2">
        <v>1.19</v>
      </c>
      <c r="Z212" s="2">
        <v>1.05</v>
      </c>
      <c r="AA212" s="2">
        <v>1.86</v>
      </c>
      <c r="AB212" s="2">
        <v>3.21</v>
      </c>
      <c r="AC212" s="2">
        <v>1.08</v>
      </c>
      <c r="AD212" s="2">
        <v>4.57</v>
      </c>
      <c r="AE212" s="2">
        <v>4.0999999999999996</v>
      </c>
      <c r="AF212" s="2">
        <v>91.65</v>
      </c>
      <c r="AG212" s="2">
        <v>14.64</v>
      </c>
    </row>
    <row r="213" spans="1:33" x14ac:dyDescent="0.2">
      <c r="A213" s="3">
        <v>14396</v>
      </c>
      <c r="B213" s="2">
        <v>-0.43</v>
      </c>
      <c r="C213" s="2">
        <v>12.06</v>
      </c>
      <c r="D213" s="2">
        <v>-3.77</v>
      </c>
      <c r="E213" s="2">
        <v>-44.31</v>
      </c>
      <c r="F213" s="2">
        <v>-27.98</v>
      </c>
      <c r="G213" s="2">
        <v>-10.029999999999999</v>
      </c>
      <c r="H213" s="2">
        <v>1.36</v>
      </c>
      <c r="I213" s="2">
        <v>16.63</v>
      </c>
      <c r="J213" s="2">
        <v>0.91</v>
      </c>
      <c r="K213" s="2">
        <v>-11.39</v>
      </c>
      <c r="L213" s="2">
        <v>-6.04</v>
      </c>
      <c r="M213" s="2">
        <v>-3.35</v>
      </c>
      <c r="N213" s="2">
        <v>16.649999999999999</v>
      </c>
      <c r="O213" s="2">
        <v>8.98</v>
      </c>
      <c r="P213" s="2">
        <v>35.64</v>
      </c>
      <c r="Q213" s="2">
        <v>4.5999999999999996</v>
      </c>
      <c r="R213" s="2">
        <v>1.42</v>
      </c>
      <c r="S213" s="2">
        <v>5.39</v>
      </c>
      <c r="T213" s="2">
        <v>24.94</v>
      </c>
      <c r="U213" s="2">
        <v>6.82</v>
      </c>
      <c r="V213" s="2">
        <v>22.29</v>
      </c>
      <c r="W213" s="2">
        <v>4.88</v>
      </c>
      <c r="X213" s="2">
        <v>4.4000000000000004</v>
      </c>
      <c r="Y213" s="2">
        <v>3.09</v>
      </c>
      <c r="Z213" s="2">
        <v>1.82</v>
      </c>
      <c r="AA213" s="2">
        <v>0</v>
      </c>
      <c r="AB213" s="2">
        <v>0</v>
      </c>
      <c r="AC213" s="2">
        <v>0</v>
      </c>
      <c r="AD213" s="2">
        <v>7.59</v>
      </c>
      <c r="AE213" s="2">
        <v>3.08</v>
      </c>
      <c r="AF213" s="2">
        <v>103.51</v>
      </c>
      <c r="AG213" s="2">
        <v>17.690000000000001</v>
      </c>
    </row>
    <row r="214" spans="1:33" x14ac:dyDescent="0.2">
      <c r="A214" s="3">
        <v>14426</v>
      </c>
      <c r="B214" s="2">
        <v>-1.97</v>
      </c>
      <c r="C214" s="2">
        <v>10.91</v>
      </c>
      <c r="D214" s="2">
        <v>-9.51</v>
      </c>
      <c r="E214" s="2">
        <v>-54.66</v>
      </c>
      <c r="F214" s="2">
        <v>-21.98</v>
      </c>
      <c r="G214" s="2">
        <v>-9.91</v>
      </c>
      <c r="H214" s="2">
        <v>3.98</v>
      </c>
      <c r="I214" s="2">
        <v>15.93</v>
      </c>
      <c r="J214" s="2">
        <v>-6.35</v>
      </c>
      <c r="K214" s="2">
        <v>-0.57999999999999996</v>
      </c>
      <c r="L214" s="2">
        <v>-14.93</v>
      </c>
      <c r="M214" s="2">
        <v>-8.02</v>
      </c>
      <c r="N214" s="2">
        <v>8.76</v>
      </c>
      <c r="O214" s="2">
        <v>10.86</v>
      </c>
      <c r="P214" s="2">
        <v>28.13</v>
      </c>
      <c r="Q214" s="2">
        <v>0.5</v>
      </c>
      <c r="R214" s="2">
        <v>8.4</v>
      </c>
      <c r="S214" s="2">
        <v>-0.78</v>
      </c>
      <c r="T214" s="2">
        <v>37.700000000000003</v>
      </c>
      <c r="U214" s="2">
        <v>3.02</v>
      </c>
      <c r="V214" s="2">
        <v>23.5</v>
      </c>
      <c r="W214" s="2">
        <v>18.62</v>
      </c>
      <c r="X214" s="2">
        <v>9.4</v>
      </c>
      <c r="Y214" s="2">
        <v>8.81</v>
      </c>
      <c r="Z214" s="2">
        <v>0</v>
      </c>
      <c r="AA214" s="2">
        <v>0</v>
      </c>
      <c r="AB214" s="2">
        <v>0</v>
      </c>
      <c r="AC214" s="2">
        <v>0</v>
      </c>
      <c r="AD214" s="2">
        <v>12.88</v>
      </c>
      <c r="AE214" s="2">
        <v>0</v>
      </c>
      <c r="AF214" s="2">
        <v>113.28</v>
      </c>
      <c r="AG214" s="2">
        <v>22.83</v>
      </c>
    </row>
    <row r="215" spans="1:33" x14ac:dyDescent="0.2">
      <c r="A215" s="3">
        <v>14457</v>
      </c>
      <c r="B215" s="2">
        <v>-2.11</v>
      </c>
      <c r="C215" s="2">
        <v>11.29</v>
      </c>
      <c r="D215" s="2">
        <v>-8.7100000000000009</v>
      </c>
      <c r="E215" s="2">
        <v>-41.82</v>
      </c>
      <c r="F215" s="2">
        <v>-12.1</v>
      </c>
      <c r="G215" s="2">
        <v>-1.18</v>
      </c>
      <c r="H215" s="2">
        <v>10.130000000000001</v>
      </c>
      <c r="I215" s="2">
        <v>19.600000000000001</v>
      </c>
      <c r="J215" s="2">
        <v>-2.62</v>
      </c>
      <c r="K215" s="2">
        <v>17.23</v>
      </c>
      <c r="L215" s="2">
        <v>-6.86</v>
      </c>
      <c r="M215" s="2">
        <v>-2.56</v>
      </c>
      <c r="N215" s="2">
        <v>14.59</v>
      </c>
      <c r="O215" s="2">
        <v>19.84</v>
      </c>
      <c r="P215" s="2">
        <v>29.49</v>
      </c>
      <c r="Q215" s="2">
        <v>2.61</v>
      </c>
      <c r="R215" s="2">
        <v>2.35</v>
      </c>
      <c r="S215" s="2">
        <v>1.62</v>
      </c>
      <c r="T215" s="2">
        <v>33.200000000000003</v>
      </c>
      <c r="U215" s="2">
        <v>3.29</v>
      </c>
      <c r="V215" s="2">
        <v>28.4</v>
      </c>
      <c r="W215" s="2">
        <v>30.39</v>
      </c>
      <c r="X215" s="2">
        <v>14.27</v>
      </c>
      <c r="Y215" s="2">
        <v>14.04</v>
      </c>
      <c r="Z215" s="2">
        <v>0</v>
      </c>
      <c r="AA215" s="2">
        <v>0</v>
      </c>
      <c r="AB215" s="2">
        <v>1.63</v>
      </c>
      <c r="AC215" s="2">
        <v>0.27</v>
      </c>
      <c r="AD215" s="2">
        <v>11.72</v>
      </c>
      <c r="AE215" s="2">
        <v>0</v>
      </c>
      <c r="AF215" s="2">
        <v>123.36</v>
      </c>
      <c r="AG215" s="2">
        <v>24.8</v>
      </c>
    </row>
    <row r="216" spans="1:33" x14ac:dyDescent="0.2">
      <c r="A216" s="3">
        <v>14488</v>
      </c>
      <c r="B216" s="2">
        <v>-2.78</v>
      </c>
      <c r="C216" s="2">
        <v>10.72</v>
      </c>
      <c r="D216" s="2">
        <v>-8.07</v>
      </c>
      <c r="E216" s="2">
        <v>-35.47</v>
      </c>
      <c r="F216" s="2">
        <v>-3.03</v>
      </c>
      <c r="G216" s="2">
        <v>6.19</v>
      </c>
      <c r="H216" s="2">
        <v>13.46</v>
      </c>
      <c r="I216" s="2">
        <v>17.649999999999999</v>
      </c>
      <c r="J216" s="2">
        <v>2.46</v>
      </c>
      <c r="K216" s="2">
        <v>20.69</v>
      </c>
      <c r="L216" s="2">
        <v>-3.18</v>
      </c>
      <c r="M216" s="2">
        <v>-3.38</v>
      </c>
      <c r="N216" s="2">
        <v>15.43</v>
      </c>
      <c r="O216" s="2">
        <v>23.53</v>
      </c>
      <c r="P216" s="2">
        <v>28.53</v>
      </c>
      <c r="Q216" s="2">
        <v>1.21</v>
      </c>
      <c r="R216" s="2">
        <v>0.05</v>
      </c>
      <c r="S216" s="2">
        <v>1.57</v>
      </c>
      <c r="T216" s="2">
        <v>32.68</v>
      </c>
      <c r="U216" s="2">
        <v>4.51</v>
      </c>
      <c r="V216" s="2">
        <v>26.3</v>
      </c>
      <c r="W216" s="2">
        <v>31.47</v>
      </c>
      <c r="X216" s="2">
        <v>16.510000000000002</v>
      </c>
      <c r="Y216" s="2">
        <v>16.420000000000002</v>
      </c>
      <c r="Z216" s="2">
        <v>0.19</v>
      </c>
      <c r="AA216" s="2">
        <v>0</v>
      </c>
      <c r="AB216" s="2">
        <v>3.32</v>
      </c>
      <c r="AC216" s="2">
        <v>2.17</v>
      </c>
      <c r="AD216" s="2">
        <v>7.97</v>
      </c>
      <c r="AE216" s="2">
        <v>0.09</v>
      </c>
      <c r="AF216" s="2">
        <v>125.46</v>
      </c>
      <c r="AG216" s="2">
        <v>23.65</v>
      </c>
    </row>
    <row r="217" spans="1:33" x14ac:dyDescent="0.2">
      <c r="A217" s="3">
        <v>14518</v>
      </c>
      <c r="B217" s="2">
        <v>-2.4500000000000002</v>
      </c>
      <c r="C217" s="2">
        <v>11.7</v>
      </c>
      <c r="D217" s="2">
        <v>-5.51</v>
      </c>
      <c r="E217" s="2">
        <v>-14.94</v>
      </c>
      <c r="F217" s="2">
        <v>3.47</v>
      </c>
      <c r="G217" s="2">
        <v>15.13</v>
      </c>
      <c r="H217" s="2">
        <v>18.72</v>
      </c>
      <c r="I217" s="2">
        <v>24.48</v>
      </c>
      <c r="J217" s="2">
        <v>18.71</v>
      </c>
      <c r="K217" s="2">
        <v>1.08</v>
      </c>
      <c r="L217" s="2">
        <v>-4.2699999999999996</v>
      </c>
      <c r="M217" s="2">
        <v>-3.19</v>
      </c>
      <c r="N217" s="2">
        <v>14.45</v>
      </c>
      <c r="O217" s="2">
        <v>1.41</v>
      </c>
      <c r="P217" s="2">
        <v>21.56</v>
      </c>
      <c r="Q217" s="2">
        <v>2.5</v>
      </c>
      <c r="R217" s="2">
        <v>0.77</v>
      </c>
      <c r="S217" s="2">
        <v>-0.8</v>
      </c>
      <c r="T217" s="2">
        <v>21.93</v>
      </c>
      <c r="U217" s="2">
        <v>8.82</v>
      </c>
      <c r="V217" s="2">
        <v>12.39</v>
      </c>
      <c r="W217" s="2">
        <v>26.1</v>
      </c>
      <c r="X217" s="2">
        <v>15.76</v>
      </c>
      <c r="Y217" s="2">
        <v>15.46</v>
      </c>
      <c r="Z217" s="2">
        <v>9.0399999999999991</v>
      </c>
      <c r="AA217" s="2">
        <v>128.47</v>
      </c>
      <c r="AB217" s="2">
        <v>3.49</v>
      </c>
      <c r="AC217" s="2">
        <v>8.93</v>
      </c>
      <c r="AD217" s="2">
        <v>4.9800000000000004</v>
      </c>
      <c r="AE217" s="2">
        <v>2.2400000000000002</v>
      </c>
      <c r="AF217" s="2">
        <v>116.86</v>
      </c>
      <c r="AG217" s="2">
        <v>20.170000000000002</v>
      </c>
    </row>
    <row r="218" spans="1:33" x14ac:dyDescent="0.2">
      <c r="A218" s="3">
        <v>14549</v>
      </c>
      <c r="B218" s="2">
        <v>-2.0299999999999998</v>
      </c>
      <c r="C218" s="2">
        <v>12.13</v>
      </c>
      <c r="D218" s="2">
        <v>-3.91</v>
      </c>
      <c r="E218" s="2">
        <v>-0.38</v>
      </c>
      <c r="F218" s="2">
        <v>-2.7</v>
      </c>
      <c r="G218" s="2">
        <v>18.739999999999998</v>
      </c>
      <c r="H218" s="2">
        <v>17.079999999999998</v>
      </c>
      <c r="I218" s="2">
        <v>24.2</v>
      </c>
      <c r="J218" s="2">
        <v>12.83</v>
      </c>
      <c r="K218" s="2">
        <v>-2.29</v>
      </c>
      <c r="L218" s="2">
        <v>-3.23</v>
      </c>
      <c r="M218" s="2">
        <v>-3.49</v>
      </c>
      <c r="N218" s="2">
        <v>13.51</v>
      </c>
      <c r="O218" s="2">
        <v>3.47</v>
      </c>
      <c r="P218" s="2">
        <v>24.93</v>
      </c>
      <c r="Q218" s="2">
        <v>1.46</v>
      </c>
      <c r="R218" s="2">
        <v>-1.28</v>
      </c>
      <c r="S218" s="2">
        <v>1.39</v>
      </c>
      <c r="T218" s="2">
        <v>23.32</v>
      </c>
      <c r="U218" s="2">
        <v>7.91</v>
      </c>
      <c r="V218" s="2">
        <v>13.6</v>
      </c>
      <c r="W218" s="2">
        <v>22.19</v>
      </c>
      <c r="X218" s="2">
        <v>14.69</v>
      </c>
      <c r="Y218" s="2">
        <v>14.37</v>
      </c>
      <c r="Z218" s="2">
        <v>1.29</v>
      </c>
      <c r="AA218" s="2">
        <v>0</v>
      </c>
      <c r="AB218" s="2">
        <v>1.1599999999999999</v>
      </c>
      <c r="AC218" s="2">
        <v>0</v>
      </c>
      <c r="AD218" s="2">
        <v>4.47</v>
      </c>
      <c r="AE218" s="2">
        <v>9.7899999999999991</v>
      </c>
      <c r="AF218" s="2">
        <v>105.99</v>
      </c>
      <c r="AG218" s="2">
        <v>16.420000000000002</v>
      </c>
    </row>
    <row r="219" spans="1:33" x14ac:dyDescent="0.2">
      <c r="A219" s="3">
        <v>14579</v>
      </c>
      <c r="B219" s="2">
        <v>0.39</v>
      </c>
      <c r="C219" s="2">
        <v>12.52</v>
      </c>
      <c r="D219" s="2">
        <v>-3.85</v>
      </c>
      <c r="E219" s="2">
        <v>8.4</v>
      </c>
      <c r="F219" s="2">
        <v>-4.91</v>
      </c>
      <c r="G219" s="2">
        <v>14.8</v>
      </c>
      <c r="H219" s="2">
        <v>13.59</v>
      </c>
      <c r="I219" s="2">
        <v>20.83</v>
      </c>
      <c r="J219" s="2">
        <v>13.54</v>
      </c>
      <c r="K219" s="2">
        <v>-1.68</v>
      </c>
      <c r="L219" s="2">
        <v>-2.99</v>
      </c>
      <c r="M219" s="2">
        <v>-3.7</v>
      </c>
      <c r="N219" s="2">
        <v>6.61</v>
      </c>
      <c r="O219" s="2">
        <v>1.88</v>
      </c>
      <c r="P219" s="2">
        <v>18.82</v>
      </c>
      <c r="Q219" s="2">
        <v>2.04</v>
      </c>
      <c r="R219" s="2">
        <v>-1.75</v>
      </c>
      <c r="S219" s="2">
        <v>-2.68</v>
      </c>
      <c r="T219" s="2">
        <v>20.72</v>
      </c>
      <c r="U219" s="2">
        <v>8.36</v>
      </c>
      <c r="V219" s="2">
        <v>12.5</v>
      </c>
      <c r="W219" s="2">
        <v>15.43</v>
      </c>
      <c r="X219" s="2">
        <v>9.6199999999999992</v>
      </c>
      <c r="Y219" s="2">
        <v>8.2799999999999994</v>
      </c>
      <c r="Z219" s="2">
        <v>1.53</v>
      </c>
      <c r="AA219" s="2">
        <v>8.0299999999999994</v>
      </c>
      <c r="AB219" s="2">
        <v>0</v>
      </c>
      <c r="AC219" s="2">
        <v>16.79</v>
      </c>
      <c r="AD219" s="2">
        <v>2.73</v>
      </c>
      <c r="AE219" s="2">
        <v>1.77</v>
      </c>
      <c r="AF219" s="2">
        <v>69.540000000000006</v>
      </c>
      <c r="AG219" s="2">
        <v>12.92</v>
      </c>
    </row>
    <row r="220" spans="1:33" x14ac:dyDescent="0.2">
      <c r="A220" s="3">
        <v>14610</v>
      </c>
      <c r="B220" s="2">
        <v>4.63</v>
      </c>
      <c r="C220" s="2">
        <v>18.760000000000002</v>
      </c>
      <c r="D220" s="2">
        <v>7.49</v>
      </c>
      <c r="E220" s="2">
        <v>47.96</v>
      </c>
      <c r="F220" s="2">
        <v>5.61</v>
      </c>
      <c r="G220" s="2">
        <v>26.84</v>
      </c>
      <c r="H220" s="2">
        <v>19.38</v>
      </c>
      <c r="I220" s="2">
        <v>21.29</v>
      </c>
      <c r="J220" s="2">
        <v>16.7</v>
      </c>
      <c r="K220" s="2">
        <v>-1.1000000000000001</v>
      </c>
      <c r="L220" s="2">
        <v>-0.61</v>
      </c>
      <c r="M220" s="2">
        <v>-3.96</v>
      </c>
      <c r="N220" s="2">
        <v>5.26</v>
      </c>
      <c r="O220" s="2">
        <v>1.34</v>
      </c>
      <c r="P220" s="2">
        <v>18.850000000000001</v>
      </c>
      <c r="Q220" s="2">
        <v>0.26</v>
      </c>
      <c r="R220" s="2">
        <v>-2.25</v>
      </c>
      <c r="S220" s="2">
        <v>-2.61</v>
      </c>
      <c r="T220" s="2">
        <v>19.18</v>
      </c>
      <c r="U220" s="2">
        <v>7.53</v>
      </c>
      <c r="V220" s="2">
        <v>12.09</v>
      </c>
      <c r="W220" s="2">
        <v>11.73</v>
      </c>
      <c r="X220" s="2">
        <v>7.61</v>
      </c>
      <c r="Y220" s="2">
        <v>7.49</v>
      </c>
      <c r="Z220" s="2">
        <v>0.14000000000000001</v>
      </c>
      <c r="AA220" s="2">
        <v>1.86</v>
      </c>
      <c r="AB220" s="2">
        <v>0.5</v>
      </c>
      <c r="AC220" s="2">
        <v>0.68</v>
      </c>
      <c r="AD220" s="2">
        <v>2.56</v>
      </c>
      <c r="AE220" s="2">
        <v>4.75</v>
      </c>
      <c r="AF220" s="2">
        <v>63.89</v>
      </c>
      <c r="AG220" s="2">
        <v>11.2</v>
      </c>
    </row>
    <row r="221" spans="1:33" x14ac:dyDescent="0.2">
      <c r="A221" s="3">
        <v>14641</v>
      </c>
      <c r="B221" s="2">
        <v>12.81</v>
      </c>
      <c r="C221" s="2">
        <v>32.85</v>
      </c>
      <c r="D221" s="2">
        <v>56.38</v>
      </c>
      <c r="E221" s="2">
        <v>177.89</v>
      </c>
      <c r="F221" s="2">
        <v>158.47999999999999</v>
      </c>
      <c r="G221" s="2">
        <v>205.25</v>
      </c>
      <c r="H221" s="2">
        <v>50.91</v>
      </c>
      <c r="I221" s="2">
        <v>43.2</v>
      </c>
      <c r="J221" s="2">
        <v>113.28</v>
      </c>
      <c r="K221" s="2">
        <v>106.74</v>
      </c>
      <c r="L221" s="2">
        <v>48.6</v>
      </c>
      <c r="M221" s="2">
        <v>43.15</v>
      </c>
      <c r="N221" s="2">
        <v>112.3</v>
      </c>
      <c r="O221" s="2">
        <v>5.66</v>
      </c>
      <c r="P221" s="2">
        <v>165.68</v>
      </c>
      <c r="Q221" s="2">
        <v>3.15</v>
      </c>
      <c r="R221" s="2">
        <v>6.33</v>
      </c>
      <c r="S221" s="2">
        <v>126.69</v>
      </c>
      <c r="T221" s="2">
        <v>36.74</v>
      </c>
      <c r="U221" s="2">
        <v>10.84</v>
      </c>
      <c r="V221" s="2">
        <v>27.61</v>
      </c>
      <c r="W221" s="2">
        <v>4.26</v>
      </c>
      <c r="X221" s="2">
        <v>9.8800000000000008</v>
      </c>
      <c r="Y221" s="2">
        <v>8.66</v>
      </c>
      <c r="Z221" s="2">
        <v>6.8</v>
      </c>
      <c r="AA221" s="2">
        <v>11.04</v>
      </c>
      <c r="AB221" s="2">
        <v>5.46</v>
      </c>
      <c r="AC221" s="2">
        <v>16.52</v>
      </c>
      <c r="AD221" s="2">
        <v>2.39</v>
      </c>
      <c r="AE221" s="2">
        <v>52.39</v>
      </c>
      <c r="AF221" s="2">
        <v>69.56</v>
      </c>
      <c r="AG221" s="2">
        <v>9.8800000000000008</v>
      </c>
    </row>
    <row r="222" spans="1:33" x14ac:dyDescent="0.2">
      <c r="A222" s="3">
        <v>14670</v>
      </c>
      <c r="B222" s="2">
        <v>20.97</v>
      </c>
      <c r="C222" s="2">
        <v>58.65</v>
      </c>
      <c r="D222" s="2">
        <v>68.44</v>
      </c>
      <c r="E222" s="2">
        <v>170.54</v>
      </c>
      <c r="F222" s="2">
        <v>145.41999999999999</v>
      </c>
      <c r="G222" s="2">
        <v>203.15</v>
      </c>
      <c r="H222" s="2">
        <v>49.88</v>
      </c>
      <c r="I222" s="2">
        <v>45.71</v>
      </c>
      <c r="J222" s="2">
        <v>110.32</v>
      </c>
      <c r="K222" s="2">
        <v>22.03</v>
      </c>
      <c r="L222" s="2">
        <v>55.74</v>
      </c>
      <c r="M222" s="2">
        <v>31.8</v>
      </c>
      <c r="N222" s="2">
        <v>61.67</v>
      </c>
      <c r="O222" s="2">
        <v>5.15</v>
      </c>
      <c r="P222" s="2">
        <v>117.24</v>
      </c>
      <c r="Q222" s="2">
        <v>8.58</v>
      </c>
      <c r="R222" s="2">
        <v>20.76</v>
      </c>
      <c r="S222" s="2">
        <v>85.19</v>
      </c>
      <c r="T222" s="2">
        <v>44.59</v>
      </c>
      <c r="U222" s="2">
        <v>15.31</v>
      </c>
      <c r="V222" s="2">
        <v>19.989999999999998</v>
      </c>
      <c r="W222" s="2">
        <v>0</v>
      </c>
      <c r="X222" s="2">
        <v>3.35</v>
      </c>
      <c r="Y222" s="2">
        <v>3.52</v>
      </c>
      <c r="Z222" s="2">
        <v>6.56</v>
      </c>
      <c r="AA222" s="2">
        <v>13.33</v>
      </c>
      <c r="AB222" s="2">
        <v>12.24</v>
      </c>
      <c r="AC222" s="2">
        <v>10.56</v>
      </c>
      <c r="AD222" s="2">
        <v>2.48</v>
      </c>
      <c r="AE222" s="2">
        <v>61.9</v>
      </c>
      <c r="AF222" s="2">
        <v>57.98</v>
      </c>
      <c r="AG222" s="2">
        <v>10.08</v>
      </c>
    </row>
    <row r="223" spans="1:33" x14ac:dyDescent="0.2">
      <c r="A223" s="3">
        <v>14701</v>
      </c>
      <c r="B223" s="2">
        <v>19.62</v>
      </c>
      <c r="C223" s="2">
        <v>37.880000000000003</v>
      </c>
      <c r="D223" s="2">
        <v>-5.44</v>
      </c>
      <c r="E223" s="2">
        <v>11.08</v>
      </c>
      <c r="F223" s="2">
        <v>93.59</v>
      </c>
      <c r="G223" s="2">
        <v>88.18</v>
      </c>
      <c r="H223" s="2">
        <v>-0.9</v>
      </c>
      <c r="I223" s="2">
        <v>35.049999999999997</v>
      </c>
      <c r="J223" s="2">
        <v>41.25</v>
      </c>
      <c r="K223" s="2">
        <v>-0.12</v>
      </c>
      <c r="L223" s="2">
        <v>43.69</v>
      </c>
      <c r="M223" s="2">
        <v>17.78</v>
      </c>
      <c r="N223" s="2">
        <v>36.369999999999997</v>
      </c>
      <c r="O223" s="2">
        <v>9.39</v>
      </c>
      <c r="P223" s="2">
        <v>55.65</v>
      </c>
      <c r="Q223" s="2">
        <v>7.59</v>
      </c>
      <c r="R223" s="2">
        <v>5.09</v>
      </c>
      <c r="S223" s="2">
        <v>19.23</v>
      </c>
      <c r="T223" s="2">
        <v>18.920000000000002</v>
      </c>
      <c r="U223" s="2">
        <v>12.38</v>
      </c>
      <c r="V223" s="2">
        <v>18.920000000000002</v>
      </c>
      <c r="W223" s="2">
        <v>0</v>
      </c>
      <c r="X223" s="2">
        <v>4.25</v>
      </c>
      <c r="Y223" s="2">
        <v>3.39</v>
      </c>
      <c r="Z223" s="2">
        <v>3.54</v>
      </c>
      <c r="AA223" s="2">
        <v>2.0099999999999998</v>
      </c>
      <c r="AB223" s="2">
        <v>1.49</v>
      </c>
      <c r="AC223" s="2">
        <v>9.07</v>
      </c>
      <c r="AD223" s="2">
        <v>4.24</v>
      </c>
      <c r="AE223" s="2">
        <v>31.32</v>
      </c>
      <c r="AF223" s="2">
        <v>68.42</v>
      </c>
      <c r="AG223" s="2">
        <v>10.69</v>
      </c>
    </row>
    <row r="224" spans="1:33" x14ac:dyDescent="0.2">
      <c r="A224" s="3">
        <v>14731</v>
      </c>
      <c r="B224" s="2">
        <v>14.36</v>
      </c>
      <c r="C224" s="2">
        <v>23.94</v>
      </c>
      <c r="D224" s="2">
        <v>-29.68</v>
      </c>
      <c r="E224" s="2">
        <v>-66.150000000000006</v>
      </c>
      <c r="F224" s="2">
        <v>-37.090000000000003</v>
      </c>
      <c r="G224" s="2">
        <v>-85.83</v>
      </c>
      <c r="H224" s="2">
        <v>-4.45</v>
      </c>
      <c r="I224" s="2">
        <v>34.049999999999997</v>
      </c>
      <c r="J224" s="2">
        <v>8.8800000000000008</v>
      </c>
      <c r="K224" s="2">
        <v>1.92</v>
      </c>
      <c r="L224" s="2">
        <v>-1.58</v>
      </c>
      <c r="M224" s="2">
        <v>-3.16</v>
      </c>
      <c r="N224" s="2">
        <v>33.619999999999997</v>
      </c>
      <c r="O224" s="2">
        <v>6.43</v>
      </c>
      <c r="P224" s="2">
        <v>32.53</v>
      </c>
      <c r="Q224" s="2">
        <v>9.65</v>
      </c>
      <c r="R224" s="2">
        <v>4.24</v>
      </c>
      <c r="S224" s="2">
        <v>12.25</v>
      </c>
      <c r="T224" s="2">
        <v>13.56</v>
      </c>
      <c r="U224" s="2">
        <v>15.33</v>
      </c>
      <c r="V224" s="2">
        <v>21.75</v>
      </c>
      <c r="W224" s="2">
        <v>0</v>
      </c>
      <c r="X224" s="2">
        <v>5.18</v>
      </c>
      <c r="Y224" s="2">
        <v>4.63</v>
      </c>
      <c r="Z224" s="2">
        <v>2.87</v>
      </c>
      <c r="AA224" s="2">
        <v>0.14000000000000001</v>
      </c>
      <c r="AB224" s="2">
        <v>0.83</v>
      </c>
      <c r="AC224" s="2">
        <v>2.44</v>
      </c>
      <c r="AD224" s="2">
        <v>5.85</v>
      </c>
      <c r="AE224" s="2">
        <v>2.7</v>
      </c>
      <c r="AF224" s="2">
        <v>84.67</v>
      </c>
      <c r="AG224" s="2">
        <v>14.64</v>
      </c>
    </row>
    <row r="225" spans="1:33" x14ac:dyDescent="0.2">
      <c r="A225" s="3">
        <v>14762</v>
      </c>
      <c r="B225" s="2">
        <v>7.35</v>
      </c>
      <c r="C225" s="2">
        <v>15.66</v>
      </c>
      <c r="D225" s="2">
        <v>-17.399999999999999</v>
      </c>
      <c r="E225" s="2">
        <v>-90.33</v>
      </c>
      <c r="F225" s="2">
        <v>-115.63</v>
      </c>
      <c r="G225" s="2">
        <v>-91.68</v>
      </c>
      <c r="H225" s="2">
        <v>11.6</v>
      </c>
      <c r="I225" s="2">
        <v>27.5</v>
      </c>
      <c r="J225" s="2">
        <v>17.36</v>
      </c>
      <c r="K225" s="2">
        <v>30.42</v>
      </c>
      <c r="L225" s="2">
        <v>20.28</v>
      </c>
      <c r="M225" s="2">
        <v>16.260000000000002</v>
      </c>
      <c r="N225" s="2">
        <v>56.2</v>
      </c>
      <c r="O225" s="2">
        <v>15.47</v>
      </c>
      <c r="P225" s="2">
        <v>73.78</v>
      </c>
      <c r="Q225" s="2">
        <v>15.91</v>
      </c>
      <c r="R225" s="2">
        <v>13.05</v>
      </c>
      <c r="S225" s="2">
        <v>26.2</v>
      </c>
      <c r="T225" s="2">
        <v>9.25</v>
      </c>
      <c r="U225" s="2">
        <v>28.46</v>
      </c>
      <c r="V225" s="2">
        <v>31.06</v>
      </c>
      <c r="W225" s="2">
        <v>4.88</v>
      </c>
      <c r="X225" s="2">
        <v>8.18</v>
      </c>
      <c r="Y225" s="2">
        <v>6.98</v>
      </c>
      <c r="Z225" s="2">
        <v>0</v>
      </c>
      <c r="AA225" s="2">
        <v>0</v>
      </c>
      <c r="AB225" s="2">
        <v>0</v>
      </c>
      <c r="AC225" s="2">
        <v>0</v>
      </c>
      <c r="AD225" s="2">
        <v>7.39</v>
      </c>
      <c r="AE225" s="2">
        <v>1.96</v>
      </c>
      <c r="AF225" s="2">
        <v>95.62</v>
      </c>
      <c r="AG225" s="2">
        <v>17.690000000000001</v>
      </c>
    </row>
    <row r="226" spans="1:33" x14ac:dyDescent="0.2">
      <c r="A226" s="3">
        <v>14792</v>
      </c>
      <c r="B226" s="2">
        <v>2.4</v>
      </c>
      <c r="C226" s="2">
        <v>14.16</v>
      </c>
      <c r="D226" s="2">
        <v>-18.3</v>
      </c>
      <c r="E226" s="2">
        <v>-89.41</v>
      </c>
      <c r="F226" s="2">
        <v>-73.47</v>
      </c>
      <c r="G226" s="2">
        <v>-52.54</v>
      </c>
      <c r="H226" s="2">
        <v>-0.3</v>
      </c>
      <c r="I226" s="2">
        <v>22.1</v>
      </c>
      <c r="J226" s="2">
        <v>-21.05</v>
      </c>
      <c r="K226" s="2">
        <v>-15.9</v>
      </c>
      <c r="L226" s="2">
        <v>-36.28</v>
      </c>
      <c r="M226" s="2">
        <v>-11.47</v>
      </c>
      <c r="N226" s="2">
        <v>16.86</v>
      </c>
      <c r="O226" s="2">
        <v>19.350000000000001</v>
      </c>
      <c r="P226" s="2">
        <v>17.690000000000001</v>
      </c>
      <c r="Q226" s="2">
        <v>10.84</v>
      </c>
      <c r="R226" s="2">
        <v>4.4800000000000004</v>
      </c>
      <c r="S226" s="2">
        <v>11.04</v>
      </c>
      <c r="T226" s="2">
        <v>28.1</v>
      </c>
      <c r="U226" s="2">
        <v>16.28</v>
      </c>
      <c r="V226" s="2">
        <v>27.65</v>
      </c>
      <c r="W226" s="2">
        <v>18.62</v>
      </c>
      <c r="X226" s="2">
        <v>13.54</v>
      </c>
      <c r="Y226" s="2">
        <v>13.06</v>
      </c>
      <c r="Z226" s="2">
        <v>0</v>
      </c>
      <c r="AA226" s="2">
        <v>0</v>
      </c>
      <c r="AB226" s="2">
        <v>0</v>
      </c>
      <c r="AC226" s="2">
        <v>0</v>
      </c>
      <c r="AD226" s="2">
        <v>7.89</v>
      </c>
      <c r="AE226" s="2">
        <v>0</v>
      </c>
      <c r="AF226" s="2">
        <v>104.64</v>
      </c>
      <c r="AG226" s="2">
        <v>22.83</v>
      </c>
    </row>
    <row r="227" spans="1:33" x14ac:dyDescent="0.2">
      <c r="A227" s="3">
        <v>14823</v>
      </c>
      <c r="B227" s="2">
        <v>1.4</v>
      </c>
      <c r="C227" s="2">
        <v>13.92</v>
      </c>
      <c r="D227" s="2">
        <v>-13.56</v>
      </c>
      <c r="E227" s="2">
        <v>-74.84</v>
      </c>
      <c r="F227" s="2">
        <v>-41.08</v>
      </c>
      <c r="G227" s="2">
        <v>-33.07</v>
      </c>
      <c r="H227" s="2">
        <v>3.92</v>
      </c>
      <c r="I227" s="2">
        <v>19.22</v>
      </c>
      <c r="J227" s="2">
        <v>-38.43</v>
      </c>
      <c r="K227" s="2">
        <v>-40.15</v>
      </c>
      <c r="L227" s="2">
        <v>-62.08</v>
      </c>
      <c r="M227" s="2">
        <v>-37.99</v>
      </c>
      <c r="N227" s="2">
        <v>-9.51</v>
      </c>
      <c r="O227" s="2">
        <v>26.57</v>
      </c>
      <c r="P227" s="2">
        <v>13.88</v>
      </c>
      <c r="Q227" s="2">
        <v>3.32</v>
      </c>
      <c r="R227" s="2">
        <v>18.53</v>
      </c>
      <c r="S227" s="2">
        <v>7.56</v>
      </c>
      <c r="T227" s="2">
        <v>37.369999999999997</v>
      </c>
      <c r="U227" s="2">
        <v>3.73</v>
      </c>
      <c r="V227" s="2">
        <v>25.17</v>
      </c>
      <c r="W227" s="2">
        <v>30.39</v>
      </c>
      <c r="X227" s="2">
        <v>18.78</v>
      </c>
      <c r="Y227" s="2">
        <v>18.68</v>
      </c>
      <c r="Z227" s="2">
        <v>0</v>
      </c>
      <c r="AA227" s="2">
        <v>0.28999999999999998</v>
      </c>
      <c r="AB227" s="2">
        <v>0</v>
      </c>
      <c r="AC227" s="2">
        <v>0</v>
      </c>
      <c r="AD227" s="2">
        <v>7.01</v>
      </c>
      <c r="AE227" s="2">
        <v>0</v>
      </c>
      <c r="AF227" s="2">
        <v>113.96</v>
      </c>
      <c r="AG227" s="2">
        <v>24.8</v>
      </c>
    </row>
    <row r="228" spans="1:33" x14ac:dyDescent="0.2">
      <c r="A228" s="3">
        <v>14854</v>
      </c>
      <c r="B228" s="2">
        <v>0.78</v>
      </c>
      <c r="C228" s="2">
        <v>14.47</v>
      </c>
      <c r="D228" s="2">
        <v>-9.17</v>
      </c>
      <c r="E228" s="2">
        <v>-57.83</v>
      </c>
      <c r="F228" s="2">
        <v>-22.57</v>
      </c>
      <c r="G228" s="2">
        <v>-14.83</v>
      </c>
      <c r="H228" s="2">
        <v>9.92</v>
      </c>
      <c r="I228" s="2">
        <v>20.93</v>
      </c>
      <c r="J228" s="2">
        <v>-16.899999999999999</v>
      </c>
      <c r="K228" s="2">
        <v>-5.65</v>
      </c>
      <c r="L228" s="2">
        <v>-28.45</v>
      </c>
      <c r="M228" s="2">
        <v>-18.739999999999998</v>
      </c>
      <c r="N228" s="2">
        <v>5.29</v>
      </c>
      <c r="O228" s="2">
        <v>29.73</v>
      </c>
      <c r="P228" s="2">
        <v>21.89</v>
      </c>
      <c r="Q228" s="2">
        <v>1.92</v>
      </c>
      <c r="R228" s="2">
        <v>5.58</v>
      </c>
      <c r="S228" s="2">
        <v>4.17</v>
      </c>
      <c r="T228" s="2">
        <v>33.799999999999997</v>
      </c>
      <c r="U228" s="2">
        <v>4.54</v>
      </c>
      <c r="V228" s="2">
        <v>27.23</v>
      </c>
      <c r="W228" s="2">
        <v>31.47</v>
      </c>
      <c r="X228" s="2">
        <v>21.11</v>
      </c>
      <c r="Y228" s="2">
        <v>21.14</v>
      </c>
      <c r="Z228" s="2">
        <v>0</v>
      </c>
      <c r="AA228" s="2">
        <v>0</v>
      </c>
      <c r="AB228" s="2">
        <v>0</v>
      </c>
      <c r="AC228" s="2">
        <v>0</v>
      </c>
      <c r="AD228" s="2">
        <v>5.97</v>
      </c>
      <c r="AE228" s="2">
        <v>0</v>
      </c>
      <c r="AF228" s="2">
        <v>115.89</v>
      </c>
      <c r="AG228" s="2">
        <v>23.65</v>
      </c>
    </row>
    <row r="229" spans="1:33" x14ac:dyDescent="0.2">
      <c r="A229" s="3">
        <v>14884</v>
      </c>
      <c r="B229" s="2">
        <v>0.81</v>
      </c>
      <c r="C229" s="2">
        <v>15.29</v>
      </c>
      <c r="D229" s="2">
        <v>-5.55</v>
      </c>
      <c r="E229" s="2">
        <v>-33.49</v>
      </c>
      <c r="F229" s="2">
        <v>-10.41</v>
      </c>
      <c r="G229" s="2">
        <v>1.03</v>
      </c>
      <c r="H229" s="2">
        <v>17.52</v>
      </c>
      <c r="I229" s="2">
        <v>25.03</v>
      </c>
      <c r="J229" s="2">
        <v>7.85</v>
      </c>
      <c r="K229" s="2">
        <v>-8.19</v>
      </c>
      <c r="L229" s="2">
        <v>-7.76</v>
      </c>
      <c r="M229" s="2">
        <v>-2.63</v>
      </c>
      <c r="N229" s="2">
        <v>16.72</v>
      </c>
      <c r="O229" s="2">
        <v>1.68</v>
      </c>
      <c r="P229" s="2">
        <v>18.11</v>
      </c>
      <c r="Q229" s="2">
        <v>3.46</v>
      </c>
      <c r="R229" s="2">
        <v>3.4</v>
      </c>
      <c r="S229" s="2">
        <v>-0.5</v>
      </c>
      <c r="T229" s="2">
        <v>22</v>
      </c>
      <c r="U229" s="2">
        <v>8.5299999999999994</v>
      </c>
      <c r="V229" s="2">
        <v>12.36</v>
      </c>
      <c r="W229" s="2">
        <v>26.1</v>
      </c>
      <c r="X229" s="2">
        <v>20.04</v>
      </c>
      <c r="Y229" s="2">
        <v>19.850000000000001</v>
      </c>
      <c r="Z229" s="2">
        <v>0</v>
      </c>
      <c r="AA229" s="2">
        <v>0.86</v>
      </c>
      <c r="AB229" s="2">
        <v>0</v>
      </c>
      <c r="AC229" s="2">
        <v>0</v>
      </c>
      <c r="AD229" s="2">
        <v>4.4000000000000004</v>
      </c>
      <c r="AE229" s="2">
        <v>2.42</v>
      </c>
      <c r="AF229" s="2">
        <v>107.95</v>
      </c>
      <c r="AG229" s="2">
        <v>20.170000000000002</v>
      </c>
    </row>
    <row r="230" spans="1:33" x14ac:dyDescent="0.2">
      <c r="A230" s="3">
        <v>14915</v>
      </c>
      <c r="B230" s="2">
        <v>2.36</v>
      </c>
      <c r="C230" s="2">
        <v>16.21</v>
      </c>
      <c r="D230" s="2">
        <v>-0.19</v>
      </c>
      <c r="E230" s="2">
        <v>-0.03</v>
      </c>
      <c r="F230" s="2">
        <v>-7.67</v>
      </c>
      <c r="G230" s="2">
        <v>10.73</v>
      </c>
      <c r="H230" s="2">
        <v>19.14</v>
      </c>
      <c r="I230" s="2">
        <v>27.21</v>
      </c>
      <c r="J230" s="2">
        <v>12.7</v>
      </c>
      <c r="K230" s="2">
        <v>-2.77</v>
      </c>
      <c r="L230" s="2">
        <v>-7.1</v>
      </c>
      <c r="M230" s="2">
        <v>-5.4</v>
      </c>
      <c r="N230" s="2">
        <v>10.45</v>
      </c>
      <c r="O230" s="2">
        <v>6.42</v>
      </c>
      <c r="P230" s="2">
        <v>28.75</v>
      </c>
      <c r="Q230" s="2">
        <v>1.58</v>
      </c>
      <c r="R230" s="2">
        <v>-1.55</v>
      </c>
      <c r="S230" s="2">
        <v>11.38</v>
      </c>
      <c r="T230" s="2">
        <v>22.42</v>
      </c>
      <c r="U230" s="2">
        <v>8.32</v>
      </c>
      <c r="V230" s="2">
        <v>11.84</v>
      </c>
      <c r="W230" s="2">
        <v>22.19</v>
      </c>
      <c r="X230" s="2">
        <v>18.579999999999998</v>
      </c>
      <c r="Y230" s="2">
        <v>18.350000000000001</v>
      </c>
      <c r="Z230" s="2">
        <v>0.62</v>
      </c>
      <c r="AA230" s="2">
        <v>0.43</v>
      </c>
      <c r="AB230" s="2">
        <v>1.25</v>
      </c>
      <c r="AC230" s="2">
        <v>1.62</v>
      </c>
      <c r="AD230" s="2">
        <v>3.81</v>
      </c>
      <c r="AE230" s="2">
        <v>3.64</v>
      </c>
      <c r="AF230" s="2">
        <v>97.91</v>
      </c>
      <c r="AG230" s="2">
        <v>16.420000000000002</v>
      </c>
    </row>
    <row r="231" spans="1:33" x14ac:dyDescent="0.2">
      <c r="A231" s="3">
        <v>14945</v>
      </c>
      <c r="B231" s="2">
        <v>4.32</v>
      </c>
      <c r="C231" s="2">
        <v>15.73</v>
      </c>
      <c r="D231" s="2">
        <v>-1</v>
      </c>
      <c r="E231" s="2">
        <v>7.93</v>
      </c>
      <c r="F231" s="2">
        <v>-0.09</v>
      </c>
      <c r="G231" s="2">
        <v>13.58</v>
      </c>
      <c r="H231" s="2">
        <v>15.92</v>
      </c>
      <c r="I231" s="2">
        <v>23.97</v>
      </c>
      <c r="J231" s="2">
        <v>13.65</v>
      </c>
      <c r="K231" s="2">
        <v>-2.1800000000000002</v>
      </c>
      <c r="L231" s="2">
        <v>1.3</v>
      </c>
      <c r="M231" s="2">
        <v>-3.65</v>
      </c>
      <c r="N231" s="2">
        <v>7.86</v>
      </c>
      <c r="O231" s="2">
        <v>2.39</v>
      </c>
      <c r="P231" s="2">
        <v>13.57</v>
      </c>
      <c r="Q231" s="2">
        <v>1.84</v>
      </c>
      <c r="R231" s="2">
        <v>-1.1100000000000001</v>
      </c>
      <c r="S231" s="2">
        <v>2.91</v>
      </c>
      <c r="T231" s="2">
        <v>21.12</v>
      </c>
      <c r="U231" s="2">
        <v>8.5500000000000007</v>
      </c>
      <c r="V231" s="2">
        <v>11.73</v>
      </c>
      <c r="W231" s="2">
        <v>15.43</v>
      </c>
      <c r="X231" s="2">
        <v>12.14</v>
      </c>
      <c r="Y231" s="2">
        <v>10.88</v>
      </c>
      <c r="Z231" s="2">
        <v>19.09</v>
      </c>
      <c r="AA231" s="2">
        <v>0</v>
      </c>
      <c r="AB231" s="2">
        <v>0.06</v>
      </c>
      <c r="AC231" s="2">
        <v>2.17</v>
      </c>
      <c r="AD231" s="2">
        <v>2.33</v>
      </c>
      <c r="AE231" s="2">
        <v>5.03</v>
      </c>
      <c r="AF231" s="2">
        <v>64.239999999999995</v>
      </c>
      <c r="AG231" s="2">
        <v>12.92</v>
      </c>
    </row>
    <row r="232" spans="1:33" x14ac:dyDescent="0.2">
      <c r="A232" s="3">
        <v>14976</v>
      </c>
      <c r="B232" s="2">
        <v>16.420000000000002</v>
      </c>
      <c r="C232" s="2">
        <v>40.22</v>
      </c>
      <c r="D232" s="2">
        <v>75.02</v>
      </c>
      <c r="E232" s="2">
        <v>226.84</v>
      </c>
      <c r="F232" s="2">
        <v>186.43</v>
      </c>
      <c r="G232" s="2">
        <v>234.11</v>
      </c>
      <c r="H232" s="2">
        <v>45.58</v>
      </c>
      <c r="I232" s="2">
        <v>40.56</v>
      </c>
      <c r="J232" s="2">
        <v>107.32</v>
      </c>
      <c r="K232" s="2">
        <v>93.67</v>
      </c>
      <c r="L232" s="2">
        <v>26.5</v>
      </c>
      <c r="M232" s="2">
        <v>41.56</v>
      </c>
      <c r="N232" s="2">
        <v>92.78</v>
      </c>
      <c r="O232" s="2">
        <v>6.03</v>
      </c>
      <c r="P232" s="2">
        <v>128.43</v>
      </c>
      <c r="Q232" s="2">
        <v>4.1399999999999997</v>
      </c>
      <c r="R232" s="2">
        <v>3.05</v>
      </c>
      <c r="S232" s="2">
        <v>66.7</v>
      </c>
      <c r="T232" s="2">
        <v>38.119999999999997</v>
      </c>
      <c r="U232" s="2">
        <v>10.06</v>
      </c>
      <c r="V232" s="2">
        <v>17.13</v>
      </c>
      <c r="W232" s="2">
        <v>11.73</v>
      </c>
      <c r="X232" s="2">
        <v>9.92</v>
      </c>
      <c r="Y232" s="2">
        <v>9.8699999999999992</v>
      </c>
      <c r="Z232" s="2">
        <v>3.06</v>
      </c>
      <c r="AA232" s="2">
        <v>42.15</v>
      </c>
      <c r="AB232" s="2">
        <v>12.25</v>
      </c>
      <c r="AC232" s="2">
        <v>21.39</v>
      </c>
      <c r="AD232" s="2">
        <v>2.21</v>
      </c>
      <c r="AE232" s="2">
        <v>58.45</v>
      </c>
      <c r="AF232" s="2">
        <v>59.02</v>
      </c>
      <c r="AG232" s="2">
        <v>11.2</v>
      </c>
    </row>
    <row r="233" spans="1:33" x14ac:dyDescent="0.2">
      <c r="A233" s="3">
        <v>15007</v>
      </c>
      <c r="B233" s="2">
        <v>22.58</v>
      </c>
      <c r="C233" s="2">
        <v>75.709999999999994</v>
      </c>
      <c r="D233" s="2">
        <v>78.47</v>
      </c>
      <c r="E233" s="2">
        <v>177.3</v>
      </c>
      <c r="F233" s="2">
        <v>170.92</v>
      </c>
      <c r="G233" s="2">
        <v>195.01</v>
      </c>
      <c r="H233" s="2">
        <v>34.9</v>
      </c>
      <c r="I233" s="2">
        <v>36.68</v>
      </c>
      <c r="J233" s="2">
        <v>82.95</v>
      </c>
      <c r="K233" s="2">
        <v>-10.48</v>
      </c>
      <c r="L233" s="2">
        <v>6.05</v>
      </c>
      <c r="M233" s="2">
        <v>-4.55</v>
      </c>
      <c r="N233" s="2">
        <v>28.65</v>
      </c>
      <c r="O233" s="2">
        <v>5.12</v>
      </c>
      <c r="P233" s="2">
        <v>32.64</v>
      </c>
      <c r="Q233" s="2">
        <v>4.92</v>
      </c>
      <c r="R233" s="2">
        <v>4.0199999999999996</v>
      </c>
      <c r="S233" s="2">
        <v>22.15</v>
      </c>
      <c r="T233" s="2">
        <v>21.43</v>
      </c>
      <c r="U233" s="2">
        <v>11.52</v>
      </c>
      <c r="V233" s="2">
        <v>17.59</v>
      </c>
      <c r="W233" s="2">
        <v>4.26</v>
      </c>
      <c r="X233" s="2">
        <v>9.6300000000000008</v>
      </c>
      <c r="Y233" s="2">
        <v>8.5399999999999991</v>
      </c>
      <c r="Z233" s="2">
        <v>7.13</v>
      </c>
      <c r="AA233" s="2">
        <v>16.63</v>
      </c>
      <c r="AB233" s="2">
        <v>3.3</v>
      </c>
      <c r="AC233" s="2">
        <v>22.2</v>
      </c>
      <c r="AD233" s="2">
        <v>2.33</v>
      </c>
      <c r="AE233" s="2">
        <v>41.3</v>
      </c>
      <c r="AF233" s="2">
        <v>71.25</v>
      </c>
      <c r="AG233" s="2">
        <v>9.8800000000000008</v>
      </c>
    </row>
    <row r="234" spans="1:33" x14ac:dyDescent="0.2">
      <c r="A234" s="3">
        <v>15035</v>
      </c>
      <c r="B234" s="2">
        <v>26.87</v>
      </c>
      <c r="C234" s="2">
        <v>100.73</v>
      </c>
      <c r="D234" s="2">
        <v>72.430000000000007</v>
      </c>
      <c r="E234" s="2">
        <v>119.94</v>
      </c>
      <c r="F234" s="2">
        <v>150.5</v>
      </c>
      <c r="G234" s="2">
        <v>126.72</v>
      </c>
      <c r="H234" s="2">
        <v>36.18</v>
      </c>
      <c r="I234" s="2">
        <v>46.9</v>
      </c>
      <c r="J234" s="2">
        <v>111.45</v>
      </c>
      <c r="K234" s="2">
        <v>81.239999999999995</v>
      </c>
      <c r="L234" s="2">
        <v>38.75</v>
      </c>
      <c r="M234" s="2">
        <v>36.700000000000003</v>
      </c>
      <c r="N234" s="2">
        <v>145.81</v>
      </c>
      <c r="O234" s="2">
        <v>6.43</v>
      </c>
      <c r="P234" s="2">
        <v>155.19</v>
      </c>
      <c r="Q234" s="2">
        <v>11.02</v>
      </c>
      <c r="R234" s="2">
        <v>30.05</v>
      </c>
      <c r="S234" s="2">
        <v>80.040000000000006</v>
      </c>
      <c r="T234" s="2">
        <v>52.24</v>
      </c>
      <c r="U234" s="2">
        <v>20.94</v>
      </c>
      <c r="V234" s="2">
        <v>25.02</v>
      </c>
      <c r="W234" s="2">
        <v>0</v>
      </c>
      <c r="X234" s="2">
        <v>3.19</v>
      </c>
      <c r="Y234" s="2">
        <v>3.59</v>
      </c>
      <c r="Z234" s="2">
        <v>22.01</v>
      </c>
      <c r="AA234" s="2">
        <v>9.89</v>
      </c>
      <c r="AB234" s="2">
        <v>13.67</v>
      </c>
      <c r="AC234" s="2">
        <v>26.94</v>
      </c>
      <c r="AD234" s="2">
        <v>2.6</v>
      </c>
      <c r="AE234" s="2">
        <v>51.46</v>
      </c>
      <c r="AF234" s="2">
        <v>59.39</v>
      </c>
      <c r="AG234" s="2">
        <v>10.08</v>
      </c>
    </row>
    <row r="235" spans="1:33" x14ac:dyDescent="0.2">
      <c r="A235" s="3">
        <v>15066</v>
      </c>
      <c r="B235" s="2">
        <v>27.28</v>
      </c>
      <c r="C235" s="2">
        <v>65.12</v>
      </c>
      <c r="D235" s="2">
        <v>5.13</v>
      </c>
      <c r="E235" s="2">
        <v>-7.46</v>
      </c>
      <c r="F235" s="2">
        <v>1.46</v>
      </c>
      <c r="G235" s="2">
        <v>18.57</v>
      </c>
      <c r="H235" s="2">
        <v>16.25</v>
      </c>
      <c r="I235" s="2">
        <v>39.01</v>
      </c>
      <c r="J235" s="2">
        <v>38.64</v>
      </c>
      <c r="K235" s="2">
        <v>4.01</v>
      </c>
      <c r="L235" s="2">
        <v>42.31</v>
      </c>
      <c r="M235" s="2">
        <v>20.399999999999999</v>
      </c>
      <c r="N235" s="2">
        <v>53.75</v>
      </c>
      <c r="O235" s="2">
        <v>6.81</v>
      </c>
      <c r="P235" s="2">
        <v>76.75</v>
      </c>
      <c r="Q235" s="2">
        <v>11.73</v>
      </c>
      <c r="R235" s="2">
        <v>12.62</v>
      </c>
      <c r="S235" s="2">
        <v>18.87</v>
      </c>
      <c r="T235" s="2">
        <v>36.270000000000003</v>
      </c>
      <c r="U235" s="2">
        <v>21.5</v>
      </c>
      <c r="V235" s="2">
        <v>29.01</v>
      </c>
      <c r="W235" s="2">
        <v>0</v>
      </c>
      <c r="X235" s="2">
        <v>4.0599999999999996</v>
      </c>
      <c r="Y235" s="2">
        <v>3.32</v>
      </c>
      <c r="Z235" s="2">
        <v>23.64</v>
      </c>
      <c r="AA235" s="2">
        <v>19.5</v>
      </c>
      <c r="AB235" s="2">
        <v>3.19</v>
      </c>
      <c r="AC235" s="2">
        <v>24.5</v>
      </c>
      <c r="AD235" s="2">
        <v>4.45</v>
      </c>
      <c r="AE235" s="2">
        <v>40.18</v>
      </c>
      <c r="AF235" s="2">
        <v>70.09</v>
      </c>
      <c r="AG235" s="2">
        <v>10.69</v>
      </c>
    </row>
    <row r="236" spans="1:33" x14ac:dyDescent="0.2">
      <c r="A236" s="3">
        <v>15096</v>
      </c>
      <c r="B236" s="2">
        <v>25.34</v>
      </c>
      <c r="C236" s="2">
        <v>46.37</v>
      </c>
      <c r="D236" s="2">
        <v>-10.56</v>
      </c>
      <c r="E236" s="2">
        <v>-1.02</v>
      </c>
      <c r="F236" s="2">
        <v>23.49</v>
      </c>
      <c r="G236" s="2">
        <v>-79.38</v>
      </c>
      <c r="H236" s="2">
        <v>21.09</v>
      </c>
      <c r="I236" s="2">
        <v>35.950000000000003</v>
      </c>
      <c r="J236" s="2">
        <v>17.489999999999998</v>
      </c>
      <c r="K236" s="2">
        <v>2.96</v>
      </c>
      <c r="L236" s="2">
        <v>8.82</v>
      </c>
      <c r="M236" s="2">
        <v>1.99</v>
      </c>
      <c r="N236" s="2">
        <v>42.28</v>
      </c>
      <c r="O236" s="2">
        <v>8.27</v>
      </c>
      <c r="P236" s="2">
        <v>83.94</v>
      </c>
      <c r="Q236" s="2">
        <v>14.62</v>
      </c>
      <c r="R236" s="2">
        <v>3.63</v>
      </c>
      <c r="S236" s="2">
        <v>47.37</v>
      </c>
      <c r="T236" s="2">
        <v>16.18</v>
      </c>
      <c r="U236" s="2">
        <v>26.07</v>
      </c>
      <c r="V236" s="2">
        <v>26.3</v>
      </c>
      <c r="W236" s="2">
        <v>0</v>
      </c>
      <c r="X236" s="2">
        <v>4.91</v>
      </c>
      <c r="Y236" s="2">
        <v>4.5599999999999996</v>
      </c>
      <c r="Z236" s="2">
        <v>11.34</v>
      </c>
      <c r="AA236" s="2">
        <v>7.74</v>
      </c>
      <c r="AB236" s="2">
        <v>11.33</v>
      </c>
      <c r="AC236" s="2">
        <v>17.329999999999998</v>
      </c>
      <c r="AD236" s="2">
        <v>5.69</v>
      </c>
      <c r="AE236" s="2">
        <v>32.630000000000003</v>
      </c>
      <c r="AF236" s="2">
        <v>86.72</v>
      </c>
      <c r="AG236" s="2">
        <v>14.64</v>
      </c>
    </row>
    <row r="237" spans="1:33" x14ac:dyDescent="0.2">
      <c r="A237" s="3">
        <v>15127</v>
      </c>
      <c r="B237" s="2">
        <v>17.600000000000001</v>
      </c>
      <c r="C237" s="2">
        <v>27.4</v>
      </c>
      <c r="D237" s="2">
        <v>-16.329999999999998</v>
      </c>
      <c r="E237" s="2">
        <v>-107.03</v>
      </c>
      <c r="F237" s="2">
        <v>-66.59</v>
      </c>
      <c r="G237" s="2">
        <v>-71.17</v>
      </c>
      <c r="H237" s="2">
        <v>24.57</v>
      </c>
      <c r="I237" s="2">
        <v>36.869999999999997</v>
      </c>
      <c r="J237" s="2">
        <v>35.26</v>
      </c>
      <c r="K237" s="2">
        <v>67</v>
      </c>
      <c r="L237" s="2">
        <v>62.93</v>
      </c>
      <c r="M237" s="2">
        <v>40.6</v>
      </c>
      <c r="N237" s="2">
        <v>84.97</v>
      </c>
      <c r="O237" s="2">
        <v>20.190000000000001</v>
      </c>
      <c r="P237" s="2">
        <v>123.84</v>
      </c>
      <c r="Q237" s="2">
        <v>16.940000000000001</v>
      </c>
      <c r="R237" s="2">
        <v>12.47</v>
      </c>
      <c r="S237" s="2">
        <v>49.49</v>
      </c>
      <c r="T237" s="2">
        <v>28.92</v>
      </c>
      <c r="U237" s="2">
        <v>60.02</v>
      </c>
      <c r="V237" s="2">
        <v>51.29</v>
      </c>
      <c r="W237" s="2">
        <v>4.88</v>
      </c>
      <c r="X237" s="2">
        <v>7.93</v>
      </c>
      <c r="Y237" s="2">
        <v>6.89</v>
      </c>
      <c r="Z237" s="2">
        <v>1.2</v>
      </c>
      <c r="AA237" s="2">
        <v>0.14000000000000001</v>
      </c>
      <c r="AB237" s="2">
        <v>0.68</v>
      </c>
      <c r="AC237" s="2">
        <v>1.22</v>
      </c>
      <c r="AD237" s="2">
        <v>10.58</v>
      </c>
      <c r="AE237" s="2">
        <v>4.1900000000000004</v>
      </c>
      <c r="AF237" s="2">
        <v>97.94</v>
      </c>
      <c r="AG237" s="2">
        <v>17.690000000000001</v>
      </c>
    </row>
    <row r="238" spans="1:33" x14ac:dyDescent="0.2">
      <c r="A238" s="3">
        <v>15157</v>
      </c>
      <c r="B238" s="2">
        <v>10.61</v>
      </c>
      <c r="C238" s="2">
        <v>21.92</v>
      </c>
      <c r="D238" s="2">
        <v>-16.079999999999998</v>
      </c>
      <c r="E238" s="2">
        <v>-116.35</v>
      </c>
      <c r="F238" s="2">
        <v>-128.01</v>
      </c>
      <c r="G238" s="2">
        <v>-59.13</v>
      </c>
      <c r="H238" s="2">
        <v>-1.62</v>
      </c>
      <c r="I238" s="2">
        <v>24.72</v>
      </c>
      <c r="J238" s="2">
        <v>-2.21</v>
      </c>
      <c r="K238" s="2">
        <v>14.06</v>
      </c>
      <c r="L238" s="2">
        <v>-8.0399999999999991</v>
      </c>
      <c r="M238" s="2">
        <v>16.579999999999998</v>
      </c>
      <c r="N238" s="2">
        <v>41.79</v>
      </c>
      <c r="O238" s="2">
        <v>27.41</v>
      </c>
      <c r="P238" s="2">
        <v>42.05</v>
      </c>
      <c r="Q238" s="2">
        <v>17.07</v>
      </c>
      <c r="R238" s="2">
        <v>11.47</v>
      </c>
      <c r="S238" s="2">
        <v>36.25</v>
      </c>
      <c r="T238" s="2">
        <v>16.95</v>
      </c>
      <c r="U238" s="2">
        <v>47.49</v>
      </c>
      <c r="V238" s="2">
        <v>38.33</v>
      </c>
      <c r="W238" s="2">
        <v>18.62</v>
      </c>
      <c r="X238" s="2">
        <v>13.25</v>
      </c>
      <c r="Y238" s="2">
        <v>13.01</v>
      </c>
      <c r="Z238" s="2">
        <v>0</v>
      </c>
      <c r="AA238" s="2">
        <v>0</v>
      </c>
      <c r="AB238" s="2">
        <v>0</v>
      </c>
      <c r="AC238" s="2">
        <v>0</v>
      </c>
      <c r="AD238" s="2">
        <v>13.96</v>
      </c>
      <c r="AE238" s="2">
        <v>0.28000000000000003</v>
      </c>
      <c r="AF238" s="2">
        <v>107.19</v>
      </c>
      <c r="AG238" s="2">
        <v>22.83</v>
      </c>
    </row>
    <row r="239" spans="1:33" x14ac:dyDescent="0.2">
      <c r="A239" s="3">
        <v>15188</v>
      </c>
      <c r="B239" s="2">
        <v>5.95</v>
      </c>
      <c r="C239" s="2">
        <v>19.32</v>
      </c>
      <c r="D239" s="2">
        <v>-13.75</v>
      </c>
      <c r="E239" s="2">
        <v>-108.73</v>
      </c>
      <c r="F239" s="2">
        <v>-74.27</v>
      </c>
      <c r="G239" s="2">
        <v>-40.85</v>
      </c>
      <c r="H239" s="2">
        <v>2.6</v>
      </c>
      <c r="I239" s="2">
        <v>20.440000000000001</v>
      </c>
      <c r="J239" s="2">
        <v>-38.47</v>
      </c>
      <c r="K239" s="2">
        <v>-58.58</v>
      </c>
      <c r="L239" s="2">
        <v>-71.349999999999994</v>
      </c>
      <c r="M239" s="2">
        <v>-51.05</v>
      </c>
      <c r="N239" s="2">
        <v>-4.03</v>
      </c>
      <c r="O239" s="2">
        <v>27.62</v>
      </c>
      <c r="P239" s="2">
        <v>8.5500000000000007</v>
      </c>
      <c r="Q239" s="2">
        <v>9.35</v>
      </c>
      <c r="R239" s="2">
        <v>4.7300000000000004</v>
      </c>
      <c r="S239" s="2">
        <v>18.2</v>
      </c>
      <c r="T239" s="2">
        <v>24.57</v>
      </c>
      <c r="U239" s="2">
        <v>21.58</v>
      </c>
      <c r="V239" s="2">
        <v>32.119999999999997</v>
      </c>
      <c r="W239" s="2">
        <v>30.39</v>
      </c>
      <c r="X239" s="2">
        <v>18.46</v>
      </c>
      <c r="Y239" s="2">
        <v>18.54</v>
      </c>
      <c r="Z239" s="2">
        <v>0</v>
      </c>
      <c r="AA239" s="2">
        <v>0.17</v>
      </c>
      <c r="AB239" s="2">
        <v>0</v>
      </c>
      <c r="AC239" s="2">
        <v>0</v>
      </c>
      <c r="AD239" s="2">
        <v>9.5</v>
      </c>
      <c r="AE239" s="2">
        <v>0</v>
      </c>
      <c r="AF239" s="2">
        <v>116.73</v>
      </c>
      <c r="AG239" s="2">
        <v>24.8</v>
      </c>
    </row>
    <row r="240" spans="1:33" x14ac:dyDescent="0.2">
      <c r="A240" s="3">
        <v>15219</v>
      </c>
      <c r="B240" s="2">
        <v>4.0199999999999996</v>
      </c>
      <c r="C240" s="2">
        <v>18.72</v>
      </c>
      <c r="D240" s="2">
        <v>-8.9700000000000006</v>
      </c>
      <c r="E240" s="2">
        <v>-90.91</v>
      </c>
      <c r="F240" s="2">
        <v>-46.26</v>
      </c>
      <c r="G240" s="2">
        <v>-22.3</v>
      </c>
      <c r="H240" s="2">
        <v>7.64</v>
      </c>
      <c r="I240" s="2">
        <v>20.45</v>
      </c>
      <c r="J240" s="2">
        <v>-31.54</v>
      </c>
      <c r="K240" s="2">
        <v>-47.34</v>
      </c>
      <c r="L240" s="2">
        <v>-46.31</v>
      </c>
      <c r="M240" s="2">
        <v>-33.090000000000003</v>
      </c>
      <c r="N240" s="2">
        <v>-14.43</v>
      </c>
      <c r="O240" s="2">
        <v>30.54</v>
      </c>
      <c r="P240" s="2">
        <v>-1.64</v>
      </c>
      <c r="Q240" s="2">
        <v>-0.35</v>
      </c>
      <c r="R240" s="2">
        <v>12.77</v>
      </c>
      <c r="S240" s="2">
        <v>8.73</v>
      </c>
      <c r="T240" s="2">
        <v>37.340000000000003</v>
      </c>
      <c r="U240" s="2">
        <v>6.69</v>
      </c>
      <c r="V240" s="2">
        <v>26.22</v>
      </c>
      <c r="W240" s="2">
        <v>31.47</v>
      </c>
      <c r="X240" s="2">
        <v>20.76</v>
      </c>
      <c r="Y240" s="2">
        <v>21.02</v>
      </c>
      <c r="Z240" s="2">
        <v>0.24</v>
      </c>
      <c r="AA240" s="2">
        <v>20.93</v>
      </c>
      <c r="AB240" s="2">
        <v>1.71</v>
      </c>
      <c r="AC240" s="2">
        <v>6.5</v>
      </c>
      <c r="AD240" s="2">
        <v>6.45</v>
      </c>
      <c r="AE240" s="2">
        <v>0.19</v>
      </c>
      <c r="AF240" s="2">
        <v>118.71</v>
      </c>
      <c r="AG240" s="2">
        <v>23.65</v>
      </c>
    </row>
    <row r="241" spans="1:33" x14ac:dyDescent="0.2">
      <c r="A241" s="3">
        <v>15249</v>
      </c>
      <c r="B241" s="2">
        <v>3.1</v>
      </c>
      <c r="C241" s="2">
        <v>18.54</v>
      </c>
      <c r="D241" s="2">
        <v>-4.71</v>
      </c>
      <c r="E241" s="2">
        <v>-65.180000000000007</v>
      </c>
      <c r="F241" s="2">
        <v>-34.630000000000003</v>
      </c>
      <c r="G241" s="2">
        <v>-5.93</v>
      </c>
      <c r="H241" s="2">
        <v>15.7</v>
      </c>
      <c r="I241" s="2">
        <v>25.18</v>
      </c>
      <c r="J241" s="2">
        <v>-4.76</v>
      </c>
      <c r="K241" s="2">
        <v>-24.83</v>
      </c>
      <c r="L241" s="2">
        <v>-22.9</v>
      </c>
      <c r="M241" s="2">
        <v>-17.62</v>
      </c>
      <c r="N241" s="2">
        <v>7.18</v>
      </c>
      <c r="O241" s="2">
        <v>4.79</v>
      </c>
      <c r="P241" s="2">
        <v>-0.5</v>
      </c>
      <c r="Q241" s="2">
        <v>3.86</v>
      </c>
      <c r="R241" s="2">
        <v>4.53</v>
      </c>
      <c r="S241" s="2">
        <v>2.81</v>
      </c>
      <c r="T241" s="2">
        <v>22.81</v>
      </c>
      <c r="U241" s="2">
        <v>9.94</v>
      </c>
      <c r="V241" s="2">
        <v>13.26</v>
      </c>
      <c r="W241" s="2">
        <v>26.1</v>
      </c>
      <c r="X241" s="2">
        <v>19.690000000000001</v>
      </c>
      <c r="Y241" s="2">
        <v>19.71</v>
      </c>
      <c r="Z241" s="2">
        <v>0</v>
      </c>
      <c r="AA241" s="2">
        <v>0.14000000000000001</v>
      </c>
      <c r="AB241" s="2">
        <v>0</v>
      </c>
      <c r="AC241" s="2">
        <v>0</v>
      </c>
      <c r="AD241" s="2">
        <v>4.62</v>
      </c>
      <c r="AE241" s="2">
        <v>0</v>
      </c>
      <c r="AF241" s="2">
        <v>110.57</v>
      </c>
      <c r="AG241" s="2">
        <v>20.170000000000002</v>
      </c>
    </row>
    <row r="242" spans="1:33" x14ac:dyDescent="0.2">
      <c r="A242" s="3">
        <v>15280</v>
      </c>
      <c r="B242" s="2">
        <v>3.72</v>
      </c>
      <c r="C242" s="2">
        <v>19.59</v>
      </c>
      <c r="D242" s="2">
        <v>-0.33</v>
      </c>
      <c r="E242" s="2">
        <v>-23.87</v>
      </c>
      <c r="F242" s="2">
        <v>-20.68</v>
      </c>
      <c r="G242" s="2">
        <v>5.49</v>
      </c>
      <c r="H242" s="2">
        <v>17.38</v>
      </c>
      <c r="I242" s="2">
        <v>26.89</v>
      </c>
      <c r="J242" s="2">
        <v>5.66</v>
      </c>
      <c r="K242" s="2">
        <v>-12.35</v>
      </c>
      <c r="L242" s="2">
        <v>-8.58</v>
      </c>
      <c r="M242" s="2">
        <v>-5.99</v>
      </c>
      <c r="N242" s="2">
        <v>5.95</v>
      </c>
      <c r="O242" s="2">
        <v>7.54</v>
      </c>
      <c r="P242" s="2">
        <v>8.06</v>
      </c>
      <c r="Q242" s="2">
        <v>2.33</v>
      </c>
      <c r="R242" s="2">
        <v>-1.78</v>
      </c>
      <c r="S242" s="2">
        <v>2.17</v>
      </c>
      <c r="T242" s="2">
        <v>23.01</v>
      </c>
      <c r="U242" s="2">
        <v>9</v>
      </c>
      <c r="V242" s="2">
        <v>14.4</v>
      </c>
      <c r="W242" s="2">
        <v>22.19</v>
      </c>
      <c r="X242" s="2">
        <v>18.25</v>
      </c>
      <c r="Y242" s="2">
        <v>18.22</v>
      </c>
      <c r="Z242" s="2">
        <v>1.63</v>
      </c>
      <c r="AA242" s="2">
        <v>12.9</v>
      </c>
      <c r="AB242" s="2">
        <v>4.12</v>
      </c>
      <c r="AC242" s="2">
        <v>23.96</v>
      </c>
      <c r="AD242" s="2">
        <v>2.46</v>
      </c>
      <c r="AE242" s="2">
        <v>7.64</v>
      </c>
      <c r="AF242" s="2">
        <v>100.29</v>
      </c>
      <c r="AG242" s="2">
        <v>16.420000000000002</v>
      </c>
    </row>
    <row r="243" spans="1:33" x14ac:dyDescent="0.2">
      <c r="A243" s="3">
        <v>15310</v>
      </c>
      <c r="B243" s="2">
        <v>5.37</v>
      </c>
      <c r="C243" s="2">
        <v>19.93</v>
      </c>
      <c r="D243" s="2">
        <v>0.73</v>
      </c>
      <c r="E243" s="2">
        <v>-3.54</v>
      </c>
      <c r="F243" s="2">
        <v>-4.26</v>
      </c>
      <c r="G243" s="2">
        <v>12.41</v>
      </c>
      <c r="H243" s="2">
        <v>16.079999999999998</v>
      </c>
      <c r="I243" s="2">
        <v>25.57</v>
      </c>
      <c r="J243" s="2">
        <v>9.59</v>
      </c>
      <c r="K243" s="2">
        <v>-11.3</v>
      </c>
      <c r="L243" s="2">
        <v>-5.14</v>
      </c>
      <c r="M243" s="2">
        <v>-6.64</v>
      </c>
      <c r="N243" s="2">
        <v>3.31</v>
      </c>
      <c r="O243" s="2">
        <v>4.1900000000000004</v>
      </c>
      <c r="P243" s="2">
        <v>7.95</v>
      </c>
      <c r="Q243" s="2">
        <v>1.4</v>
      </c>
      <c r="R243" s="2">
        <v>-4.2699999999999996</v>
      </c>
      <c r="S243" s="2">
        <v>2.0499999999999998</v>
      </c>
      <c r="T243" s="2">
        <v>22.06</v>
      </c>
      <c r="U243" s="2">
        <v>9.59</v>
      </c>
      <c r="V243" s="2">
        <v>11.2</v>
      </c>
      <c r="W243" s="2">
        <v>15.43</v>
      </c>
      <c r="X243" s="2">
        <v>12.07</v>
      </c>
      <c r="Y243" s="2">
        <v>10.96</v>
      </c>
      <c r="Z243" s="2">
        <v>14.69</v>
      </c>
      <c r="AA243" s="2">
        <v>21.36</v>
      </c>
      <c r="AB243" s="2">
        <v>0.17</v>
      </c>
      <c r="AC243" s="2">
        <v>2.44</v>
      </c>
      <c r="AD243" s="2">
        <v>1.32</v>
      </c>
      <c r="AE243" s="2">
        <v>4.0999999999999996</v>
      </c>
      <c r="AF243" s="2">
        <v>65.81</v>
      </c>
      <c r="AG243" s="2">
        <v>12.92</v>
      </c>
    </row>
    <row r="244" spans="1:33" x14ac:dyDescent="0.2">
      <c r="A244" s="3">
        <v>15341</v>
      </c>
      <c r="B244" s="2">
        <v>16.43</v>
      </c>
      <c r="C244" s="2">
        <v>38.56</v>
      </c>
      <c r="D244" s="2">
        <v>56.76</v>
      </c>
      <c r="E244" s="2">
        <v>175.96</v>
      </c>
      <c r="F244" s="2">
        <v>173.25</v>
      </c>
      <c r="G244" s="2">
        <v>180.07</v>
      </c>
      <c r="H244" s="2">
        <v>54.14</v>
      </c>
      <c r="I244" s="2">
        <v>41.52</v>
      </c>
      <c r="J244" s="2">
        <v>79.569999999999993</v>
      </c>
      <c r="K244" s="2">
        <v>60.93</v>
      </c>
      <c r="L244" s="2">
        <v>31.78</v>
      </c>
      <c r="M244" s="2">
        <v>29.4</v>
      </c>
      <c r="N244" s="2">
        <v>64.69</v>
      </c>
      <c r="O244" s="2">
        <v>7.2</v>
      </c>
      <c r="P244" s="2">
        <v>109.52</v>
      </c>
      <c r="Q244" s="2">
        <v>4.4800000000000004</v>
      </c>
      <c r="R244" s="2">
        <v>2.11</v>
      </c>
      <c r="S244" s="2">
        <v>57.74</v>
      </c>
      <c r="T244" s="2">
        <v>60.49</v>
      </c>
      <c r="U244" s="2">
        <v>9.65</v>
      </c>
      <c r="V244" s="2">
        <v>20.12</v>
      </c>
      <c r="W244" s="2">
        <v>11.73</v>
      </c>
      <c r="X244" s="2">
        <v>9.86</v>
      </c>
      <c r="Y244" s="2">
        <v>9.9600000000000009</v>
      </c>
      <c r="Z244" s="2">
        <v>6.27</v>
      </c>
      <c r="AA244" s="2">
        <v>9.18</v>
      </c>
      <c r="AB244" s="2">
        <v>14.02</v>
      </c>
      <c r="AC244" s="2">
        <v>18.68</v>
      </c>
      <c r="AD244" s="2">
        <v>1.41</v>
      </c>
      <c r="AE244" s="2">
        <v>54.25</v>
      </c>
      <c r="AF244" s="2">
        <v>60.46</v>
      </c>
      <c r="AG244" s="2">
        <v>11.2</v>
      </c>
    </row>
    <row r="245" spans="1:33" x14ac:dyDescent="0.2">
      <c r="A245" s="3">
        <v>15372</v>
      </c>
      <c r="B245" s="2">
        <v>17.79</v>
      </c>
      <c r="C245" s="2">
        <v>48.24</v>
      </c>
      <c r="D245" s="2">
        <v>34.42</v>
      </c>
      <c r="E245" s="2">
        <v>77.59</v>
      </c>
      <c r="F245" s="2">
        <v>89.64</v>
      </c>
      <c r="G245" s="2">
        <v>128.53</v>
      </c>
      <c r="H245" s="2">
        <v>27.59</v>
      </c>
      <c r="I245" s="2">
        <v>47.06</v>
      </c>
      <c r="J245" s="2">
        <v>93.06</v>
      </c>
      <c r="K245" s="2">
        <v>8.86</v>
      </c>
      <c r="L245" s="2">
        <v>20.41</v>
      </c>
      <c r="M245" s="2">
        <v>5.79</v>
      </c>
      <c r="N245" s="2">
        <v>34.36</v>
      </c>
      <c r="O245" s="2">
        <v>6.67</v>
      </c>
      <c r="P245" s="2">
        <v>44.27</v>
      </c>
      <c r="Q245" s="2">
        <v>2.61</v>
      </c>
      <c r="R245" s="2">
        <v>2.13</v>
      </c>
      <c r="S245" s="2">
        <v>14.12</v>
      </c>
      <c r="T245" s="2">
        <v>10.01</v>
      </c>
      <c r="U245" s="2">
        <v>12.46</v>
      </c>
      <c r="V245" s="2">
        <v>19.260000000000002</v>
      </c>
      <c r="W245" s="2">
        <v>4.26</v>
      </c>
      <c r="X245" s="2">
        <v>9.06</v>
      </c>
      <c r="Y245" s="2">
        <v>7.74</v>
      </c>
      <c r="Z245" s="2">
        <v>0.43</v>
      </c>
      <c r="AA245" s="2">
        <v>0.72</v>
      </c>
      <c r="AB245" s="2">
        <v>0.78</v>
      </c>
      <c r="AC245" s="2">
        <v>0</v>
      </c>
      <c r="AD245" s="2">
        <v>1.45</v>
      </c>
      <c r="AE245" s="2">
        <v>41.67</v>
      </c>
      <c r="AF245" s="2">
        <v>71.25</v>
      </c>
      <c r="AG245" s="2">
        <v>9.8800000000000008</v>
      </c>
    </row>
    <row r="246" spans="1:33" x14ac:dyDescent="0.2">
      <c r="A246" s="3">
        <v>15400</v>
      </c>
      <c r="B246" s="2">
        <v>24.5</v>
      </c>
      <c r="C246" s="2">
        <v>66.56</v>
      </c>
      <c r="D246" s="2">
        <v>49.51</v>
      </c>
      <c r="E246" s="2">
        <v>117.59</v>
      </c>
      <c r="F246" s="2">
        <v>145.08000000000001</v>
      </c>
      <c r="G246" s="2">
        <v>157.44999999999999</v>
      </c>
      <c r="H246" s="2">
        <v>13.8</v>
      </c>
      <c r="I246" s="2">
        <v>40.119999999999997</v>
      </c>
      <c r="J246" s="2">
        <v>40.17</v>
      </c>
      <c r="K246" s="2">
        <v>1</v>
      </c>
      <c r="L246" s="2">
        <v>18.05</v>
      </c>
      <c r="M246" s="2">
        <v>-7.2</v>
      </c>
      <c r="N246" s="2">
        <v>28.89</v>
      </c>
      <c r="O246" s="2">
        <v>6.47</v>
      </c>
      <c r="P246" s="2">
        <v>15.91</v>
      </c>
      <c r="Q246" s="2">
        <v>-0.09</v>
      </c>
      <c r="R246" s="2">
        <v>1.1100000000000001</v>
      </c>
      <c r="S246" s="2">
        <v>1.08</v>
      </c>
      <c r="T246" s="2">
        <v>12.08</v>
      </c>
      <c r="U246" s="2">
        <v>11.02</v>
      </c>
      <c r="V246" s="2">
        <v>15.57</v>
      </c>
      <c r="W246" s="2">
        <v>0</v>
      </c>
      <c r="X246" s="2">
        <v>2.67</v>
      </c>
      <c r="Y246" s="2">
        <v>2.73</v>
      </c>
      <c r="Z246" s="2">
        <v>2.06</v>
      </c>
      <c r="AA246" s="2">
        <v>1.86</v>
      </c>
      <c r="AB246" s="2">
        <v>0.11</v>
      </c>
      <c r="AC246" s="2">
        <v>1.08</v>
      </c>
      <c r="AD246" s="2">
        <v>1.76</v>
      </c>
      <c r="AE246" s="2">
        <v>16.22</v>
      </c>
      <c r="AF246" s="2">
        <v>59.39</v>
      </c>
      <c r="AG246" s="2">
        <v>10.08</v>
      </c>
    </row>
    <row r="247" spans="1:33" x14ac:dyDescent="0.2">
      <c r="A247" s="3">
        <v>15431</v>
      </c>
      <c r="B247" s="2">
        <v>14.5</v>
      </c>
      <c r="C247" s="2">
        <v>30.87</v>
      </c>
      <c r="D247" s="2">
        <v>-24.26</v>
      </c>
      <c r="E247" s="2">
        <v>-121.87</v>
      </c>
      <c r="F247" s="2">
        <v>-142.13</v>
      </c>
      <c r="G247" s="2">
        <v>-103.88</v>
      </c>
      <c r="H247" s="2">
        <v>17.14</v>
      </c>
      <c r="I247" s="2">
        <v>33.619999999999997</v>
      </c>
      <c r="J247" s="2">
        <v>2.73</v>
      </c>
      <c r="K247" s="2">
        <v>13.42</v>
      </c>
      <c r="L247" s="2">
        <v>-4.67</v>
      </c>
      <c r="M247" s="2">
        <v>5.55</v>
      </c>
      <c r="N247" s="2">
        <v>32.44</v>
      </c>
      <c r="O247" s="2">
        <v>7.84</v>
      </c>
      <c r="P247" s="2">
        <v>32.74</v>
      </c>
      <c r="Q247" s="2">
        <v>1.55</v>
      </c>
      <c r="R247" s="2">
        <v>-1.75</v>
      </c>
      <c r="S247" s="2">
        <v>5.13</v>
      </c>
      <c r="T247" s="2">
        <v>24.04</v>
      </c>
      <c r="U247" s="2">
        <v>8.74</v>
      </c>
      <c r="V247" s="2">
        <v>18.14</v>
      </c>
      <c r="W247" s="2">
        <v>0</v>
      </c>
      <c r="X247" s="2">
        <v>3.45</v>
      </c>
      <c r="Y247" s="2">
        <v>2.4700000000000002</v>
      </c>
      <c r="Z247" s="2">
        <v>2.68</v>
      </c>
      <c r="AA247" s="2">
        <v>9.4600000000000009</v>
      </c>
      <c r="AB247" s="2">
        <v>1.5</v>
      </c>
      <c r="AC247" s="2">
        <v>5.55</v>
      </c>
      <c r="AD247" s="2">
        <v>3.53</v>
      </c>
      <c r="AE247" s="2">
        <v>20.23</v>
      </c>
      <c r="AF247" s="2">
        <v>70.09</v>
      </c>
      <c r="AG247" s="2">
        <v>10.69</v>
      </c>
    </row>
    <row r="248" spans="1:33" x14ac:dyDescent="0.2">
      <c r="A248" s="3">
        <v>15461</v>
      </c>
      <c r="B248" s="2">
        <v>16.39</v>
      </c>
      <c r="C248" s="2">
        <v>35.42</v>
      </c>
      <c r="D248" s="2">
        <v>11.01</v>
      </c>
      <c r="E248" s="2">
        <v>28.72</v>
      </c>
      <c r="F248" s="2">
        <v>48.53</v>
      </c>
      <c r="G248" s="2">
        <v>-14.56</v>
      </c>
      <c r="H248" s="2">
        <v>34.840000000000003</v>
      </c>
      <c r="I248" s="2">
        <v>42.39</v>
      </c>
      <c r="J248" s="2">
        <v>51.59</v>
      </c>
      <c r="K248" s="2">
        <v>39.76</v>
      </c>
      <c r="L248" s="2">
        <v>38.75</v>
      </c>
      <c r="M248" s="2">
        <v>23.23</v>
      </c>
      <c r="N248" s="2">
        <v>46.38</v>
      </c>
      <c r="O248" s="2">
        <v>6.72</v>
      </c>
      <c r="P248" s="2">
        <v>41.05</v>
      </c>
      <c r="Q248" s="2">
        <v>7.65</v>
      </c>
      <c r="R248" s="2">
        <v>2.69</v>
      </c>
      <c r="S248" s="2">
        <v>18.64</v>
      </c>
      <c r="T248" s="2">
        <v>10.72</v>
      </c>
      <c r="U248" s="2">
        <v>15.94</v>
      </c>
      <c r="V248" s="2">
        <v>26.51</v>
      </c>
      <c r="W248" s="2">
        <v>0</v>
      </c>
      <c r="X248" s="2">
        <v>4.1900000000000004</v>
      </c>
      <c r="Y248" s="2">
        <v>3.5</v>
      </c>
      <c r="Z248" s="2">
        <v>5.26</v>
      </c>
      <c r="AA248" s="2">
        <v>2.72</v>
      </c>
      <c r="AB248" s="2">
        <v>4.2300000000000004</v>
      </c>
      <c r="AC248" s="2">
        <v>1.35</v>
      </c>
      <c r="AD248" s="2">
        <v>4.18</v>
      </c>
      <c r="AE248" s="2">
        <v>23.12</v>
      </c>
      <c r="AF248" s="2">
        <v>86.72</v>
      </c>
      <c r="AG248" s="2">
        <v>14.64</v>
      </c>
    </row>
    <row r="249" spans="1:33" x14ac:dyDescent="0.2">
      <c r="A249" s="3">
        <v>15492</v>
      </c>
      <c r="B249" s="2">
        <v>12.33</v>
      </c>
      <c r="C249" s="2">
        <v>25.2</v>
      </c>
      <c r="D249" s="2">
        <v>-7.75</v>
      </c>
      <c r="E249" s="2">
        <v>-63.41</v>
      </c>
      <c r="F249" s="2">
        <v>-51.18</v>
      </c>
      <c r="G249" s="2">
        <v>-37.520000000000003</v>
      </c>
      <c r="H249" s="2">
        <v>15.16</v>
      </c>
      <c r="I249" s="2">
        <v>38.630000000000003</v>
      </c>
      <c r="J249" s="2">
        <v>32.42</v>
      </c>
      <c r="K249" s="2">
        <v>28.5</v>
      </c>
      <c r="L249" s="2">
        <v>38.619999999999997</v>
      </c>
      <c r="M249" s="2">
        <v>23.3</v>
      </c>
      <c r="N249" s="2">
        <v>47.12</v>
      </c>
      <c r="O249" s="2">
        <v>14.95</v>
      </c>
      <c r="P249" s="2">
        <v>73.12</v>
      </c>
      <c r="Q249" s="2">
        <v>10.76</v>
      </c>
      <c r="R249" s="2">
        <v>8.16</v>
      </c>
      <c r="S249" s="2">
        <v>20.65</v>
      </c>
      <c r="T249" s="2">
        <v>7.05</v>
      </c>
      <c r="U249" s="2">
        <v>24.78</v>
      </c>
      <c r="V249" s="2">
        <v>29.9</v>
      </c>
      <c r="W249" s="2">
        <v>4.88</v>
      </c>
      <c r="X249" s="2">
        <v>7.06</v>
      </c>
      <c r="Y249" s="2">
        <v>5.71</v>
      </c>
      <c r="Z249" s="2">
        <v>0</v>
      </c>
      <c r="AA249" s="2">
        <v>0</v>
      </c>
      <c r="AB249" s="2">
        <v>0</v>
      </c>
      <c r="AC249" s="2">
        <v>0</v>
      </c>
      <c r="AD249" s="2">
        <v>8.3800000000000008</v>
      </c>
      <c r="AE249" s="2">
        <v>7.83</v>
      </c>
      <c r="AF249" s="2">
        <v>97.94</v>
      </c>
      <c r="AG249" s="2">
        <v>17.690000000000001</v>
      </c>
    </row>
    <row r="250" spans="1:33" x14ac:dyDescent="0.2">
      <c r="A250" s="3">
        <v>15522</v>
      </c>
      <c r="B250" s="2">
        <v>5.37</v>
      </c>
      <c r="C250" s="2">
        <v>20.57</v>
      </c>
      <c r="D250" s="2">
        <v>-9.74</v>
      </c>
      <c r="E250" s="2">
        <v>-84.86</v>
      </c>
      <c r="F250" s="2">
        <v>-73.55</v>
      </c>
      <c r="G250" s="2">
        <v>-42.75</v>
      </c>
      <c r="H250" s="2">
        <v>3.96</v>
      </c>
      <c r="I250" s="2">
        <v>25.29</v>
      </c>
      <c r="J250" s="2">
        <v>12.59</v>
      </c>
      <c r="K250" s="2">
        <v>29.72</v>
      </c>
      <c r="L250" s="2">
        <v>28.04</v>
      </c>
      <c r="M250" s="2">
        <v>34.07</v>
      </c>
      <c r="N250" s="2">
        <v>48.92</v>
      </c>
      <c r="O250" s="2">
        <v>27.22</v>
      </c>
      <c r="P250" s="2">
        <v>74.16</v>
      </c>
      <c r="Q250" s="2">
        <v>13.45</v>
      </c>
      <c r="R250" s="2">
        <v>9.36</v>
      </c>
      <c r="S250" s="2">
        <v>30.43</v>
      </c>
      <c r="T250" s="2">
        <v>25.56</v>
      </c>
      <c r="U250" s="2">
        <v>23.65</v>
      </c>
      <c r="V250" s="2">
        <v>36.700000000000003</v>
      </c>
      <c r="W250" s="2">
        <v>18.62</v>
      </c>
      <c r="X250" s="2">
        <v>12.32</v>
      </c>
      <c r="Y250" s="2">
        <v>11.65</v>
      </c>
      <c r="Z250" s="2">
        <v>0</v>
      </c>
      <c r="AA250" s="2">
        <v>0</v>
      </c>
      <c r="AB250" s="2">
        <v>0</v>
      </c>
      <c r="AC250" s="2">
        <v>0</v>
      </c>
      <c r="AD250" s="2">
        <v>11.63</v>
      </c>
      <c r="AE250" s="2">
        <v>0</v>
      </c>
      <c r="AF250" s="2">
        <v>107.19</v>
      </c>
      <c r="AG250" s="2">
        <v>22.83</v>
      </c>
    </row>
    <row r="251" spans="1:33" x14ac:dyDescent="0.2">
      <c r="A251" s="3">
        <v>15553</v>
      </c>
      <c r="B251" s="2">
        <v>1.82</v>
      </c>
      <c r="C251" s="2">
        <v>16.920000000000002</v>
      </c>
      <c r="D251" s="2">
        <v>-11.88</v>
      </c>
      <c r="E251" s="2">
        <v>-100.49</v>
      </c>
      <c r="F251" s="2">
        <v>-74.709999999999994</v>
      </c>
      <c r="G251" s="2">
        <v>-41.47</v>
      </c>
      <c r="H251" s="2">
        <v>-1.75</v>
      </c>
      <c r="I251" s="2">
        <v>19.36</v>
      </c>
      <c r="J251" s="2">
        <v>-38.340000000000003</v>
      </c>
      <c r="K251" s="2">
        <v>-47.44</v>
      </c>
      <c r="L251" s="2">
        <v>-69.09</v>
      </c>
      <c r="M251" s="2">
        <v>-46.36</v>
      </c>
      <c r="N251" s="2">
        <v>-0.02</v>
      </c>
      <c r="O251" s="2">
        <v>39.04</v>
      </c>
      <c r="P251" s="2">
        <v>2.58</v>
      </c>
      <c r="Q251" s="2">
        <v>5.56</v>
      </c>
      <c r="R251" s="2">
        <v>14.81</v>
      </c>
      <c r="S251" s="2">
        <v>10.7</v>
      </c>
      <c r="T251" s="2">
        <v>39.79</v>
      </c>
      <c r="U251" s="2">
        <v>4.75</v>
      </c>
      <c r="V251" s="2">
        <v>33.99</v>
      </c>
      <c r="W251" s="2">
        <v>30.39</v>
      </c>
      <c r="X251" s="2">
        <v>17.45</v>
      </c>
      <c r="Y251" s="2">
        <v>17.16</v>
      </c>
      <c r="Z251" s="2">
        <v>0</v>
      </c>
      <c r="AA251" s="2">
        <v>0</v>
      </c>
      <c r="AB251" s="2">
        <v>0</v>
      </c>
      <c r="AC251" s="2">
        <v>0</v>
      </c>
      <c r="AD251" s="2">
        <v>11.36</v>
      </c>
      <c r="AE251" s="2">
        <v>0</v>
      </c>
      <c r="AF251" s="2">
        <v>116.73</v>
      </c>
      <c r="AG251" s="2">
        <v>24.8</v>
      </c>
    </row>
    <row r="252" spans="1:33" x14ac:dyDescent="0.2">
      <c r="A252" s="3">
        <v>15584</v>
      </c>
      <c r="B252" s="2">
        <v>0.56999999999999995</v>
      </c>
      <c r="C252" s="2">
        <v>17.13</v>
      </c>
      <c r="D252" s="2">
        <v>-6.9</v>
      </c>
      <c r="E252" s="2">
        <v>-80.53</v>
      </c>
      <c r="F252" s="2">
        <v>-38.43</v>
      </c>
      <c r="G252" s="2">
        <v>-24.14</v>
      </c>
      <c r="H252" s="2">
        <v>5.07</v>
      </c>
      <c r="I252" s="2">
        <v>18.61</v>
      </c>
      <c r="J252" s="2">
        <v>-34.04</v>
      </c>
      <c r="K252" s="2">
        <v>-40.630000000000003</v>
      </c>
      <c r="L252" s="2">
        <v>-57.41</v>
      </c>
      <c r="M252" s="2">
        <v>-36.32</v>
      </c>
      <c r="N252" s="2">
        <v>-13.41</v>
      </c>
      <c r="O252" s="2">
        <v>36.03</v>
      </c>
      <c r="P252" s="2">
        <v>7.9</v>
      </c>
      <c r="Q252" s="2">
        <v>-0.35</v>
      </c>
      <c r="R252" s="2">
        <v>3.83</v>
      </c>
      <c r="S252" s="2">
        <v>4.03</v>
      </c>
      <c r="T252" s="2">
        <v>36.24</v>
      </c>
      <c r="U252" s="2">
        <v>3.41</v>
      </c>
      <c r="V252" s="2">
        <v>33.83</v>
      </c>
      <c r="W252" s="2">
        <v>31.47</v>
      </c>
      <c r="X252" s="2">
        <v>19.75</v>
      </c>
      <c r="Y252" s="2">
        <v>19.59</v>
      </c>
      <c r="Z252" s="2">
        <v>5.0199999999999996</v>
      </c>
      <c r="AA252" s="2">
        <v>6.96</v>
      </c>
      <c r="AB252" s="2">
        <v>0</v>
      </c>
      <c r="AC252" s="2">
        <v>37.770000000000003</v>
      </c>
      <c r="AD252" s="2">
        <v>7.29</v>
      </c>
      <c r="AE252" s="2">
        <v>0</v>
      </c>
      <c r="AF252" s="2">
        <v>118.71</v>
      </c>
      <c r="AG252" s="2">
        <v>23.65</v>
      </c>
    </row>
    <row r="253" spans="1:33" x14ac:dyDescent="0.2">
      <c r="A253" s="3">
        <v>15614</v>
      </c>
      <c r="B253" s="2">
        <v>0.12</v>
      </c>
      <c r="C253" s="2">
        <v>17.96</v>
      </c>
      <c r="D253" s="2">
        <v>-3.01</v>
      </c>
      <c r="E253" s="2">
        <v>-57.56</v>
      </c>
      <c r="F253" s="2">
        <v>-22.1</v>
      </c>
      <c r="G253" s="2">
        <v>-5.47</v>
      </c>
      <c r="H253" s="2">
        <v>14.52</v>
      </c>
      <c r="I253" s="2">
        <v>25</v>
      </c>
      <c r="J253" s="2">
        <v>-3.35</v>
      </c>
      <c r="K253" s="2">
        <v>-19.61</v>
      </c>
      <c r="L253" s="2">
        <v>-27.11</v>
      </c>
      <c r="M253" s="2">
        <v>-16.649999999999999</v>
      </c>
      <c r="N253" s="2">
        <v>10.83</v>
      </c>
      <c r="O253" s="2">
        <v>3.57</v>
      </c>
      <c r="P253" s="2">
        <v>5.28</v>
      </c>
      <c r="Q253" s="2">
        <v>2.08</v>
      </c>
      <c r="R253" s="2">
        <v>0.48</v>
      </c>
      <c r="S253" s="2">
        <v>-0.06</v>
      </c>
      <c r="T253" s="2">
        <v>21.66</v>
      </c>
      <c r="U253" s="2">
        <v>8.16</v>
      </c>
      <c r="V253" s="2">
        <v>14.22</v>
      </c>
      <c r="W253" s="2">
        <v>26.1</v>
      </c>
      <c r="X253" s="2">
        <v>18.78</v>
      </c>
      <c r="Y253" s="2">
        <v>18.420000000000002</v>
      </c>
      <c r="Z253" s="2">
        <v>0</v>
      </c>
      <c r="AA253" s="2">
        <v>0</v>
      </c>
      <c r="AB253" s="2">
        <v>0.67</v>
      </c>
      <c r="AC253" s="2">
        <v>0</v>
      </c>
      <c r="AD253" s="2">
        <v>4.32</v>
      </c>
      <c r="AE253" s="2">
        <v>1.31</v>
      </c>
      <c r="AF253" s="2">
        <v>110.57</v>
      </c>
      <c r="AG253" s="2">
        <v>20.170000000000002</v>
      </c>
    </row>
    <row r="254" spans="1:33" x14ac:dyDescent="0.2">
      <c r="A254" s="3">
        <v>15645</v>
      </c>
      <c r="B254" s="2">
        <v>0.67</v>
      </c>
      <c r="C254" s="2">
        <v>19.38</v>
      </c>
      <c r="D254" s="2">
        <v>-2.96</v>
      </c>
      <c r="E254" s="2">
        <v>-20.260000000000002</v>
      </c>
      <c r="F254" s="2">
        <v>-17.739999999999998</v>
      </c>
      <c r="G254" s="2">
        <v>5.9</v>
      </c>
      <c r="H254" s="2">
        <v>18.04</v>
      </c>
      <c r="I254" s="2">
        <v>27.1</v>
      </c>
      <c r="J254" s="2">
        <v>5.01</v>
      </c>
      <c r="K254" s="2">
        <v>-19.010000000000002</v>
      </c>
      <c r="L254" s="2">
        <v>-12.34</v>
      </c>
      <c r="M254" s="2">
        <v>-8.99</v>
      </c>
      <c r="N254" s="2">
        <v>8.51</v>
      </c>
      <c r="O254" s="2">
        <v>7.86</v>
      </c>
      <c r="P254" s="2">
        <v>14.43</v>
      </c>
      <c r="Q254" s="2">
        <v>1.18</v>
      </c>
      <c r="R254" s="2">
        <v>-3.27</v>
      </c>
      <c r="S254" s="2">
        <v>-1.42</v>
      </c>
      <c r="T254" s="2">
        <v>22.66</v>
      </c>
      <c r="U254" s="2">
        <v>6.55</v>
      </c>
      <c r="V254" s="2">
        <v>15.14</v>
      </c>
      <c r="W254" s="2">
        <v>22.19</v>
      </c>
      <c r="X254" s="2">
        <v>17.43</v>
      </c>
      <c r="Y254" s="2">
        <v>17.05</v>
      </c>
      <c r="Z254" s="2">
        <v>0.53</v>
      </c>
      <c r="AA254" s="2">
        <v>0.43</v>
      </c>
      <c r="AB254" s="2">
        <v>0</v>
      </c>
      <c r="AC254" s="2">
        <v>2.98</v>
      </c>
      <c r="AD254" s="2">
        <v>3.49</v>
      </c>
      <c r="AE254" s="2">
        <v>9.7899999999999991</v>
      </c>
      <c r="AF254" s="2">
        <v>100.29</v>
      </c>
      <c r="AG254" s="2">
        <v>16.420000000000002</v>
      </c>
    </row>
    <row r="255" spans="1:33" x14ac:dyDescent="0.2">
      <c r="A255" s="3">
        <v>15675</v>
      </c>
      <c r="B255" s="2">
        <v>3.6</v>
      </c>
      <c r="C255" s="2">
        <v>21.22</v>
      </c>
      <c r="D255" s="2">
        <v>6.19</v>
      </c>
      <c r="E255" s="2">
        <v>17.82</v>
      </c>
      <c r="F255" s="2">
        <v>12.37</v>
      </c>
      <c r="G255" s="2">
        <v>29.18</v>
      </c>
      <c r="H255" s="2">
        <v>21.69</v>
      </c>
      <c r="I255" s="2">
        <v>31.56</v>
      </c>
      <c r="J255" s="2">
        <v>21.1</v>
      </c>
      <c r="K255" s="2">
        <v>0.22</v>
      </c>
      <c r="L255" s="2">
        <v>2.11</v>
      </c>
      <c r="M255" s="2">
        <v>-1.66</v>
      </c>
      <c r="N255" s="2">
        <v>11.02</v>
      </c>
      <c r="O255" s="2">
        <v>4.5</v>
      </c>
      <c r="P255" s="2">
        <v>17.82</v>
      </c>
      <c r="Q255" s="2">
        <v>0.72</v>
      </c>
      <c r="R255" s="2">
        <v>-4.09</v>
      </c>
      <c r="S255" s="2">
        <v>3.16</v>
      </c>
      <c r="T255" s="2">
        <v>20</v>
      </c>
      <c r="U255" s="2">
        <v>8.31</v>
      </c>
      <c r="V255" s="2">
        <v>13.24</v>
      </c>
      <c r="W255" s="2">
        <v>15.43</v>
      </c>
      <c r="X255" s="2">
        <v>11.39</v>
      </c>
      <c r="Y255" s="2">
        <v>10</v>
      </c>
      <c r="Z255" s="2">
        <v>1.1000000000000001</v>
      </c>
      <c r="AA255" s="2">
        <v>0</v>
      </c>
      <c r="AB255" s="2">
        <v>0</v>
      </c>
      <c r="AC255" s="2">
        <v>0</v>
      </c>
      <c r="AD255" s="2">
        <v>2.34</v>
      </c>
      <c r="AE255" s="2">
        <v>14.73</v>
      </c>
      <c r="AF255" s="2">
        <v>65.81</v>
      </c>
      <c r="AG255" s="2">
        <v>12.92</v>
      </c>
    </row>
    <row r="256" spans="1:33" x14ac:dyDescent="0.2">
      <c r="A256" s="3">
        <v>15706</v>
      </c>
      <c r="B256" s="2">
        <v>6.76</v>
      </c>
      <c r="C256" s="2">
        <v>26.69</v>
      </c>
      <c r="D256" s="2">
        <v>20.07</v>
      </c>
      <c r="E256" s="2">
        <v>37.43</v>
      </c>
      <c r="F256" s="2">
        <v>33.85</v>
      </c>
      <c r="G256" s="2">
        <v>61.17</v>
      </c>
      <c r="H256" s="2">
        <v>28.64</v>
      </c>
      <c r="I256" s="2">
        <v>34.130000000000003</v>
      </c>
      <c r="J256" s="2">
        <v>35.9</v>
      </c>
      <c r="K256" s="2">
        <v>2.68</v>
      </c>
      <c r="L256" s="2">
        <v>23.87</v>
      </c>
      <c r="M256" s="2">
        <v>8.49</v>
      </c>
      <c r="N256" s="2">
        <v>10.57</v>
      </c>
      <c r="O256" s="2">
        <v>3.96</v>
      </c>
      <c r="P256" s="2">
        <v>25.34</v>
      </c>
      <c r="Q256" s="2">
        <v>-0.56000000000000005</v>
      </c>
      <c r="R256" s="2">
        <v>-2.94</v>
      </c>
      <c r="S256" s="2">
        <v>15.56</v>
      </c>
      <c r="T256" s="2">
        <v>19.41</v>
      </c>
      <c r="U256" s="2">
        <v>7.55</v>
      </c>
      <c r="V256" s="2">
        <v>13.33</v>
      </c>
      <c r="W256" s="2">
        <v>11.73</v>
      </c>
      <c r="X256" s="2">
        <v>9.24</v>
      </c>
      <c r="Y256" s="2">
        <v>9.07</v>
      </c>
      <c r="Z256" s="2">
        <v>3.06</v>
      </c>
      <c r="AA256" s="2">
        <v>2.0099999999999998</v>
      </c>
      <c r="AB256" s="2">
        <v>3.17</v>
      </c>
      <c r="AC256" s="2">
        <v>5.42</v>
      </c>
      <c r="AD256" s="2">
        <v>2.4900000000000002</v>
      </c>
      <c r="AE256" s="2">
        <v>12.96</v>
      </c>
      <c r="AF256" s="2">
        <v>60.46</v>
      </c>
      <c r="AG256" s="2">
        <v>11.2</v>
      </c>
    </row>
    <row r="257" spans="1:33" x14ac:dyDescent="0.2">
      <c r="A257" s="3">
        <v>15737</v>
      </c>
      <c r="B257" s="2">
        <v>14.68</v>
      </c>
      <c r="C257" s="2">
        <v>41.26</v>
      </c>
      <c r="D257" s="2">
        <v>49.66</v>
      </c>
      <c r="E257" s="2">
        <v>143.66999999999999</v>
      </c>
      <c r="F257" s="2">
        <v>183.19</v>
      </c>
      <c r="G257" s="2">
        <v>200.76</v>
      </c>
      <c r="H257" s="2">
        <v>36.840000000000003</v>
      </c>
      <c r="I257" s="2">
        <v>48.34</v>
      </c>
      <c r="J257" s="2">
        <v>115.87</v>
      </c>
      <c r="K257" s="2">
        <v>57.45</v>
      </c>
      <c r="L257" s="2">
        <v>26.34</v>
      </c>
      <c r="M257" s="2">
        <v>14.45</v>
      </c>
      <c r="N257" s="2">
        <v>68.959999999999994</v>
      </c>
      <c r="O257" s="2">
        <v>6.49</v>
      </c>
      <c r="P257" s="2">
        <v>120.58</v>
      </c>
      <c r="Q257" s="2">
        <v>2.91</v>
      </c>
      <c r="R257" s="2">
        <v>2.73</v>
      </c>
      <c r="S257" s="2">
        <v>72.72</v>
      </c>
      <c r="T257" s="2">
        <v>81.06</v>
      </c>
      <c r="U257" s="2">
        <v>19.03</v>
      </c>
      <c r="V257" s="2">
        <v>38.04</v>
      </c>
      <c r="W257" s="2">
        <v>4.26</v>
      </c>
      <c r="X257" s="2">
        <v>9.1300000000000008</v>
      </c>
      <c r="Y257" s="2">
        <v>7.94</v>
      </c>
      <c r="Z257" s="2">
        <v>26.75</v>
      </c>
      <c r="AA257" s="2">
        <v>26.67</v>
      </c>
      <c r="AB257" s="2">
        <v>20.52</v>
      </c>
      <c r="AC257" s="2">
        <v>31.41</v>
      </c>
      <c r="AD257" s="2">
        <v>2.34</v>
      </c>
      <c r="AE257" s="2">
        <v>44.47</v>
      </c>
      <c r="AF257" s="2">
        <v>71.25</v>
      </c>
      <c r="AG257" s="2">
        <v>9.8800000000000008</v>
      </c>
    </row>
    <row r="258" spans="1:33" x14ac:dyDescent="0.2">
      <c r="A258" s="3">
        <v>15765</v>
      </c>
      <c r="B258" s="2">
        <v>13.24</v>
      </c>
      <c r="C258" s="2">
        <v>26.05</v>
      </c>
      <c r="D258" s="2">
        <v>-6.52</v>
      </c>
      <c r="E258" s="2">
        <v>-36.200000000000003</v>
      </c>
      <c r="F258" s="2">
        <v>-64.63</v>
      </c>
      <c r="G258" s="2">
        <v>-6.11</v>
      </c>
      <c r="H258" s="2">
        <v>15.4</v>
      </c>
      <c r="I258" s="2">
        <v>35.64</v>
      </c>
      <c r="J258" s="2">
        <v>26.13</v>
      </c>
      <c r="K258" s="2">
        <v>-0.64</v>
      </c>
      <c r="L258" s="2">
        <v>20.48</v>
      </c>
      <c r="M258" s="2">
        <v>9.11</v>
      </c>
      <c r="N258" s="2">
        <v>18.09</v>
      </c>
      <c r="O258" s="2">
        <v>7</v>
      </c>
      <c r="P258" s="2">
        <v>19.940000000000001</v>
      </c>
      <c r="Q258" s="2">
        <v>-1.1000000000000001</v>
      </c>
      <c r="R258" s="2">
        <v>1.89</v>
      </c>
      <c r="S258" s="2">
        <v>14.18</v>
      </c>
      <c r="T258" s="2">
        <v>9.68</v>
      </c>
      <c r="U258" s="2">
        <v>14.94</v>
      </c>
      <c r="V258" s="2">
        <v>16.21</v>
      </c>
      <c r="W258" s="2">
        <v>0</v>
      </c>
      <c r="X258" s="2">
        <v>2.74</v>
      </c>
      <c r="Y258" s="2">
        <v>2.95</v>
      </c>
      <c r="Z258" s="2">
        <v>9.6199999999999992</v>
      </c>
      <c r="AA258" s="2">
        <v>2.87</v>
      </c>
      <c r="AB258" s="2">
        <v>1.75</v>
      </c>
      <c r="AC258" s="2">
        <v>13.54</v>
      </c>
      <c r="AD258" s="2">
        <v>2.4</v>
      </c>
      <c r="AE258" s="2">
        <v>22.28</v>
      </c>
      <c r="AF258" s="2">
        <v>59.39</v>
      </c>
      <c r="AG258" s="2">
        <v>10.08</v>
      </c>
    </row>
    <row r="259" spans="1:33" x14ac:dyDescent="0.2">
      <c r="A259" s="3">
        <v>15796</v>
      </c>
      <c r="B259" s="2">
        <v>15.35</v>
      </c>
      <c r="C259" s="2">
        <v>27.48</v>
      </c>
      <c r="D259" s="2">
        <v>2.56</v>
      </c>
      <c r="E259" s="2">
        <v>38.29</v>
      </c>
      <c r="F259" s="2">
        <v>84.39</v>
      </c>
      <c r="G259" s="2">
        <v>16.149999999999999</v>
      </c>
      <c r="H259" s="2">
        <v>34.340000000000003</v>
      </c>
      <c r="I259" s="2">
        <v>56.66</v>
      </c>
      <c r="J259" s="2">
        <v>82.73</v>
      </c>
      <c r="K259" s="2">
        <v>78.95</v>
      </c>
      <c r="L259" s="2">
        <v>73.81</v>
      </c>
      <c r="M259" s="2">
        <v>53.26</v>
      </c>
      <c r="N259" s="2">
        <v>102.18</v>
      </c>
      <c r="O259" s="2">
        <v>11.86</v>
      </c>
      <c r="P259" s="2">
        <v>182.93</v>
      </c>
      <c r="Q259" s="2">
        <v>8.65</v>
      </c>
      <c r="R259" s="2">
        <v>2.64</v>
      </c>
      <c r="S259" s="2">
        <v>129.47999999999999</v>
      </c>
      <c r="T259" s="2">
        <v>78.13</v>
      </c>
      <c r="U259" s="2">
        <v>42.64</v>
      </c>
      <c r="V259" s="2">
        <v>50.07</v>
      </c>
      <c r="W259" s="2">
        <v>0</v>
      </c>
      <c r="X259" s="2">
        <v>3.52</v>
      </c>
      <c r="Y259" s="2">
        <v>2.68</v>
      </c>
      <c r="Z259" s="2">
        <v>12.59</v>
      </c>
      <c r="AA259" s="2">
        <v>21.65</v>
      </c>
      <c r="AB259" s="2">
        <v>5.03</v>
      </c>
      <c r="AC259" s="2">
        <v>17.190000000000001</v>
      </c>
      <c r="AD259" s="2">
        <v>4.1100000000000003</v>
      </c>
      <c r="AE259" s="2">
        <v>24.42</v>
      </c>
      <c r="AF259" s="2">
        <v>70.09</v>
      </c>
      <c r="AG259" s="2">
        <v>10.69</v>
      </c>
    </row>
    <row r="260" spans="1:33" x14ac:dyDescent="0.2">
      <c r="A260" s="3">
        <v>15826</v>
      </c>
      <c r="B260" s="2">
        <v>11.37</v>
      </c>
      <c r="C260" s="2">
        <v>20.09</v>
      </c>
      <c r="D260" s="2">
        <v>-3.83</v>
      </c>
      <c r="E260" s="2">
        <v>-37.86</v>
      </c>
      <c r="F260" s="2">
        <v>-56.28</v>
      </c>
      <c r="G260" s="2">
        <v>-38.56</v>
      </c>
      <c r="H260" s="2">
        <v>16.23</v>
      </c>
      <c r="I260" s="2">
        <v>39.4</v>
      </c>
      <c r="J260" s="2">
        <v>8.06</v>
      </c>
      <c r="K260" s="2">
        <v>-17.75</v>
      </c>
      <c r="L260" s="2">
        <v>-3.54</v>
      </c>
      <c r="M260" s="2">
        <v>-17.11</v>
      </c>
      <c r="N260" s="2">
        <v>17.170000000000002</v>
      </c>
      <c r="O260" s="2">
        <v>10.76</v>
      </c>
      <c r="P260" s="2">
        <v>55.02</v>
      </c>
      <c r="Q260" s="2">
        <v>7.88</v>
      </c>
      <c r="R260" s="2">
        <v>3.43</v>
      </c>
      <c r="S260" s="2">
        <v>34.090000000000003</v>
      </c>
      <c r="T260" s="2">
        <v>-7.1</v>
      </c>
      <c r="U260" s="2">
        <v>44.99</v>
      </c>
      <c r="V260" s="2">
        <v>26.28</v>
      </c>
      <c r="W260" s="2">
        <v>0</v>
      </c>
      <c r="X260" s="2">
        <v>4.28</v>
      </c>
      <c r="Y260" s="2">
        <v>3.76</v>
      </c>
      <c r="Z260" s="2">
        <v>3.25</v>
      </c>
      <c r="AA260" s="2">
        <v>0.28999999999999998</v>
      </c>
      <c r="AB260" s="2">
        <v>1.75</v>
      </c>
      <c r="AC260" s="2">
        <v>4.47</v>
      </c>
      <c r="AD260" s="2">
        <v>5.05</v>
      </c>
      <c r="AE260" s="2">
        <v>12.58</v>
      </c>
      <c r="AF260" s="2">
        <v>86.72</v>
      </c>
      <c r="AG260" s="2">
        <v>14.64</v>
      </c>
    </row>
    <row r="261" spans="1:33" x14ac:dyDescent="0.2">
      <c r="A261" s="3">
        <v>15857</v>
      </c>
      <c r="B261" s="2">
        <v>5.44</v>
      </c>
      <c r="C261" s="2">
        <v>15.54</v>
      </c>
      <c r="D261" s="2">
        <v>-9.66</v>
      </c>
      <c r="E261" s="2">
        <v>-68.88</v>
      </c>
      <c r="F261" s="2">
        <v>-81.22</v>
      </c>
      <c r="G261" s="2">
        <v>-45.99</v>
      </c>
      <c r="H261" s="2">
        <v>-4.8600000000000003</v>
      </c>
      <c r="I261" s="2">
        <v>23.44</v>
      </c>
      <c r="J261" s="2">
        <v>3.6</v>
      </c>
      <c r="K261" s="2">
        <v>14.51</v>
      </c>
      <c r="L261" s="2">
        <v>-1.87</v>
      </c>
      <c r="M261" s="2">
        <v>9.27</v>
      </c>
      <c r="N261" s="2">
        <v>46.23</v>
      </c>
      <c r="O261" s="2">
        <v>19.739999999999998</v>
      </c>
      <c r="P261" s="2">
        <v>56.77</v>
      </c>
      <c r="Q261" s="2">
        <v>13.45</v>
      </c>
      <c r="R261" s="2">
        <v>11.81</v>
      </c>
      <c r="S261" s="2">
        <v>41.68</v>
      </c>
      <c r="T261" s="2">
        <v>-1.23</v>
      </c>
      <c r="U261" s="2">
        <v>45.68</v>
      </c>
      <c r="V261" s="2">
        <v>33.869999999999997</v>
      </c>
      <c r="W261" s="2">
        <v>4.88</v>
      </c>
      <c r="X261" s="2">
        <v>7.17</v>
      </c>
      <c r="Y261" s="2">
        <v>6</v>
      </c>
      <c r="Z261" s="2">
        <v>0</v>
      </c>
      <c r="AA261" s="2">
        <v>0</v>
      </c>
      <c r="AB261" s="2">
        <v>0</v>
      </c>
      <c r="AC261" s="2">
        <v>0</v>
      </c>
      <c r="AD261" s="2">
        <v>6.97</v>
      </c>
      <c r="AE261" s="2">
        <v>0</v>
      </c>
      <c r="AF261" s="2">
        <v>97.94</v>
      </c>
      <c r="AG261" s="2">
        <v>17.690000000000001</v>
      </c>
    </row>
    <row r="262" spans="1:33" x14ac:dyDescent="0.2">
      <c r="A262" s="3">
        <v>15887</v>
      </c>
      <c r="B262" s="2">
        <v>2.1800000000000002</v>
      </c>
      <c r="C262" s="2">
        <v>14.42</v>
      </c>
      <c r="D262" s="2">
        <v>-10.15</v>
      </c>
      <c r="E262" s="2">
        <v>-76.260000000000005</v>
      </c>
      <c r="F262" s="2">
        <v>-48.95</v>
      </c>
      <c r="G262" s="2">
        <v>-36.880000000000003</v>
      </c>
      <c r="H262" s="2">
        <v>1.85</v>
      </c>
      <c r="I262" s="2">
        <v>25.11</v>
      </c>
      <c r="J262" s="2">
        <v>-20.78</v>
      </c>
      <c r="K262" s="2">
        <v>-32.72</v>
      </c>
      <c r="L262" s="2">
        <v>-30.6</v>
      </c>
      <c r="M262" s="2">
        <v>-18.47</v>
      </c>
      <c r="N262" s="2">
        <v>6.73</v>
      </c>
      <c r="O262" s="2">
        <v>26.98</v>
      </c>
      <c r="P262" s="2">
        <v>11.26</v>
      </c>
      <c r="Q262" s="2">
        <v>7.89</v>
      </c>
      <c r="R262" s="2">
        <v>2.3199999999999998</v>
      </c>
      <c r="S262" s="2">
        <v>14.21</v>
      </c>
      <c r="T262" s="2">
        <v>23.32</v>
      </c>
      <c r="U262" s="2">
        <v>23.09</v>
      </c>
      <c r="V262" s="2">
        <v>29.88</v>
      </c>
      <c r="W262" s="2">
        <v>18.62</v>
      </c>
      <c r="X262" s="2">
        <v>12.43</v>
      </c>
      <c r="Y262" s="2">
        <v>11.99</v>
      </c>
      <c r="Z262" s="2">
        <v>0</v>
      </c>
      <c r="AA262" s="2">
        <v>0</v>
      </c>
      <c r="AB262" s="2">
        <v>0.06</v>
      </c>
      <c r="AC262" s="2">
        <v>0</v>
      </c>
      <c r="AD262" s="2">
        <v>11.25</v>
      </c>
      <c r="AE262" s="2">
        <v>0.09</v>
      </c>
      <c r="AF262" s="2">
        <v>107.19</v>
      </c>
      <c r="AG262" s="2">
        <v>22.83</v>
      </c>
    </row>
    <row r="263" spans="1:33" x14ac:dyDescent="0.2">
      <c r="A263" s="3">
        <v>15918</v>
      </c>
      <c r="B263" s="2">
        <v>-0.39</v>
      </c>
      <c r="C263" s="2">
        <v>13.47</v>
      </c>
      <c r="D263" s="2">
        <v>-9.6</v>
      </c>
      <c r="E263" s="2">
        <v>-77.28</v>
      </c>
      <c r="F263" s="2">
        <v>-40.18</v>
      </c>
      <c r="G263" s="2">
        <v>-30.2</v>
      </c>
      <c r="H263" s="2">
        <v>3.52</v>
      </c>
      <c r="I263" s="2">
        <v>21.66</v>
      </c>
      <c r="J263" s="2">
        <v>-35.53</v>
      </c>
      <c r="K263" s="2">
        <v>-31.39</v>
      </c>
      <c r="L263" s="2">
        <v>-60.68</v>
      </c>
      <c r="M263" s="2">
        <v>-33.729999999999997</v>
      </c>
      <c r="N263" s="2">
        <v>6.45</v>
      </c>
      <c r="O263" s="2">
        <v>46.59</v>
      </c>
      <c r="P263" s="2">
        <v>16.52</v>
      </c>
      <c r="Q263" s="2">
        <v>0.92</v>
      </c>
      <c r="R263" s="2">
        <v>12.67</v>
      </c>
      <c r="S263" s="2">
        <v>12.54</v>
      </c>
      <c r="T263" s="2">
        <v>40.840000000000003</v>
      </c>
      <c r="U263" s="2">
        <v>5.66</v>
      </c>
      <c r="V263" s="2">
        <v>33.979999999999997</v>
      </c>
      <c r="W263" s="2">
        <v>30.39</v>
      </c>
      <c r="X263" s="2">
        <v>17.57</v>
      </c>
      <c r="Y263" s="2">
        <v>17.5</v>
      </c>
      <c r="Z263" s="2">
        <v>0</v>
      </c>
      <c r="AA263" s="2">
        <v>0</v>
      </c>
      <c r="AB263" s="2">
        <v>0.23</v>
      </c>
      <c r="AC263" s="2">
        <v>0</v>
      </c>
      <c r="AD263" s="2">
        <v>11.66</v>
      </c>
      <c r="AE263" s="2">
        <v>0</v>
      </c>
      <c r="AF263" s="2">
        <v>116.73</v>
      </c>
      <c r="AG263" s="2">
        <v>24.8</v>
      </c>
    </row>
    <row r="264" spans="1:33" x14ac:dyDescent="0.2">
      <c r="A264" s="3">
        <v>15949</v>
      </c>
      <c r="B264" s="2">
        <v>-1.19</v>
      </c>
      <c r="C264" s="2">
        <v>13.63</v>
      </c>
      <c r="D264" s="2">
        <v>-5.58</v>
      </c>
      <c r="E264" s="2">
        <v>-65.069999999999993</v>
      </c>
      <c r="F264" s="2">
        <v>-26.89</v>
      </c>
      <c r="G264" s="2">
        <v>-15.71</v>
      </c>
      <c r="H264" s="2">
        <v>9.31</v>
      </c>
      <c r="I264" s="2">
        <v>22.08</v>
      </c>
      <c r="J264" s="2">
        <v>-17.43</v>
      </c>
      <c r="K264" s="2">
        <v>-16.989999999999998</v>
      </c>
      <c r="L264" s="2">
        <v>-28.32</v>
      </c>
      <c r="M264" s="2">
        <v>-18.22</v>
      </c>
      <c r="N264" s="2">
        <v>3.71</v>
      </c>
      <c r="O264" s="2">
        <v>40.17</v>
      </c>
      <c r="P264" s="2">
        <v>18.45</v>
      </c>
      <c r="Q264" s="2">
        <v>-0.16</v>
      </c>
      <c r="R264" s="2">
        <v>0.99</v>
      </c>
      <c r="S264" s="2">
        <v>6.08</v>
      </c>
      <c r="T264" s="2">
        <v>37.54</v>
      </c>
      <c r="U264" s="2">
        <v>5.86</v>
      </c>
      <c r="V264" s="2">
        <v>33.700000000000003</v>
      </c>
      <c r="W264" s="2">
        <v>31.47</v>
      </c>
      <c r="X264" s="2">
        <v>19.87</v>
      </c>
      <c r="Y264" s="2">
        <v>19.95</v>
      </c>
      <c r="Z264" s="2">
        <v>0</v>
      </c>
      <c r="AA264" s="2">
        <v>8.75</v>
      </c>
      <c r="AB264" s="2">
        <v>0</v>
      </c>
      <c r="AC264" s="2">
        <v>0</v>
      </c>
      <c r="AD264" s="2">
        <v>7.38</v>
      </c>
      <c r="AE264" s="2">
        <v>0</v>
      </c>
      <c r="AF264" s="2">
        <v>118.71</v>
      </c>
      <c r="AG264" s="2">
        <v>23.65</v>
      </c>
    </row>
    <row r="265" spans="1:33" x14ac:dyDescent="0.2">
      <c r="A265" s="3">
        <v>15979</v>
      </c>
      <c r="B265" s="2">
        <v>-1.56</v>
      </c>
      <c r="C265" s="2">
        <v>14.98</v>
      </c>
      <c r="D265" s="2">
        <v>-3.65</v>
      </c>
      <c r="E265" s="2">
        <v>-43.19</v>
      </c>
      <c r="F265" s="2">
        <v>-21.49</v>
      </c>
      <c r="G265" s="2">
        <v>-7.0000000000000007E-2</v>
      </c>
      <c r="H265" s="2">
        <v>16.559999999999999</v>
      </c>
      <c r="I265" s="2">
        <v>27.06</v>
      </c>
      <c r="J265" s="2">
        <v>6.67</v>
      </c>
      <c r="K265" s="2">
        <v>-11.62</v>
      </c>
      <c r="L265" s="2">
        <v>-16.579999999999998</v>
      </c>
      <c r="M265" s="2">
        <v>-10.09</v>
      </c>
      <c r="N265" s="2">
        <v>17.079999999999998</v>
      </c>
      <c r="O265" s="2">
        <v>3.08</v>
      </c>
      <c r="P265" s="2">
        <v>11.4</v>
      </c>
      <c r="Q265" s="2">
        <v>1.73</v>
      </c>
      <c r="R265" s="2">
        <v>-0.57999999999999996</v>
      </c>
      <c r="S265" s="2">
        <v>0.51</v>
      </c>
      <c r="T265" s="2">
        <v>21</v>
      </c>
      <c r="U265" s="2">
        <v>9.2899999999999991</v>
      </c>
      <c r="V265" s="2">
        <v>14.62</v>
      </c>
      <c r="W265" s="2">
        <v>26.1</v>
      </c>
      <c r="X265" s="2">
        <v>18.89</v>
      </c>
      <c r="Y265" s="2">
        <v>18.739999999999998</v>
      </c>
      <c r="Z265" s="2">
        <v>1.58</v>
      </c>
      <c r="AA265" s="2">
        <v>4.59</v>
      </c>
      <c r="AB265" s="2">
        <v>4.8</v>
      </c>
      <c r="AC265" s="2">
        <v>2.17</v>
      </c>
      <c r="AD265" s="2">
        <v>4.66</v>
      </c>
      <c r="AE265" s="2">
        <v>0</v>
      </c>
      <c r="AF265" s="2">
        <v>110.57</v>
      </c>
      <c r="AG265" s="2">
        <v>20.170000000000002</v>
      </c>
    </row>
    <row r="266" spans="1:33" x14ac:dyDescent="0.2">
      <c r="A266" s="3">
        <v>16010</v>
      </c>
      <c r="B266" s="2">
        <v>-0.79</v>
      </c>
      <c r="C266" s="2">
        <v>16.899999999999999</v>
      </c>
      <c r="D266" s="2">
        <v>-3.31</v>
      </c>
      <c r="E266" s="2">
        <v>-14.15</v>
      </c>
      <c r="F266" s="2">
        <v>-5.63</v>
      </c>
      <c r="G266" s="2">
        <v>9.7899999999999991</v>
      </c>
      <c r="H266" s="2">
        <v>19.38</v>
      </c>
      <c r="I266" s="2">
        <v>29.43</v>
      </c>
      <c r="J266" s="2">
        <v>11.4</v>
      </c>
      <c r="K266" s="2">
        <v>-4.68</v>
      </c>
      <c r="L266" s="2">
        <v>-7.98</v>
      </c>
      <c r="M266" s="2">
        <v>-4.7300000000000004</v>
      </c>
      <c r="N266" s="2">
        <v>13.92</v>
      </c>
      <c r="O266" s="2">
        <v>7.83</v>
      </c>
      <c r="P266" s="2">
        <v>19.73</v>
      </c>
      <c r="Q266" s="2">
        <v>0.61</v>
      </c>
      <c r="R266" s="2">
        <v>-3.46</v>
      </c>
      <c r="S266" s="2">
        <v>-1.33</v>
      </c>
      <c r="T266" s="2">
        <v>22.42</v>
      </c>
      <c r="U266" s="2">
        <v>7.57</v>
      </c>
      <c r="V266" s="2">
        <v>16.45</v>
      </c>
      <c r="W266" s="2">
        <v>22.19</v>
      </c>
      <c r="X266" s="2">
        <v>17.53</v>
      </c>
      <c r="Y266" s="2">
        <v>17.34</v>
      </c>
      <c r="Z266" s="2">
        <v>0.38</v>
      </c>
      <c r="AA266" s="2">
        <v>2.0099999999999998</v>
      </c>
      <c r="AB266" s="2">
        <v>0.55000000000000004</v>
      </c>
      <c r="AC266" s="2">
        <v>2.71</v>
      </c>
      <c r="AD266" s="2">
        <v>3.08</v>
      </c>
      <c r="AE266" s="2">
        <v>2.7</v>
      </c>
      <c r="AF266" s="2">
        <v>100.29</v>
      </c>
      <c r="AG266" s="2">
        <v>16.420000000000002</v>
      </c>
    </row>
    <row r="267" spans="1:33" x14ac:dyDescent="0.2">
      <c r="A267" s="3">
        <v>16040</v>
      </c>
      <c r="B267" s="2">
        <v>1.19</v>
      </c>
      <c r="C267" s="2">
        <v>14.96</v>
      </c>
      <c r="D267" s="2">
        <v>-2.71</v>
      </c>
      <c r="E267" s="2">
        <v>-3.7</v>
      </c>
      <c r="F267" s="2">
        <v>-5.59</v>
      </c>
      <c r="G267" s="2">
        <v>9.99</v>
      </c>
      <c r="H267" s="2">
        <v>16.649999999999999</v>
      </c>
      <c r="I267" s="2">
        <v>25.86</v>
      </c>
      <c r="J267" s="2">
        <v>12.95</v>
      </c>
      <c r="K267" s="2">
        <v>-8.1300000000000008</v>
      </c>
      <c r="L267" s="2">
        <v>-2.16</v>
      </c>
      <c r="M267" s="2">
        <v>-5.05</v>
      </c>
      <c r="N267" s="2">
        <v>7.42</v>
      </c>
      <c r="O267" s="2">
        <v>4.0999999999999996</v>
      </c>
      <c r="P267" s="2">
        <v>14.05</v>
      </c>
      <c r="Q267" s="2">
        <v>0.3</v>
      </c>
      <c r="R267" s="2">
        <v>-4.42</v>
      </c>
      <c r="S267" s="2">
        <v>-2.4300000000000002</v>
      </c>
      <c r="T267" s="2">
        <v>19.649999999999999</v>
      </c>
      <c r="U267" s="2">
        <v>9.01</v>
      </c>
      <c r="V267" s="2">
        <v>13.25</v>
      </c>
      <c r="W267" s="2">
        <v>15.43</v>
      </c>
      <c r="X267" s="2">
        <v>11.47</v>
      </c>
      <c r="Y267" s="2">
        <v>10.24</v>
      </c>
      <c r="Z267" s="2">
        <v>36.130000000000003</v>
      </c>
      <c r="AA267" s="2">
        <v>0</v>
      </c>
      <c r="AB267" s="2">
        <v>0</v>
      </c>
      <c r="AC267" s="2">
        <v>0</v>
      </c>
      <c r="AD267" s="2">
        <v>1.91</v>
      </c>
      <c r="AE267" s="2">
        <v>4.1900000000000004</v>
      </c>
      <c r="AF267" s="2">
        <v>65.81</v>
      </c>
      <c r="AG267" s="2">
        <v>12.92</v>
      </c>
    </row>
    <row r="268" spans="1:33" x14ac:dyDescent="0.2">
      <c r="A268" s="3">
        <v>16071</v>
      </c>
      <c r="B268" s="2">
        <v>1.07</v>
      </c>
      <c r="C268" s="2">
        <v>14.04</v>
      </c>
      <c r="D268" s="2">
        <v>-1.51</v>
      </c>
      <c r="E268" s="2">
        <v>-1.17</v>
      </c>
      <c r="F268" s="2">
        <v>-1.59</v>
      </c>
      <c r="G268" s="2">
        <v>12.48</v>
      </c>
      <c r="H268" s="2">
        <v>12.91</v>
      </c>
      <c r="I268" s="2">
        <v>25.81</v>
      </c>
      <c r="J268" s="2">
        <v>16.510000000000002</v>
      </c>
      <c r="K268" s="2">
        <v>-0.51</v>
      </c>
      <c r="L268" s="2">
        <v>2.4700000000000002</v>
      </c>
      <c r="M268" s="2">
        <v>0.6</v>
      </c>
      <c r="N268" s="2">
        <v>9.7799999999999994</v>
      </c>
      <c r="O268" s="2">
        <v>3.45</v>
      </c>
      <c r="P268" s="2">
        <v>16.47</v>
      </c>
      <c r="Q268" s="2">
        <v>-1.85</v>
      </c>
      <c r="R268" s="2">
        <v>-4.76</v>
      </c>
      <c r="S268" s="2">
        <v>6.82</v>
      </c>
      <c r="T268" s="2">
        <v>20.260000000000002</v>
      </c>
      <c r="U268" s="2">
        <v>8.56</v>
      </c>
      <c r="V268" s="2">
        <v>13.77</v>
      </c>
      <c r="W268" s="2">
        <v>11.73</v>
      </c>
      <c r="X268" s="2">
        <v>9.31</v>
      </c>
      <c r="Y268" s="2">
        <v>9.2899999999999991</v>
      </c>
      <c r="Z268" s="2">
        <v>0.53</v>
      </c>
      <c r="AA268" s="2">
        <v>49.04</v>
      </c>
      <c r="AB268" s="2">
        <v>13.93</v>
      </c>
      <c r="AC268" s="2">
        <v>22.34</v>
      </c>
      <c r="AD268" s="2">
        <v>1.77</v>
      </c>
      <c r="AE268" s="2">
        <v>12.21</v>
      </c>
      <c r="AF268" s="2">
        <v>60.46</v>
      </c>
      <c r="AG268" s="2">
        <v>11.2</v>
      </c>
    </row>
    <row r="269" spans="1:33" x14ac:dyDescent="0.2">
      <c r="A269" s="3">
        <v>16102</v>
      </c>
      <c r="B269" s="2">
        <v>0.71</v>
      </c>
      <c r="C269" s="2">
        <v>18.62</v>
      </c>
      <c r="D269" s="2">
        <v>8.69</v>
      </c>
      <c r="E269" s="2">
        <v>7.8</v>
      </c>
      <c r="F269" s="2">
        <v>4.05</v>
      </c>
      <c r="G269" s="2">
        <v>32.520000000000003</v>
      </c>
      <c r="H269" s="2">
        <v>14.1</v>
      </c>
      <c r="I269" s="2">
        <v>27.01</v>
      </c>
      <c r="J269" s="2">
        <v>18.86</v>
      </c>
      <c r="K269" s="2">
        <v>8.1999999999999993</v>
      </c>
      <c r="L269" s="2">
        <v>-1.68</v>
      </c>
      <c r="M269" s="2">
        <v>-3.19</v>
      </c>
      <c r="N269" s="2">
        <v>12.88</v>
      </c>
      <c r="O269" s="2">
        <v>2.79</v>
      </c>
      <c r="P269" s="2">
        <v>21.16</v>
      </c>
      <c r="Q269" s="2">
        <v>-1.78</v>
      </c>
      <c r="R269" s="2">
        <v>-4.74</v>
      </c>
      <c r="S269" s="2">
        <v>11.29</v>
      </c>
      <c r="T269" s="2">
        <v>20.87</v>
      </c>
      <c r="U269" s="2">
        <v>8.07</v>
      </c>
      <c r="V269" s="2">
        <v>13.91</v>
      </c>
      <c r="W269" s="2">
        <v>4.26</v>
      </c>
      <c r="X269" s="2">
        <v>10.54</v>
      </c>
      <c r="Y269" s="2">
        <v>9.3800000000000008</v>
      </c>
      <c r="Z269" s="2">
        <v>2.4900000000000002</v>
      </c>
      <c r="AA269" s="2">
        <v>0</v>
      </c>
      <c r="AB269" s="2">
        <v>2.66</v>
      </c>
      <c r="AC269" s="2">
        <v>2.84</v>
      </c>
      <c r="AD269" s="2">
        <v>1.97</v>
      </c>
      <c r="AE269" s="2">
        <v>18.36</v>
      </c>
      <c r="AF269" s="2">
        <v>71.459999999999994</v>
      </c>
      <c r="AG269" s="2">
        <v>9.8800000000000008</v>
      </c>
    </row>
    <row r="270" spans="1:33" x14ac:dyDescent="0.2">
      <c r="A270" s="3">
        <v>16131</v>
      </c>
      <c r="B270" s="2">
        <v>1.54</v>
      </c>
      <c r="C270" s="2">
        <v>23.65</v>
      </c>
      <c r="D270" s="2">
        <v>23.43</v>
      </c>
      <c r="E270" s="2">
        <v>42.27</v>
      </c>
      <c r="F270" s="2">
        <v>38.840000000000003</v>
      </c>
      <c r="G270" s="2">
        <v>92.72</v>
      </c>
      <c r="H270" s="2">
        <v>25.03</v>
      </c>
      <c r="I270" s="2">
        <v>35.33</v>
      </c>
      <c r="J270" s="2">
        <v>67.36</v>
      </c>
      <c r="K270" s="2">
        <v>35.03</v>
      </c>
      <c r="L270" s="2">
        <v>-0.89</v>
      </c>
      <c r="M270" s="2">
        <v>7.92</v>
      </c>
      <c r="N270" s="2">
        <v>43.98</v>
      </c>
      <c r="O270" s="2">
        <v>3.39</v>
      </c>
      <c r="P270" s="2">
        <v>60.55</v>
      </c>
      <c r="Q270" s="2">
        <v>0.62</v>
      </c>
      <c r="R270" s="2">
        <v>-0.76</v>
      </c>
      <c r="S270" s="2">
        <v>34.07</v>
      </c>
      <c r="T270" s="2">
        <v>52.46</v>
      </c>
      <c r="U270" s="2">
        <v>9.91</v>
      </c>
      <c r="V270" s="2">
        <v>21.51</v>
      </c>
      <c r="W270" s="2">
        <v>0</v>
      </c>
      <c r="X270" s="2">
        <v>3.93</v>
      </c>
      <c r="Y270" s="2">
        <v>4.22</v>
      </c>
      <c r="Z270" s="2">
        <v>34.65</v>
      </c>
      <c r="AA270" s="2">
        <v>12.19</v>
      </c>
      <c r="AB270" s="2">
        <v>4.99</v>
      </c>
      <c r="AC270" s="2">
        <v>23.96</v>
      </c>
      <c r="AD270" s="2">
        <v>2.11</v>
      </c>
      <c r="AE270" s="2">
        <v>50.71</v>
      </c>
      <c r="AF270" s="2">
        <v>59.57</v>
      </c>
      <c r="AG270" s="2">
        <v>10.08</v>
      </c>
    </row>
    <row r="271" spans="1:33" x14ac:dyDescent="0.2">
      <c r="A271" s="3">
        <v>16162</v>
      </c>
      <c r="B271" s="2">
        <v>0.45</v>
      </c>
      <c r="C271" s="2">
        <v>18.16</v>
      </c>
      <c r="D271" s="2">
        <v>-13.26</v>
      </c>
      <c r="E271" s="2">
        <v>-33.520000000000003</v>
      </c>
      <c r="F271" s="2">
        <v>5.88</v>
      </c>
      <c r="G271" s="2">
        <v>8.34</v>
      </c>
      <c r="H271" s="2">
        <v>16.18</v>
      </c>
      <c r="I271" s="2">
        <v>29.57</v>
      </c>
      <c r="J271" s="2">
        <v>15.06</v>
      </c>
      <c r="K271" s="2">
        <v>-8.57</v>
      </c>
      <c r="L271" s="2">
        <v>20.350000000000001</v>
      </c>
      <c r="M271" s="2">
        <v>-3.31</v>
      </c>
      <c r="N271" s="2">
        <v>21.12</v>
      </c>
      <c r="O271" s="2">
        <v>6.27</v>
      </c>
      <c r="P271" s="2">
        <v>37.31</v>
      </c>
      <c r="Q271" s="2">
        <v>0.33</v>
      </c>
      <c r="R271" s="2">
        <v>-2.2799999999999998</v>
      </c>
      <c r="S271" s="2">
        <v>3.12</v>
      </c>
      <c r="T271" s="2">
        <v>16.97</v>
      </c>
      <c r="U271" s="2">
        <v>8.9</v>
      </c>
      <c r="V271" s="2">
        <v>30.09</v>
      </c>
      <c r="W271" s="2">
        <v>0</v>
      </c>
      <c r="X271" s="2">
        <v>4.9400000000000004</v>
      </c>
      <c r="Y271" s="2">
        <v>4.13</v>
      </c>
      <c r="Z271" s="2">
        <v>6.32</v>
      </c>
      <c r="AA271" s="2">
        <v>5.88</v>
      </c>
      <c r="AB271" s="2">
        <v>1.94</v>
      </c>
      <c r="AC271" s="2">
        <v>5.69</v>
      </c>
      <c r="AD271" s="2">
        <v>3.97</v>
      </c>
      <c r="AE271" s="2">
        <v>6.71</v>
      </c>
      <c r="AF271" s="2">
        <v>70.290000000000006</v>
      </c>
      <c r="AG271" s="2">
        <v>10.69</v>
      </c>
    </row>
    <row r="272" spans="1:33" x14ac:dyDescent="0.2">
      <c r="A272" s="3">
        <v>16192</v>
      </c>
      <c r="B272" s="2">
        <v>0.72</v>
      </c>
      <c r="C272" s="2">
        <v>12.83</v>
      </c>
      <c r="D272" s="2">
        <v>-4.87</v>
      </c>
      <c r="E272" s="2">
        <v>-33.22</v>
      </c>
      <c r="F272" s="2">
        <v>-1.97</v>
      </c>
      <c r="G272" s="2">
        <v>-7.51</v>
      </c>
      <c r="H272" s="2">
        <v>5.58</v>
      </c>
      <c r="I272" s="2">
        <v>29.59</v>
      </c>
      <c r="J272" s="2">
        <v>9.76</v>
      </c>
      <c r="K272" s="2">
        <v>10.36</v>
      </c>
      <c r="L272" s="2">
        <v>-10.39</v>
      </c>
      <c r="M272" s="2">
        <v>-2</v>
      </c>
      <c r="N272" s="2">
        <v>32.479999999999997</v>
      </c>
      <c r="O272" s="2">
        <v>4.96</v>
      </c>
      <c r="P272" s="2">
        <v>34.880000000000003</v>
      </c>
      <c r="Q272" s="2">
        <v>1.77</v>
      </c>
      <c r="R272" s="2">
        <v>0.49</v>
      </c>
      <c r="S272" s="2">
        <v>11.42</v>
      </c>
      <c r="T272" s="2">
        <v>16.62</v>
      </c>
      <c r="U272" s="2">
        <v>10.050000000000001</v>
      </c>
      <c r="V272" s="2">
        <v>24.94</v>
      </c>
      <c r="W272" s="2">
        <v>0</v>
      </c>
      <c r="X272" s="2">
        <v>6.01</v>
      </c>
      <c r="Y272" s="2">
        <v>5.55</v>
      </c>
      <c r="Z272" s="2">
        <v>1.05</v>
      </c>
      <c r="AA272" s="2">
        <v>4.3</v>
      </c>
      <c r="AB272" s="2">
        <v>0.28000000000000003</v>
      </c>
      <c r="AC272" s="2">
        <v>0.54</v>
      </c>
      <c r="AD272" s="2">
        <v>5.26</v>
      </c>
      <c r="AE272" s="2">
        <v>8.86</v>
      </c>
      <c r="AF272" s="2">
        <v>86.98</v>
      </c>
      <c r="AG272" s="2">
        <v>14.64</v>
      </c>
    </row>
    <row r="273" spans="1:33" x14ac:dyDescent="0.2">
      <c r="A273" s="3">
        <v>16223</v>
      </c>
      <c r="B273" s="2">
        <v>-0.68</v>
      </c>
      <c r="C273" s="2">
        <v>15.39</v>
      </c>
      <c r="D273" s="2">
        <v>3.84</v>
      </c>
      <c r="E273" s="2">
        <v>-18.05</v>
      </c>
      <c r="F273" s="2">
        <v>-4.34</v>
      </c>
      <c r="G273" s="2">
        <v>-5.15</v>
      </c>
      <c r="H273" s="2">
        <v>12.36</v>
      </c>
      <c r="I273" s="2">
        <v>23.06</v>
      </c>
      <c r="J273" s="2">
        <v>16.149999999999999</v>
      </c>
      <c r="K273" s="2">
        <v>-3.85</v>
      </c>
      <c r="L273" s="2">
        <v>30.05</v>
      </c>
      <c r="M273" s="2">
        <v>6.01</v>
      </c>
      <c r="N273" s="2">
        <v>26.54</v>
      </c>
      <c r="O273" s="2">
        <v>13.69</v>
      </c>
      <c r="P273" s="2">
        <v>45.66</v>
      </c>
      <c r="Q273" s="2">
        <v>6.94</v>
      </c>
      <c r="R273" s="2">
        <v>12.19</v>
      </c>
      <c r="S273" s="2">
        <v>18.89</v>
      </c>
      <c r="T273" s="2">
        <v>19.68</v>
      </c>
      <c r="U273" s="2">
        <v>19.21</v>
      </c>
      <c r="V273" s="2">
        <v>35.49</v>
      </c>
      <c r="W273" s="2">
        <v>4.88</v>
      </c>
      <c r="X273" s="2">
        <v>9.15</v>
      </c>
      <c r="Y273" s="2">
        <v>8.01</v>
      </c>
      <c r="Z273" s="2">
        <v>0</v>
      </c>
      <c r="AA273" s="2">
        <v>0</v>
      </c>
      <c r="AB273" s="2">
        <v>0</v>
      </c>
      <c r="AC273" s="2">
        <v>0</v>
      </c>
      <c r="AD273" s="2">
        <v>8.76</v>
      </c>
      <c r="AE273" s="2">
        <v>3.64</v>
      </c>
      <c r="AF273" s="2">
        <v>98.23</v>
      </c>
      <c r="AG273" s="2">
        <v>17.690000000000001</v>
      </c>
    </row>
    <row r="274" spans="1:33" x14ac:dyDescent="0.2">
      <c r="A274" s="3">
        <v>16253</v>
      </c>
      <c r="B274" s="2">
        <v>-1.47</v>
      </c>
      <c r="C274" s="2">
        <v>13.86</v>
      </c>
      <c r="D274" s="2">
        <v>-5.55</v>
      </c>
      <c r="E274" s="2">
        <v>-51.42</v>
      </c>
      <c r="F274" s="2">
        <v>-43.52</v>
      </c>
      <c r="G274" s="2">
        <v>-14.89</v>
      </c>
      <c r="H274" s="2">
        <v>3.56</v>
      </c>
      <c r="I274" s="2">
        <v>20.41</v>
      </c>
      <c r="J274" s="2">
        <v>-3.85</v>
      </c>
      <c r="K274" s="2">
        <v>-2.42</v>
      </c>
      <c r="L274" s="2">
        <v>-10.51</v>
      </c>
      <c r="M274" s="2">
        <v>-2.38</v>
      </c>
      <c r="N274" s="2">
        <v>26.43</v>
      </c>
      <c r="O274" s="2">
        <v>27.58</v>
      </c>
      <c r="P274" s="2">
        <v>28.93</v>
      </c>
      <c r="Q274" s="2">
        <v>6.3</v>
      </c>
      <c r="R274" s="2">
        <v>2.21</v>
      </c>
      <c r="S274" s="2">
        <v>10.82</v>
      </c>
      <c r="T274" s="2">
        <v>36.880000000000003</v>
      </c>
      <c r="U274" s="2">
        <v>8.39</v>
      </c>
      <c r="V274" s="2">
        <v>36.71</v>
      </c>
      <c r="W274" s="2">
        <v>18.62</v>
      </c>
      <c r="X274" s="2">
        <v>14.59</v>
      </c>
      <c r="Y274" s="2">
        <v>14.22</v>
      </c>
      <c r="Z274" s="2">
        <v>0</v>
      </c>
      <c r="AA274" s="2">
        <v>0</v>
      </c>
      <c r="AB274" s="2">
        <v>0</v>
      </c>
      <c r="AC274" s="2">
        <v>0</v>
      </c>
      <c r="AD274" s="2">
        <v>9.4</v>
      </c>
      <c r="AE274" s="2">
        <v>0.28000000000000003</v>
      </c>
      <c r="AF274" s="2">
        <v>107.5</v>
      </c>
      <c r="AG274" s="2">
        <v>22.83</v>
      </c>
    </row>
    <row r="275" spans="1:33" x14ac:dyDescent="0.2">
      <c r="A275" s="3">
        <v>16284</v>
      </c>
      <c r="B275" s="2">
        <v>-2.21</v>
      </c>
      <c r="C275" s="2">
        <v>13.81</v>
      </c>
      <c r="D275" s="2">
        <v>-3.48</v>
      </c>
      <c r="E275" s="2">
        <v>-47.86</v>
      </c>
      <c r="F275" s="2">
        <v>-24.24</v>
      </c>
      <c r="G275" s="2">
        <v>-10</v>
      </c>
      <c r="H275" s="2">
        <v>7.29</v>
      </c>
      <c r="I275" s="2">
        <v>19.66</v>
      </c>
      <c r="J275" s="2">
        <v>-5.33</v>
      </c>
      <c r="K275" s="2">
        <v>6.01</v>
      </c>
      <c r="L275" s="2">
        <v>-22.45</v>
      </c>
      <c r="M275" s="2">
        <v>-4.67</v>
      </c>
      <c r="N275" s="2">
        <v>29.96</v>
      </c>
      <c r="O275" s="2">
        <v>53.96</v>
      </c>
      <c r="P275" s="2">
        <v>32.29</v>
      </c>
      <c r="Q275" s="2">
        <v>2.14</v>
      </c>
      <c r="R275" s="2">
        <v>6.82</v>
      </c>
      <c r="S275" s="2">
        <v>2.9</v>
      </c>
      <c r="T275" s="2">
        <v>39.49</v>
      </c>
      <c r="U275" s="2">
        <v>1.57</v>
      </c>
      <c r="V275" s="2">
        <v>41.66</v>
      </c>
      <c r="W275" s="2">
        <v>30.39</v>
      </c>
      <c r="X275" s="2">
        <v>19.93</v>
      </c>
      <c r="Y275" s="2">
        <v>19.89</v>
      </c>
      <c r="Z275" s="2">
        <v>0</v>
      </c>
      <c r="AA275" s="2">
        <v>0</v>
      </c>
      <c r="AB275" s="2">
        <v>0</v>
      </c>
      <c r="AC275" s="2">
        <v>0</v>
      </c>
      <c r="AD275" s="2">
        <v>9.4499999999999993</v>
      </c>
      <c r="AE275" s="2">
        <v>0</v>
      </c>
      <c r="AF275" s="2">
        <v>117.07</v>
      </c>
      <c r="AG275" s="2">
        <v>24.8</v>
      </c>
    </row>
    <row r="276" spans="1:33" x14ac:dyDescent="0.2">
      <c r="A276" s="3">
        <v>16315</v>
      </c>
      <c r="B276" s="2">
        <v>-2.62</v>
      </c>
      <c r="C276" s="2">
        <v>13.68</v>
      </c>
      <c r="D276" s="2">
        <v>-2.02</v>
      </c>
      <c r="E276" s="2">
        <v>-47.11</v>
      </c>
      <c r="F276" s="2">
        <v>-18.05</v>
      </c>
      <c r="G276" s="2">
        <v>-0.56000000000000005</v>
      </c>
      <c r="H276" s="2">
        <v>12.39</v>
      </c>
      <c r="I276" s="2">
        <v>20.7</v>
      </c>
      <c r="J276" s="2">
        <v>2.89</v>
      </c>
      <c r="K276" s="2">
        <v>2.85</v>
      </c>
      <c r="L276" s="2">
        <v>-13.05</v>
      </c>
      <c r="M276" s="2">
        <v>-3.5</v>
      </c>
      <c r="N276" s="2">
        <v>21.12</v>
      </c>
      <c r="O276" s="2">
        <v>43.18</v>
      </c>
      <c r="P276" s="2">
        <v>34.99</v>
      </c>
      <c r="Q276" s="2">
        <v>1.32</v>
      </c>
      <c r="R276" s="2">
        <v>-1.36</v>
      </c>
      <c r="S276" s="2">
        <v>1.07</v>
      </c>
      <c r="T276" s="2">
        <v>35.1</v>
      </c>
      <c r="U276" s="2">
        <v>2.92</v>
      </c>
      <c r="V276" s="2">
        <v>42.41</v>
      </c>
      <c r="W276" s="2">
        <v>31.47</v>
      </c>
      <c r="X276" s="2">
        <v>22.26</v>
      </c>
      <c r="Y276" s="2">
        <v>22.39</v>
      </c>
      <c r="Z276" s="2">
        <v>0</v>
      </c>
      <c r="AA276" s="2">
        <v>0</v>
      </c>
      <c r="AB276" s="2">
        <v>0</v>
      </c>
      <c r="AC276" s="2">
        <v>0</v>
      </c>
      <c r="AD276" s="2">
        <v>6.44</v>
      </c>
      <c r="AE276" s="2">
        <v>0</v>
      </c>
      <c r="AF276" s="2">
        <v>119.06</v>
      </c>
      <c r="AG276" s="2">
        <v>23.65</v>
      </c>
    </row>
    <row r="277" spans="1:33" x14ac:dyDescent="0.2">
      <c r="A277" s="3">
        <v>16345</v>
      </c>
      <c r="B277" s="2">
        <v>-3.92</v>
      </c>
      <c r="C277" s="2">
        <v>13.31</v>
      </c>
      <c r="D277" s="2">
        <v>-5.46</v>
      </c>
      <c r="E277" s="2">
        <v>-36.450000000000003</v>
      </c>
      <c r="F277" s="2">
        <v>-13.61</v>
      </c>
      <c r="G277" s="2">
        <v>7.76</v>
      </c>
      <c r="H277" s="2">
        <v>16.53</v>
      </c>
      <c r="I277" s="2">
        <v>25.56</v>
      </c>
      <c r="J277" s="2">
        <v>18.16</v>
      </c>
      <c r="K277" s="2">
        <v>-7.85</v>
      </c>
      <c r="L277" s="2">
        <v>-8.6</v>
      </c>
      <c r="M277" s="2">
        <v>-3.53</v>
      </c>
      <c r="N277" s="2">
        <v>25.25</v>
      </c>
      <c r="O277" s="2">
        <v>2.0699999999999998</v>
      </c>
      <c r="P277" s="2">
        <v>23.19</v>
      </c>
      <c r="Q277" s="2">
        <v>2.54</v>
      </c>
      <c r="R277" s="2">
        <v>-0.28000000000000003</v>
      </c>
      <c r="S277" s="2">
        <v>-3.75</v>
      </c>
      <c r="T277" s="2">
        <v>20.57</v>
      </c>
      <c r="U277" s="2">
        <v>7.59</v>
      </c>
      <c r="V277" s="2">
        <v>17.309999999999999</v>
      </c>
      <c r="W277" s="2">
        <v>26.1</v>
      </c>
      <c r="X277" s="2">
        <v>21.1</v>
      </c>
      <c r="Y277" s="2">
        <v>20.99</v>
      </c>
      <c r="Z277" s="2">
        <v>0</v>
      </c>
      <c r="AA277" s="2">
        <v>0.28999999999999998</v>
      </c>
      <c r="AB277" s="2">
        <v>0</v>
      </c>
      <c r="AC277" s="2">
        <v>0</v>
      </c>
      <c r="AD277" s="2">
        <v>4.41</v>
      </c>
      <c r="AE277" s="2">
        <v>0</v>
      </c>
      <c r="AF277" s="2">
        <v>110.9</v>
      </c>
      <c r="AG277" s="2">
        <v>20.170000000000002</v>
      </c>
    </row>
    <row r="278" spans="1:33" x14ac:dyDescent="0.2">
      <c r="A278" s="3">
        <v>16376</v>
      </c>
      <c r="B278" s="2">
        <v>-3.8</v>
      </c>
      <c r="C278" s="2">
        <v>13.89</v>
      </c>
      <c r="D278" s="2">
        <v>-5.79</v>
      </c>
      <c r="E278" s="2">
        <v>-15.38</v>
      </c>
      <c r="F278" s="2">
        <v>-0.17</v>
      </c>
      <c r="G278" s="2">
        <v>11.78</v>
      </c>
      <c r="H278" s="2">
        <v>15.8</v>
      </c>
      <c r="I278" s="2">
        <v>25.74</v>
      </c>
      <c r="J278" s="2">
        <v>15.89</v>
      </c>
      <c r="K278" s="2">
        <v>-14.39</v>
      </c>
      <c r="L278" s="2">
        <v>-7.0000000000000007E-2</v>
      </c>
      <c r="M278" s="2">
        <v>-0.1</v>
      </c>
      <c r="N278" s="2">
        <v>11.09</v>
      </c>
      <c r="O278" s="2">
        <v>8.09</v>
      </c>
      <c r="P278" s="2">
        <v>28.32</v>
      </c>
      <c r="Q278" s="2">
        <v>0.55000000000000004</v>
      </c>
      <c r="R278" s="2">
        <v>-2.98</v>
      </c>
      <c r="S278" s="2">
        <v>-5.0199999999999996</v>
      </c>
      <c r="T278" s="2">
        <v>23.33</v>
      </c>
      <c r="U278" s="2">
        <v>5.35</v>
      </c>
      <c r="V278" s="2">
        <v>18.68</v>
      </c>
      <c r="W278" s="2">
        <v>22.19</v>
      </c>
      <c r="X278" s="2">
        <v>19.53</v>
      </c>
      <c r="Y278" s="2">
        <v>19.39</v>
      </c>
      <c r="Z278" s="2">
        <v>14.07</v>
      </c>
      <c r="AA278" s="2">
        <v>0.56999999999999995</v>
      </c>
      <c r="AB278" s="2">
        <v>0.45</v>
      </c>
      <c r="AC278" s="2">
        <v>0</v>
      </c>
      <c r="AD278" s="2">
        <v>3.85</v>
      </c>
      <c r="AE278" s="2">
        <v>14.45</v>
      </c>
      <c r="AF278" s="2">
        <v>100.59</v>
      </c>
      <c r="AG278" s="2">
        <v>16.420000000000002</v>
      </c>
    </row>
    <row r="279" spans="1:33" x14ac:dyDescent="0.2">
      <c r="A279" s="3">
        <v>16406</v>
      </c>
      <c r="B279" s="2">
        <v>-0.67</v>
      </c>
      <c r="C279" s="2">
        <v>22.14</v>
      </c>
      <c r="D279" s="2">
        <v>11.47</v>
      </c>
      <c r="E279" s="2">
        <v>37.85</v>
      </c>
      <c r="F279" s="2">
        <v>29.85</v>
      </c>
      <c r="G279" s="2">
        <v>44.34</v>
      </c>
      <c r="H279" s="2">
        <v>24.32</v>
      </c>
      <c r="I279" s="2">
        <v>32.409999999999997</v>
      </c>
      <c r="J279" s="2">
        <v>30.2</v>
      </c>
      <c r="K279" s="2">
        <v>1.91</v>
      </c>
      <c r="L279" s="2">
        <v>14.58</v>
      </c>
      <c r="M279" s="2">
        <v>10.34</v>
      </c>
      <c r="N279" s="2">
        <v>13.46</v>
      </c>
      <c r="O279" s="2">
        <v>3.63</v>
      </c>
      <c r="P279" s="2">
        <v>50.38</v>
      </c>
      <c r="Q279" s="2">
        <v>0.75</v>
      </c>
      <c r="R279" s="2">
        <v>-2.73</v>
      </c>
      <c r="S279" s="2">
        <v>37.49</v>
      </c>
      <c r="T279" s="2">
        <v>23.66</v>
      </c>
      <c r="U279" s="2">
        <v>8.92</v>
      </c>
      <c r="V279" s="2">
        <v>15.87</v>
      </c>
      <c r="W279" s="2">
        <v>15.43</v>
      </c>
      <c r="X279" s="2">
        <v>12.85</v>
      </c>
      <c r="Y279" s="2">
        <v>11.66</v>
      </c>
      <c r="Z279" s="2">
        <v>2.92</v>
      </c>
      <c r="AA279" s="2">
        <v>16.920000000000002</v>
      </c>
      <c r="AB279" s="2">
        <v>2.6</v>
      </c>
      <c r="AC279" s="2">
        <v>19.22</v>
      </c>
      <c r="AD279" s="2">
        <v>2.4900000000000002</v>
      </c>
      <c r="AE279" s="2">
        <v>26.75</v>
      </c>
      <c r="AF279" s="2">
        <v>66</v>
      </c>
      <c r="AG279" s="2">
        <v>12.92</v>
      </c>
    </row>
    <row r="280" spans="1:33" x14ac:dyDescent="0.2">
      <c r="A280" s="3">
        <v>16437</v>
      </c>
      <c r="B280" s="2">
        <v>0.19</v>
      </c>
      <c r="C280" s="2">
        <v>21.58</v>
      </c>
      <c r="D280" s="2">
        <v>6.03</v>
      </c>
      <c r="E280" s="2">
        <v>13.92</v>
      </c>
      <c r="F280" s="2">
        <v>13.37</v>
      </c>
      <c r="G280" s="2">
        <v>33.35</v>
      </c>
      <c r="H280" s="2">
        <v>17.68</v>
      </c>
      <c r="I280" s="2">
        <v>28.97</v>
      </c>
      <c r="J280" s="2">
        <v>29.89</v>
      </c>
      <c r="K280" s="2">
        <v>-7.72</v>
      </c>
      <c r="L280" s="2">
        <v>18.89</v>
      </c>
      <c r="M280" s="2">
        <v>-1.66</v>
      </c>
      <c r="N280" s="2">
        <v>12.09</v>
      </c>
      <c r="O280" s="2">
        <v>2.31</v>
      </c>
      <c r="P280" s="2">
        <v>19.43</v>
      </c>
      <c r="Q280" s="2">
        <v>-2.13</v>
      </c>
      <c r="R280" s="2">
        <v>-1.33</v>
      </c>
      <c r="S280" s="2">
        <v>3.05</v>
      </c>
      <c r="T280" s="2">
        <v>18.489999999999998</v>
      </c>
      <c r="U280" s="2">
        <v>7.27</v>
      </c>
      <c r="V280" s="2">
        <v>15.96</v>
      </c>
      <c r="W280" s="2">
        <v>11.73</v>
      </c>
      <c r="X280" s="2">
        <v>10.58</v>
      </c>
      <c r="Y280" s="2">
        <v>10.6</v>
      </c>
      <c r="Z280" s="2">
        <v>0</v>
      </c>
      <c r="AA280" s="2">
        <v>2.15</v>
      </c>
      <c r="AB280" s="2">
        <v>0.91</v>
      </c>
      <c r="AC280" s="2">
        <v>2.57</v>
      </c>
      <c r="AD280" s="2">
        <v>2.42</v>
      </c>
      <c r="AE280" s="2">
        <v>20.6</v>
      </c>
      <c r="AF280" s="2">
        <v>60.63</v>
      </c>
      <c r="AG280" s="2">
        <v>11.2</v>
      </c>
    </row>
    <row r="281" spans="1:33" x14ac:dyDescent="0.2">
      <c r="A281" s="3">
        <v>16468</v>
      </c>
      <c r="B281" s="2">
        <v>1.83</v>
      </c>
      <c r="C281" s="2">
        <v>17.940000000000001</v>
      </c>
      <c r="D281" s="2">
        <v>-0.89</v>
      </c>
      <c r="E281" s="2">
        <v>-4.67</v>
      </c>
      <c r="F281" s="2">
        <v>-16.739999999999998</v>
      </c>
      <c r="G281" s="2">
        <v>17.52</v>
      </c>
      <c r="H281" s="2">
        <v>10.1</v>
      </c>
      <c r="I281" s="2">
        <v>23.59</v>
      </c>
      <c r="J281" s="2">
        <v>8.82</v>
      </c>
      <c r="K281" s="2">
        <v>-0.94</v>
      </c>
      <c r="L281" s="2">
        <v>-4.83</v>
      </c>
      <c r="M281" s="2">
        <v>-13.6</v>
      </c>
      <c r="N281" s="2">
        <v>18.649999999999999</v>
      </c>
      <c r="O281" s="2">
        <v>2.96</v>
      </c>
      <c r="P281" s="2">
        <v>14.45</v>
      </c>
      <c r="Q281" s="2">
        <v>-1.7</v>
      </c>
      <c r="R281" s="2">
        <v>-1.46</v>
      </c>
      <c r="S281" s="2">
        <v>-2.2200000000000002</v>
      </c>
      <c r="T281" s="2">
        <v>19.89</v>
      </c>
      <c r="U281" s="2">
        <v>5.81</v>
      </c>
      <c r="V281" s="2">
        <v>15.43</v>
      </c>
      <c r="W281" s="2">
        <v>4.26</v>
      </c>
      <c r="X281" s="2">
        <v>9.99</v>
      </c>
      <c r="Y281" s="2">
        <v>8.7100000000000009</v>
      </c>
      <c r="Z281" s="2">
        <v>0</v>
      </c>
      <c r="AA281" s="2">
        <v>1.72</v>
      </c>
      <c r="AB281" s="2">
        <v>0</v>
      </c>
      <c r="AC281" s="2">
        <v>5.55</v>
      </c>
      <c r="AD281" s="2">
        <v>2.38</v>
      </c>
      <c r="AE281" s="2">
        <v>4.01</v>
      </c>
      <c r="AF281" s="2">
        <v>69.56</v>
      </c>
      <c r="AG281" s="2">
        <v>9.8800000000000008</v>
      </c>
    </row>
    <row r="282" spans="1:33" x14ac:dyDescent="0.2">
      <c r="A282" s="3">
        <v>16496</v>
      </c>
      <c r="B282" s="2">
        <v>2.67</v>
      </c>
      <c r="C282" s="2">
        <v>24.54</v>
      </c>
      <c r="D282" s="2">
        <v>11.33</v>
      </c>
      <c r="E282" s="2">
        <v>46.92</v>
      </c>
      <c r="F282" s="2">
        <v>94.28</v>
      </c>
      <c r="G282" s="2">
        <v>119.61</v>
      </c>
      <c r="H282" s="2">
        <v>29.97</v>
      </c>
      <c r="I282" s="2">
        <v>44.18</v>
      </c>
      <c r="J282" s="2">
        <v>92.48</v>
      </c>
      <c r="K282" s="2">
        <v>72.14</v>
      </c>
      <c r="L282" s="2">
        <v>37.020000000000003</v>
      </c>
      <c r="M282" s="2">
        <v>36.4</v>
      </c>
      <c r="N282" s="2">
        <v>91.07</v>
      </c>
      <c r="O282" s="2">
        <v>5.61</v>
      </c>
      <c r="P282" s="2">
        <v>112.36</v>
      </c>
      <c r="Q282" s="2">
        <v>1.68</v>
      </c>
      <c r="R282" s="2">
        <v>4.76</v>
      </c>
      <c r="S282" s="2">
        <v>64.78</v>
      </c>
      <c r="T282" s="2">
        <v>21.9</v>
      </c>
      <c r="U282" s="2">
        <v>13.7</v>
      </c>
      <c r="V282" s="2">
        <v>31.75</v>
      </c>
      <c r="W282" s="2">
        <v>0</v>
      </c>
      <c r="X282" s="2">
        <v>3.45</v>
      </c>
      <c r="Y282" s="2">
        <v>3.57</v>
      </c>
      <c r="Z282" s="2">
        <v>8.0399999999999991</v>
      </c>
      <c r="AA282" s="2">
        <v>1.1499999999999999</v>
      </c>
      <c r="AB282" s="2">
        <v>20.49</v>
      </c>
      <c r="AC282" s="2">
        <v>10.97</v>
      </c>
      <c r="AD282" s="2">
        <v>2.64</v>
      </c>
      <c r="AE282" s="2">
        <v>26.57</v>
      </c>
      <c r="AF282" s="2">
        <v>57.98</v>
      </c>
      <c r="AG282" s="2">
        <v>10.08</v>
      </c>
    </row>
    <row r="283" spans="1:33" x14ac:dyDescent="0.2">
      <c r="A283" s="3">
        <v>16527</v>
      </c>
      <c r="B283" s="2">
        <v>3.13</v>
      </c>
      <c r="C283" s="2">
        <v>22.28</v>
      </c>
      <c r="D283" s="2">
        <v>0.6</v>
      </c>
      <c r="E283" s="2">
        <v>-8.64</v>
      </c>
      <c r="F283" s="2">
        <v>-46.05</v>
      </c>
      <c r="G283" s="2">
        <v>3.21</v>
      </c>
      <c r="H283" s="2">
        <v>13.58</v>
      </c>
      <c r="I283" s="2">
        <v>29.35</v>
      </c>
      <c r="J283" s="2">
        <v>29.91</v>
      </c>
      <c r="K283" s="2">
        <v>12.12</v>
      </c>
      <c r="L283" s="2">
        <v>14.95</v>
      </c>
      <c r="M283" s="2">
        <v>5.54</v>
      </c>
      <c r="N283" s="2">
        <v>46.99</v>
      </c>
      <c r="O283" s="2">
        <v>10.99</v>
      </c>
      <c r="P283" s="2">
        <v>63.03</v>
      </c>
      <c r="Q283" s="2">
        <v>6.75</v>
      </c>
      <c r="R283" s="2">
        <v>1.82</v>
      </c>
      <c r="S283" s="2">
        <v>30.29</v>
      </c>
      <c r="T283" s="2">
        <v>26.93</v>
      </c>
      <c r="U283" s="2">
        <v>11.17</v>
      </c>
      <c r="V283" s="2">
        <v>27.18</v>
      </c>
      <c r="W283" s="2">
        <v>0</v>
      </c>
      <c r="X283" s="2">
        <v>4.3600000000000003</v>
      </c>
      <c r="Y283" s="2">
        <v>3.44</v>
      </c>
      <c r="Z283" s="2">
        <v>11.72</v>
      </c>
      <c r="AA283" s="2">
        <v>6.74</v>
      </c>
      <c r="AB283" s="2">
        <v>12.68</v>
      </c>
      <c r="AC283" s="2">
        <v>22.07</v>
      </c>
      <c r="AD283" s="2">
        <v>4.5999999999999996</v>
      </c>
      <c r="AE283" s="2">
        <v>24.61</v>
      </c>
      <c r="AF283" s="2">
        <v>68.42</v>
      </c>
      <c r="AG283" s="2">
        <v>10.69</v>
      </c>
    </row>
    <row r="284" spans="1:33" x14ac:dyDescent="0.2">
      <c r="A284" s="3">
        <v>16557</v>
      </c>
      <c r="B284" s="2">
        <v>1.19</v>
      </c>
      <c r="C284" s="2">
        <v>16.04</v>
      </c>
      <c r="D284" s="2">
        <v>-11.16</v>
      </c>
      <c r="E284" s="2">
        <v>-46.74</v>
      </c>
      <c r="F284" s="2">
        <v>-1.86</v>
      </c>
      <c r="G284" s="2">
        <v>-20.36</v>
      </c>
      <c r="H284" s="2">
        <v>8.07</v>
      </c>
      <c r="I284" s="2">
        <v>28.33</v>
      </c>
      <c r="J284" s="2">
        <v>10.06</v>
      </c>
      <c r="K284" s="2">
        <v>1.2</v>
      </c>
      <c r="L284" s="2">
        <v>5.63</v>
      </c>
      <c r="M284" s="2">
        <v>-3.94</v>
      </c>
      <c r="N284" s="2">
        <v>41.24</v>
      </c>
      <c r="O284" s="2">
        <v>8.19</v>
      </c>
      <c r="P284" s="2">
        <v>51.1</v>
      </c>
      <c r="Q284" s="2">
        <v>6.78</v>
      </c>
      <c r="R284" s="2">
        <v>2.63</v>
      </c>
      <c r="S284" s="2">
        <v>4.03</v>
      </c>
      <c r="T284" s="2">
        <v>8.36</v>
      </c>
      <c r="U284" s="2">
        <v>14.11</v>
      </c>
      <c r="V284" s="2">
        <v>30.04</v>
      </c>
      <c r="W284" s="2">
        <v>0</v>
      </c>
      <c r="X284" s="2">
        <v>5.32</v>
      </c>
      <c r="Y284" s="2">
        <v>4.6900000000000004</v>
      </c>
      <c r="Z284" s="2">
        <v>1.58</v>
      </c>
      <c r="AA284" s="2">
        <v>0</v>
      </c>
      <c r="AB284" s="2">
        <v>0</v>
      </c>
      <c r="AC284" s="2">
        <v>0</v>
      </c>
      <c r="AD284" s="2">
        <v>5.16</v>
      </c>
      <c r="AE284" s="2">
        <v>1.58</v>
      </c>
      <c r="AF284" s="2">
        <v>84.67</v>
      </c>
      <c r="AG284" s="2">
        <v>14.64</v>
      </c>
    </row>
    <row r="285" spans="1:33" x14ac:dyDescent="0.2">
      <c r="A285" s="3">
        <v>16588</v>
      </c>
      <c r="B285" s="2">
        <v>1.54</v>
      </c>
      <c r="C285" s="2">
        <v>15.01</v>
      </c>
      <c r="D285" s="2">
        <v>3.89</v>
      </c>
      <c r="E285" s="2">
        <v>-20.46</v>
      </c>
      <c r="F285" s="2">
        <v>-3.25</v>
      </c>
      <c r="G285" s="2">
        <v>-12.75</v>
      </c>
      <c r="H285" s="2">
        <v>9.8000000000000007</v>
      </c>
      <c r="I285" s="2">
        <v>29.7</v>
      </c>
      <c r="J285" s="2">
        <v>26</v>
      </c>
      <c r="K285" s="2">
        <v>14.68</v>
      </c>
      <c r="L285" s="2">
        <v>32.270000000000003</v>
      </c>
      <c r="M285" s="2">
        <v>13.82</v>
      </c>
      <c r="N285" s="2">
        <v>41.04</v>
      </c>
      <c r="O285" s="2">
        <v>17.21</v>
      </c>
      <c r="P285" s="2">
        <v>54.03</v>
      </c>
      <c r="Q285" s="2">
        <v>12.37</v>
      </c>
      <c r="R285" s="2">
        <v>14.09</v>
      </c>
      <c r="S285" s="2">
        <v>31.74</v>
      </c>
      <c r="T285" s="2">
        <v>9.6300000000000008</v>
      </c>
      <c r="U285" s="2">
        <v>27.12</v>
      </c>
      <c r="V285" s="2">
        <v>35.74</v>
      </c>
      <c r="W285" s="2">
        <v>4.88</v>
      </c>
      <c r="X285" s="2">
        <v>8.34</v>
      </c>
      <c r="Y285" s="2">
        <v>7.05</v>
      </c>
      <c r="Z285" s="2">
        <v>0</v>
      </c>
      <c r="AA285" s="2">
        <v>0</v>
      </c>
      <c r="AB285" s="2">
        <v>0</v>
      </c>
      <c r="AC285" s="2">
        <v>0.81</v>
      </c>
      <c r="AD285" s="2">
        <v>8.67</v>
      </c>
      <c r="AE285" s="2">
        <v>1.86</v>
      </c>
      <c r="AF285" s="2">
        <v>95.62</v>
      </c>
      <c r="AG285" s="2">
        <v>17.690000000000001</v>
      </c>
    </row>
    <row r="286" spans="1:33" x14ac:dyDescent="0.2">
      <c r="A286" s="3">
        <v>16618</v>
      </c>
      <c r="B286" s="2">
        <v>0.36</v>
      </c>
      <c r="C286" s="2">
        <v>14.25</v>
      </c>
      <c r="D286" s="2">
        <v>-5.27</v>
      </c>
      <c r="E286" s="2">
        <v>-50.81</v>
      </c>
      <c r="F286" s="2">
        <v>-43.07</v>
      </c>
      <c r="G286" s="2">
        <v>-17.64</v>
      </c>
      <c r="H286" s="2">
        <v>3.87</v>
      </c>
      <c r="I286" s="2">
        <v>24.56</v>
      </c>
      <c r="J286" s="2">
        <v>1.91</v>
      </c>
      <c r="K286" s="2">
        <v>-3.41</v>
      </c>
      <c r="L286" s="2">
        <v>2.19</v>
      </c>
      <c r="M286" s="2">
        <v>12.52</v>
      </c>
      <c r="N286" s="2">
        <v>29.91</v>
      </c>
      <c r="O286" s="2">
        <v>44.33</v>
      </c>
      <c r="P286" s="2">
        <v>58.88</v>
      </c>
      <c r="Q286" s="2">
        <v>11.33</v>
      </c>
      <c r="R286" s="2">
        <v>8.8699999999999992</v>
      </c>
      <c r="S286" s="2">
        <v>25.47</v>
      </c>
      <c r="T286" s="2">
        <v>31.36</v>
      </c>
      <c r="U286" s="2">
        <v>17.41</v>
      </c>
      <c r="V286" s="2">
        <v>38.26</v>
      </c>
      <c r="W286" s="2">
        <v>18.62</v>
      </c>
      <c r="X286" s="2">
        <v>13.72</v>
      </c>
      <c r="Y286" s="2">
        <v>13.14</v>
      </c>
      <c r="Z286" s="2">
        <v>0</v>
      </c>
      <c r="AA286" s="2">
        <v>0</v>
      </c>
      <c r="AB286" s="2">
        <v>0</v>
      </c>
      <c r="AC286" s="2">
        <v>0</v>
      </c>
      <c r="AD286" s="2">
        <v>10.220000000000001</v>
      </c>
      <c r="AE286" s="2">
        <v>0.37</v>
      </c>
      <c r="AF286" s="2">
        <v>104.64</v>
      </c>
      <c r="AG286" s="2">
        <v>22.83</v>
      </c>
    </row>
    <row r="287" spans="1:33" x14ac:dyDescent="0.2">
      <c r="A287" s="3">
        <v>16649</v>
      </c>
      <c r="B287" s="2">
        <v>0.82</v>
      </c>
      <c r="C287" s="2">
        <v>15.08</v>
      </c>
      <c r="D287" s="2">
        <v>-0.32</v>
      </c>
      <c r="E287" s="2">
        <v>-37.799999999999997</v>
      </c>
      <c r="F287" s="2">
        <v>-25.32</v>
      </c>
      <c r="G287" s="2">
        <v>-13.8</v>
      </c>
      <c r="H287" s="2">
        <v>7.94</v>
      </c>
      <c r="I287" s="2">
        <v>18.27</v>
      </c>
      <c r="J287" s="2">
        <v>-23.13</v>
      </c>
      <c r="K287" s="2">
        <v>-26.54</v>
      </c>
      <c r="L287" s="2">
        <v>-51.9</v>
      </c>
      <c r="M287" s="2">
        <v>-22.08</v>
      </c>
      <c r="N287" s="2">
        <v>19.88</v>
      </c>
      <c r="O287" s="2">
        <v>63.74</v>
      </c>
      <c r="P287" s="2">
        <v>17.399999999999999</v>
      </c>
      <c r="Q287" s="2">
        <v>5.49</v>
      </c>
      <c r="R287" s="2">
        <v>16.89</v>
      </c>
      <c r="S287" s="2">
        <v>11.77</v>
      </c>
      <c r="T287" s="2">
        <v>41.3</v>
      </c>
      <c r="U287" s="2">
        <v>1.57</v>
      </c>
      <c r="V287" s="2">
        <v>40.99</v>
      </c>
      <c r="W287" s="2">
        <v>30.39</v>
      </c>
      <c r="X287" s="2">
        <v>18.98</v>
      </c>
      <c r="Y287" s="2">
        <v>18.760000000000002</v>
      </c>
      <c r="Z287" s="2">
        <v>0</v>
      </c>
      <c r="AA287" s="2">
        <v>0</v>
      </c>
      <c r="AB287" s="2">
        <v>0.28000000000000003</v>
      </c>
      <c r="AC287" s="2">
        <v>5.55</v>
      </c>
      <c r="AD287" s="2">
        <v>10.62</v>
      </c>
      <c r="AE287" s="2">
        <v>0</v>
      </c>
      <c r="AF287" s="2">
        <v>113.96</v>
      </c>
      <c r="AG287" s="2">
        <v>24.8</v>
      </c>
    </row>
    <row r="288" spans="1:33" x14ac:dyDescent="0.2">
      <c r="A288" s="3">
        <v>16680</v>
      </c>
      <c r="B288" s="2">
        <v>-0.2</v>
      </c>
      <c r="C288" s="2">
        <v>14.23</v>
      </c>
      <c r="D288" s="2">
        <v>-1.79</v>
      </c>
      <c r="E288" s="2">
        <v>-45.94</v>
      </c>
      <c r="F288" s="2">
        <v>-15.94</v>
      </c>
      <c r="G288" s="2">
        <v>-4.5199999999999996</v>
      </c>
      <c r="H288" s="2">
        <v>11.57</v>
      </c>
      <c r="I288" s="2">
        <v>19.7</v>
      </c>
      <c r="J288" s="2">
        <v>-12.91</v>
      </c>
      <c r="K288" s="2">
        <v>-26.35</v>
      </c>
      <c r="L288" s="2">
        <v>-36.64</v>
      </c>
      <c r="M288" s="2">
        <v>-17.48</v>
      </c>
      <c r="N288" s="2">
        <v>11.95</v>
      </c>
      <c r="O288" s="2">
        <v>49.65</v>
      </c>
      <c r="P288" s="2">
        <v>24.7</v>
      </c>
      <c r="Q288" s="2">
        <v>1.29</v>
      </c>
      <c r="R288" s="2">
        <v>3.34</v>
      </c>
      <c r="S288" s="2">
        <v>6.51</v>
      </c>
      <c r="T288" s="2">
        <v>39.54</v>
      </c>
      <c r="U288" s="2">
        <v>2.23</v>
      </c>
      <c r="V288" s="2">
        <v>42.49</v>
      </c>
      <c r="W288" s="2">
        <v>31.47</v>
      </c>
      <c r="X288" s="2">
        <v>21.3</v>
      </c>
      <c r="Y288" s="2">
        <v>21.22</v>
      </c>
      <c r="Z288" s="2">
        <v>1.1000000000000001</v>
      </c>
      <c r="AA288" s="2">
        <v>34.119999999999997</v>
      </c>
      <c r="AB288" s="2">
        <v>0.4</v>
      </c>
      <c r="AC288" s="2">
        <v>20.98</v>
      </c>
      <c r="AD288" s="2">
        <v>6.8</v>
      </c>
      <c r="AE288" s="2">
        <v>0</v>
      </c>
      <c r="AF288" s="2">
        <v>115.89</v>
      </c>
      <c r="AG288" s="2">
        <v>23.65</v>
      </c>
    </row>
    <row r="289" spans="1:33" x14ac:dyDescent="0.2">
      <c r="A289" s="3">
        <v>16710</v>
      </c>
      <c r="B289" s="2">
        <v>-1.82</v>
      </c>
      <c r="C289" s="2">
        <v>13.42</v>
      </c>
      <c r="D289" s="2">
        <v>-6.74</v>
      </c>
      <c r="E289" s="2">
        <v>-43.61</v>
      </c>
      <c r="F289" s="2">
        <v>-8.5</v>
      </c>
      <c r="G289" s="2">
        <v>4.3600000000000003</v>
      </c>
      <c r="H289" s="2">
        <v>15.29</v>
      </c>
      <c r="I289" s="2">
        <v>24.56</v>
      </c>
      <c r="J289" s="2">
        <v>8.2899999999999991</v>
      </c>
      <c r="K289" s="2">
        <v>-24.65</v>
      </c>
      <c r="L289" s="2">
        <v>-19.809999999999999</v>
      </c>
      <c r="M289" s="2">
        <v>-11.31</v>
      </c>
      <c r="N289" s="2">
        <v>17.350000000000001</v>
      </c>
      <c r="O289" s="2">
        <v>3.68</v>
      </c>
      <c r="P289" s="2">
        <v>15.88</v>
      </c>
      <c r="Q289" s="2">
        <v>2.63</v>
      </c>
      <c r="R289" s="2">
        <v>1.0900000000000001</v>
      </c>
      <c r="S289" s="2">
        <v>0.09</v>
      </c>
      <c r="T289" s="2">
        <v>21.65</v>
      </c>
      <c r="U289" s="2">
        <v>7.25</v>
      </c>
      <c r="V289" s="2">
        <v>16.89</v>
      </c>
      <c r="W289" s="2">
        <v>26.1</v>
      </c>
      <c r="X289" s="2">
        <v>20.22</v>
      </c>
      <c r="Y289" s="2">
        <v>19.93</v>
      </c>
      <c r="Z289" s="2">
        <v>2.0099999999999998</v>
      </c>
      <c r="AA289" s="2">
        <v>7.46</v>
      </c>
      <c r="AB289" s="2">
        <v>0.79</v>
      </c>
      <c r="AC289" s="2">
        <v>0</v>
      </c>
      <c r="AD289" s="2">
        <v>4.8600000000000003</v>
      </c>
      <c r="AE289" s="2">
        <v>0</v>
      </c>
      <c r="AF289" s="2">
        <v>107.95</v>
      </c>
      <c r="AG289" s="2">
        <v>20.170000000000002</v>
      </c>
    </row>
    <row r="290" spans="1:33" x14ac:dyDescent="0.2">
      <c r="A290" s="3">
        <v>16741</v>
      </c>
      <c r="B290" s="2">
        <v>-0.59</v>
      </c>
      <c r="C290" s="2">
        <v>17.66</v>
      </c>
      <c r="D290" s="2">
        <v>3.91</v>
      </c>
      <c r="E290" s="2">
        <v>5.79</v>
      </c>
      <c r="F290" s="2">
        <v>3.18</v>
      </c>
      <c r="G290" s="2">
        <v>19.37</v>
      </c>
      <c r="H290" s="2">
        <v>17.28</v>
      </c>
      <c r="I290" s="2">
        <v>26.7</v>
      </c>
      <c r="J290" s="2">
        <v>17.84</v>
      </c>
      <c r="K290" s="2">
        <v>-8.9</v>
      </c>
      <c r="L290" s="2">
        <v>-2.75</v>
      </c>
      <c r="M290" s="2">
        <v>2.71</v>
      </c>
      <c r="N290" s="2">
        <v>12.9</v>
      </c>
      <c r="O290" s="2">
        <v>10.27</v>
      </c>
      <c r="P290" s="2">
        <v>38.69</v>
      </c>
      <c r="Q290" s="2">
        <v>1.34</v>
      </c>
      <c r="R290" s="2">
        <v>-2.81</v>
      </c>
      <c r="S290" s="2">
        <v>4</v>
      </c>
      <c r="T290" s="2">
        <v>20.92</v>
      </c>
      <c r="U290" s="2">
        <v>6.11</v>
      </c>
      <c r="V290" s="2">
        <v>22.46</v>
      </c>
      <c r="W290" s="2">
        <v>22.19</v>
      </c>
      <c r="X290" s="2">
        <v>18.73</v>
      </c>
      <c r="Y290" s="2">
        <v>18.420000000000002</v>
      </c>
      <c r="Z290" s="2">
        <v>0.1</v>
      </c>
      <c r="AA290" s="2">
        <v>3.01</v>
      </c>
      <c r="AB290" s="2">
        <v>17.440000000000001</v>
      </c>
      <c r="AC290" s="2">
        <v>1.08</v>
      </c>
      <c r="AD290" s="2">
        <v>2.94</v>
      </c>
      <c r="AE290" s="2">
        <v>15.29</v>
      </c>
      <c r="AF290" s="2">
        <v>97.91</v>
      </c>
      <c r="AG290" s="2">
        <v>16.420000000000002</v>
      </c>
    </row>
    <row r="291" spans="1:33" x14ac:dyDescent="0.2">
      <c r="A291" s="3">
        <v>16771</v>
      </c>
      <c r="B291" s="2">
        <v>0.77</v>
      </c>
      <c r="C291" s="2">
        <v>17.920000000000002</v>
      </c>
      <c r="D291" s="2">
        <v>3.04</v>
      </c>
      <c r="E291" s="2">
        <v>17.739999999999998</v>
      </c>
      <c r="F291" s="2">
        <v>21.37</v>
      </c>
      <c r="G291" s="2">
        <v>32.17</v>
      </c>
      <c r="H291" s="2">
        <v>18.12</v>
      </c>
      <c r="I291" s="2">
        <v>27.43</v>
      </c>
      <c r="J291" s="2">
        <v>18.100000000000001</v>
      </c>
      <c r="K291" s="2">
        <v>-13.24</v>
      </c>
      <c r="L291" s="2">
        <v>7.66</v>
      </c>
      <c r="M291" s="2">
        <v>-1.39</v>
      </c>
      <c r="N291" s="2">
        <v>4.67</v>
      </c>
      <c r="O291" s="2">
        <v>4.9000000000000004</v>
      </c>
      <c r="P291" s="2">
        <v>11.59</v>
      </c>
      <c r="Q291" s="2">
        <v>0.23</v>
      </c>
      <c r="R291" s="2">
        <v>-5.25</v>
      </c>
      <c r="S291" s="2">
        <v>5.95</v>
      </c>
      <c r="T291" s="2">
        <v>20.76</v>
      </c>
      <c r="U291" s="2">
        <v>6.47</v>
      </c>
      <c r="V291" s="2">
        <v>14.85</v>
      </c>
      <c r="W291" s="2">
        <v>15.43</v>
      </c>
      <c r="X291" s="2">
        <v>12.27</v>
      </c>
      <c r="Y291" s="2">
        <v>10.93</v>
      </c>
      <c r="Z291" s="2">
        <v>12.2</v>
      </c>
      <c r="AA291" s="2">
        <v>0</v>
      </c>
      <c r="AB291" s="2">
        <v>0.85</v>
      </c>
      <c r="AC291" s="2">
        <v>0</v>
      </c>
      <c r="AD291" s="2">
        <v>1.92</v>
      </c>
      <c r="AE291" s="2">
        <v>12.03</v>
      </c>
      <c r="AF291" s="2">
        <v>64.239999999999995</v>
      </c>
      <c r="AG291" s="2">
        <v>12.92</v>
      </c>
    </row>
    <row r="292" spans="1:33" x14ac:dyDescent="0.2">
      <c r="A292" s="3">
        <v>16802</v>
      </c>
      <c r="B292" s="2">
        <v>6.65</v>
      </c>
      <c r="C292" s="2">
        <v>34.770000000000003</v>
      </c>
      <c r="D292" s="2">
        <v>48.12</v>
      </c>
      <c r="E292" s="2">
        <v>136.78</v>
      </c>
      <c r="F292" s="2">
        <v>162.09</v>
      </c>
      <c r="G292" s="2">
        <v>192.38</v>
      </c>
      <c r="H292" s="2">
        <v>42.07</v>
      </c>
      <c r="I292" s="2">
        <v>47.77</v>
      </c>
      <c r="J292" s="2">
        <v>93.88</v>
      </c>
      <c r="K292" s="2">
        <v>22.74</v>
      </c>
      <c r="L292" s="2">
        <v>32.75</v>
      </c>
      <c r="M292" s="2">
        <v>14.81</v>
      </c>
      <c r="N292" s="2">
        <v>38.67</v>
      </c>
      <c r="O292" s="2">
        <v>6.65</v>
      </c>
      <c r="P292" s="2">
        <v>48.68</v>
      </c>
      <c r="Q292" s="2">
        <v>0.05</v>
      </c>
      <c r="R292" s="2">
        <v>-3.17</v>
      </c>
      <c r="S292" s="2">
        <v>25.82</v>
      </c>
      <c r="T292" s="2">
        <v>13.6</v>
      </c>
      <c r="U292" s="2">
        <v>7.96</v>
      </c>
      <c r="V292" s="2">
        <v>22.07</v>
      </c>
      <c r="W292" s="2">
        <v>11.73</v>
      </c>
      <c r="X292" s="2">
        <v>10.039999999999999</v>
      </c>
      <c r="Y292" s="2">
        <v>9.93</v>
      </c>
      <c r="Z292" s="2">
        <v>4.74</v>
      </c>
      <c r="AA292" s="2">
        <v>17.64</v>
      </c>
      <c r="AB292" s="2">
        <v>12.8</v>
      </c>
      <c r="AC292" s="2">
        <v>18.55</v>
      </c>
      <c r="AD292" s="2">
        <v>1.81</v>
      </c>
      <c r="AE292" s="2">
        <v>45.31</v>
      </c>
      <c r="AF292" s="2">
        <v>59.02</v>
      </c>
      <c r="AG292" s="2">
        <v>11.2</v>
      </c>
    </row>
    <row r="293" spans="1:33" x14ac:dyDescent="0.2">
      <c r="A293" s="3">
        <v>16833</v>
      </c>
      <c r="B293" s="2">
        <v>13.57</v>
      </c>
      <c r="C293" s="2">
        <v>25.99</v>
      </c>
      <c r="D293" s="2">
        <v>-4.9400000000000004</v>
      </c>
      <c r="E293" s="2">
        <v>5.74</v>
      </c>
      <c r="F293" s="2">
        <v>-30.65</v>
      </c>
      <c r="G293" s="2">
        <v>22.35</v>
      </c>
      <c r="H293" s="2">
        <v>11.87</v>
      </c>
      <c r="I293" s="2">
        <v>30.31</v>
      </c>
      <c r="J293" s="2">
        <v>24.48</v>
      </c>
      <c r="K293" s="2">
        <v>7.54</v>
      </c>
      <c r="L293" s="2">
        <v>18.82</v>
      </c>
      <c r="M293" s="2">
        <v>-1.6</v>
      </c>
      <c r="N293" s="2">
        <v>21.39</v>
      </c>
      <c r="O293" s="2">
        <v>4.93</v>
      </c>
      <c r="P293" s="2">
        <v>17.11</v>
      </c>
      <c r="Q293" s="2">
        <v>-1</v>
      </c>
      <c r="R293" s="2">
        <v>-3.4</v>
      </c>
      <c r="S293" s="2">
        <v>2.56</v>
      </c>
      <c r="T293" s="2">
        <v>16.399999999999999</v>
      </c>
      <c r="U293" s="2">
        <v>6.11</v>
      </c>
      <c r="V293" s="2">
        <v>18.29</v>
      </c>
      <c r="W293" s="2">
        <v>4.26</v>
      </c>
      <c r="X293" s="2">
        <v>9.93</v>
      </c>
      <c r="Y293" s="2">
        <v>8.64</v>
      </c>
      <c r="Z293" s="2">
        <v>0.1</v>
      </c>
      <c r="AA293" s="2">
        <v>1.29</v>
      </c>
      <c r="AB293" s="2">
        <v>0.96</v>
      </c>
      <c r="AC293" s="2">
        <v>0</v>
      </c>
      <c r="AD293" s="2">
        <v>1.77</v>
      </c>
      <c r="AE293" s="2">
        <v>8.67</v>
      </c>
      <c r="AF293" s="2">
        <v>69.56</v>
      </c>
      <c r="AG293" s="2">
        <v>9.8800000000000008</v>
      </c>
    </row>
    <row r="294" spans="1:33" x14ac:dyDescent="0.2">
      <c r="A294" s="3">
        <v>16861</v>
      </c>
      <c r="B294" s="2">
        <v>6.28</v>
      </c>
      <c r="C294" s="2">
        <v>17.18</v>
      </c>
      <c r="D294" s="2">
        <v>-23.17</v>
      </c>
      <c r="E294" s="2">
        <v>-72.41</v>
      </c>
      <c r="F294" s="2">
        <v>-66</v>
      </c>
      <c r="G294" s="2">
        <v>-48.34</v>
      </c>
      <c r="H294" s="2">
        <v>1.79</v>
      </c>
      <c r="I294" s="2">
        <v>22.62</v>
      </c>
      <c r="J294" s="2">
        <v>-4.38</v>
      </c>
      <c r="K294" s="2">
        <v>-8.7899999999999991</v>
      </c>
      <c r="L294" s="2">
        <v>-22.83</v>
      </c>
      <c r="M294" s="2">
        <v>-13.9</v>
      </c>
      <c r="N294" s="2">
        <v>6.01</v>
      </c>
      <c r="O294" s="2">
        <v>3.13</v>
      </c>
      <c r="P294" s="2">
        <v>11.96</v>
      </c>
      <c r="Q294" s="2">
        <v>-5.28</v>
      </c>
      <c r="R294" s="2">
        <v>-2.91</v>
      </c>
      <c r="S294" s="2">
        <v>7.39</v>
      </c>
      <c r="T294" s="2">
        <v>19.89</v>
      </c>
      <c r="U294" s="2">
        <v>6.17</v>
      </c>
      <c r="V294" s="2">
        <v>14.13</v>
      </c>
      <c r="W294" s="2">
        <v>0</v>
      </c>
      <c r="X294" s="2">
        <v>3.4</v>
      </c>
      <c r="Y294" s="2">
        <v>3.5</v>
      </c>
      <c r="Z294" s="2">
        <v>4.79</v>
      </c>
      <c r="AA294" s="2">
        <v>0</v>
      </c>
      <c r="AB294" s="2">
        <v>0</v>
      </c>
      <c r="AC294" s="2">
        <v>3.79</v>
      </c>
      <c r="AD294" s="2">
        <v>2.21</v>
      </c>
      <c r="AE294" s="2">
        <v>16.690000000000001</v>
      </c>
      <c r="AF294" s="2">
        <v>57.98</v>
      </c>
      <c r="AG294" s="2">
        <v>10.08</v>
      </c>
    </row>
    <row r="295" spans="1:33" x14ac:dyDescent="0.2">
      <c r="A295" s="3">
        <v>16892</v>
      </c>
      <c r="B295" s="2">
        <v>4.6100000000000003</v>
      </c>
      <c r="C295" s="2">
        <v>18.71</v>
      </c>
      <c r="D295" s="2">
        <v>-13.29</v>
      </c>
      <c r="E295" s="2">
        <v>-32.14</v>
      </c>
      <c r="F295" s="2">
        <v>-4.8600000000000003</v>
      </c>
      <c r="G295" s="2">
        <v>-26.28</v>
      </c>
      <c r="H295" s="2">
        <v>11.04</v>
      </c>
      <c r="I295" s="2">
        <v>26.93</v>
      </c>
      <c r="J295" s="2">
        <v>12.25</v>
      </c>
      <c r="K295" s="2">
        <v>3.28</v>
      </c>
      <c r="L295" s="2">
        <v>-4.18</v>
      </c>
      <c r="M295" s="2">
        <v>-5.21</v>
      </c>
      <c r="N295" s="2">
        <v>32.270000000000003</v>
      </c>
      <c r="O295" s="2">
        <v>10.89</v>
      </c>
      <c r="P295" s="2">
        <v>65.25</v>
      </c>
      <c r="Q295" s="2">
        <v>2.48</v>
      </c>
      <c r="R295" s="2">
        <v>-3.35</v>
      </c>
      <c r="S295" s="2">
        <v>26.87</v>
      </c>
      <c r="T295" s="2">
        <v>28.34</v>
      </c>
      <c r="U295" s="2">
        <v>7.12</v>
      </c>
      <c r="V295" s="2">
        <v>26.35</v>
      </c>
      <c r="W295" s="2">
        <v>0</v>
      </c>
      <c r="X295" s="2">
        <v>4.3099999999999996</v>
      </c>
      <c r="Y295" s="2">
        <v>3.37</v>
      </c>
      <c r="Z295" s="2">
        <v>11.92</v>
      </c>
      <c r="AA295" s="2">
        <v>0</v>
      </c>
      <c r="AB295" s="2">
        <v>0.79</v>
      </c>
      <c r="AC295" s="2">
        <v>3.66</v>
      </c>
      <c r="AD295" s="2">
        <v>3.85</v>
      </c>
      <c r="AE295" s="2">
        <v>12.58</v>
      </c>
      <c r="AF295" s="2">
        <v>68.42</v>
      </c>
      <c r="AG295" s="2">
        <v>10.69</v>
      </c>
    </row>
    <row r="296" spans="1:33" x14ac:dyDescent="0.2">
      <c r="A296" s="3">
        <v>16922</v>
      </c>
      <c r="B296" s="2">
        <v>3.76</v>
      </c>
      <c r="C296" s="2">
        <v>14.96</v>
      </c>
      <c r="D296" s="2">
        <v>-5.79</v>
      </c>
      <c r="E296" s="2">
        <v>-25.72</v>
      </c>
      <c r="F296" s="2">
        <v>12.78</v>
      </c>
      <c r="G296" s="2">
        <v>-9.08</v>
      </c>
      <c r="H296" s="2">
        <v>12.73</v>
      </c>
      <c r="I296" s="2">
        <v>32.53</v>
      </c>
      <c r="J296" s="2">
        <v>25.83</v>
      </c>
      <c r="K296" s="2">
        <v>5.22</v>
      </c>
      <c r="L296" s="2">
        <v>34.229999999999997</v>
      </c>
      <c r="M296" s="2">
        <v>13.87</v>
      </c>
      <c r="N296" s="2">
        <v>27.86</v>
      </c>
      <c r="O296" s="2">
        <v>9.15</v>
      </c>
      <c r="P296" s="2">
        <v>60.9</v>
      </c>
      <c r="Q296" s="2">
        <v>3.28</v>
      </c>
      <c r="R296" s="2">
        <v>3.42</v>
      </c>
      <c r="S296" s="2">
        <v>5.31</v>
      </c>
      <c r="T296" s="2">
        <v>20.6</v>
      </c>
      <c r="U296" s="2">
        <v>9.49</v>
      </c>
      <c r="V296" s="2">
        <v>30.18</v>
      </c>
      <c r="W296" s="2">
        <v>0</v>
      </c>
      <c r="X296" s="2">
        <v>5.25</v>
      </c>
      <c r="Y296" s="2">
        <v>4.6100000000000003</v>
      </c>
      <c r="Z296" s="2">
        <v>1.24</v>
      </c>
      <c r="AA296" s="2">
        <v>0</v>
      </c>
      <c r="AB296" s="2">
        <v>0.23</v>
      </c>
      <c r="AC296" s="2">
        <v>0</v>
      </c>
      <c r="AD296" s="2">
        <v>4.99</v>
      </c>
      <c r="AE296" s="2">
        <v>0.28000000000000003</v>
      </c>
      <c r="AF296" s="2">
        <v>84.67</v>
      </c>
      <c r="AG296" s="2">
        <v>14.64</v>
      </c>
    </row>
    <row r="297" spans="1:33" x14ac:dyDescent="0.2">
      <c r="A297" s="3">
        <v>16953</v>
      </c>
      <c r="B297" s="2">
        <v>1.49</v>
      </c>
      <c r="C297" s="2">
        <v>13.52</v>
      </c>
      <c r="D297" s="2">
        <v>1.81</v>
      </c>
      <c r="E297" s="2">
        <v>-35.380000000000003</v>
      </c>
      <c r="F297" s="2">
        <v>-23.62</v>
      </c>
      <c r="G297" s="2">
        <v>-16.22</v>
      </c>
      <c r="H297" s="2">
        <v>7.72</v>
      </c>
      <c r="I297" s="2">
        <v>28.41</v>
      </c>
      <c r="J297" s="2">
        <v>35.17</v>
      </c>
      <c r="K297" s="2">
        <v>36.58</v>
      </c>
      <c r="L297" s="2">
        <v>50.28</v>
      </c>
      <c r="M297" s="2">
        <v>35.869999999999997</v>
      </c>
      <c r="N297" s="2">
        <v>53.69</v>
      </c>
      <c r="O297" s="2">
        <v>16.32</v>
      </c>
      <c r="P297" s="2">
        <v>50.07</v>
      </c>
      <c r="Q297" s="2">
        <v>10.99</v>
      </c>
      <c r="R297" s="2">
        <v>9.5500000000000007</v>
      </c>
      <c r="S297" s="2">
        <v>15.75</v>
      </c>
      <c r="T297" s="2">
        <v>20.93</v>
      </c>
      <c r="U297" s="2">
        <v>10.9</v>
      </c>
      <c r="V297" s="2">
        <v>35.96</v>
      </c>
      <c r="W297" s="2">
        <v>4.88</v>
      </c>
      <c r="X297" s="2">
        <v>8.26</v>
      </c>
      <c r="Y297" s="2">
        <v>6.96</v>
      </c>
      <c r="Z297" s="2">
        <v>0</v>
      </c>
      <c r="AA297" s="2">
        <v>0</v>
      </c>
      <c r="AB297" s="2">
        <v>0.85</v>
      </c>
      <c r="AC297" s="2">
        <v>0</v>
      </c>
      <c r="AD297" s="2">
        <v>8.5500000000000007</v>
      </c>
      <c r="AE297" s="2">
        <v>7.83</v>
      </c>
      <c r="AF297" s="2">
        <v>95.62</v>
      </c>
      <c r="AG297" s="2">
        <v>17.690000000000001</v>
      </c>
    </row>
    <row r="298" spans="1:33" x14ac:dyDescent="0.2">
      <c r="A298" s="3">
        <v>16983</v>
      </c>
      <c r="B298" s="2">
        <v>0.47</v>
      </c>
      <c r="C298" s="2">
        <v>13.92</v>
      </c>
      <c r="D298" s="2">
        <v>-6.15</v>
      </c>
      <c r="E298" s="2">
        <v>-55.93</v>
      </c>
      <c r="F298" s="2">
        <v>-43.29</v>
      </c>
      <c r="G298" s="2">
        <v>-20.91</v>
      </c>
      <c r="H298" s="2">
        <v>1.74</v>
      </c>
      <c r="I298" s="2">
        <v>20.93</v>
      </c>
      <c r="J298" s="2">
        <v>-14.14</v>
      </c>
      <c r="K298" s="2">
        <v>-18.329999999999998</v>
      </c>
      <c r="L298" s="2">
        <v>-40.770000000000003</v>
      </c>
      <c r="M298" s="2">
        <v>-19.690000000000001</v>
      </c>
      <c r="N298" s="2">
        <v>15.29</v>
      </c>
      <c r="O298" s="2">
        <v>51.86</v>
      </c>
      <c r="P298" s="2">
        <v>27.24</v>
      </c>
      <c r="Q298" s="2">
        <v>5.19</v>
      </c>
      <c r="R298" s="2">
        <v>8.17</v>
      </c>
      <c r="S298" s="2">
        <v>8.73</v>
      </c>
      <c r="T298" s="2">
        <v>48.81</v>
      </c>
      <c r="U298" s="2">
        <v>0.27</v>
      </c>
      <c r="V298" s="2">
        <v>36.86</v>
      </c>
      <c r="W298" s="2">
        <v>18.62</v>
      </c>
      <c r="X298" s="2">
        <v>13.63</v>
      </c>
      <c r="Y298" s="2">
        <v>13.03</v>
      </c>
      <c r="Z298" s="2">
        <v>0</v>
      </c>
      <c r="AA298" s="2">
        <v>0</v>
      </c>
      <c r="AB298" s="2">
        <v>0</v>
      </c>
      <c r="AC298" s="2">
        <v>0</v>
      </c>
      <c r="AD298" s="2">
        <v>11.64</v>
      </c>
      <c r="AE298" s="2">
        <v>0</v>
      </c>
      <c r="AF298" s="2">
        <v>104.64</v>
      </c>
      <c r="AG298" s="2">
        <v>22.83</v>
      </c>
    </row>
    <row r="299" spans="1:33" x14ac:dyDescent="0.2">
      <c r="A299" s="3">
        <v>17014</v>
      </c>
      <c r="B299" s="2">
        <v>1.46</v>
      </c>
      <c r="C299" s="2">
        <v>15.2</v>
      </c>
      <c r="D299" s="2">
        <v>-2.74</v>
      </c>
      <c r="E299" s="2">
        <v>-43.14</v>
      </c>
      <c r="F299" s="2">
        <v>-19.809999999999999</v>
      </c>
      <c r="G299" s="2">
        <v>-13.62</v>
      </c>
      <c r="H299" s="2">
        <v>8.65</v>
      </c>
      <c r="I299" s="2">
        <v>19.32</v>
      </c>
      <c r="J299" s="2">
        <v>-23.07</v>
      </c>
      <c r="K299" s="2">
        <v>-15.93</v>
      </c>
      <c r="L299" s="2">
        <v>-45</v>
      </c>
      <c r="M299" s="2">
        <v>-23.52</v>
      </c>
      <c r="N299" s="2">
        <v>21.21</v>
      </c>
      <c r="O299" s="2">
        <v>67.87</v>
      </c>
      <c r="P299" s="2">
        <v>43.93</v>
      </c>
      <c r="Q299" s="2">
        <v>0.08</v>
      </c>
      <c r="R299" s="2">
        <v>3.56</v>
      </c>
      <c r="S299" s="2">
        <v>11.83</v>
      </c>
      <c r="T299" s="2">
        <v>43.71</v>
      </c>
      <c r="U299" s="2">
        <v>-2.0099999999999998</v>
      </c>
      <c r="V299" s="2">
        <v>49.27</v>
      </c>
      <c r="W299" s="2">
        <v>30.39</v>
      </c>
      <c r="X299" s="2">
        <v>18.88</v>
      </c>
      <c r="Y299" s="2">
        <v>18.649999999999999</v>
      </c>
      <c r="Z299" s="2">
        <v>0.62</v>
      </c>
      <c r="AA299" s="2">
        <v>0.14000000000000001</v>
      </c>
      <c r="AB299" s="2">
        <v>1.7</v>
      </c>
      <c r="AC299" s="2">
        <v>5.42</v>
      </c>
      <c r="AD299" s="2">
        <v>12.3</v>
      </c>
      <c r="AE299" s="2">
        <v>0</v>
      </c>
      <c r="AF299" s="2">
        <v>113.96</v>
      </c>
      <c r="AG299" s="2">
        <v>24.8</v>
      </c>
    </row>
    <row r="300" spans="1:33" x14ac:dyDescent="0.2">
      <c r="A300" s="3">
        <v>17045</v>
      </c>
      <c r="B300" s="2">
        <v>0.01</v>
      </c>
      <c r="C300" s="2">
        <v>13.76</v>
      </c>
      <c r="D300" s="2">
        <v>-3.09</v>
      </c>
      <c r="E300" s="2">
        <v>-48.21</v>
      </c>
      <c r="F300" s="2">
        <v>-12.5</v>
      </c>
      <c r="G300" s="2">
        <v>-5.26</v>
      </c>
      <c r="H300" s="2">
        <v>12.05</v>
      </c>
      <c r="I300" s="2">
        <v>20.84</v>
      </c>
      <c r="J300" s="2">
        <v>-6.94</v>
      </c>
      <c r="K300" s="2">
        <v>-6.41</v>
      </c>
      <c r="L300" s="2">
        <v>-23.27</v>
      </c>
      <c r="M300" s="2">
        <v>-11.84</v>
      </c>
      <c r="N300" s="2">
        <v>20.440000000000001</v>
      </c>
      <c r="O300" s="2">
        <v>54.88</v>
      </c>
      <c r="P300" s="2">
        <v>53.17</v>
      </c>
      <c r="Q300" s="2">
        <v>-0.06</v>
      </c>
      <c r="R300" s="2">
        <v>-3.41</v>
      </c>
      <c r="S300" s="2">
        <v>14.56</v>
      </c>
      <c r="T300" s="2">
        <v>39.06</v>
      </c>
      <c r="U300" s="2">
        <v>1.98</v>
      </c>
      <c r="V300" s="2">
        <v>44.68</v>
      </c>
      <c r="W300" s="2">
        <v>31.47</v>
      </c>
      <c r="X300" s="2">
        <v>21.21</v>
      </c>
      <c r="Y300" s="2">
        <v>21.11</v>
      </c>
      <c r="Z300" s="2">
        <v>0</v>
      </c>
      <c r="AA300" s="2">
        <v>6.96</v>
      </c>
      <c r="AB300" s="2">
        <v>1.98</v>
      </c>
      <c r="AC300" s="2">
        <v>0</v>
      </c>
      <c r="AD300" s="2">
        <v>7.84</v>
      </c>
      <c r="AE300" s="2">
        <v>0</v>
      </c>
      <c r="AF300" s="2">
        <v>115.89</v>
      </c>
      <c r="AG300" s="2">
        <v>23.65</v>
      </c>
    </row>
    <row r="301" spans="1:33" x14ac:dyDescent="0.2">
      <c r="A301" s="3">
        <v>17075</v>
      </c>
      <c r="B301" s="2">
        <v>-2.64</v>
      </c>
      <c r="C301" s="2">
        <v>12.47</v>
      </c>
      <c r="D301" s="2">
        <v>-10.49</v>
      </c>
      <c r="E301" s="2">
        <v>-43.14</v>
      </c>
      <c r="F301" s="2">
        <v>-11.7</v>
      </c>
      <c r="G301" s="2">
        <v>3.65</v>
      </c>
      <c r="H301" s="2">
        <v>14.6</v>
      </c>
      <c r="I301" s="2">
        <v>23.92</v>
      </c>
      <c r="J301" s="2">
        <v>9.73</v>
      </c>
      <c r="K301" s="2">
        <v>-10.119999999999999</v>
      </c>
      <c r="L301" s="2">
        <v>-13.59</v>
      </c>
      <c r="M301" s="2">
        <v>-11.08</v>
      </c>
      <c r="N301" s="2">
        <v>22.7</v>
      </c>
      <c r="O301" s="2">
        <v>1.62</v>
      </c>
      <c r="P301" s="2">
        <v>27.88</v>
      </c>
      <c r="Q301" s="2">
        <v>1.77</v>
      </c>
      <c r="R301" s="2">
        <v>-1.47</v>
      </c>
      <c r="S301" s="2">
        <v>-3.34</v>
      </c>
      <c r="T301" s="2">
        <v>20.63</v>
      </c>
      <c r="U301" s="2">
        <v>6.19</v>
      </c>
      <c r="V301" s="2">
        <v>17.73</v>
      </c>
      <c r="W301" s="2">
        <v>26.1</v>
      </c>
      <c r="X301" s="2">
        <v>20.14</v>
      </c>
      <c r="Y301" s="2">
        <v>19.82</v>
      </c>
      <c r="Z301" s="2">
        <v>0</v>
      </c>
      <c r="AA301" s="2">
        <v>5.0199999999999996</v>
      </c>
      <c r="AB301" s="2">
        <v>1.42</v>
      </c>
      <c r="AC301" s="2">
        <v>0</v>
      </c>
      <c r="AD301" s="2">
        <v>5.0599999999999996</v>
      </c>
      <c r="AE301" s="2">
        <v>0.47</v>
      </c>
      <c r="AF301" s="2">
        <v>107.95</v>
      </c>
      <c r="AG301" s="2">
        <v>20.170000000000002</v>
      </c>
    </row>
    <row r="302" spans="1:33" x14ac:dyDescent="0.2">
      <c r="A302" s="3">
        <v>17106</v>
      </c>
      <c r="B302" s="2">
        <v>-2.04</v>
      </c>
      <c r="C302" s="2">
        <v>14.7</v>
      </c>
      <c r="D302" s="2">
        <v>-9.6</v>
      </c>
      <c r="E302" s="2">
        <v>-20.02</v>
      </c>
      <c r="F302" s="2">
        <v>-7.12</v>
      </c>
      <c r="G302" s="2">
        <v>10.029999999999999</v>
      </c>
      <c r="H302" s="2">
        <v>13.79</v>
      </c>
      <c r="I302" s="2">
        <v>25.81</v>
      </c>
      <c r="J302" s="2">
        <v>12.29</v>
      </c>
      <c r="K302" s="2">
        <v>-10.79</v>
      </c>
      <c r="L302" s="2">
        <v>-0.42</v>
      </c>
      <c r="M302" s="2">
        <v>-2.4700000000000002</v>
      </c>
      <c r="N302" s="2">
        <v>12.83</v>
      </c>
      <c r="O302" s="2">
        <v>10.92</v>
      </c>
      <c r="P302" s="2">
        <v>30.07</v>
      </c>
      <c r="Q302" s="2">
        <v>0.37</v>
      </c>
      <c r="R302" s="2">
        <v>-5.84</v>
      </c>
      <c r="S302" s="2">
        <v>-1.24</v>
      </c>
      <c r="T302" s="2">
        <v>23.97</v>
      </c>
      <c r="U302" s="2">
        <v>4.0999999999999996</v>
      </c>
      <c r="V302" s="2">
        <v>18</v>
      </c>
      <c r="W302" s="2">
        <v>22.19</v>
      </c>
      <c r="X302" s="2">
        <v>18.66</v>
      </c>
      <c r="Y302" s="2">
        <v>18.329999999999998</v>
      </c>
      <c r="Z302" s="2">
        <v>16.13</v>
      </c>
      <c r="AA302" s="2">
        <v>0.14000000000000001</v>
      </c>
      <c r="AB302" s="2">
        <v>0.9</v>
      </c>
      <c r="AC302" s="2">
        <v>4.33</v>
      </c>
      <c r="AD302" s="2">
        <v>4.4400000000000004</v>
      </c>
      <c r="AE302" s="2">
        <v>0.28000000000000003</v>
      </c>
      <c r="AF302" s="2">
        <v>97.91</v>
      </c>
      <c r="AG302" s="2">
        <v>16.420000000000002</v>
      </c>
    </row>
    <row r="303" spans="1:33" x14ac:dyDescent="0.2">
      <c r="A303" s="3">
        <v>17136</v>
      </c>
      <c r="B303" s="2">
        <v>0.28000000000000003</v>
      </c>
      <c r="C303" s="2">
        <v>16.53</v>
      </c>
      <c r="D303" s="2">
        <v>1.84</v>
      </c>
      <c r="E303" s="2">
        <v>12.94</v>
      </c>
      <c r="F303" s="2">
        <v>15.36</v>
      </c>
      <c r="G303" s="2">
        <v>28.13</v>
      </c>
      <c r="H303" s="2">
        <v>16.170000000000002</v>
      </c>
      <c r="I303" s="2">
        <v>26.81</v>
      </c>
      <c r="J303" s="2">
        <v>25.08</v>
      </c>
      <c r="K303" s="2">
        <v>3.23</v>
      </c>
      <c r="L303" s="2">
        <v>11.12</v>
      </c>
      <c r="M303" s="2">
        <v>8.42</v>
      </c>
      <c r="N303" s="2">
        <v>10.3</v>
      </c>
      <c r="O303" s="2">
        <v>5.55</v>
      </c>
      <c r="P303" s="2">
        <v>50.47</v>
      </c>
      <c r="Q303" s="2">
        <v>-0.66</v>
      </c>
      <c r="R303" s="2">
        <v>-3.19</v>
      </c>
      <c r="S303" s="2">
        <v>24.3</v>
      </c>
      <c r="T303" s="2">
        <v>23.24</v>
      </c>
      <c r="U303" s="2">
        <v>6.95</v>
      </c>
      <c r="V303" s="2">
        <v>20.65</v>
      </c>
      <c r="W303" s="2">
        <v>15.43</v>
      </c>
      <c r="X303" s="2">
        <v>12.21</v>
      </c>
      <c r="Y303" s="2">
        <v>10.86</v>
      </c>
      <c r="Z303" s="2">
        <v>10.77</v>
      </c>
      <c r="AA303" s="2">
        <v>6.02</v>
      </c>
      <c r="AB303" s="2">
        <v>22.9</v>
      </c>
      <c r="AC303" s="2">
        <v>10.97</v>
      </c>
      <c r="AD303" s="2">
        <v>2.8</v>
      </c>
      <c r="AE303" s="2">
        <v>14.54</v>
      </c>
      <c r="AF303" s="2">
        <v>64.239999999999995</v>
      </c>
      <c r="AG303" s="2">
        <v>12.92</v>
      </c>
    </row>
    <row r="304" spans="1:33" x14ac:dyDescent="0.2">
      <c r="A304" s="3">
        <v>17167</v>
      </c>
      <c r="B304" s="2">
        <v>0.71</v>
      </c>
      <c r="C304" s="2">
        <v>17.5</v>
      </c>
      <c r="D304" s="2">
        <v>9.1199999999999992</v>
      </c>
      <c r="E304" s="2">
        <v>14.59</v>
      </c>
      <c r="F304" s="2">
        <v>10.91</v>
      </c>
      <c r="G304" s="2">
        <v>35.35</v>
      </c>
      <c r="H304" s="2">
        <v>14.53</v>
      </c>
      <c r="I304" s="2">
        <v>26.37</v>
      </c>
      <c r="J304" s="2">
        <v>21.12</v>
      </c>
      <c r="K304" s="2">
        <v>-1.95</v>
      </c>
      <c r="L304" s="2">
        <v>6.89</v>
      </c>
      <c r="M304" s="2">
        <v>-1.86</v>
      </c>
      <c r="N304" s="2">
        <v>23.7</v>
      </c>
      <c r="O304" s="2">
        <v>3.87</v>
      </c>
      <c r="P304" s="2">
        <v>36.86</v>
      </c>
      <c r="Q304" s="2">
        <v>0.79</v>
      </c>
      <c r="R304" s="2">
        <v>7.0000000000000007E-2</v>
      </c>
      <c r="S304" s="2">
        <v>32.380000000000003</v>
      </c>
      <c r="T304" s="2">
        <v>22.64</v>
      </c>
      <c r="U304" s="2">
        <v>4.96</v>
      </c>
      <c r="V304" s="2">
        <v>15.69</v>
      </c>
      <c r="W304" s="2">
        <v>11.73</v>
      </c>
      <c r="X304" s="2">
        <v>9.99</v>
      </c>
      <c r="Y304" s="2">
        <v>9.86</v>
      </c>
      <c r="Z304" s="2">
        <v>1.96</v>
      </c>
      <c r="AA304" s="2">
        <v>13.48</v>
      </c>
      <c r="AB304" s="2">
        <v>7.26</v>
      </c>
      <c r="AC304" s="2">
        <v>7.31</v>
      </c>
      <c r="AD304" s="2">
        <v>2.48</v>
      </c>
      <c r="AE304" s="2">
        <v>24.7</v>
      </c>
      <c r="AF304" s="2">
        <v>59.02</v>
      </c>
      <c r="AG304" s="2">
        <v>11.2</v>
      </c>
    </row>
    <row r="305" spans="1:33" x14ac:dyDescent="0.2">
      <c r="A305" s="3">
        <v>17198</v>
      </c>
      <c r="B305" s="2">
        <v>0.17</v>
      </c>
      <c r="C305" s="2">
        <v>11.25</v>
      </c>
      <c r="D305" s="2">
        <v>-10.77</v>
      </c>
      <c r="E305" s="2">
        <v>-25.11</v>
      </c>
      <c r="F305" s="2">
        <v>-23.79</v>
      </c>
      <c r="G305" s="2">
        <v>-1.71</v>
      </c>
      <c r="H305" s="2">
        <v>5.54</v>
      </c>
      <c r="I305" s="2">
        <v>21.98</v>
      </c>
      <c r="J305" s="2">
        <v>4.22</v>
      </c>
      <c r="K305" s="2">
        <v>-7.34</v>
      </c>
      <c r="L305" s="2">
        <v>-21.79</v>
      </c>
      <c r="M305" s="2">
        <v>-15.09</v>
      </c>
      <c r="N305" s="2">
        <v>16.25</v>
      </c>
      <c r="O305" s="2">
        <v>2.58</v>
      </c>
      <c r="P305" s="2">
        <v>12.72</v>
      </c>
      <c r="Q305" s="2">
        <v>-0.34</v>
      </c>
      <c r="R305" s="2">
        <v>-1.93</v>
      </c>
      <c r="S305" s="2">
        <v>-2.02</v>
      </c>
      <c r="T305" s="2">
        <v>19.09</v>
      </c>
      <c r="U305" s="2">
        <v>4.1500000000000004</v>
      </c>
      <c r="V305" s="2">
        <v>16.23</v>
      </c>
      <c r="W305" s="2">
        <v>4.26</v>
      </c>
      <c r="X305" s="2">
        <v>6.71</v>
      </c>
      <c r="Y305" s="2">
        <v>5.32</v>
      </c>
      <c r="Z305" s="2">
        <v>2.06</v>
      </c>
      <c r="AA305" s="2">
        <v>0</v>
      </c>
      <c r="AB305" s="2">
        <v>0.51</v>
      </c>
      <c r="AC305" s="2">
        <v>2.2999999999999998</v>
      </c>
      <c r="AD305" s="2">
        <v>2.2400000000000002</v>
      </c>
      <c r="AE305" s="2">
        <v>1.03</v>
      </c>
      <c r="AF305" s="2">
        <v>75.3</v>
      </c>
      <c r="AG305" s="2">
        <v>9.8800000000000008</v>
      </c>
    </row>
    <row r="306" spans="1:33" x14ac:dyDescent="0.2">
      <c r="A306" s="3">
        <v>17226</v>
      </c>
      <c r="B306" s="2">
        <v>-1.05</v>
      </c>
      <c r="C306" s="2">
        <v>20.36</v>
      </c>
      <c r="D306" s="2">
        <v>-2.84</v>
      </c>
      <c r="E306" s="2">
        <v>1.83</v>
      </c>
      <c r="F306" s="2">
        <v>24.21</v>
      </c>
      <c r="G306" s="2">
        <v>42.77</v>
      </c>
      <c r="H306" s="2">
        <v>15.87</v>
      </c>
      <c r="I306" s="2">
        <v>24.29</v>
      </c>
      <c r="J306" s="2">
        <v>14.88</v>
      </c>
      <c r="K306" s="2">
        <v>2.12</v>
      </c>
      <c r="L306" s="2">
        <v>-13.87</v>
      </c>
      <c r="M306" s="2">
        <v>-10.82</v>
      </c>
      <c r="N306" s="2">
        <v>18.12</v>
      </c>
      <c r="O306" s="2">
        <v>2.06</v>
      </c>
      <c r="P306" s="2">
        <v>19.09</v>
      </c>
      <c r="Q306" s="2">
        <v>-4.33</v>
      </c>
      <c r="R306" s="2">
        <v>-1.05</v>
      </c>
      <c r="S306" s="2">
        <v>0.96</v>
      </c>
      <c r="T306" s="2">
        <v>21.68</v>
      </c>
      <c r="U306" s="2">
        <v>5.08</v>
      </c>
      <c r="V306" s="2">
        <v>15.58</v>
      </c>
      <c r="W306" s="2">
        <v>0</v>
      </c>
      <c r="X306" s="2">
        <v>0.69</v>
      </c>
      <c r="Y306" s="2">
        <v>0.64</v>
      </c>
      <c r="Z306" s="2">
        <v>0.1</v>
      </c>
      <c r="AA306" s="2">
        <v>0</v>
      </c>
      <c r="AB306" s="2">
        <v>0</v>
      </c>
      <c r="AC306" s="2">
        <v>0</v>
      </c>
      <c r="AD306" s="2">
        <v>2.33</v>
      </c>
      <c r="AE306" s="2">
        <v>16.5</v>
      </c>
      <c r="AF306" s="2">
        <v>62.77</v>
      </c>
      <c r="AG306" s="2">
        <v>10.08</v>
      </c>
    </row>
    <row r="307" spans="1:33" x14ac:dyDescent="0.2">
      <c r="A307" s="3">
        <v>17257</v>
      </c>
      <c r="B307" s="2">
        <v>0.21</v>
      </c>
      <c r="C307" s="2">
        <v>21.02</v>
      </c>
      <c r="D307" s="2">
        <v>1.29</v>
      </c>
      <c r="E307" s="2">
        <v>15.17</v>
      </c>
      <c r="F307" s="2">
        <v>23.55</v>
      </c>
      <c r="G307" s="2">
        <v>47.33</v>
      </c>
      <c r="H307" s="2">
        <v>22.14</v>
      </c>
      <c r="I307" s="2">
        <v>24.8</v>
      </c>
      <c r="J307" s="2">
        <v>24.94</v>
      </c>
      <c r="K307" s="2">
        <v>13.69</v>
      </c>
      <c r="L307" s="2">
        <v>9.39</v>
      </c>
      <c r="M307" s="2">
        <v>0.35</v>
      </c>
      <c r="N307" s="2">
        <v>27.12</v>
      </c>
      <c r="O307" s="2">
        <v>8.92</v>
      </c>
      <c r="P307" s="2">
        <v>52.19</v>
      </c>
      <c r="Q307" s="2">
        <v>-0.7</v>
      </c>
      <c r="R307" s="2">
        <v>-6.16</v>
      </c>
      <c r="S307" s="2">
        <v>-3.77</v>
      </c>
      <c r="T307" s="2">
        <v>27.35</v>
      </c>
      <c r="U307" s="2">
        <v>2.35</v>
      </c>
      <c r="V307" s="2">
        <v>27.23</v>
      </c>
      <c r="W307" s="2">
        <v>0</v>
      </c>
      <c r="X307" s="2">
        <v>1.1000000000000001</v>
      </c>
      <c r="Y307" s="2">
        <v>7.0000000000000007E-2</v>
      </c>
      <c r="Z307" s="2">
        <v>2.82</v>
      </c>
      <c r="AA307" s="2">
        <v>1.72</v>
      </c>
      <c r="AB307" s="2">
        <v>0.17</v>
      </c>
      <c r="AC307" s="2">
        <v>6.9</v>
      </c>
      <c r="AD307" s="2">
        <v>4.1399999999999997</v>
      </c>
      <c r="AE307" s="2">
        <v>18.920000000000002</v>
      </c>
      <c r="AF307" s="2">
        <v>74.069999999999993</v>
      </c>
      <c r="AG307" s="2">
        <v>10.69</v>
      </c>
    </row>
    <row r="308" spans="1:33" x14ac:dyDescent="0.2">
      <c r="A308" s="3">
        <v>17287</v>
      </c>
      <c r="B308" s="2">
        <v>-0.65</v>
      </c>
      <c r="C308" s="2">
        <v>9.3000000000000007</v>
      </c>
      <c r="D308" s="2">
        <v>-10.57</v>
      </c>
      <c r="E308" s="2">
        <v>-41.33</v>
      </c>
      <c r="F308" s="2">
        <v>-17.190000000000001</v>
      </c>
      <c r="G308" s="2">
        <v>-8.35</v>
      </c>
      <c r="H308" s="2">
        <v>3.28</v>
      </c>
      <c r="I308" s="2">
        <v>18.04</v>
      </c>
      <c r="J308" s="2">
        <v>10.91</v>
      </c>
      <c r="K308" s="2">
        <v>12.78</v>
      </c>
      <c r="L308" s="2">
        <v>16.899999999999999</v>
      </c>
      <c r="M308" s="2">
        <v>3.62</v>
      </c>
      <c r="N308" s="2">
        <v>35.159999999999997</v>
      </c>
      <c r="O308" s="2">
        <v>4.47</v>
      </c>
      <c r="P308" s="2">
        <v>47.48</v>
      </c>
      <c r="Q308" s="2">
        <v>1.1000000000000001</v>
      </c>
      <c r="R308" s="2">
        <v>2.85</v>
      </c>
      <c r="S308" s="2">
        <v>4.6100000000000003</v>
      </c>
      <c r="T308" s="2">
        <v>22.89</v>
      </c>
      <c r="U308" s="2">
        <v>4.9000000000000004</v>
      </c>
      <c r="V308" s="2">
        <v>28.82</v>
      </c>
      <c r="W308" s="2">
        <v>0</v>
      </c>
      <c r="X308" s="2">
        <v>1.3</v>
      </c>
      <c r="Y308" s="2">
        <v>0.53</v>
      </c>
      <c r="Z308" s="2">
        <v>0.96</v>
      </c>
      <c r="AA308" s="2">
        <v>1.29</v>
      </c>
      <c r="AB308" s="2">
        <v>1.07</v>
      </c>
      <c r="AC308" s="2">
        <v>2.2999999999999998</v>
      </c>
      <c r="AD308" s="2">
        <v>5.68</v>
      </c>
      <c r="AE308" s="2">
        <v>3.17</v>
      </c>
      <c r="AF308" s="2">
        <v>91.65</v>
      </c>
      <c r="AG308" s="2">
        <v>14.64</v>
      </c>
    </row>
    <row r="309" spans="1:33" x14ac:dyDescent="0.2">
      <c r="A309" s="3">
        <v>17318</v>
      </c>
      <c r="B309" s="2">
        <v>-0.88</v>
      </c>
      <c r="C309" s="2">
        <v>12.3</v>
      </c>
      <c r="D309" s="2">
        <v>0.74</v>
      </c>
      <c r="E309" s="2">
        <v>-29.29</v>
      </c>
      <c r="F309" s="2">
        <v>-34.58</v>
      </c>
      <c r="G309" s="2">
        <v>-12.11</v>
      </c>
      <c r="H309" s="2">
        <v>-1.48</v>
      </c>
      <c r="I309" s="2">
        <v>20.37</v>
      </c>
      <c r="J309" s="2">
        <v>5.16</v>
      </c>
      <c r="K309" s="2">
        <v>-0.23</v>
      </c>
      <c r="L309" s="2">
        <v>17.61</v>
      </c>
      <c r="M309" s="2">
        <v>0.34</v>
      </c>
      <c r="N309" s="2">
        <v>26.31</v>
      </c>
      <c r="O309" s="2">
        <v>16.91</v>
      </c>
      <c r="P309" s="2">
        <v>57.53</v>
      </c>
      <c r="Q309" s="2">
        <v>4.79</v>
      </c>
      <c r="R309" s="2">
        <v>8.39</v>
      </c>
      <c r="S309" s="2">
        <v>14.7</v>
      </c>
      <c r="T309" s="2">
        <v>34.76</v>
      </c>
      <c r="U309" s="2">
        <v>4.6900000000000004</v>
      </c>
      <c r="V309" s="2">
        <v>35.5</v>
      </c>
      <c r="W309" s="2">
        <v>4.88</v>
      </c>
      <c r="X309" s="2">
        <v>3.78</v>
      </c>
      <c r="Y309" s="2">
        <v>2.36</v>
      </c>
      <c r="Z309" s="2">
        <v>0.81</v>
      </c>
      <c r="AA309" s="2">
        <v>0</v>
      </c>
      <c r="AB309" s="2">
        <v>0</v>
      </c>
      <c r="AC309" s="2">
        <v>0</v>
      </c>
      <c r="AD309" s="2">
        <v>8.64</v>
      </c>
      <c r="AE309" s="2">
        <v>1.77</v>
      </c>
      <c r="AF309" s="2">
        <v>103.51</v>
      </c>
      <c r="AG309" s="2">
        <v>17.690000000000001</v>
      </c>
    </row>
    <row r="310" spans="1:33" x14ac:dyDescent="0.2">
      <c r="A310" s="3">
        <v>17348</v>
      </c>
      <c r="B310" s="2">
        <v>-0.75</v>
      </c>
      <c r="C310" s="2">
        <v>14.13</v>
      </c>
      <c r="D310" s="2">
        <v>-6.18</v>
      </c>
      <c r="E310" s="2">
        <v>-37.97</v>
      </c>
      <c r="F310" s="2">
        <v>-11.21</v>
      </c>
      <c r="G310" s="2">
        <v>0.19</v>
      </c>
      <c r="H310" s="2">
        <v>6.41</v>
      </c>
      <c r="I310" s="2">
        <v>18.170000000000002</v>
      </c>
      <c r="J310" s="2">
        <v>-4.12</v>
      </c>
      <c r="K310" s="2">
        <v>7.77</v>
      </c>
      <c r="L310" s="2">
        <v>-20.74</v>
      </c>
      <c r="M310" s="2">
        <v>-3.63</v>
      </c>
      <c r="N310" s="2">
        <v>23.58</v>
      </c>
      <c r="O310" s="2">
        <v>61.91</v>
      </c>
      <c r="P310" s="2">
        <v>47.3</v>
      </c>
      <c r="Q310" s="2">
        <v>0.11</v>
      </c>
      <c r="R310" s="2">
        <v>1.4</v>
      </c>
      <c r="S310" s="2">
        <v>14.15</v>
      </c>
      <c r="T310" s="2">
        <v>54.9</v>
      </c>
      <c r="U310" s="2">
        <v>-1.1299999999999999</v>
      </c>
      <c r="V310" s="2">
        <v>41.24</v>
      </c>
      <c r="W310" s="2">
        <v>18.62</v>
      </c>
      <c r="X310" s="2">
        <v>8.73</v>
      </c>
      <c r="Y310" s="2">
        <v>7.96</v>
      </c>
      <c r="Z310" s="2">
        <v>0</v>
      </c>
      <c r="AA310" s="2">
        <v>0</v>
      </c>
      <c r="AB310" s="2">
        <v>0</v>
      </c>
      <c r="AC310" s="2">
        <v>0</v>
      </c>
      <c r="AD310" s="2">
        <v>9.51</v>
      </c>
      <c r="AE310" s="2">
        <v>2.8</v>
      </c>
      <c r="AF310" s="2">
        <v>113.28</v>
      </c>
      <c r="AG310" s="2">
        <v>22.83</v>
      </c>
    </row>
    <row r="311" spans="1:33" x14ac:dyDescent="0.2">
      <c r="A311" s="3">
        <v>17379</v>
      </c>
      <c r="B311" s="2">
        <v>-1.39</v>
      </c>
      <c r="C311" s="2">
        <v>13.63</v>
      </c>
      <c r="D311" s="2">
        <v>-6.22</v>
      </c>
      <c r="E311" s="2">
        <v>-39.28</v>
      </c>
      <c r="F311" s="2">
        <v>-11</v>
      </c>
      <c r="G311" s="2">
        <v>7.2</v>
      </c>
      <c r="H311" s="2">
        <v>9.64</v>
      </c>
      <c r="I311" s="2">
        <v>20.190000000000001</v>
      </c>
      <c r="J311" s="2">
        <v>-0.98</v>
      </c>
      <c r="K311" s="2">
        <v>16.96</v>
      </c>
      <c r="L311" s="2">
        <v>-6.27</v>
      </c>
      <c r="M311" s="2">
        <v>-0.28000000000000003</v>
      </c>
      <c r="N311" s="2">
        <v>29.88</v>
      </c>
      <c r="O311" s="2">
        <v>75.56</v>
      </c>
      <c r="P311" s="2">
        <v>81.09</v>
      </c>
      <c r="Q311" s="2">
        <v>-0.08</v>
      </c>
      <c r="R311" s="2">
        <v>-4.45</v>
      </c>
      <c r="S311" s="2">
        <v>32.950000000000003</v>
      </c>
      <c r="T311" s="2">
        <v>47.07</v>
      </c>
      <c r="U311" s="2">
        <v>3.91</v>
      </c>
      <c r="V311" s="2">
        <v>51.37</v>
      </c>
      <c r="W311" s="2">
        <v>30.39</v>
      </c>
      <c r="X311" s="2">
        <v>13.55</v>
      </c>
      <c r="Y311" s="2">
        <v>13.18</v>
      </c>
      <c r="Z311" s="2">
        <v>0</v>
      </c>
      <c r="AA311" s="2">
        <v>0</v>
      </c>
      <c r="AB311" s="2">
        <v>0</v>
      </c>
      <c r="AC311" s="2">
        <v>0</v>
      </c>
      <c r="AD311" s="2">
        <v>9.08</v>
      </c>
      <c r="AE311" s="2">
        <v>0</v>
      </c>
      <c r="AF311" s="2">
        <v>123.36</v>
      </c>
      <c r="AG311" s="2">
        <v>24.8</v>
      </c>
    </row>
    <row r="312" spans="1:33" x14ac:dyDescent="0.2">
      <c r="A312" s="3">
        <v>17410</v>
      </c>
      <c r="B312" s="2">
        <v>-2.4900000000000002</v>
      </c>
      <c r="C312" s="2">
        <v>12.85</v>
      </c>
      <c r="D312" s="2">
        <v>-6.27</v>
      </c>
      <c r="E312" s="2">
        <v>-43.79</v>
      </c>
      <c r="F312" s="2">
        <v>-3.96</v>
      </c>
      <c r="G312" s="2">
        <v>13.39</v>
      </c>
      <c r="H312" s="2">
        <v>11.69</v>
      </c>
      <c r="I312" s="2">
        <v>20.13</v>
      </c>
      <c r="J312" s="2">
        <v>4.1100000000000003</v>
      </c>
      <c r="K312" s="2">
        <v>11.47</v>
      </c>
      <c r="L312" s="2">
        <v>-1.98</v>
      </c>
      <c r="M312" s="2">
        <v>-2.2799999999999998</v>
      </c>
      <c r="N312" s="2">
        <v>23.67</v>
      </c>
      <c r="O312" s="2">
        <v>58.42</v>
      </c>
      <c r="P312" s="2">
        <v>82.64</v>
      </c>
      <c r="Q312" s="2">
        <v>-0.52</v>
      </c>
      <c r="R312" s="2">
        <v>-5.46</v>
      </c>
      <c r="S312" s="2">
        <v>27.45</v>
      </c>
      <c r="T312" s="2">
        <v>42.35</v>
      </c>
      <c r="U312" s="2">
        <v>5.72</v>
      </c>
      <c r="V312" s="2">
        <v>46.19</v>
      </c>
      <c r="W312" s="2">
        <v>31.47</v>
      </c>
      <c r="X312" s="2">
        <v>15.8</v>
      </c>
      <c r="Y312" s="2">
        <v>15.53</v>
      </c>
      <c r="Z312" s="2">
        <v>1</v>
      </c>
      <c r="AA312" s="2">
        <v>1.29</v>
      </c>
      <c r="AB312" s="2">
        <v>0.11</v>
      </c>
      <c r="AC312" s="2">
        <v>0</v>
      </c>
      <c r="AD312" s="2">
        <v>6.46</v>
      </c>
      <c r="AE312" s="2">
        <v>0</v>
      </c>
      <c r="AF312" s="2">
        <v>125.46</v>
      </c>
      <c r="AG312" s="2">
        <v>23.65</v>
      </c>
    </row>
    <row r="313" spans="1:33" x14ac:dyDescent="0.2">
      <c r="A313" s="3">
        <v>17440</v>
      </c>
      <c r="B313" s="2">
        <v>-4.49</v>
      </c>
      <c r="C313" s="2">
        <v>12.09</v>
      </c>
      <c r="D313" s="2">
        <v>-10.93</v>
      </c>
      <c r="E313" s="2">
        <v>-33.68</v>
      </c>
      <c r="F313" s="2">
        <v>-6.46</v>
      </c>
      <c r="G313" s="2">
        <v>18.41</v>
      </c>
      <c r="H313" s="2">
        <v>15.56</v>
      </c>
      <c r="I313" s="2">
        <v>22.61</v>
      </c>
      <c r="J313" s="2">
        <v>15.82</v>
      </c>
      <c r="K313" s="2">
        <v>-7.51</v>
      </c>
      <c r="L313" s="2">
        <v>3.4</v>
      </c>
      <c r="M313" s="2">
        <v>-0.7</v>
      </c>
      <c r="N313" s="2">
        <v>21.53</v>
      </c>
      <c r="O313" s="2">
        <v>0.11</v>
      </c>
      <c r="P313" s="2">
        <v>34.74</v>
      </c>
      <c r="Q313" s="2">
        <v>0.74</v>
      </c>
      <c r="R313" s="2">
        <v>-1.1499999999999999</v>
      </c>
      <c r="S313" s="2">
        <v>-2.16</v>
      </c>
      <c r="T313" s="2">
        <v>21.25</v>
      </c>
      <c r="U313" s="2">
        <v>3.82</v>
      </c>
      <c r="V313" s="2">
        <v>18.47</v>
      </c>
      <c r="W313" s="2">
        <v>26.1</v>
      </c>
      <c r="X313" s="2">
        <v>15.11</v>
      </c>
      <c r="Y313" s="2">
        <v>14.65</v>
      </c>
      <c r="Z313" s="2">
        <v>0</v>
      </c>
      <c r="AA313" s="2">
        <v>0.28999999999999998</v>
      </c>
      <c r="AB313" s="2">
        <v>0</v>
      </c>
      <c r="AC313" s="2">
        <v>0</v>
      </c>
      <c r="AD313" s="2">
        <v>4.46</v>
      </c>
      <c r="AE313" s="2">
        <v>0</v>
      </c>
      <c r="AF313" s="2">
        <v>116.86</v>
      </c>
      <c r="AG313" s="2">
        <v>20.170000000000002</v>
      </c>
    </row>
    <row r="314" spans="1:33" x14ac:dyDescent="0.2">
      <c r="A314" s="3">
        <v>17471</v>
      </c>
      <c r="B314" s="2">
        <v>-1.1200000000000001</v>
      </c>
      <c r="C314" s="2">
        <v>18.399999999999999</v>
      </c>
      <c r="D314" s="2">
        <v>4.38</v>
      </c>
      <c r="E314" s="2">
        <v>20.9</v>
      </c>
      <c r="F314" s="2">
        <v>16.739999999999998</v>
      </c>
      <c r="G314" s="2">
        <v>34.11</v>
      </c>
      <c r="H314" s="2">
        <v>21.24</v>
      </c>
      <c r="I314" s="2">
        <v>25.08</v>
      </c>
      <c r="J314" s="2">
        <v>17.989999999999998</v>
      </c>
      <c r="K314" s="2">
        <v>-10.11</v>
      </c>
      <c r="L314" s="2">
        <v>-0.05</v>
      </c>
      <c r="M314" s="2">
        <v>-7.09</v>
      </c>
      <c r="N314" s="2">
        <v>11.13</v>
      </c>
      <c r="O314" s="2">
        <v>12</v>
      </c>
      <c r="P314" s="2">
        <v>36.950000000000003</v>
      </c>
      <c r="Q314" s="2">
        <v>-0.56000000000000005</v>
      </c>
      <c r="R314" s="2">
        <v>-4.17</v>
      </c>
      <c r="S314" s="2">
        <v>-2.65</v>
      </c>
      <c r="T314" s="2">
        <v>25.42</v>
      </c>
      <c r="U314" s="2">
        <v>1.52</v>
      </c>
      <c r="V314" s="2">
        <v>19.05</v>
      </c>
      <c r="W314" s="2">
        <v>22.19</v>
      </c>
      <c r="X314" s="2">
        <v>14.11</v>
      </c>
      <c r="Y314" s="2">
        <v>13.64</v>
      </c>
      <c r="Z314" s="2">
        <v>0</v>
      </c>
      <c r="AA314" s="2">
        <v>0.28999999999999998</v>
      </c>
      <c r="AB314" s="2">
        <v>1.42</v>
      </c>
      <c r="AC314" s="2">
        <v>2.71</v>
      </c>
      <c r="AD314" s="2">
        <v>3.16</v>
      </c>
      <c r="AE314" s="2">
        <v>10.16</v>
      </c>
      <c r="AF314" s="2">
        <v>105.99</v>
      </c>
      <c r="AG314" s="2">
        <v>16.420000000000002</v>
      </c>
    </row>
    <row r="315" spans="1:33" x14ac:dyDescent="0.2">
      <c r="A315" s="3">
        <v>17501</v>
      </c>
      <c r="B315" s="2">
        <v>-2.3199999999999998</v>
      </c>
      <c r="C315" s="2">
        <v>11.12</v>
      </c>
      <c r="D315" s="2">
        <v>-11.82</v>
      </c>
      <c r="E315" s="2">
        <v>-20.84</v>
      </c>
      <c r="F315" s="2">
        <v>-7.87</v>
      </c>
      <c r="G315" s="2">
        <v>13.89</v>
      </c>
      <c r="H315" s="2">
        <v>10.51</v>
      </c>
      <c r="I315" s="2">
        <v>20.89</v>
      </c>
      <c r="J315" s="2">
        <v>11.4</v>
      </c>
      <c r="K315" s="2">
        <v>-12.73</v>
      </c>
      <c r="L315" s="2">
        <v>3.37</v>
      </c>
      <c r="M315" s="2">
        <v>-3.94</v>
      </c>
      <c r="N315" s="2">
        <v>1.91</v>
      </c>
      <c r="O315" s="2">
        <v>1.72</v>
      </c>
      <c r="P315" s="2">
        <v>25.68</v>
      </c>
      <c r="Q315" s="2">
        <v>-1.1100000000000001</v>
      </c>
      <c r="R315" s="2">
        <v>-3.87</v>
      </c>
      <c r="S315" s="2">
        <v>-4.4400000000000004</v>
      </c>
      <c r="T315" s="2">
        <v>20.39</v>
      </c>
      <c r="U315" s="2">
        <v>4.34</v>
      </c>
      <c r="V315" s="2">
        <v>16.3</v>
      </c>
      <c r="W315" s="2">
        <v>15.43</v>
      </c>
      <c r="X315" s="2">
        <v>9.14</v>
      </c>
      <c r="Y315" s="2">
        <v>7.68</v>
      </c>
      <c r="Z315" s="2">
        <v>7.9</v>
      </c>
      <c r="AA315" s="2">
        <v>0.28999999999999998</v>
      </c>
      <c r="AB315" s="2">
        <v>0.09</v>
      </c>
      <c r="AC315" s="2">
        <v>4.2</v>
      </c>
      <c r="AD315" s="2">
        <v>2.09</v>
      </c>
      <c r="AE315" s="2">
        <v>7.46</v>
      </c>
      <c r="AF315" s="2">
        <v>69.540000000000006</v>
      </c>
      <c r="AG315" s="2">
        <v>12.92</v>
      </c>
    </row>
    <row r="316" spans="1:33" x14ac:dyDescent="0.2">
      <c r="A316" s="3">
        <v>17532</v>
      </c>
      <c r="B316" s="2">
        <v>-1.78</v>
      </c>
      <c r="C316" s="2">
        <v>11.09</v>
      </c>
      <c r="D316" s="2">
        <v>-9.17</v>
      </c>
      <c r="E316" s="2">
        <v>-14.02</v>
      </c>
      <c r="F316" s="2">
        <v>-6.77</v>
      </c>
      <c r="G316" s="2">
        <v>11.59</v>
      </c>
      <c r="H316" s="2">
        <v>7.83</v>
      </c>
      <c r="I316" s="2">
        <v>20.27</v>
      </c>
      <c r="J316" s="2">
        <v>12.63</v>
      </c>
      <c r="K316" s="2">
        <v>-6.94</v>
      </c>
      <c r="L316" s="2">
        <v>4.4800000000000004</v>
      </c>
      <c r="M316" s="2">
        <v>-4.92</v>
      </c>
      <c r="N316" s="2">
        <v>4.95</v>
      </c>
      <c r="O316" s="2">
        <v>1.52</v>
      </c>
      <c r="P316" s="2">
        <v>26.24</v>
      </c>
      <c r="Q316" s="2">
        <v>-2.37</v>
      </c>
      <c r="R316" s="2">
        <v>-4.05</v>
      </c>
      <c r="S316" s="2">
        <v>-3.59</v>
      </c>
      <c r="T316" s="2">
        <v>18.690000000000001</v>
      </c>
      <c r="U316" s="2">
        <v>3.26</v>
      </c>
      <c r="V316" s="2">
        <v>14.83</v>
      </c>
      <c r="W316" s="2">
        <v>11.73</v>
      </c>
      <c r="X316" s="2">
        <v>7.17</v>
      </c>
      <c r="Y316" s="2">
        <v>6.93</v>
      </c>
      <c r="Z316" s="2">
        <v>0.62</v>
      </c>
      <c r="AA316" s="2">
        <v>9.0299999999999994</v>
      </c>
      <c r="AB316" s="2">
        <v>0.8</v>
      </c>
      <c r="AC316" s="2">
        <v>5.96</v>
      </c>
      <c r="AD316" s="2">
        <v>2.06</v>
      </c>
      <c r="AE316" s="2">
        <v>7.18</v>
      </c>
      <c r="AF316" s="2">
        <v>63.89</v>
      </c>
      <c r="AG316" s="2">
        <v>11.2</v>
      </c>
    </row>
    <row r="317" spans="1:33" x14ac:dyDescent="0.2">
      <c r="A317" s="3">
        <v>17563</v>
      </c>
      <c r="B317" s="2">
        <v>0.04</v>
      </c>
      <c r="C317" s="2">
        <v>18.37</v>
      </c>
      <c r="D317" s="2">
        <v>0.19</v>
      </c>
      <c r="E317" s="2">
        <v>29.17</v>
      </c>
      <c r="F317" s="2">
        <v>31.91</v>
      </c>
      <c r="G317" s="2">
        <v>34.39</v>
      </c>
      <c r="H317" s="2">
        <v>19.68</v>
      </c>
      <c r="I317" s="2">
        <v>22.54</v>
      </c>
      <c r="J317" s="2">
        <v>17.27</v>
      </c>
      <c r="K317" s="2">
        <v>-5.9</v>
      </c>
      <c r="L317" s="2">
        <v>-8.11</v>
      </c>
      <c r="M317" s="2">
        <v>-10.61</v>
      </c>
      <c r="N317" s="2">
        <v>7.06</v>
      </c>
      <c r="O317" s="2">
        <v>2.66</v>
      </c>
      <c r="P317" s="2">
        <v>38.31</v>
      </c>
      <c r="Q317" s="2">
        <v>-1.34</v>
      </c>
      <c r="R317" s="2">
        <v>-5.0999999999999996</v>
      </c>
      <c r="S317" s="2">
        <v>-5.09</v>
      </c>
      <c r="T317" s="2">
        <v>24.49</v>
      </c>
      <c r="U317" s="2">
        <v>1.61</v>
      </c>
      <c r="V317" s="2">
        <v>17.04</v>
      </c>
      <c r="W317" s="2">
        <v>4.26</v>
      </c>
      <c r="X317" s="2">
        <v>10.15</v>
      </c>
      <c r="Y317" s="2">
        <v>8.7799999999999994</v>
      </c>
      <c r="Z317" s="2">
        <v>0</v>
      </c>
      <c r="AA317" s="2">
        <v>0</v>
      </c>
      <c r="AB317" s="2">
        <v>0</v>
      </c>
      <c r="AC317" s="2">
        <v>0</v>
      </c>
      <c r="AD317" s="2">
        <v>1.83</v>
      </c>
      <c r="AE317" s="2">
        <v>1.31</v>
      </c>
      <c r="AF317" s="2">
        <v>71.459999999999994</v>
      </c>
      <c r="AG317" s="2">
        <v>9.8800000000000008</v>
      </c>
    </row>
    <row r="318" spans="1:33" x14ac:dyDescent="0.2">
      <c r="A318" s="3">
        <v>17592</v>
      </c>
      <c r="B318" s="2">
        <v>-1.23</v>
      </c>
      <c r="C318" s="2">
        <v>10.97</v>
      </c>
      <c r="D318" s="2">
        <v>-12.84</v>
      </c>
      <c r="E318" s="2">
        <v>-28.82</v>
      </c>
      <c r="F318" s="2">
        <v>-31.69</v>
      </c>
      <c r="G318" s="2">
        <v>2.33</v>
      </c>
      <c r="H318" s="2">
        <v>2.91</v>
      </c>
      <c r="I318" s="2">
        <v>17.47</v>
      </c>
      <c r="J318" s="2">
        <v>9.51</v>
      </c>
      <c r="K318" s="2">
        <v>3.52</v>
      </c>
      <c r="L318" s="2">
        <v>-13.46</v>
      </c>
      <c r="M318" s="2">
        <v>-10.07</v>
      </c>
      <c r="N318" s="2">
        <v>11.39</v>
      </c>
      <c r="O318" s="2">
        <v>1.03</v>
      </c>
      <c r="P318" s="2">
        <v>34.42</v>
      </c>
      <c r="Q318" s="2">
        <v>-2.5499999999999998</v>
      </c>
      <c r="R318" s="2">
        <v>-5.25</v>
      </c>
      <c r="S318" s="2">
        <v>-2.0099999999999998</v>
      </c>
      <c r="T318" s="2">
        <v>19.16</v>
      </c>
      <c r="U318" s="2">
        <v>3.73</v>
      </c>
      <c r="V318" s="2">
        <v>15.72</v>
      </c>
      <c r="W318" s="2">
        <v>0</v>
      </c>
      <c r="X318" s="2">
        <v>3.57</v>
      </c>
      <c r="Y318" s="2">
        <v>3.58</v>
      </c>
      <c r="Z318" s="2">
        <v>6.65</v>
      </c>
      <c r="AA318" s="2">
        <v>1</v>
      </c>
      <c r="AB318" s="2">
        <v>0</v>
      </c>
      <c r="AC318" s="2">
        <v>11.64</v>
      </c>
      <c r="AD318" s="2">
        <v>2.04</v>
      </c>
      <c r="AE318" s="2">
        <v>11.37</v>
      </c>
      <c r="AF318" s="2">
        <v>59.57</v>
      </c>
      <c r="AG318" s="2">
        <v>10.08</v>
      </c>
    </row>
    <row r="319" spans="1:33" x14ac:dyDescent="0.2">
      <c r="A319" s="3">
        <v>17623</v>
      </c>
      <c r="B319" s="2">
        <v>-0.56999999999999995</v>
      </c>
      <c r="C319" s="2">
        <v>20.71</v>
      </c>
      <c r="D319" s="2">
        <v>4.97</v>
      </c>
      <c r="E319" s="2">
        <v>32.31</v>
      </c>
      <c r="F319" s="2">
        <v>23.7</v>
      </c>
      <c r="G319" s="2">
        <v>42.43</v>
      </c>
      <c r="H319" s="2">
        <v>13</v>
      </c>
      <c r="I319" s="2">
        <v>24.74</v>
      </c>
      <c r="J319" s="2">
        <v>31.59</v>
      </c>
      <c r="K319" s="2">
        <v>45.75</v>
      </c>
      <c r="L319" s="2">
        <v>-1.53</v>
      </c>
      <c r="M319" s="2">
        <v>2.2999999999999998</v>
      </c>
      <c r="N319" s="2">
        <v>31.35</v>
      </c>
      <c r="O319" s="2">
        <v>8.7100000000000009</v>
      </c>
      <c r="P319" s="2">
        <v>63.24</v>
      </c>
      <c r="Q319" s="2">
        <v>-2.61</v>
      </c>
      <c r="R319" s="2">
        <v>-7.25</v>
      </c>
      <c r="S319" s="2">
        <v>25.17</v>
      </c>
      <c r="T319" s="2">
        <v>28.43</v>
      </c>
      <c r="U319" s="2">
        <v>-0.81</v>
      </c>
      <c r="V319" s="2">
        <v>19.940000000000001</v>
      </c>
      <c r="W319" s="2">
        <v>0</v>
      </c>
      <c r="X319" s="2">
        <v>4.51</v>
      </c>
      <c r="Y319" s="2">
        <v>3.49</v>
      </c>
      <c r="Z319" s="2">
        <v>7.23</v>
      </c>
      <c r="AA319" s="2">
        <v>0</v>
      </c>
      <c r="AB319" s="2">
        <v>0</v>
      </c>
      <c r="AC319" s="2">
        <v>1.08</v>
      </c>
      <c r="AD319" s="2">
        <v>3.83</v>
      </c>
      <c r="AE319" s="2">
        <v>20.79</v>
      </c>
      <c r="AF319" s="2">
        <v>70.290000000000006</v>
      </c>
      <c r="AG319" s="2">
        <v>10.69</v>
      </c>
    </row>
    <row r="320" spans="1:33" x14ac:dyDescent="0.2">
      <c r="A320" s="3">
        <v>17653</v>
      </c>
      <c r="B320" s="2">
        <v>4.87</v>
      </c>
      <c r="C320" s="2">
        <v>24</v>
      </c>
      <c r="D320" s="2">
        <v>25.32</v>
      </c>
      <c r="E320" s="2">
        <v>92.61</v>
      </c>
      <c r="F320" s="2">
        <v>98.85</v>
      </c>
      <c r="G320" s="2">
        <v>97.51</v>
      </c>
      <c r="H320" s="2">
        <v>38.369999999999997</v>
      </c>
      <c r="I320" s="2">
        <v>33.24</v>
      </c>
      <c r="J320" s="2">
        <v>45.38</v>
      </c>
      <c r="K320" s="2">
        <v>16.73</v>
      </c>
      <c r="L320" s="2">
        <v>25.78</v>
      </c>
      <c r="M320" s="2">
        <v>4.5199999999999996</v>
      </c>
      <c r="N320" s="2">
        <v>27.51</v>
      </c>
      <c r="O320" s="2">
        <v>1.31</v>
      </c>
      <c r="P320" s="2">
        <v>65.430000000000007</v>
      </c>
      <c r="Q320" s="2">
        <v>3.92</v>
      </c>
      <c r="R320" s="2">
        <v>-3.68</v>
      </c>
      <c r="S320" s="2">
        <v>32.880000000000003</v>
      </c>
      <c r="T320" s="2">
        <v>23.3</v>
      </c>
      <c r="U320" s="2">
        <v>3.69</v>
      </c>
      <c r="V320" s="2">
        <v>33.54</v>
      </c>
      <c r="W320" s="2">
        <v>0</v>
      </c>
      <c r="X320" s="2">
        <v>5.51</v>
      </c>
      <c r="Y320" s="2">
        <v>4.76</v>
      </c>
      <c r="Z320" s="2">
        <v>1.2</v>
      </c>
      <c r="AA320" s="2">
        <v>0</v>
      </c>
      <c r="AB320" s="2">
        <v>0.89</v>
      </c>
      <c r="AC320" s="2">
        <v>0</v>
      </c>
      <c r="AD320" s="2">
        <v>4.74</v>
      </c>
      <c r="AE320" s="2">
        <v>35.14</v>
      </c>
      <c r="AF320" s="2">
        <v>86.98</v>
      </c>
      <c r="AG320" s="2">
        <v>14.64</v>
      </c>
    </row>
    <row r="321" spans="1:33" x14ac:dyDescent="0.2">
      <c r="A321" s="3">
        <v>17684</v>
      </c>
      <c r="B321" s="2">
        <v>3.24</v>
      </c>
      <c r="C321" s="2">
        <v>16.190000000000001</v>
      </c>
      <c r="D321" s="2">
        <v>-3.1</v>
      </c>
      <c r="E321" s="2">
        <v>-12.53</v>
      </c>
      <c r="F321" s="2">
        <v>-9.0399999999999991</v>
      </c>
      <c r="G321" s="2">
        <v>13.25</v>
      </c>
      <c r="H321" s="2">
        <v>10.15</v>
      </c>
      <c r="I321" s="2">
        <v>28.88</v>
      </c>
      <c r="J321" s="2">
        <v>36.21</v>
      </c>
      <c r="K321" s="2">
        <v>8.7799999999999994</v>
      </c>
      <c r="L321" s="2">
        <v>67.36</v>
      </c>
      <c r="M321" s="2">
        <v>19.79</v>
      </c>
      <c r="N321" s="2">
        <v>32.4</v>
      </c>
      <c r="O321" s="2">
        <v>17.02</v>
      </c>
      <c r="P321" s="2">
        <v>75.59</v>
      </c>
      <c r="Q321" s="2">
        <v>6.29</v>
      </c>
      <c r="R321" s="2">
        <v>9.1999999999999993</v>
      </c>
      <c r="S321" s="2">
        <v>21.56</v>
      </c>
      <c r="T321" s="2">
        <v>33.299999999999997</v>
      </c>
      <c r="U321" s="2">
        <v>2.31</v>
      </c>
      <c r="V321" s="2">
        <v>39.57</v>
      </c>
      <c r="W321" s="2">
        <v>4.88</v>
      </c>
      <c r="X321" s="2">
        <v>8.5500000000000007</v>
      </c>
      <c r="Y321" s="2">
        <v>7.14</v>
      </c>
      <c r="Z321" s="2">
        <v>0</v>
      </c>
      <c r="AA321" s="2">
        <v>0</v>
      </c>
      <c r="AB321" s="2">
        <v>0</v>
      </c>
      <c r="AC321" s="2">
        <v>0</v>
      </c>
      <c r="AD321" s="2">
        <v>8</v>
      </c>
      <c r="AE321" s="2">
        <v>7.55</v>
      </c>
      <c r="AF321" s="2">
        <v>98.23</v>
      </c>
      <c r="AG321" s="2">
        <v>17.690000000000001</v>
      </c>
    </row>
    <row r="322" spans="1:33" x14ac:dyDescent="0.2">
      <c r="A322" s="3">
        <v>17714</v>
      </c>
      <c r="B322" s="2">
        <v>-0.61</v>
      </c>
      <c r="C322" s="2">
        <v>12.68</v>
      </c>
      <c r="D322" s="2">
        <v>-11.89</v>
      </c>
      <c r="E322" s="2">
        <v>-50.03</v>
      </c>
      <c r="F322" s="2">
        <v>-52.58</v>
      </c>
      <c r="G322" s="2">
        <v>-13.92</v>
      </c>
      <c r="H322" s="2">
        <v>2.59</v>
      </c>
      <c r="I322" s="2">
        <v>27.88</v>
      </c>
      <c r="J322" s="2">
        <v>19.02</v>
      </c>
      <c r="K322" s="2">
        <v>40.06</v>
      </c>
      <c r="L322" s="2">
        <v>24.66</v>
      </c>
      <c r="M322" s="2">
        <v>22.58</v>
      </c>
      <c r="N322" s="2">
        <v>29.62</v>
      </c>
      <c r="O322" s="2">
        <v>69.8</v>
      </c>
      <c r="P322" s="2">
        <v>46.39</v>
      </c>
      <c r="Q322" s="2">
        <v>5.66</v>
      </c>
      <c r="R322" s="2">
        <v>1.86</v>
      </c>
      <c r="S322" s="2">
        <v>21.24</v>
      </c>
      <c r="T322" s="2">
        <v>56.4</v>
      </c>
      <c r="U322" s="2">
        <v>-0.54</v>
      </c>
      <c r="V322" s="2">
        <v>44.03</v>
      </c>
      <c r="W322" s="2">
        <v>18.62</v>
      </c>
      <c r="X322" s="2">
        <v>13.94</v>
      </c>
      <c r="Y322" s="2">
        <v>13.21</v>
      </c>
      <c r="Z322" s="2">
        <v>1</v>
      </c>
      <c r="AA322" s="2">
        <v>5.05</v>
      </c>
      <c r="AB322" s="2">
        <v>1.07</v>
      </c>
      <c r="AC322" s="2">
        <v>0</v>
      </c>
      <c r="AD322" s="2">
        <v>7.23</v>
      </c>
      <c r="AE322" s="2">
        <v>0.37</v>
      </c>
      <c r="AF322" s="2">
        <v>107.5</v>
      </c>
      <c r="AG322" s="2">
        <v>22.83</v>
      </c>
    </row>
    <row r="323" spans="1:33" x14ac:dyDescent="0.2">
      <c r="A323" s="3">
        <v>17745</v>
      </c>
      <c r="B323" s="2">
        <v>-3.27</v>
      </c>
      <c r="C323" s="2">
        <v>12.24</v>
      </c>
      <c r="D323" s="2">
        <v>-9.92</v>
      </c>
      <c r="E323" s="2">
        <v>-66.290000000000006</v>
      </c>
      <c r="F323" s="2">
        <v>-46.94</v>
      </c>
      <c r="G323" s="2">
        <v>-24.43</v>
      </c>
      <c r="H323" s="2">
        <v>-4.45</v>
      </c>
      <c r="I323" s="2">
        <v>17.05</v>
      </c>
      <c r="J323" s="2">
        <v>-28.8</v>
      </c>
      <c r="K323" s="2">
        <v>20.97</v>
      </c>
      <c r="L323" s="2">
        <v>-49.11</v>
      </c>
      <c r="M323" s="2">
        <v>-19.239999999999998</v>
      </c>
      <c r="N323" s="2">
        <v>39.5</v>
      </c>
      <c r="O323" s="2">
        <v>80.150000000000006</v>
      </c>
      <c r="P323" s="2">
        <v>89.35</v>
      </c>
      <c r="Q323" s="2">
        <v>0.83</v>
      </c>
      <c r="R323" s="2">
        <v>-0.41</v>
      </c>
      <c r="S323" s="2">
        <v>41.14</v>
      </c>
      <c r="T323" s="2">
        <v>51.5</v>
      </c>
      <c r="U323" s="2">
        <v>8.16</v>
      </c>
      <c r="V323" s="2">
        <v>52.18</v>
      </c>
      <c r="W323" s="2">
        <v>30.39</v>
      </c>
      <c r="X323" s="2">
        <v>19.22</v>
      </c>
      <c r="Y323" s="2">
        <v>18.87</v>
      </c>
      <c r="Z323" s="2">
        <v>0</v>
      </c>
      <c r="AA323" s="2">
        <v>6.88</v>
      </c>
      <c r="AB323" s="2">
        <v>0</v>
      </c>
      <c r="AC323" s="2">
        <v>1.9</v>
      </c>
      <c r="AD323" s="2">
        <v>5.99</v>
      </c>
      <c r="AE323" s="2">
        <v>0</v>
      </c>
      <c r="AF323" s="2">
        <v>117.07</v>
      </c>
      <c r="AG323" s="2">
        <v>24.8</v>
      </c>
    </row>
    <row r="324" spans="1:33" x14ac:dyDescent="0.2">
      <c r="A324" s="3">
        <v>17776</v>
      </c>
      <c r="B324" s="2">
        <v>-2.31</v>
      </c>
      <c r="C324" s="2">
        <v>13.69</v>
      </c>
      <c r="D324" s="2">
        <v>-3.04</v>
      </c>
      <c r="E324" s="2">
        <v>-44.02</v>
      </c>
      <c r="F324" s="2">
        <v>-20.76</v>
      </c>
      <c r="G324" s="2">
        <v>-1.88</v>
      </c>
      <c r="H324" s="2">
        <v>6.01</v>
      </c>
      <c r="I324" s="2">
        <v>19.559999999999999</v>
      </c>
      <c r="J324" s="2">
        <v>-7.76</v>
      </c>
      <c r="K324" s="2">
        <v>14.53</v>
      </c>
      <c r="L324" s="2">
        <v>-25.52</v>
      </c>
      <c r="M324" s="2">
        <v>-10.17</v>
      </c>
      <c r="N324" s="2">
        <v>28.79</v>
      </c>
      <c r="O324" s="2">
        <v>62.33</v>
      </c>
      <c r="P324" s="2">
        <v>94.55</v>
      </c>
      <c r="Q324" s="2">
        <v>0.4</v>
      </c>
      <c r="R324" s="2">
        <v>-4.01</v>
      </c>
      <c r="S324" s="2">
        <v>34.64</v>
      </c>
      <c r="T324" s="2">
        <v>45.6</v>
      </c>
      <c r="U324" s="2">
        <v>6.6</v>
      </c>
      <c r="V324" s="2">
        <v>48.97</v>
      </c>
      <c r="W324" s="2">
        <v>31.47</v>
      </c>
      <c r="X324" s="2">
        <v>21.56</v>
      </c>
      <c r="Y324" s="2">
        <v>21.32</v>
      </c>
      <c r="Z324" s="2">
        <v>0</v>
      </c>
      <c r="AA324" s="2">
        <v>0</v>
      </c>
      <c r="AB324" s="2">
        <v>0</v>
      </c>
      <c r="AC324" s="2">
        <v>0</v>
      </c>
      <c r="AD324" s="2">
        <v>5.01</v>
      </c>
      <c r="AE324" s="2">
        <v>0</v>
      </c>
      <c r="AF324" s="2">
        <v>119.06</v>
      </c>
      <c r="AG324" s="2">
        <v>23.65</v>
      </c>
    </row>
    <row r="325" spans="1:33" x14ac:dyDescent="0.2">
      <c r="A325" s="3">
        <v>17806</v>
      </c>
      <c r="B325" s="2">
        <v>-4.38</v>
      </c>
      <c r="C325" s="2">
        <v>11.36</v>
      </c>
      <c r="D325" s="2">
        <v>-9.66</v>
      </c>
      <c r="E325" s="2">
        <v>-49.47</v>
      </c>
      <c r="F325" s="2">
        <v>-3.86</v>
      </c>
      <c r="G325" s="2">
        <v>6.5</v>
      </c>
      <c r="H325" s="2">
        <v>11.38</v>
      </c>
      <c r="I325" s="2">
        <v>22.02</v>
      </c>
      <c r="J325" s="2">
        <v>12.2</v>
      </c>
      <c r="K325" s="2">
        <v>0.9</v>
      </c>
      <c r="L325" s="2">
        <v>-10.119999999999999</v>
      </c>
      <c r="M325" s="2">
        <v>-3.83</v>
      </c>
      <c r="N325" s="2">
        <v>29.2</v>
      </c>
      <c r="O325" s="2">
        <v>-0.4</v>
      </c>
      <c r="P325" s="2">
        <v>39.6</v>
      </c>
      <c r="Q325" s="2">
        <v>2.98</v>
      </c>
      <c r="R325" s="2">
        <v>0.03</v>
      </c>
      <c r="S325" s="2">
        <v>-0.18</v>
      </c>
      <c r="T325" s="2">
        <v>21.43</v>
      </c>
      <c r="U325" s="2">
        <v>2.73</v>
      </c>
      <c r="V325" s="2">
        <v>17.96</v>
      </c>
      <c r="W325" s="2">
        <v>26.1</v>
      </c>
      <c r="X325" s="2">
        <v>20.46</v>
      </c>
      <c r="Y325" s="2">
        <v>20.03</v>
      </c>
      <c r="Z325" s="2">
        <v>0</v>
      </c>
      <c r="AA325" s="2">
        <v>0</v>
      </c>
      <c r="AB325" s="2">
        <v>0</v>
      </c>
      <c r="AC325" s="2">
        <v>0</v>
      </c>
      <c r="AD325" s="2">
        <v>3.87</v>
      </c>
      <c r="AE325" s="2">
        <v>0</v>
      </c>
      <c r="AF325" s="2">
        <v>110.9</v>
      </c>
      <c r="AG325" s="2">
        <v>20.170000000000002</v>
      </c>
    </row>
    <row r="326" spans="1:33" x14ac:dyDescent="0.2">
      <c r="A326" s="3">
        <v>17837</v>
      </c>
      <c r="B326" s="2">
        <v>-5.41</v>
      </c>
      <c r="C326" s="2">
        <v>11.62</v>
      </c>
      <c r="D326" s="2">
        <v>-10.66</v>
      </c>
      <c r="E326" s="2">
        <v>-25.25</v>
      </c>
      <c r="F326" s="2">
        <v>1.05</v>
      </c>
      <c r="G326" s="2">
        <v>10.88</v>
      </c>
      <c r="H326" s="2">
        <v>12.47</v>
      </c>
      <c r="I326" s="2">
        <v>21.62</v>
      </c>
      <c r="J326" s="2">
        <v>9</v>
      </c>
      <c r="K326" s="2">
        <v>-19.05</v>
      </c>
      <c r="L326" s="2">
        <v>-1.75</v>
      </c>
      <c r="M326" s="2">
        <v>-9.3699999999999992</v>
      </c>
      <c r="N326" s="2">
        <v>9.4700000000000006</v>
      </c>
      <c r="O326" s="2">
        <v>10.59</v>
      </c>
      <c r="P326" s="2">
        <v>43.38</v>
      </c>
      <c r="Q326" s="2">
        <v>0.47</v>
      </c>
      <c r="R326" s="2">
        <v>-2.73</v>
      </c>
      <c r="S326" s="2">
        <v>-2.79</v>
      </c>
      <c r="T326" s="2">
        <v>25.94</v>
      </c>
      <c r="U326" s="2">
        <v>-0.46</v>
      </c>
      <c r="V326" s="2">
        <v>18.27</v>
      </c>
      <c r="W326" s="2">
        <v>22.19</v>
      </c>
      <c r="X326" s="2">
        <v>18.96</v>
      </c>
      <c r="Y326" s="2">
        <v>18.52</v>
      </c>
      <c r="Z326" s="2">
        <v>0</v>
      </c>
      <c r="AA326" s="2">
        <v>18.78</v>
      </c>
      <c r="AB326" s="2">
        <v>0.1</v>
      </c>
      <c r="AC326" s="2">
        <v>4.5999999999999996</v>
      </c>
      <c r="AD326" s="2">
        <v>3.34</v>
      </c>
      <c r="AE326" s="2">
        <v>3.54</v>
      </c>
      <c r="AF326" s="2">
        <v>100.59</v>
      </c>
      <c r="AG326" s="2">
        <v>16.420000000000002</v>
      </c>
    </row>
    <row r="327" spans="1:33" x14ac:dyDescent="0.2">
      <c r="A327" s="3">
        <v>17867</v>
      </c>
      <c r="B327" s="2">
        <v>-3.12</v>
      </c>
      <c r="C327" s="2">
        <v>12.11</v>
      </c>
      <c r="D327" s="2">
        <v>-8.4700000000000006</v>
      </c>
      <c r="E327" s="2">
        <v>-7</v>
      </c>
      <c r="F327" s="2">
        <v>-3.63</v>
      </c>
      <c r="G327" s="2">
        <v>12.19</v>
      </c>
      <c r="H327" s="2">
        <v>10.45</v>
      </c>
      <c r="I327" s="2">
        <v>19.809999999999999</v>
      </c>
      <c r="J327" s="2">
        <v>9.02</v>
      </c>
      <c r="K327" s="2">
        <v>-18.82</v>
      </c>
      <c r="L327" s="2">
        <v>1.58</v>
      </c>
      <c r="M327" s="2">
        <v>-7.66</v>
      </c>
      <c r="N327" s="2">
        <v>0.98</v>
      </c>
      <c r="O327" s="2">
        <v>0.89</v>
      </c>
      <c r="P327" s="2">
        <v>32.9</v>
      </c>
      <c r="Q327" s="2">
        <v>-0.33</v>
      </c>
      <c r="R327" s="2">
        <v>-3.34</v>
      </c>
      <c r="S327" s="2">
        <v>-5.78</v>
      </c>
      <c r="T327" s="2">
        <v>20.190000000000001</v>
      </c>
      <c r="U327" s="2">
        <v>2.86</v>
      </c>
      <c r="V327" s="2">
        <v>16.09</v>
      </c>
      <c r="W327" s="2">
        <v>15.43</v>
      </c>
      <c r="X327" s="2">
        <v>12.38</v>
      </c>
      <c r="Y327" s="2">
        <v>10.94</v>
      </c>
      <c r="Z327" s="2">
        <v>6.99</v>
      </c>
      <c r="AA327" s="2">
        <v>0</v>
      </c>
      <c r="AB327" s="2">
        <v>0</v>
      </c>
      <c r="AC327" s="2">
        <v>0</v>
      </c>
      <c r="AD327" s="2">
        <v>2.1800000000000002</v>
      </c>
      <c r="AE327" s="2">
        <v>0.84</v>
      </c>
      <c r="AF327" s="2">
        <v>66</v>
      </c>
      <c r="AG327" s="2">
        <v>12.92</v>
      </c>
    </row>
    <row r="328" spans="1:33" x14ac:dyDescent="0.2">
      <c r="A328" s="3">
        <v>17898</v>
      </c>
      <c r="B328" s="2">
        <v>-1.44</v>
      </c>
      <c r="C328" s="2">
        <v>18.02</v>
      </c>
      <c r="D328" s="2">
        <v>8.6199999999999992</v>
      </c>
      <c r="E328" s="2">
        <v>24.38</v>
      </c>
      <c r="F328" s="2">
        <v>12.76</v>
      </c>
      <c r="G328" s="2">
        <v>38.21</v>
      </c>
      <c r="H328" s="2">
        <v>14.08</v>
      </c>
      <c r="I328" s="2">
        <v>24.47</v>
      </c>
      <c r="J328" s="2">
        <v>21.52</v>
      </c>
      <c r="K328" s="2">
        <v>4.4000000000000004</v>
      </c>
      <c r="L328" s="2">
        <v>5.48</v>
      </c>
      <c r="M328" s="2">
        <v>2.71</v>
      </c>
      <c r="N328" s="2">
        <v>11.46</v>
      </c>
      <c r="O328" s="2">
        <v>0.65</v>
      </c>
      <c r="P328" s="2">
        <v>34.520000000000003</v>
      </c>
      <c r="Q328" s="2">
        <v>-2.61</v>
      </c>
      <c r="R328" s="2">
        <v>-3.79</v>
      </c>
      <c r="S328" s="2">
        <v>0.04</v>
      </c>
      <c r="T328" s="2">
        <v>20.11</v>
      </c>
      <c r="U328" s="2">
        <v>3.51</v>
      </c>
      <c r="V328" s="2">
        <v>15.77</v>
      </c>
      <c r="W328" s="2">
        <v>11.73</v>
      </c>
      <c r="X328" s="2">
        <v>10.15</v>
      </c>
      <c r="Y328" s="2">
        <v>9.93</v>
      </c>
      <c r="Z328" s="2">
        <v>1.48</v>
      </c>
      <c r="AA328" s="2">
        <v>1.58</v>
      </c>
      <c r="AB328" s="2">
        <v>1.95</v>
      </c>
      <c r="AC328" s="2">
        <v>8.5299999999999994</v>
      </c>
      <c r="AD328" s="2">
        <v>2.14</v>
      </c>
      <c r="AE328" s="2">
        <v>33.19</v>
      </c>
      <c r="AF328" s="2">
        <v>60.63</v>
      </c>
      <c r="AG328" s="2">
        <v>11.2</v>
      </c>
    </row>
    <row r="329" spans="1:33" x14ac:dyDescent="0.2">
      <c r="A329" s="3">
        <v>17929</v>
      </c>
      <c r="B329" s="2">
        <v>-2.3199999999999998</v>
      </c>
      <c r="C329" s="2">
        <v>9.76</v>
      </c>
      <c r="D329" s="2">
        <v>-13.03</v>
      </c>
      <c r="E329" s="2">
        <v>-22.76</v>
      </c>
      <c r="F329" s="2">
        <v>-13.55</v>
      </c>
      <c r="G329" s="2">
        <v>13.7</v>
      </c>
      <c r="H329" s="2">
        <v>5.69</v>
      </c>
      <c r="I329" s="2">
        <v>19.329999999999998</v>
      </c>
      <c r="J329" s="2">
        <v>8.42</v>
      </c>
      <c r="K329" s="2">
        <v>-8.7899999999999991</v>
      </c>
      <c r="L329" s="2">
        <v>-2.0299999999999998</v>
      </c>
      <c r="M329" s="2">
        <v>-10.42</v>
      </c>
      <c r="N329" s="2">
        <v>3.48</v>
      </c>
      <c r="O329" s="2">
        <v>0.5</v>
      </c>
      <c r="P329" s="2">
        <v>30.79</v>
      </c>
      <c r="Q329" s="2">
        <v>-2.82</v>
      </c>
      <c r="R329" s="2">
        <v>-3.77</v>
      </c>
      <c r="S329" s="2">
        <v>4.62</v>
      </c>
      <c r="T329" s="2">
        <v>20.010000000000002</v>
      </c>
      <c r="U329" s="2">
        <v>2.74</v>
      </c>
      <c r="V329" s="2">
        <v>16.71</v>
      </c>
      <c r="W329" s="2">
        <v>4.26</v>
      </c>
      <c r="X329" s="2">
        <v>10.199999999999999</v>
      </c>
      <c r="Y329" s="2">
        <v>8.84</v>
      </c>
      <c r="Z329" s="2">
        <v>8.2799999999999994</v>
      </c>
      <c r="AA329" s="2">
        <v>27.39</v>
      </c>
      <c r="AB329" s="2">
        <v>2.77</v>
      </c>
      <c r="AC329" s="2">
        <v>27.08</v>
      </c>
      <c r="AD329" s="2">
        <v>2.0099999999999998</v>
      </c>
      <c r="AE329" s="2">
        <v>5.41</v>
      </c>
      <c r="AF329" s="2">
        <v>71.459999999999994</v>
      </c>
      <c r="AG329" s="2">
        <v>9.8800000000000008</v>
      </c>
    </row>
    <row r="330" spans="1:33" x14ac:dyDescent="0.2">
      <c r="A330" s="3">
        <v>17957</v>
      </c>
      <c r="B330" s="2">
        <v>-3.18</v>
      </c>
      <c r="C330" s="2">
        <v>11.48</v>
      </c>
      <c r="D330" s="2">
        <v>-9.15</v>
      </c>
      <c r="E330" s="2">
        <v>-13.48</v>
      </c>
      <c r="F330" s="2">
        <v>-0.66</v>
      </c>
      <c r="G330" s="2">
        <v>30.83</v>
      </c>
      <c r="H330" s="2">
        <v>9.7899999999999991</v>
      </c>
      <c r="I330" s="2">
        <v>21.6</v>
      </c>
      <c r="J330" s="2">
        <v>14.56</v>
      </c>
      <c r="K330" s="2">
        <v>6.62</v>
      </c>
      <c r="L330" s="2">
        <v>-10.44</v>
      </c>
      <c r="M330" s="2">
        <v>-8.52</v>
      </c>
      <c r="N330" s="2">
        <v>18.010000000000002</v>
      </c>
      <c r="O330" s="2">
        <v>0.36</v>
      </c>
      <c r="P330" s="2">
        <v>35.200000000000003</v>
      </c>
      <c r="Q330" s="2">
        <v>-1.75</v>
      </c>
      <c r="R330" s="2">
        <v>-3.84</v>
      </c>
      <c r="S330" s="2">
        <v>3.8</v>
      </c>
      <c r="T330" s="2">
        <v>20.39</v>
      </c>
      <c r="U330" s="2">
        <v>2.27</v>
      </c>
      <c r="V330" s="2">
        <v>14.39</v>
      </c>
      <c r="W330" s="2">
        <v>0</v>
      </c>
      <c r="X330" s="2">
        <v>3.62</v>
      </c>
      <c r="Y330" s="2">
        <v>3.64</v>
      </c>
      <c r="Z330" s="2">
        <v>2.39</v>
      </c>
      <c r="AA330" s="2">
        <v>0</v>
      </c>
      <c r="AB330" s="2">
        <v>0.62</v>
      </c>
      <c r="AC330" s="2">
        <v>1.49</v>
      </c>
      <c r="AD330" s="2">
        <v>2.2000000000000002</v>
      </c>
      <c r="AE330" s="2">
        <v>13.7</v>
      </c>
      <c r="AF330" s="2">
        <v>59.57</v>
      </c>
      <c r="AG330" s="2">
        <v>10.08</v>
      </c>
    </row>
    <row r="331" spans="1:33" x14ac:dyDescent="0.2">
      <c r="A331" s="3">
        <v>17988</v>
      </c>
      <c r="B331" s="2">
        <v>-0.03</v>
      </c>
      <c r="C331" s="2">
        <v>30.18</v>
      </c>
      <c r="D331" s="2">
        <v>37.229999999999997</v>
      </c>
      <c r="E331" s="2">
        <v>104.91</v>
      </c>
      <c r="F331" s="2">
        <v>81.84</v>
      </c>
      <c r="G331" s="2">
        <v>163.49</v>
      </c>
      <c r="H331" s="2">
        <v>36.64</v>
      </c>
      <c r="I331" s="2">
        <v>38.08</v>
      </c>
      <c r="J331" s="2">
        <v>60.14</v>
      </c>
      <c r="K331" s="2">
        <v>32.25</v>
      </c>
      <c r="L331" s="2">
        <v>32.46</v>
      </c>
      <c r="M331" s="2">
        <v>15.93</v>
      </c>
      <c r="N331" s="2">
        <v>42.36</v>
      </c>
      <c r="O331" s="2">
        <v>6.66</v>
      </c>
      <c r="P331" s="2">
        <v>68.3</v>
      </c>
      <c r="Q331" s="2">
        <v>1.76</v>
      </c>
      <c r="R331" s="2">
        <v>-4.78</v>
      </c>
      <c r="S331" s="2">
        <v>18.23</v>
      </c>
      <c r="T331" s="2">
        <v>30.84</v>
      </c>
      <c r="U331" s="2">
        <v>-1.01</v>
      </c>
      <c r="V331" s="2">
        <v>22.25</v>
      </c>
      <c r="W331" s="2">
        <v>0</v>
      </c>
      <c r="X331" s="2">
        <v>4.57</v>
      </c>
      <c r="Y331" s="2">
        <v>3.55</v>
      </c>
      <c r="Z331" s="2">
        <v>1.1000000000000001</v>
      </c>
      <c r="AA331" s="2">
        <v>1.57</v>
      </c>
      <c r="AB331" s="2">
        <v>0.41</v>
      </c>
      <c r="AC331" s="2">
        <v>11.78</v>
      </c>
      <c r="AD331" s="2">
        <v>3.91</v>
      </c>
      <c r="AE331" s="2">
        <v>42.97</v>
      </c>
      <c r="AF331" s="2">
        <v>70.290000000000006</v>
      </c>
      <c r="AG331" s="2">
        <v>10.69</v>
      </c>
    </row>
    <row r="332" spans="1:33" x14ac:dyDescent="0.2">
      <c r="A332" s="3">
        <v>18018</v>
      </c>
      <c r="B332" s="2">
        <v>-3.07</v>
      </c>
      <c r="C332" s="2">
        <v>13.68</v>
      </c>
      <c r="D332" s="2">
        <v>-21.4</v>
      </c>
      <c r="E332" s="2">
        <v>-62.92</v>
      </c>
      <c r="F332" s="2">
        <v>-3.38</v>
      </c>
      <c r="G332" s="2">
        <v>-24.13</v>
      </c>
      <c r="H332" s="2">
        <v>4.58</v>
      </c>
      <c r="I332" s="2">
        <v>28.79</v>
      </c>
      <c r="J332" s="2">
        <v>8.02</v>
      </c>
      <c r="K332" s="2">
        <v>5.31</v>
      </c>
      <c r="L332" s="2">
        <v>15.54</v>
      </c>
      <c r="M332" s="2">
        <v>6.37</v>
      </c>
      <c r="N332" s="2">
        <v>39.29</v>
      </c>
      <c r="O332" s="2">
        <v>3.22</v>
      </c>
      <c r="P332" s="2">
        <v>63.15</v>
      </c>
      <c r="Q332" s="2">
        <v>2.38</v>
      </c>
      <c r="R332" s="2">
        <v>-0.41</v>
      </c>
      <c r="S332" s="2">
        <v>15.47</v>
      </c>
      <c r="T332" s="2">
        <v>26.56</v>
      </c>
      <c r="U332" s="2">
        <v>1.32</v>
      </c>
      <c r="V332" s="2">
        <v>35.549999999999997</v>
      </c>
      <c r="W332" s="2">
        <v>0</v>
      </c>
      <c r="X332" s="2">
        <v>5.57</v>
      </c>
      <c r="Y332" s="2">
        <v>4.84</v>
      </c>
      <c r="Z332" s="2">
        <v>0.1</v>
      </c>
      <c r="AA332" s="2">
        <v>0</v>
      </c>
      <c r="AB332" s="2">
        <v>0</v>
      </c>
      <c r="AC332" s="2">
        <v>0.95</v>
      </c>
      <c r="AD332" s="2">
        <v>4.51</v>
      </c>
      <c r="AE332" s="2">
        <v>0</v>
      </c>
      <c r="AF332" s="2">
        <v>86.98</v>
      </c>
      <c r="AG332" s="2">
        <v>14.64</v>
      </c>
    </row>
    <row r="333" spans="1:33" x14ac:dyDescent="0.2">
      <c r="A333" s="3">
        <v>18049</v>
      </c>
      <c r="B333" s="2">
        <v>-2.74</v>
      </c>
      <c r="C333" s="2">
        <v>14.59</v>
      </c>
      <c r="D333" s="2">
        <v>-4.0599999999999996</v>
      </c>
      <c r="E333" s="2">
        <v>-42</v>
      </c>
      <c r="F333" s="2">
        <v>-30.28</v>
      </c>
      <c r="G333" s="2">
        <v>-16.03</v>
      </c>
      <c r="H333" s="2">
        <v>0.47</v>
      </c>
      <c r="I333" s="2">
        <v>25.33</v>
      </c>
      <c r="J333" s="2">
        <v>10.06</v>
      </c>
      <c r="K333" s="2">
        <v>-0.96</v>
      </c>
      <c r="L333" s="2">
        <v>24.9</v>
      </c>
      <c r="M333" s="2">
        <v>-2.9</v>
      </c>
      <c r="N333" s="2">
        <v>29.6</v>
      </c>
      <c r="O333" s="2">
        <v>14.49</v>
      </c>
      <c r="P333" s="2">
        <v>68.61</v>
      </c>
      <c r="Q333" s="2">
        <v>6.57</v>
      </c>
      <c r="R333" s="2">
        <v>9.5399999999999991</v>
      </c>
      <c r="S333" s="2">
        <v>23.49</v>
      </c>
      <c r="T333" s="2">
        <v>37.409999999999997</v>
      </c>
      <c r="U333" s="2">
        <v>0.68</v>
      </c>
      <c r="V333" s="2">
        <v>39.83</v>
      </c>
      <c r="W333" s="2">
        <v>4.88</v>
      </c>
      <c r="X333" s="2">
        <v>8.6300000000000008</v>
      </c>
      <c r="Y333" s="2">
        <v>7.22</v>
      </c>
      <c r="Z333" s="2">
        <v>0.62</v>
      </c>
      <c r="AA333" s="2">
        <v>0</v>
      </c>
      <c r="AB333" s="2">
        <v>2.2599999999999998</v>
      </c>
      <c r="AC333" s="2">
        <v>0</v>
      </c>
      <c r="AD333" s="2">
        <v>6.14</v>
      </c>
      <c r="AE333" s="2">
        <v>4.01</v>
      </c>
      <c r="AF333" s="2">
        <v>98.23</v>
      </c>
      <c r="AG333" s="2">
        <v>17.690000000000001</v>
      </c>
    </row>
    <row r="334" spans="1:33" x14ac:dyDescent="0.2">
      <c r="A334" s="3">
        <v>18079</v>
      </c>
      <c r="B334" s="2">
        <v>-2.5499999999999998</v>
      </c>
      <c r="C334" s="2">
        <v>13.03</v>
      </c>
      <c r="D334" s="2">
        <v>-8.15</v>
      </c>
      <c r="E334" s="2">
        <v>-50.42</v>
      </c>
      <c r="F334" s="2">
        <v>-38.58</v>
      </c>
      <c r="G334" s="2">
        <v>-16.41</v>
      </c>
      <c r="H334" s="2">
        <v>-1.41</v>
      </c>
      <c r="I334" s="2">
        <v>22.97</v>
      </c>
      <c r="J334" s="2">
        <v>-8.25</v>
      </c>
      <c r="K334" s="2">
        <v>23.06</v>
      </c>
      <c r="L334" s="2">
        <v>-14.53</v>
      </c>
      <c r="M334" s="2">
        <v>-0.65</v>
      </c>
      <c r="N334" s="2">
        <v>38.97</v>
      </c>
      <c r="O334" s="2">
        <v>68.3</v>
      </c>
      <c r="P334" s="2">
        <v>64.3</v>
      </c>
      <c r="Q334" s="2">
        <v>4.53</v>
      </c>
      <c r="R334" s="2">
        <v>3.78</v>
      </c>
      <c r="S334" s="2">
        <v>34.06</v>
      </c>
      <c r="T334" s="2">
        <v>58.65</v>
      </c>
      <c r="U334" s="2">
        <v>0.14000000000000001</v>
      </c>
      <c r="V334" s="2">
        <v>45.32</v>
      </c>
      <c r="W334" s="2">
        <v>18.62</v>
      </c>
      <c r="X334" s="2">
        <v>14.03</v>
      </c>
      <c r="Y334" s="2">
        <v>13.3</v>
      </c>
      <c r="Z334" s="2">
        <v>0</v>
      </c>
      <c r="AA334" s="2">
        <v>0</v>
      </c>
      <c r="AB334" s="2">
        <v>0</v>
      </c>
      <c r="AC334" s="2">
        <v>0</v>
      </c>
      <c r="AD334" s="2">
        <v>8.58</v>
      </c>
      <c r="AE334" s="2">
        <v>0</v>
      </c>
      <c r="AF334" s="2">
        <v>107.5</v>
      </c>
      <c r="AG334" s="2">
        <v>22.83</v>
      </c>
    </row>
    <row r="335" spans="1:33" x14ac:dyDescent="0.2">
      <c r="A335" s="3">
        <v>18110</v>
      </c>
      <c r="B335" s="2">
        <v>-1.65</v>
      </c>
      <c r="C335" s="2">
        <v>14.15</v>
      </c>
      <c r="D335" s="2">
        <v>-3.97</v>
      </c>
      <c r="E335" s="2">
        <v>-38.840000000000003</v>
      </c>
      <c r="F335" s="2">
        <v>-12.26</v>
      </c>
      <c r="G335" s="2">
        <v>0.21</v>
      </c>
      <c r="H335" s="2">
        <v>7.13</v>
      </c>
      <c r="I335" s="2">
        <v>19.45</v>
      </c>
      <c r="J335" s="2">
        <v>-7.74</v>
      </c>
      <c r="K335" s="2">
        <v>27.27</v>
      </c>
      <c r="L335" s="2">
        <v>-18.25</v>
      </c>
      <c r="M335" s="2">
        <v>-3.77</v>
      </c>
      <c r="N335" s="2">
        <v>29.41</v>
      </c>
      <c r="O335" s="2">
        <v>83.25</v>
      </c>
      <c r="P335" s="2">
        <v>114.72</v>
      </c>
      <c r="Q335" s="2">
        <v>0.79</v>
      </c>
      <c r="R335" s="2">
        <v>-3</v>
      </c>
      <c r="S335" s="2">
        <v>48.17</v>
      </c>
      <c r="T335" s="2">
        <v>54.93</v>
      </c>
      <c r="U335" s="2">
        <v>9.94</v>
      </c>
      <c r="V335" s="2">
        <v>54.43</v>
      </c>
      <c r="W335" s="2">
        <v>30.39</v>
      </c>
      <c r="X335" s="2">
        <v>19.32</v>
      </c>
      <c r="Y335" s="2">
        <v>18.96</v>
      </c>
      <c r="Z335" s="2">
        <v>0</v>
      </c>
      <c r="AA335" s="2">
        <v>0</v>
      </c>
      <c r="AB335" s="2">
        <v>1.34</v>
      </c>
      <c r="AC335" s="2">
        <v>0</v>
      </c>
      <c r="AD335" s="2">
        <v>7.75</v>
      </c>
      <c r="AE335" s="2">
        <v>0.09</v>
      </c>
      <c r="AF335" s="2">
        <v>117.07</v>
      </c>
      <c r="AG335" s="2">
        <v>24.8</v>
      </c>
    </row>
    <row r="336" spans="1:33" x14ac:dyDescent="0.2">
      <c r="A336" s="3">
        <v>18141</v>
      </c>
      <c r="B336" s="2">
        <v>-2.54</v>
      </c>
      <c r="C336" s="2">
        <v>13.16</v>
      </c>
      <c r="D336" s="2">
        <v>-4.83</v>
      </c>
      <c r="E336" s="2">
        <v>-45.95</v>
      </c>
      <c r="F336" s="2">
        <v>-3.73</v>
      </c>
      <c r="G336" s="2">
        <v>6.32</v>
      </c>
      <c r="H336" s="2">
        <v>11.26</v>
      </c>
      <c r="I336" s="2">
        <v>20.13</v>
      </c>
      <c r="J336" s="2">
        <v>0.23</v>
      </c>
      <c r="K336" s="2">
        <v>26.1</v>
      </c>
      <c r="L336" s="2">
        <v>-8.3800000000000008</v>
      </c>
      <c r="M336" s="2">
        <v>-6.27</v>
      </c>
      <c r="N336" s="2">
        <v>20.47</v>
      </c>
      <c r="O336" s="2">
        <v>64.790000000000006</v>
      </c>
      <c r="P336" s="2">
        <v>108.24</v>
      </c>
      <c r="Q336" s="2">
        <v>-0.28000000000000003</v>
      </c>
      <c r="R336" s="2">
        <v>-4.4400000000000004</v>
      </c>
      <c r="S336" s="2">
        <v>39.58</v>
      </c>
      <c r="T336" s="2">
        <v>47.97</v>
      </c>
      <c r="U336" s="2">
        <v>8.26</v>
      </c>
      <c r="V336" s="2">
        <v>46.97</v>
      </c>
      <c r="W336" s="2">
        <v>31.47</v>
      </c>
      <c r="X336" s="2">
        <v>21.65</v>
      </c>
      <c r="Y336" s="2">
        <v>21.42</v>
      </c>
      <c r="Z336" s="2">
        <v>0.28999999999999998</v>
      </c>
      <c r="AA336" s="2">
        <v>0.28999999999999998</v>
      </c>
      <c r="AB336" s="2">
        <v>0.26</v>
      </c>
      <c r="AC336" s="2">
        <v>3.52</v>
      </c>
      <c r="AD336" s="2">
        <v>5.37</v>
      </c>
      <c r="AE336" s="2">
        <v>0.93</v>
      </c>
      <c r="AF336" s="2">
        <v>119.06</v>
      </c>
      <c r="AG336" s="2">
        <v>23.65</v>
      </c>
    </row>
    <row r="337" spans="1:33" x14ac:dyDescent="0.2">
      <c r="A337" s="3">
        <v>18171</v>
      </c>
      <c r="B337" s="2">
        <v>-5.0999999999999996</v>
      </c>
      <c r="C337" s="2">
        <v>12.65</v>
      </c>
      <c r="D337" s="2">
        <v>-13.74</v>
      </c>
      <c r="E337" s="2">
        <v>-33.85</v>
      </c>
      <c r="F337" s="2">
        <v>-0.65</v>
      </c>
      <c r="G337" s="2">
        <v>13.88</v>
      </c>
      <c r="H337" s="2">
        <v>14.79</v>
      </c>
      <c r="I337" s="2">
        <v>22.36</v>
      </c>
      <c r="J337" s="2">
        <v>14.93</v>
      </c>
      <c r="K337" s="2">
        <v>-4.2</v>
      </c>
      <c r="L337" s="2">
        <v>-0.61</v>
      </c>
      <c r="M337" s="2">
        <v>-4.18</v>
      </c>
      <c r="N337" s="2">
        <v>23.96</v>
      </c>
      <c r="O337" s="2">
        <v>-1.96</v>
      </c>
      <c r="P337" s="2">
        <v>42.79</v>
      </c>
      <c r="Q337" s="2">
        <v>2.57</v>
      </c>
      <c r="R337" s="2">
        <v>0.7</v>
      </c>
      <c r="S337" s="2">
        <v>0.51</v>
      </c>
      <c r="T337" s="2">
        <v>21.65</v>
      </c>
      <c r="U337" s="2">
        <v>1.68</v>
      </c>
      <c r="V337" s="2">
        <v>18.04</v>
      </c>
      <c r="W337" s="2">
        <v>26.1</v>
      </c>
      <c r="X337" s="2">
        <v>20.55</v>
      </c>
      <c r="Y337" s="2">
        <v>20.12</v>
      </c>
      <c r="Z337" s="2">
        <v>0</v>
      </c>
      <c r="AA337" s="2">
        <v>0</v>
      </c>
      <c r="AB337" s="2">
        <v>0</v>
      </c>
      <c r="AC337" s="2">
        <v>0</v>
      </c>
      <c r="AD337" s="2">
        <v>4.07</v>
      </c>
      <c r="AE337" s="2">
        <v>0</v>
      </c>
      <c r="AF337" s="2">
        <v>110.9</v>
      </c>
      <c r="AG337" s="2">
        <v>20.170000000000002</v>
      </c>
    </row>
    <row r="338" spans="1:33" x14ac:dyDescent="0.2">
      <c r="A338" s="3">
        <v>18202</v>
      </c>
      <c r="B338" s="2">
        <v>-6.18</v>
      </c>
      <c r="C338" s="2">
        <v>15.34</v>
      </c>
      <c r="D338" s="2">
        <v>-12.72</v>
      </c>
      <c r="E338" s="2">
        <v>-23.62</v>
      </c>
      <c r="F338" s="2">
        <v>-2.3199999999999998</v>
      </c>
      <c r="G338" s="2">
        <v>14.34</v>
      </c>
      <c r="H338" s="2">
        <v>12.69</v>
      </c>
      <c r="I338" s="2">
        <v>22.34</v>
      </c>
      <c r="J338" s="2">
        <v>10.53</v>
      </c>
      <c r="K338" s="2">
        <v>-27.32</v>
      </c>
      <c r="L338" s="2">
        <v>8.49</v>
      </c>
      <c r="M338" s="2">
        <v>-5.55</v>
      </c>
      <c r="N338" s="2">
        <v>4.8499999999999996</v>
      </c>
      <c r="O338" s="2">
        <v>12.92</v>
      </c>
      <c r="P338" s="2">
        <v>47.77</v>
      </c>
      <c r="Q338" s="2">
        <v>0.67</v>
      </c>
      <c r="R338" s="2">
        <v>-2.16</v>
      </c>
      <c r="S338" s="2">
        <v>-1.84</v>
      </c>
      <c r="T338" s="2">
        <v>25.53</v>
      </c>
      <c r="U338" s="2">
        <v>-1.36</v>
      </c>
      <c r="V338" s="2">
        <v>17.809999999999999</v>
      </c>
      <c r="W338" s="2">
        <v>22.19</v>
      </c>
      <c r="X338" s="2">
        <v>19.04</v>
      </c>
      <c r="Y338" s="2">
        <v>18.600000000000001</v>
      </c>
      <c r="Z338" s="2">
        <v>2.39</v>
      </c>
      <c r="AA338" s="2">
        <v>1.1499999999999999</v>
      </c>
      <c r="AB338" s="2">
        <v>0</v>
      </c>
      <c r="AC338" s="2">
        <v>0</v>
      </c>
      <c r="AD338" s="2">
        <v>2.85</v>
      </c>
      <c r="AE338" s="2">
        <v>2.33</v>
      </c>
      <c r="AF338" s="2">
        <v>100.59</v>
      </c>
      <c r="AG338" s="2">
        <v>16.420000000000002</v>
      </c>
    </row>
    <row r="339" spans="1:33" x14ac:dyDescent="0.2">
      <c r="A339" s="3">
        <v>18232</v>
      </c>
      <c r="B339" s="2">
        <v>-3.52</v>
      </c>
      <c r="C339" s="2">
        <v>12.24</v>
      </c>
      <c r="D339" s="2">
        <v>-9.1</v>
      </c>
      <c r="E339" s="2">
        <v>-14.64</v>
      </c>
      <c r="F339" s="2">
        <v>6.55</v>
      </c>
      <c r="G339" s="2">
        <v>15.65</v>
      </c>
      <c r="H339" s="2">
        <v>11.7</v>
      </c>
      <c r="I339" s="2">
        <v>22.44</v>
      </c>
      <c r="J339" s="2">
        <v>15.02</v>
      </c>
      <c r="K339" s="2">
        <v>-9.1199999999999992</v>
      </c>
      <c r="L339" s="2">
        <v>5</v>
      </c>
      <c r="M339" s="2">
        <v>-2.19</v>
      </c>
      <c r="N339" s="2">
        <v>4.32</v>
      </c>
      <c r="O339" s="2">
        <v>0.56000000000000005</v>
      </c>
      <c r="P339" s="2">
        <v>38.049999999999997</v>
      </c>
      <c r="Q339" s="2">
        <v>-0.81</v>
      </c>
      <c r="R339" s="2">
        <v>-2.46</v>
      </c>
      <c r="S339" s="2">
        <v>1.53</v>
      </c>
      <c r="T339" s="2">
        <v>20.32</v>
      </c>
      <c r="U339" s="2">
        <v>1.9</v>
      </c>
      <c r="V339" s="2">
        <v>15.12</v>
      </c>
      <c r="W339" s="2">
        <v>15.43</v>
      </c>
      <c r="X339" s="2">
        <v>12.44</v>
      </c>
      <c r="Y339" s="2">
        <v>11.01</v>
      </c>
      <c r="Z339" s="2">
        <v>5.07</v>
      </c>
      <c r="AA339" s="2">
        <v>1.86</v>
      </c>
      <c r="AB339" s="2">
        <v>3.56</v>
      </c>
      <c r="AC339" s="2">
        <v>2.57</v>
      </c>
      <c r="AD339" s="2">
        <v>1.83</v>
      </c>
      <c r="AE339" s="2">
        <v>8.76</v>
      </c>
      <c r="AF339" s="2">
        <v>66</v>
      </c>
      <c r="AG339" s="2">
        <v>12.92</v>
      </c>
    </row>
    <row r="340" spans="1:33" x14ac:dyDescent="0.2">
      <c r="A340" s="3">
        <v>18263</v>
      </c>
      <c r="B340" s="2">
        <v>-3.99</v>
      </c>
      <c r="C340" s="2">
        <v>10.95</v>
      </c>
      <c r="D340" s="2">
        <v>-9.16</v>
      </c>
      <c r="E340" s="2">
        <v>-12.47</v>
      </c>
      <c r="F340" s="2">
        <v>-2.4900000000000002</v>
      </c>
      <c r="G340" s="2">
        <v>15.04</v>
      </c>
      <c r="H340" s="2">
        <v>8.4700000000000006</v>
      </c>
      <c r="I340" s="2">
        <v>22.1</v>
      </c>
      <c r="J340" s="2">
        <v>15.67</v>
      </c>
      <c r="K340" s="2">
        <v>0.32</v>
      </c>
      <c r="L340" s="2">
        <v>2.44</v>
      </c>
      <c r="M340" s="2">
        <v>-0.46</v>
      </c>
      <c r="N340" s="2">
        <v>11.84</v>
      </c>
      <c r="O340" s="2">
        <v>0.26</v>
      </c>
      <c r="P340" s="2">
        <v>35.97</v>
      </c>
      <c r="Q340" s="2">
        <v>-1.95</v>
      </c>
      <c r="R340" s="2">
        <v>-2.64</v>
      </c>
      <c r="S340" s="2">
        <v>0.91</v>
      </c>
      <c r="T340" s="2">
        <v>20</v>
      </c>
      <c r="U340" s="2">
        <v>1.1599999999999999</v>
      </c>
      <c r="V340" s="2">
        <v>14.36</v>
      </c>
      <c r="W340" s="2">
        <v>11.73</v>
      </c>
      <c r="X340" s="2">
        <v>10.210000000000001</v>
      </c>
      <c r="Y340" s="2">
        <v>10</v>
      </c>
      <c r="Z340" s="2">
        <v>0.81</v>
      </c>
      <c r="AA340" s="2">
        <v>2.72</v>
      </c>
      <c r="AB340" s="2">
        <v>2.52</v>
      </c>
      <c r="AC340" s="2">
        <v>7.45</v>
      </c>
      <c r="AD340" s="2">
        <v>1.87</v>
      </c>
      <c r="AE340" s="2">
        <v>10.07</v>
      </c>
      <c r="AF340" s="2">
        <v>60.63</v>
      </c>
      <c r="AG340" s="2">
        <v>11.2</v>
      </c>
    </row>
    <row r="341" spans="1:33" x14ac:dyDescent="0.2">
      <c r="A341" s="3">
        <v>18294</v>
      </c>
      <c r="B341" s="2">
        <v>-0.98</v>
      </c>
      <c r="C341" s="2">
        <v>24.05</v>
      </c>
      <c r="D341" s="2">
        <v>19.809999999999999</v>
      </c>
      <c r="E341" s="2">
        <v>64.400000000000006</v>
      </c>
      <c r="F341" s="2">
        <v>58.96</v>
      </c>
      <c r="G341" s="2">
        <v>92.06</v>
      </c>
      <c r="H341" s="2">
        <v>29.63</v>
      </c>
      <c r="I341" s="2">
        <v>33.4</v>
      </c>
      <c r="J341" s="2">
        <v>65.12</v>
      </c>
      <c r="K341" s="2">
        <v>21.96</v>
      </c>
      <c r="L341" s="2">
        <v>16.77</v>
      </c>
      <c r="M341" s="2">
        <v>7.77</v>
      </c>
      <c r="N341" s="2">
        <v>30.71</v>
      </c>
      <c r="O341" s="2">
        <v>-0.06</v>
      </c>
      <c r="P341" s="2">
        <v>26.47</v>
      </c>
      <c r="Q341" s="2">
        <v>-3.56</v>
      </c>
      <c r="R341" s="2">
        <v>-0.32</v>
      </c>
      <c r="S341" s="2">
        <v>20.39</v>
      </c>
      <c r="T341" s="2">
        <v>21.65</v>
      </c>
      <c r="U341" s="2">
        <v>1.98</v>
      </c>
      <c r="V341" s="2">
        <v>15.91</v>
      </c>
      <c r="W341" s="2">
        <v>4.26</v>
      </c>
      <c r="X341" s="2">
        <v>10.18</v>
      </c>
      <c r="Y341" s="2">
        <v>8.86</v>
      </c>
      <c r="Z341" s="2">
        <v>3.54</v>
      </c>
      <c r="AA341" s="2">
        <v>0.56999999999999995</v>
      </c>
      <c r="AB341" s="2">
        <v>1.7</v>
      </c>
      <c r="AC341" s="2">
        <v>0.27</v>
      </c>
      <c r="AD341" s="2">
        <v>1.8</v>
      </c>
      <c r="AE341" s="2">
        <v>29.83</v>
      </c>
      <c r="AF341" s="2">
        <v>71.459999999999994</v>
      </c>
      <c r="AG341" s="2">
        <v>9.8800000000000008</v>
      </c>
    </row>
    <row r="342" spans="1:33" x14ac:dyDescent="0.2">
      <c r="A342" s="3">
        <v>18322</v>
      </c>
      <c r="B342" s="2">
        <v>-0.05</v>
      </c>
      <c r="C342" s="2">
        <v>21.81</v>
      </c>
      <c r="D342" s="2">
        <v>6.22</v>
      </c>
      <c r="E342" s="2">
        <v>21.46</v>
      </c>
      <c r="F342" s="2">
        <v>42.65</v>
      </c>
      <c r="G342" s="2">
        <v>95.08</v>
      </c>
      <c r="H342" s="2">
        <v>20.350000000000001</v>
      </c>
      <c r="I342" s="2">
        <v>31.28</v>
      </c>
      <c r="J342" s="2">
        <v>29.93</v>
      </c>
      <c r="K342" s="2">
        <v>-3.59</v>
      </c>
      <c r="L342" s="2">
        <v>15.13</v>
      </c>
      <c r="M342" s="2">
        <v>-1.65</v>
      </c>
      <c r="N342" s="2">
        <v>27.02</v>
      </c>
      <c r="O342" s="2">
        <v>0.27</v>
      </c>
      <c r="P342" s="2">
        <v>12.33</v>
      </c>
      <c r="Q342" s="2">
        <v>-4.43</v>
      </c>
      <c r="R342" s="2">
        <v>2.0499999999999998</v>
      </c>
      <c r="S342" s="2">
        <v>10.58</v>
      </c>
      <c r="T342" s="2">
        <v>21.17</v>
      </c>
      <c r="U342" s="2">
        <v>1.76</v>
      </c>
      <c r="V342" s="2">
        <v>15.53</v>
      </c>
      <c r="W342" s="2">
        <v>0</v>
      </c>
      <c r="X342" s="2">
        <v>3.6</v>
      </c>
      <c r="Y342" s="2">
        <v>3.67</v>
      </c>
      <c r="Z342" s="2">
        <v>2.78</v>
      </c>
      <c r="AA342" s="2">
        <v>1.58</v>
      </c>
      <c r="AB342" s="2">
        <v>4.05</v>
      </c>
      <c r="AC342" s="2">
        <v>2.71</v>
      </c>
      <c r="AD342" s="2">
        <v>2.04</v>
      </c>
      <c r="AE342" s="2">
        <v>3.45</v>
      </c>
      <c r="AF342" s="2">
        <v>59.57</v>
      </c>
      <c r="AG342" s="2">
        <v>10.08</v>
      </c>
    </row>
    <row r="343" spans="1:33" x14ac:dyDescent="0.2">
      <c r="A343" s="3">
        <v>18353</v>
      </c>
      <c r="B343" s="2">
        <v>-0.38</v>
      </c>
      <c r="C343" s="2">
        <v>19.54</v>
      </c>
      <c r="D343" s="2">
        <v>-13.47</v>
      </c>
      <c r="E343" s="2">
        <v>-15.65</v>
      </c>
      <c r="F343" s="2">
        <v>-7</v>
      </c>
      <c r="G343" s="2">
        <v>-15.25</v>
      </c>
      <c r="H343" s="2">
        <v>14.59</v>
      </c>
      <c r="I343" s="2">
        <v>26.85</v>
      </c>
      <c r="J343" s="2">
        <v>17.95</v>
      </c>
      <c r="K343" s="2">
        <v>12.68</v>
      </c>
      <c r="L343" s="2">
        <v>-1.1399999999999999</v>
      </c>
      <c r="M343" s="2">
        <v>0.56000000000000005</v>
      </c>
      <c r="N343" s="2">
        <v>37.28</v>
      </c>
      <c r="O343" s="2">
        <v>6.93</v>
      </c>
      <c r="P343" s="2">
        <v>55.95</v>
      </c>
      <c r="Q343" s="2">
        <v>1.19</v>
      </c>
      <c r="R343" s="2">
        <v>-4.13</v>
      </c>
      <c r="S343" s="2">
        <v>2.56</v>
      </c>
      <c r="T343" s="2">
        <v>30.97</v>
      </c>
      <c r="U343" s="2">
        <v>7.0000000000000007E-2</v>
      </c>
      <c r="V343" s="2">
        <v>32.29</v>
      </c>
      <c r="W343" s="2">
        <v>0</v>
      </c>
      <c r="X343" s="2">
        <v>4.54</v>
      </c>
      <c r="Y343" s="2">
        <v>3.58</v>
      </c>
      <c r="Z343" s="2">
        <v>5.41</v>
      </c>
      <c r="AA343" s="2">
        <v>2.72</v>
      </c>
      <c r="AB343" s="2">
        <v>0.82</v>
      </c>
      <c r="AC343" s="2">
        <v>20.440000000000001</v>
      </c>
      <c r="AD343" s="2">
        <v>3.85</v>
      </c>
      <c r="AE343" s="2">
        <v>9.14</v>
      </c>
      <c r="AF343" s="2">
        <v>70.290000000000006</v>
      </c>
      <c r="AG343" s="2">
        <v>10.69</v>
      </c>
    </row>
    <row r="344" spans="1:33" x14ac:dyDescent="0.2">
      <c r="A344" s="3">
        <v>18383</v>
      </c>
      <c r="B344" s="2">
        <v>-2.72</v>
      </c>
      <c r="C344" s="2">
        <v>14.38</v>
      </c>
      <c r="D344" s="2">
        <v>-16.63</v>
      </c>
      <c r="E344" s="2">
        <v>-34.369999999999997</v>
      </c>
      <c r="F344" s="2">
        <v>30.73</v>
      </c>
      <c r="G344" s="2">
        <v>-1.19</v>
      </c>
      <c r="H344" s="2">
        <v>10.45</v>
      </c>
      <c r="I344" s="2">
        <v>34.42</v>
      </c>
      <c r="J344" s="2">
        <v>33.54</v>
      </c>
      <c r="K344" s="2">
        <v>9.0399999999999991</v>
      </c>
      <c r="L344" s="2">
        <v>51.95</v>
      </c>
      <c r="M344" s="2">
        <v>14.89</v>
      </c>
      <c r="N344" s="2">
        <v>34.369999999999997</v>
      </c>
      <c r="O344" s="2">
        <v>3.62</v>
      </c>
      <c r="P344" s="2">
        <v>39.33</v>
      </c>
      <c r="Q344" s="2">
        <v>5.91</v>
      </c>
      <c r="R344" s="2">
        <v>5.52</v>
      </c>
      <c r="S344" s="2">
        <v>15.15</v>
      </c>
      <c r="T344" s="2">
        <v>26.02</v>
      </c>
      <c r="U344" s="2">
        <v>0.22</v>
      </c>
      <c r="V344" s="2">
        <v>31.35</v>
      </c>
      <c r="W344" s="2">
        <v>0</v>
      </c>
      <c r="X344" s="2">
        <v>5.54</v>
      </c>
      <c r="Y344" s="2">
        <v>4.87</v>
      </c>
      <c r="Z344" s="2">
        <v>2.44</v>
      </c>
      <c r="AA344" s="2">
        <v>0</v>
      </c>
      <c r="AB344" s="2">
        <v>0</v>
      </c>
      <c r="AC344" s="2">
        <v>1.22</v>
      </c>
      <c r="AD344" s="2">
        <v>5.13</v>
      </c>
      <c r="AE344" s="2">
        <v>6.99</v>
      </c>
      <c r="AF344" s="2">
        <v>86.98</v>
      </c>
      <c r="AG344" s="2">
        <v>14.64</v>
      </c>
    </row>
    <row r="345" spans="1:33" x14ac:dyDescent="0.2">
      <c r="A345" s="3">
        <v>18414</v>
      </c>
      <c r="B345" s="2">
        <v>-2.5099999999999998</v>
      </c>
      <c r="C345" s="2">
        <v>14.55</v>
      </c>
      <c r="D345" s="2">
        <v>-1.71</v>
      </c>
      <c r="E345" s="2">
        <v>-23.77</v>
      </c>
      <c r="F345" s="2">
        <v>-19.079999999999998</v>
      </c>
      <c r="G345" s="2">
        <v>-3.14</v>
      </c>
      <c r="H345" s="2">
        <v>5.99</v>
      </c>
      <c r="I345" s="2">
        <v>32.049999999999997</v>
      </c>
      <c r="J345" s="2">
        <v>18.05</v>
      </c>
      <c r="K345" s="2">
        <v>6.52</v>
      </c>
      <c r="L345" s="2">
        <v>24.97</v>
      </c>
      <c r="M345" s="2">
        <v>-0.43</v>
      </c>
      <c r="N345" s="2">
        <v>31.72</v>
      </c>
      <c r="O345" s="2">
        <v>18.43</v>
      </c>
      <c r="P345" s="2">
        <v>31.84</v>
      </c>
      <c r="Q345" s="2">
        <v>7.03</v>
      </c>
      <c r="R345" s="2">
        <v>9.2200000000000006</v>
      </c>
      <c r="S345" s="2">
        <v>25.05</v>
      </c>
      <c r="T345" s="2">
        <v>44.93</v>
      </c>
      <c r="U345" s="2">
        <v>-0.14000000000000001</v>
      </c>
      <c r="V345" s="2">
        <v>36.18</v>
      </c>
      <c r="W345" s="2">
        <v>4.88</v>
      </c>
      <c r="X345" s="2">
        <v>8.59</v>
      </c>
      <c r="Y345" s="2">
        <v>7.25</v>
      </c>
      <c r="Z345" s="2">
        <v>1.29</v>
      </c>
      <c r="AA345" s="2">
        <v>0</v>
      </c>
      <c r="AB345" s="2">
        <v>0</v>
      </c>
      <c r="AC345" s="2">
        <v>0</v>
      </c>
      <c r="AD345" s="2">
        <v>7.99</v>
      </c>
      <c r="AE345" s="2">
        <v>1.49</v>
      </c>
      <c r="AF345" s="2">
        <v>98.23</v>
      </c>
      <c r="AG345" s="2">
        <v>17.690000000000001</v>
      </c>
    </row>
    <row r="346" spans="1:33" x14ac:dyDescent="0.2">
      <c r="A346" s="3">
        <v>18444</v>
      </c>
      <c r="B346" s="2">
        <v>-2.1800000000000002</v>
      </c>
      <c r="C346" s="2">
        <v>14.52</v>
      </c>
      <c r="D346" s="2">
        <v>-8.7100000000000009</v>
      </c>
      <c r="E346" s="2">
        <v>-39.799999999999997</v>
      </c>
      <c r="F346" s="2">
        <v>-44.35</v>
      </c>
      <c r="G346" s="2">
        <v>-3.86</v>
      </c>
      <c r="H346" s="2">
        <v>1.71</v>
      </c>
      <c r="I346" s="2">
        <v>26.98</v>
      </c>
      <c r="J346" s="2">
        <v>-7.61</v>
      </c>
      <c r="K346" s="2">
        <v>15.61</v>
      </c>
      <c r="L346" s="2">
        <v>-12.04</v>
      </c>
      <c r="M346" s="2">
        <v>4.5599999999999996</v>
      </c>
      <c r="N346" s="2">
        <v>33.25</v>
      </c>
      <c r="O346" s="2">
        <v>71.89</v>
      </c>
      <c r="P346" s="2">
        <v>49.38</v>
      </c>
      <c r="Q346" s="2">
        <v>7.55</v>
      </c>
      <c r="R346" s="2">
        <v>8.44</v>
      </c>
      <c r="S346" s="2">
        <v>18.21</v>
      </c>
      <c r="T346" s="2">
        <v>61.58</v>
      </c>
      <c r="U346" s="2">
        <v>-0.66</v>
      </c>
      <c r="V346" s="2">
        <v>45.76</v>
      </c>
      <c r="W346" s="2">
        <v>18.62</v>
      </c>
      <c r="X346" s="2">
        <v>13.99</v>
      </c>
      <c r="Y346" s="2">
        <v>13.34</v>
      </c>
      <c r="Z346" s="2">
        <v>0</v>
      </c>
      <c r="AA346" s="2">
        <v>0</v>
      </c>
      <c r="AB346" s="2">
        <v>0</v>
      </c>
      <c r="AC346" s="2">
        <v>0</v>
      </c>
      <c r="AD346" s="2">
        <v>11.23</v>
      </c>
      <c r="AE346" s="2">
        <v>0</v>
      </c>
      <c r="AF346" s="2">
        <v>107.5</v>
      </c>
      <c r="AG346" s="2">
        <v>22.83</v>
      </c>
    </row>
    <row r="347" spans="1:33" x14ac:dyDescent="0.2">
      <c r="A347" s="3">
        <v>18475</v>
      </c>
      <c r="B347" s="2">
        <v>-1.55</v>
      </c>
      <c r="C347" s="2">
        <v>14.97</v>
      </c>
      <c r="D347" s="2">
        <v>-5.41</v>
      </c>
      <c r="E347" s="2">
        <v>-32.22</v>
      </c>
      <c r="F347" s="2">
        <v>-22.58</v>
      </c>
      <c r="G347" s="2">
        <v>1.67</v>
      </c>
      <c r="H347" s="2">
        <v>4.3099999999999996</v>
      </c>
      <c r="I347" s="2">
        <v>20.69</v>
      </c>
      <c r="J347" s="2">
        <v>-17.850000000000001</v>
      </c>
      <c r="K347" s="2">
        <v>16.03</v>
      </c>
      <c r="L347" s="2">
        <v>-38.08</v>
      </c>
      <c r="M347" s="2">
        <v>-12.76</v>
      </c>
      <c r="N347" s="2">
        <v>31.62</v>
      </c>
      <c r="O347" s="2">
        <v>82.8</v>
      </c>
      <c r="P347" s="2">
        <v>90.08</v>
      </c>
      <c r="Q347" s="2">
        <v>1.79</v>
      </c>
      <c r="R347" s="2">
        <v>0.69</v>
      </c>
      <c r="S347" s="2">
        <v>32.450000000000003</v>
      </c>
      <c r="T347" s="2">
        <v>57.74</v>
      </c>
      <c r="U347" s="2">
        <v>11.72</v>
      </c>
      <c r="V347" s="2">
        <v>48.55</v>
      </c>
      <c r="W347" s="2">
        <v>30.39</v>
      </c>
      <c r="X347" s="2">
        <v>19.28</v>
      </c>
      <c r="Y347" s="2">
        <v>19</v>
      </c>
      <c r="Z347" s="2">
        <v>1.05</v>
      </c>
      <c r="AA347" s="2">
        <v>3.15</v>
      </c>
      <c r="AB347" s="2">
        <v>3.78</v>
      </c>
      <c r="AC347" s="2">
        <v>6.63</v>
      </c>
      <c r="AD347" s="2">
        <v>7.86</v>
      </c>
      <c r="AE347" s="2">
        <v>0</v>
      </c>
      <c r="AF347" s="2">
        <v>117.07</v>
      </c>
      <c r="AG347" s="2">
        <v>24.8</v>
      </c>
    </row>
    <row r="348" spans="1:33" x14ac:dyDescent="0.2">
      <c r="A348" s="3">
        <v>18506</v>
      </c>
      <c r="B348" s="2">
        <v>-2.77</v>
      </c>
      <c r="C348" s="2">
        <v>14.32</v>
      </c>
      <c r="D348" s="2">
        <v>-6.76</v>
      </c>
      <c r="E348" s="2">
        <v>-38.840000000000003</v>
      </c>
      <c r="F348" s="2">
        <v>-5.97</v>
      </c>
      <c r="G348" s="2">
        <v>8.9600000000000009</v>
      </c>
      <c r="H348" s="2">
        <v>9.7100000000000009</v>
      </c>
      <c r="I348" s="2">
        <v>21.04</v>
      </c>
      <c r="J348" s="2">
        <v>-4.3499999999999996</v>
      </c>
      <c r="K348" s="2">
        <v>10.93</v>
      </c>
      <c r="L348" s="2">
        <v>-16.25</v>
      </c>
      <c r="M348" s="2">
        <v>-8.2100000000000009</v>
      </c>
      <c r="N348" s="2">
        <v>21.72</v>
      </c>
      <c r="O348" s="2">
        <v>65.709999999999994</v>
      </c>
      <c r="P348" s="2">
        <v>104.07</v>
      </c>
      <c r="Q348" s="2">
        <v>1.1599999999999999</v>
      </c>
      <c r="R348" s="2">
        <v>-3.19</v>
      </c>
      <c r="S348" s="2">
        <v>30.98</v>
      </c>
      <c r="T348" s="2">
        <v>49.04</v>
      </c>
      <c r="U348" s="2">
        <v>8.2200000000000006</v>
      </c>
      <c r="V348" s="2">
        <v>46.13</v>
      </c>
      <c r="W348" s="2">
        <v>31.47</v>
      </c>
      <c r="X348" s="2">
        <v>21.61</v>
      </c>
      <c r="Y348" s="2">
        <v>21.46</v>
      </c>
      <c r="Z348" s="2">
        <v>0</v>
      </c>
      <c r="AA348" s="2">
        <v>0</v>
      </c>
      <c r="AB348" s="2">
        <v>1.04</v>
      </c>
      <c r="AC348" s="2">
        <v>0</v>
      </c>
      <c r="AD348" s="2">
        <v>5.83</v>
      </c>
      <c r="AE348" s="2">
        <v>0</v>
      </c>
      <c r="AF348" s="2">
        <v>119.06</v>
      </c>
      <c r="AG348" s="2">
        <v>23.65</v>
      </c>
    </row>
    <row r="349" spans="1:33" x14ac:dyDescent="0.2">
      <c r="A349" s="3">
        <v>18536</v>
      </c>
      <c r="B349" s="2">
        <v>-4.5599999999999996</v>
      </c>
      <c r="C349" s="2">
        <v>13.25</v>
      </c>
      <c r="D349" s="2">
        <v>-11.77</v>
      </c>
      <c r="E349" s="2">
        <v>-32.700000000000003</v>
      </c>
      <c r="F349" s="2">
        <v>10.41</v>
      </c>
      <c r="G349" s="2">
        <v>17.07</v>
      </c>
      <c r="H349" s="2">
        <v>14.95</v>
      </c>
      <c r="I349" s="2">
        <v>25.11</v>
      </c>
      <c r="J349" s="2">
        <v>16.03</v>
      </c>
      <c r="K349" s="2">
        <v>-3.51</v>
      </c>
      <c r="L349" s="2">
        <v>-7.8</v>
      </c>
      <c r="M349" s="2">
        <v>-6.15</v>
      </c>
      <c r="N349" s="2">
        <v>26.39</v>
      </c>
      <c r="O349" s="2">
        <v>-1.81</v>
      </c>
      <c r="P349" s="2">
        <v>40.04</v>
      </c>
      <c r="Q349" s="2">
        <v>3.35</v>
      </c>
      <c r="R349" s="2">
        <v>1.74</v>
      </c>
      <c r="S349" s="2">
        <v>-0.88</v>
      </c>
      <c r="T349" s="2">
        <v>21.8</v>
      </c>
      <c r="U349" s="2">
        <v>2.34</v>
      </c>
      <c r="V349" s="2">
        <v>15.65</v>
      </c>
      <c r="W349" s="2">
        <v>26.1</v>
      </c>
      <c r="X349" s="2">
        <v>20.51</v>
      </c>
      <c r="Y349" s="2">
        <v>20.16</v>
      </c>
      <c r="Z349" s="2">
        <v>0.33</v>
      </c>
      <c r="AA349" s="2">
        <v>1</v>
      </c>
      <c r="AB349" s="2">
        <v>2.14</v>
      </c>
      <c r="AC349" s="2">
        <v>0</v>
      </c>
      <c r="AD349" s="2">
        <v>4.22</v>
      </c>
      <c r="AE349" s="2">
        <v>1.03</v>
      </c>
      <c r="AF349" s="2">
        <v>110.9</v>
      </c>
      <c r="AG349" s="2">
        <v>20.170000000000002</v>
      </c>
    </row>
    <row r="350" spans="1:33" x14ac:dyDescent="0.2">
      <c r="A350" s="3">
        <v>18567</v>
      </c>
      <c r="B350" s="2">
        <v>-2.35</v>
      </c>
      <c r="C350" s="2">
        <v>5.67</v>
      </c>
      <c r="D350" s="2">
        <v>2.68</v>
      </c>
      <c r="E350" s="2">
        <v>11.22</v>
      </c>
      <c r="F350" s="2">
        <v>12.82</v>
      </c>
      <c r="G350" s="2">
        <v>22.82</v>
      </c>
      <c r="H350" s="2">
        <v>18.27</v>
      </c>
      <c r="I350" s="2">
        <v>26.24</v>
      </c>
      <c r="J350" s="2">
        <v>8.68</v>
      </c>
      <c r="K350" s="2">
        <v>-5.21</v>
      </c>
      <c r="L350" s="2">
        <v>-4.49</v>
      </c>
      <c r="M350" s="2">
        <v>-2.76</v>
      </c>
      <c r="N350" s="2">
        <v>11.73</v>
      </c>
      <c r="O350" s="2">
        <v>6.83</v>
      </c>
      <c r="P350" s="2">
        <v>25.33</v>
      </c>
      <c r="Q350" s="2">
        <v>-0.02</v>
      </c>
      <c r="R350" s="2">
        <v>-1.81</v>
      </c>
      <c r="S350" s="2">
        <v>5.03</v>
      </c>
      <c r="T350" s="2">
        <v>17.78</v>
      </c>
      <c r="U350" s="2">
        <v>-1.0900000000000001</v>
      </c>
      <c r="V350" s="2">
        <v>7.93</v>
      </c>
      <c r="W350" s="2">
        <v>22.19</v>
      </c>
      <c r="X350" s="2">
        <v>19</v>
      </c>
      <c r="Y350" s="2">
        <v>18.63</v>
      </c>
      <c r="Z350" s="2">
        <v>0.48</v>
      </c>
      <c r="AA350" s="2">
        <v>0</v>
      </c>
      <c r="AB350" s="2">
        <v>1.64</v>
      </c>
      <c r="AC350" s="2">
        <v>0</v>
      </c>
      <c r="AD350" s="2">
        <v>3.29</v>
      </c>
      <c r="AE350" s="2">
        <v>15.01</v>
      </c>
      <c r="AF350" s="2">
        <v>100.59</v>
      </c>
      <c r="AG350" s="2">
        <v>16.420000000000002</v>
      </c>
    </row>
    <row r="351" spans="1:33" x14ac:dyDescent="0.2">
      <c r="A351" s="3">
        <v>18597</v>
      </c>
      <c r="B351" s="2">
        <v>-1.08</v>
      </c>
      <c r="C351" s="2">
        <v>7.66</v>
      </c>
      <c r="D351" s="2">
        <v>9.75</v>
      </c>
      <c r="E351" s="2">
        <v>41.22</v>
      </c>
      <c r="F351" s="2">
        <v>103.28</v>
      </c>
      <c r="G351" s="2">
        <v>134.72</v>
      </c>
      <c r="H351" s="2">
        <v>32.880000000000003</v>
      </c>
      <c r="I351" s="2">
        <v>51.42</v>
      </c>
      <c r="J351" s="2">
        <v>96.71</v>
      </c>
      <c r="K351" s="2">
        <v>40.03</v>
      </c>
      <c r="L351" s="2">
        <v>101.72</v>
      </c>
      <c r="M351" s="2">
        <v>48.49</v>
      </c>
      <c r="N351" s="2">
        <v>51.42</v>
      </c>
      <c r="O351" s="2">
        <v>3.73</v>
      </c>
      <c r="P351" s="2">
        <v>86.73</v>
      </c>
      <c r="Q351" s="2">
        <v>0.59</v>
      </c>
      <c r="R351" s="2">
        <v>4.21</v>
      </c>
      <c r="S351" s="2">
        <v>78.510000000000005</v>
      </c>
      <c r="T351" s="2">
        <v>33.58</v>
      </c>
      <c r="U351" s="2">
        <v>9.81</v>
      </c>
      <c r="V351" s="2">
        <v>32.130000000000003</v>
      </c>
      <c r="W351" s="2">
        <v>15.43</v>
      </c>
      <c r="X351" s="2">
        <v>12.42</v>
      </c>
      <c r="Y351" s="2">
        <v>11.04</v>
      </c>
      <c r="Z351" s="2">
        <v>0</v>
      </c>
      <c r="AA351" s="2">
        <v>1.58</v>
      </c>
      <c r="AB351" s="2">
        <v>23.21</v>
      </c>
      <c r="AC351" s="2">
        <v>0.81</v>
      </c>
      <c r="AD351" s="2">
        <v>2.31</v>
      </c>
      <c r="AE351" s="2">
        <v>29.83</v>
      </c>
      <c r="AF351" s="2">
        <v>66</v>
      </c>
      <c r="AG351" s="2">
        <v>12.92</v>
      </c>
    </row>
    <row r="352" spans="1:33" x14ac:dyDescent="0.2">
      <c r="A352" s="3">
        <v>18628</v>
      </c>
      <c r="B352" s="2">
        <v>8.34</v>
      </c>
      <c r="C352" s="2">
        <v>18.91</v>
      </c>
      <c r="D352" s="2">
        <v>39.79</v>
      </c>
      <c r="E352" s="2">
        <v>106.86</v>
      </c>
      <c r="F352" s="2">
        <v>109</v>
      </c>
      <c r="G352" s="2">
        <v>133.08000000000001</v>
      </c>
      <c r="H352" s="2">
        <v>37.78</v>
      </c>
      <c r="I352" s="2">
        <v>53.71</v>
      </c>
      <c r="J352" s="2">
        <v>126.32</v>
      </c>
      <c r="K352" s="2">
        <v>53.02</v>
      </c>
      <c r="L352" s="2">
        <v>108.15</v>
      </c>
      <c r="M352" s="2">
        <v>70.03</v>
      </c>
      <c r="N352" s="2">
        <v>73.17</v>
      </c>
      <c r="O352" s="2">
        <v>0.72</v>
      </c>
      <c r="P352" s="2">
        <v>-36.06</v>
      </c>
      <c r="Q352" s="2">
        <v>1.63</v>
      </c>
      <c r="R352" s="2">
        <v>7.18</v>
      </c>
      <c r="S352" s="2">
        <v>52.11</v>
      </c>
      <c r="T352" s="2">
        <v>4.45</v>
      </c>
      <c r="U352" s="2">
        <v>9.49</v>
      </c>
      <c r="V352" s="2">
        <v>13.77</v>
      </c>
      <c r="W352" s="2">
        <v>11.73</v>
      </c>
      <c r="X352" s="2">
        <v>10.18</v>
      </c>
      <c r="Y352" s="2">
        <v>10.02</v>
      </c>
      <c r="Z352" s="2">
        <v>0</v>
      </c>
      <c r="AA352" s="2">
        <v>0</v>
      </c>
      <c r="AB352" s="2">
        <v>4.3600000000000003</v>
      </c>
      <c r="AC352" s="2">
        <v>0</v>
      </c>
      <c r="AD352" s="2">
        <v>2.23</v>
      </c>
      <c r="AE352" s="2">
        <v>32.72</v>
      </c>
      <c r="AF352" s="2">
        <v>60.63</v>
      </c>
      <c r="AG352" s="2">
        <v>11.2</v>
      </c>
    </row>
    <row r="353" spans="1:33" x14ac:dyDescent="0.2">
      <c r="A353" s="3">
        <v>18659</v>
      </c>
      <c r="B353" s="2">
        <v>4.8600000000000003</v>
      </c>
      <c r="C353" s="2">
        <v>16.350000000000001</v>
      </c>
      <c r="D353" s="2">
        <v>11.21</v>
      </c>
      <c r="E353" s="2">
        <v>3.96</v>
      </c>
      <c r="F353" s="2">
        <v>-18.510000000000002</v>
      </c>
      <c r="G353" s="2">
        <v>33.729999999999997</v>
      </c>
      <c r="H353" s="2">
        <v>20.29</v>
      </c>
      <c r="I353" s="2">
        <v>43.57</v>
      </c>
      <c r="J353" s="2">
        <v>17.420000000000002</v>
      </c>
      <c r="K353" s="2">
        <v>-13.27</v>
      </c>
      <c r="L353" s="2">
        <v>-77.540000000000006</v>
      </c>
      <c r="M353" s="2">
        <v>-44.49</v>
      </c>
      <c r="N353" s="2">
        <v>46.16</v>
      </c>
      <c r="O353" s="2">
        <v>0.59</v>
      </c>
      <c r="P353" s="2">
        <v>-20.149999999999999</v>
      </c>
      <c r="Q353" s="2">
        <v>-0.23</v>
      </c>
      <c r="R353" s="2">
        <v>5.36</v>
      </c>
      <c r="S353" s="2">
        <v>21.71</v>
      </c>
      <c r="T353" s="2">
        <v>15.43</v>
      </c>
      <c r="U353" s="2">
        <v>1.67</v>
      </c>
      <c r="V353" s="2">
        <v>6.64</v>
      </c>
      <c r="W353" s="2">
        <v>4.26</v>
      </c>
      <c r="X353" s="2">
        <v>9.91</v>
      </c>
      <c r="Y353" s="2">
        <v>8.61</v>
      </c>
      <c r="Z353" s="2">
        <v>6.46</v>
      </c>
      <c r="AA353" s="2">
        <v>3.58</v>
      </c>
      <c r="AB353" s="2">
        <v>4.6399999999999997</v>
      </c>
      <c r="AC353" s="2">
        <v>12.45</v>
      </c>
      <c r="AD353" s="2">
        <v>2.33</v>
      </c>
      <c r="AE353" s="2">
        <v>17.43</v>
      </c>
      <c r="AF353" s="2">
        <v>69.56</v>
      </c>
      <c r="AG353" s="2">
        <v>9.8800000000000008</v>
      </c>
    </row>
    <row r="354" spans="1:33" x14ac:dyDescent="0.2">
      <c r="A354" s="3">
        <v>18687</v>
      </c>
      <c r="B354" s="2">
        <v>11.07</v>
      </c>
      <c r="C354" s="2">
        <v>20.51</v>
      </c>
      <c r="D354" s="2">
        <v>0.03</v>
      </c>
      <c r="E354" s="2">
        <v>27.05</v>
      </c>
      <c r="F354" s="2">
        <v>34.229999999999997</v>
      </c>
      <c r="G354" s="2">
        <v>20.73</v>
      </c>
      <c r="H354" s="2">
        <v>19.62</v>
      </c>
      <c r="I354" s="2">
        <v>39.32</v>
      </c>
      <c r="J354" s="2">
        <v>1.23</v>
      </c>
      <c r="K354" s="2">
        <v>-2.65</v>
      </c>
      <c r="L354" s="2">
        <v>-36.47</v>
      </c>
      <c r="M354" s="2">
        <v>-14.78</v>
      </c>
      <c r="N354" s="2">
        <v>33.840000000000003</v>
      </c>
      <c r="O354" s="2">
        <v>-0.03</v>
      </c>
      <c r="P354" s="2">
        <v>-9.9700000000000006</v>
      </c>
      <c r="Q354" s="2">
        <v>-2.1800000000000002</v>
      </c>
      <c r="R354" s="2">
        <v>2.95</v>
      </c>
      <c r="S354" s="2">
        <v>5.5</v>
      </c>
      <c r="T354" s="2">
        <v>10.63</v>
      </c>
      <c r="U354" s="2">
        <v>2.0299999999999998</v>
      </c>
      <c r="V354" s="2">
        <v>6.72</v>
      </c>
      <c r="W354" s="2">
        <v>0</v>
      </c>
      <c r="X354" s="2">
        <v>3.38</v>
      </c>
      <c r="Y354" s="2">
        <v>3.46</v>
      </c>
      <c r="Z354" s="2">
        <v>0.86</v>
      </c>
      <c r="AA354" s="2">
        <v>1.43</v>
      </c>
      <c r="AB354" s="2">
        <v>0</v>
      </c>
      <c r="AC354" s="2">
        <v>0</v>
      </c>
      <c r="AD354" s="2">
        <v>2.5099999999999998</v>
      </c>
      <c r="AE354" s="2">
        <v>16.78</v>
      </c>
      <c r="AF354" s="2">
        <v>57.98</v>
      </c>
      <c r="AG354" s="2">
        <v>10.08</v>
      </c>
    </row>
    <row r="355" spans="1:33" x14ac:dyDescent="0.2">
      <c r="A355" s="3">
        <v>18718</v>
      </c>
      <c r="B355" s="2">
        <v>3.28</v>
      </c>
      <c r="C355" s="2">
        <v>10.52</v>
      </c>
      <c r="D355" s="2">
        <v>-22.28</v>
      </c>
      <c r="E355" s="2">
        <v>-72.06</v>
      </c>
      <c r="F355" s="2">
        <v>-56.5</v>
      </c>
      <c r="G355" s="2">
        <v>-37.89</v>
      </c>
      <c r="H355" s="2">
        <v>5.97</v>
      </c>
      <c r="I355" s="2">
        <v>34.44</v>
      </c>
      <c r="J355" s="2">
        <v>-5.62</v>
      </c>
      <c r="K355" s="2">
        <v>-16.57</v>
      </c>
      <c r="L355" s="2">
        <v>-7.97</v>
      </c>
      <c r="M355" s="2">
        <v>-7.88</v>
      </c>
      <c r="N355" s="2">
        <v>12.27</v>
      </c>
      <c r="O355" s="2">
        <v>9.81</v>
      </c>
      <c r="P355" s="2">
        <v>38.159999999999997</v>
      </c>
      <c r="Q355" s="2">
        <v>0.01</v>
      </c>
      <c r="R355" s="2">
        <v>-3.85</v>
      </c>
      <c r="S355" s="2">
        <v>-1.06</v>
      </c>
      <c r="T355" s="2">
        <v>21.24</v>
      </c>
      <c r="U355" s="2">
        <v>-2.4700000000000002</v>
      </c>
      <c r="V355" s="2">
        <v>18.059999999999999</v>
      </c>
      <c r="W355" s="2">
        <v>0</v>
      </c>
      <c r="X355" s="2">
        <v>4.29</v>
      </c>
      <c r="Y355" s="2">
        <v>3.33</v>
      </c>
      <c r="Z355" s="2">
        <v>1.44</v>
      </c>
      <c r="AA355" s="2">
        <v>0</v>
      </c>
      <c r="AB355" s="2">
        <v>0.06</v>
      </c>
      <c r="AC355" s="2">
        <v>2.44</v>
      </c>
      <c r="AD355" s="2">
        <v>4.26</v>
      </c>
      <c r="AE355" s="2">
        <v>4.66</v>
      </c>
      <c r="AF355" s="2">
        <v>68.42</v>
      </c>
      <c r="AG355" s="2">
        <v>10.69</v>
      </c>
    </row>
    <row r="356" spans="1:33" x14ac:dyDescent="0.2">
      <c r="A356" s="3">
        <v>18748</v>
      </c>
      <c r="B356" s="2">
        <v>-1.87</v>
      </c>
      <c r="C356" s="2">
        <v>3.72</v>
      </c>
      <c r="D356" s="2">
        <v>-24.99</v>
      </c>
      <c r="E356" s="2">
        <v>-77.41</v>
      </c>
      <c r="F356" s="2">
        <v>-23.24</v>
      </c>
      <c r="G356" s="2">
        <v>-50.44</v>
      </c>
      <c r="H356" s="2">
        <v>-1.85</v>
      </c>
      <c r="I356" s="2">
        <v>31.74</v>
      </c>
      <c r="J356" s="2">
        <v>-22.1</v>
      </c>
      <c r="K356" s="2">
        <v>-6.52</v>
      </c>
      <c r="L356" s="2">
        <v>-26.63</v>
      </c>
      <c r="M356" s="2">
        <v>-15.31</v>
      </c>
      <c r="N356" s="2">
        <v>33.869999999999997</v>
      </c>
      <c r="O356" s="2">
        <v>2.5499999999999998</v>
      </c>
      <c r="P356" s="2">
        <v>21.81</v>
      </c>
      <c r="Q356" s="2">
        <v>3.05</v>
      </c>
      <c r="R356" s="2">
        <v>0.67</v>
      </c>
      <c r="S356" s="2">
        <v>13.32</v>
      </c>
      <c r="T356" s="2">
        <v>14.19</v>
      </c>
      <c r="U356" s="2">
        <v>2.87</v>
      </c>
      <c r="V356" s="2">
        <v>17.48</v>
      </c>
      <c r="W356" s="2">
        <v>0</v>
      </c>
      <c r="X356" s="2">
        <v>5.22</v>
      </c>
      <c r="Y356" s="2">
        <v>4.5599999999999996</v>
      </c>
      <c r="Z356" s="2">
        <v>3.92</v>
      </c>
      <c r="AA356" s="2">
        <v>2.29</v>
      </c>
      <c r="AB356" s="2">
        <v>2.5499999999999998</v>
      </c>
      <c r="AC356" s="2">
        <v>3.66</v>
      </c>
      <c r="AD356" s="2">
        <v>6.07</v>
      </c>
      <c r="AE356" s="2">
        <v>4.9400000000000004</v>
      </c>
      <c r="AF356" s="2">
        <v>84.67</v>
      </c>
      <c r="AG356" s="2">
        <v>14.64</v>
      </c>
    </row>
    <row r="357" spans="1:33" x14ac:dyDescent="0.2">
      <c r="A357" s="3">
        <v>18779</v>
      </c>
      <c r="B357" s="2">
        <v>-0.28000000000000003</v>
      </c>
      <c r="C357" s="2">
        <v>6.02</v>
      </c>
      <c r="D357" s="2">
        <v>-5.18</v>
      </c>
      <c r="E357" s="2">
        <v>-46.29</v>
      </c>
      <c r="F357" s="2">
        <v>-22.69</v>
      </c>
      <c r="G357" s="2">
        <v>-25.34</v>
      </c>
      <c r="H357" s="2">
        <v>6.77</v>
      </c>
      <c r="I357" s="2">
        <v>28.22</v>
      </c>
      <c r="J357" s="2">
        <v>5.31</v>
      </c>
      <c r="K357" s="2">
        <v>9.86</v>
      </c>
      <c r="L357" s="2">
        <v>19.739999999999998</v>
      </c>
      <c r="M357" s="2">
        <v>18.579999999999998</v>
      </c>
      <c r="N357" s="2">
        <v>19.73</v>
      </c>
      <c r="O357" s="2">
        <v>17.079999999999998</v>
      </c>
      <c r="P357" s="2">
        <v>15.23</v>
      </c>
      <c r="Q357" s="2">
        <v>3.81</v>
      </c>
      <c r="R357" s="2">
        <v>5.46</v>
      </c>
      <c r="S357" s="2">
        <v>18.010000000000002</v>
      </c>
      <c r="T357" s="2">
        <v>32.4</v>
      </c>
      <c r="U357" s="2">
        <v>0.12</v>
      </c>
      <c r="V357" s="2">
        <v>26.96</v>
      </c>
      <c r="W357" s="2">
        <v>4.88</v>
      </c>
      <c r="X357" s="2">
        <v>8.23</v>
      </c>
      <c r="Y357" s="2">
        <v>6.91</v>
      </c>
      <c r="Z357" s="2">
        <v>1.67</v>
      </c>
      <c r="AA357" s="2">
        <v>0</v>
      </c>
      <c r="AB357" s="2">
        <v>0.85</v>
      </c>
      <c r="AC357" s="2">
        <v>0</v>
      </c>
      <c r="AD357" s="2">
        <v>9.1999999999999993</v>
      </c>
      <c r="AE357" s="2">
        <v>4.9400000000000004</v>
      </c>
      <c r="AF357" s="2">
        <v>95.62</v>
      </c>
      <c r="AG357" s="2">
        <v>17.690000000000001</v>
      </c>
    </row>
    <row r="358" spans="1:33" x14ac:dyDescent="0.2">
      <c r="A358" s="3">
        <v>18809</v>
      </c>
      <c r="B358" s="2">
        <v>-0.91</v>
      </c>
      <c r="C358" s="2">
        <v>5.58</v>
      </c>
      <c r="D358" s="2">
        <v>-6.91</v>
      </c>
      <c r="E358" s="2">
        <v>-64.55</v>
      </c>
      <c r="F358" s="2">
        <v>-45.08</v>
      </c>
      <c r="G358" s="2">
        <v>-28.32</v>
      </c>
      <c r="H358" s="2">
        <v>1.69</v>
      </c>
      <c r="I358" s="2">
        <v>21.71</v>
      </c>
      <c r="J358" s="2">
        <v>-26.25</v>
      </c>
      <c r="K358" s="2">
        <v>36.090000000000003</v>
      </c>
      <c r="L358" s="2">
        <v>-30.14</v>
      </c>
      <c r="M358" s="2">
        <v>-10.85</v>
      </c>
      <c r="N358" s="2">
        <v>26.42</v>
      </c>
      <c r="O358" s="2">
        <v>73.12</v>
      </c>
      <c r="P358" s="2">
        <v>43.79</v>
      </c>
      <c r="Q358" s="2">
        <v>4.68</v>
      </c>
      <c r="R358" s="2">
        <v>0.54</v>
      </c>
      <c r="S358" s="2">
        <v>19.96</v>
      </c>
      <c r="T358" s="2">
        <v>53.36</v>
      </c>
      <c r="U358" s="2">
        <v>0.23</v>
      </c>
      <c r="V358" s="2">
        <v>36.880000000000003</v>
      </c>
      <c r="W358" s="2">
        <v>18.62</v>
      </c>
      <c r="X358" s="2">
        <v>13.6</v>
      </c>
      <c r="Y358" s="2">
        <v>12.97</v>
      </c>
      <c r="Z358" s="2">
        <v>0</v>
      </c>
      <c r="AA358" s="2">
        <v>0</v>
      </c>
      <c r="AB358" s="2">
        <v>0.23</v>
      </c>
      <c r="AC358" s="2">
        <v>0</v>
      </c>
      <c r="AD358" s="2">
        <v>11.82</v>
      </c>
      <c r="AE358" s="2">
        <v>0.09</v>
      </c>
      <c r="AF358" s="2">
        <v>104.64</v>
      </c>
      <c r="AG358" s="2">
        <v>22.83</v>
      </c>
    </row>
    <row r="359" spans="1:33" x14ac:dyDescent="0.2">
      <c r="A359" s="3">
        <v>18840</v>
      </c>
      <c r="B359" s="2">
        <v>1.24</v>
      </c>
      <c r="C359" s="2">
        <v>7.54</v>
      </c>
      <c r="D359" s="2">
        <v>-0.49</v>
      </c>
      <c r="E359" s="2">
        <v>-36.770000000000003</v>
      </c>
      <c r="F359" s="2">
        <v>-17.97</v>
      </c>
      <c r="G359" s="2">
        <v>-7.71</v>
      </c>
      <c r="H359" s="2">
        <v>12.34</v>
      </c>
      <c r="I359" s="2">
        <v>22.41</v>
      </c>
      <c r="J359" s="2">
        <v>-28</v>
      </c>
      <c r="K359" s="2">
        <v>42.58</v>
      </c>
      <c r="L359" s="2">
        <v>-38.67</v>
      </c>
      <c r="M359" s="2">
        <v>-23.17</v>
      </c>
      <c r="N359" s="2">
        <v>28.73</v>
      </c>
      <c r="O359" s="2">
        <v>85.86</v>
      </c>
      <c r="P359" s="2">
        <v>94.06</v>
      </c>
      <c r="Q359" s="2">
        <v>0.63</v>
      </c>
      <c r="R359" s="2">
        <v>-2.12</v>
      </c>
      <c r="S359" s="2">
        <v>27.85</v>
      </c>
      <c r="T359" s="2">
        <v>46.99</v>
      </c>
      <c r="U359" s="2">
        <v>10.26</v>
      </c>
      <c r="V359" s="2">
        <v>39.369999999999997</v>
      </c>
      <c r="W359" s="2">
        <v>30.39</v>
      </c>
      <c r="X359" s="2">
        <v>18.850000000000001</v>
      </c>
      <c r="Y359" s="2">
        <v>18.59</v>
      </c>
      <c r="Z359" s="2">
        <v>0</v>
      </c>
      <c r="AA359" s="2">
        <v>7.03</v>
      </c>
      <c r="AB359" s="2">
        <v>1.25</v>
      </c>
      <c r="AC359" s="2">
        <v>0.41</v>
      </c>
      <c r="AD359" s="2">
        <v>9.6300000000000008</v>
      </c>
      <c r="AE359" s="2">
        <v>0</v>
      </c>
      <c r="AF359" s="2">
        <v>113.96</v>
      </c>
      <c r="AG359" s="2">
        <v>24.8</v>
      </c>
    </row>
    <row r="360" spans="1:33" x14ac:dyDescent="0.2">
      <c r="A360" s="3">
        <v>18871</v>
      </c>
      <c r="B360" s="2">
        <v>0.14000000000000001</v>
      </c>
      <c r="C360" s="2">
        <v>5.9</v>
      </c>
      <c r="D360" s="2">
        <v>-4.46</v>
      </c>
      <c r="E360" s="2">
        <v>-51.24</v>
      </c>
      <c r="F360" s="2">
        <v>-7.28</v>
      </c>
      <c r="G360" s="2">
        <v>-0.01</v>
      </c>
      <c r="H360" s="2">
        <v>14.62</v>
      </c>
      <c r="I360" s="2">
        <v>21.98</v>
      </c>
      <c r="J360" s="2">
        <v>-14.41</v>
      </c>
      <c r="K360" s="2">
        <v>39.549999999999997</v>
      </c>
      <c r="L360" s="2">
        <v>-20.54</v>
      </c>
      <c r="M360" s="2">
        <v>-13.18</v>
      </c>
      <c r="N360" s="2">
        <v>21.08</v>
      </c>
      <c r="O360" s="2">
        <v>67.47</v>
      </c>
      <c r="P360" s="2">
        <v>91.79</v>
      </c>
      <c r="Q360" s="2">
        <v>0.34</v>
      </c>
      <c r="R360" s="2">
        <v>-5.28</v>
      </c>
      <c r="S360" s="2">
        <v>27.22</v>
      </c>
      <c r="T360" s="2">
        <v>40.35</v>
      </c>
      <c r="U360" s="2">
        <v>8.19</v>
      </c>
      <c r="V360" s="2">
        <v>38.49</v>
      </c>
      <c r="W360" s="2">
        <v>31.47</v>
      </c>
      <c r="X360" s="2">
        <v>21.17</v>
      </c>
      <c r="Y360" s="2">
        <v>21.04</v>
      </c>
      <c r="Z360" s="2">
        <v>0</v>
      </c>
      <c r="AA360" s="2">
        <v>17.64</v>
      </c>
      <c r="AB360" s="2">
        <v>0</v>
      </c>
      <c r="AC360" s="2">
        <v>0</v>
      </c>
      <c r="AD360" s="2">
        <v>6.22</v>
      </c>
      <c r="AE360" s="2">
        <v>0</v>
      </c>
      <c r="AF360" s="2">
        <v>115.89</v>
      </c>
      <c r="AG360" s="2">
        <v>23.65</v>
      </c>
    </row>
    <row r="361" spans="1:33" x14ac:dyDescent="0.2">
      <c r="A361" s="3">
        <v>18901</v>
      </c>
      <c r="B361" s="2">
        <v>-4.0999999999999996</v>
      </c>
      <c r="C361" s="2">
        <v>2.85</v>
      </c>
      <c r="D361" s="2">
        <v>-18.149999999999999</v>
      </c>
      <c r="E361" s="2">
        <v>-56.46</v>
      </c>
      <c r="F361" s="2">
        <v>6.2</v>
      </c>
      <c r="G361" s="2">
        <v>3.85</v>
      </c>
      <c r="H361" s="2">
        <v>15.56</v>
      </c>
      <c r="I361" s="2">
        <v>26.91</v>
      </c>
      <c r="J361" s="2">
        <v>1.1200000000000001</v>
      </c>
      <c r="K361" s="2">
        <v>-14.4</v>
      </c>
      <c r="L361" s="2">
        <v>-9.0399999999999991</v>
      </c>
      <c r="M361" s="2">
        <v>-10.16</v>
      </c>
      <c r="N361" s="2">
        <v>13.97</v>
      </c>
      <c r="O361" s="2">
        <v>-2.08</v>
      </c>
      <c r="P361" s="2">
        <v>22.03</v>
      </c>
      <c r="Q361" s="2">
        <v>2.33</v>
      </c>
      <c r="R361" s="2">
        <v>0.31</v>
      </c>
      <c r="S361" s="2">
        <v>3.1</v>
      </c>
      <c r="T361" s="2">
        <v>11.52</v>
      </c>
      <c r="U361" s="2">
        <v>1.41</v>
      </c>
      <c r="V361" s="2">
        <v>9.73</v>
      </c>
      <c r="W361" s="2">
        <v>26.1</v>
      </c>
      <c r="X361" s="2">
        <v>20.100000000000001</v>
      </c>
      <c r="Y361" s="2">
        <v>19.77</v>
      </c>
      <c r="Z361" s="2">
        <v>0</v>
      </c>
      <c r="AA361" s="2">
        <v>2.29</v>
      </c>
      <c r="AB361" s="2">
        <v>0</v>
      </c>
      <c r="AC361" s="2">
        <v>2.98</v>
      </c>
      <c r="AD361" s="2">
        <v>4.91</v>
      </c>
      <c r="AE361" s="2">
        <v>2.0499999999999998</v>
      </c>
      <c r="AF361" s="2">
        <v>107.95</v>
      </c>
      <c r="AG361" s="2">
        <v>20.170000000000002</v>
      </c>
    </row>
    <row r="362" spans="1:33" x14ac:dyDescent="0.2">
      <c r="A362" s="3">
        <v>18932</v>
      </c>
      <c r="B362" s="2">
        <v>-2.78</v>
      </c>
      <c r="C362" s="2">
        <v>4.0599999999999996</v>
      </c>
      <c r="D362" s="2">
        <v>-4.8600000000000003</v>
      </c>
      <c r="E362" s="2">
        <v>-21.63</v>
      </c>
      <c r="F362" s="2">
        <v>4.58</v>
      </c>
      <c r="G362" s="2">
        <v>10.34</v>
      </c>
      <c r="H362" s="2">
        <v>15.6</v>
      </c>
      <c r="I362" s="2">
        <v>29.66</v>
      </c>
      <c r="J362" s="2">
        <v>6.46</v>
      </c>
      <c r="K362" s="2">
        <v>-1.02</v>
      </c>
      <c r="L362" s="2">
        <v>6.76</v>
      </c>
      <c r="M362" s="2">
        <v>0.89</v>
      </c>
      <c r="N362" s="2">
        <v>16.010000000000002</v>
      </c>
      <c r="O362" s="2">
        <v>11.83</v>
      </c>
      <c r="P362" s="2">
        <v>29.42</v>
      </c>
      <c r="Q362" s="2">
        <v>0.6</v>
      </c>
      <c r="R362" s="2">
        <v>-2.84</v>
      </c>
      <c r="S362" s="2">
        <v>2.4500000000000002</v>
      </c>
      <c r="T362" s="2">
        <v>15.51</v>
      </c>
      <c r="U362" s="2">
        <v>-1.33</v>
      </c>
      <c r="V362" s="2">
        <v>8.8800000000000008</v>
      </c>
      <c r="W362" s="2">
        <v>22.19</v>
      </c>
      <c r="X362" s="2">
        <v>18.63</v>
      </c>
      <c r="Y362" s="2">
        <v>18.28</v>
      </c>
      <c r="Z362" s="2">
        <v>3.45</v>
      </c>
      <c r="AA362" s="2">
        <v>1.29</v>
      </c>
      <c r="AB362" s="2">
        <v>0.28999999999999998</v>
      </c>
      <c r="AC362" s="2">
        <v>5.69</v>
      </c>
      <c r="AD362" s="2">
        <v>3.29</v>
      </c>
      <c r="AE362" s="2">
        <v>5.13</v>
      </c>
      <c r="AF362" s="2">
        <v>97.91</v>
      </c>
      <c r="AG362" s="2">
        <v>16.420000000000002</v>
      </c>
    </row>
    <row r="363" spans="1:33" x14ac:dyDescent="0.2">
      <c r="A363" s="3">
        <v>18962</v>
      </c>
      <c r="B363" s="2">
        <v>-1.19</v>
      </c>
      <c r="C363" s="2">
        <v>12.17</v>
      </c>
      <c r="D363" s="2">
        <v>3.43</v>
      </c>
      <c r="E363" s="2">
        <v>15.31</v>
      </c>
      <c r="F363" s="2">
        <v>16.54</v>
      </c>
      <c r="G363" s="2">
        <v>25.47</v>
      </c>
      <c r="H363" s="2">
        <v>17.670000000000002</v>
      </c>
      <c r="I363" s="2">
        <v>30.44</v>
      </c>
      <c r="J363" s="2">
        <v>12.69</v>
      </c>
      <c r="K363" s="2">
        <v>3.12</v>
      </c>
      <c r="L363" s="2">
        <v>-1.32</v>
      </c>
      <c r="M363" s="2">
        <v>-0.08</v>
      </c>
      <c r="N363" s="2">
        <v>9.68</v>
      </c>
      <c r="O363" s="2">
        <v>0.12</v>
      </c>
      <c r="P363" s="2">
        <v>15.25</v>
      </c>
      <c r="Q363" s="2">
        <v>-0.19</v>
      </c>
      <c r="R363" s="2">
        <v>-2.41</v>
      </c>
      <c r="S363" s="2">
        <v>7.99</v>
      </c>
      <c r="T363" s="2">
        <v>10.19</v>
      </c>
      <c r="U363" s="2">
        <v>2.31</v>
      </c>
      <c r="V363" s="2">
        <v>7.38</v>
      </c>
      <c r="W363" s="2">
        <v>15.43</v>
      </c>
      <c r="X363" s="2">
        <v>12.18</v>
      </c>
      <c r="Y363" s="2">
        <v>10.81</v>
      </c>
      <c r="Z363" s="2">
        <v>20.29</v>
      </c>
      <c r="AA363" s="2">
        <v>1.86</v>
      </c>
      <c r="AB363" s="2">
        <v>1.03</v>
      </c>
      <c r="AC363" s="2">
        <v>3.79</v>
      </c>
      <c r="AD363" s="2">
        <v>3.44</v>
      </c>
      <c r="AE363" s="2">
        <v>19.95</v>
      </c>
      <c r="AF363" s="2">
        <v>64.239999999999995</v>
      </c>
      <c r="AG363" s="2">
        <v>12.92</v>
      </c>
    </row>
    <row r="364" spans="1:33" x14ac:dyDescent="0.2">
      <c r="A364" s="3">
        <v>18993</v>
      </c>
      <c r="B364" s="2">
        <v>4.62</v>
      </c>
      <c r="C364" s="2">
        <v>19.07</v>
      </c>
      <c r="D364" s="2">
        <v>34.24</v>
      </c>
      <c r="E364" s="2">
        <v>85.99</v>
      </c>
      <c r="F364" s="2">
        <v>107.22</v>
      </c>
      <c r="G364" s="2">
        <v>152.25</v>
      </c>
      <c r="H364" s="2">
        <v>39.57</v>
      </c>
      <c r="I364" s="2">
        <v>45.09</v>
      </c>
      <c r="J364" s="2">
        <v>91.89</v>
      </c>
      <c r="K364" s="2">
        <v>49.89</v>
      </c>
      <c r="L364" s="2">
        <v>34.5</v>
      </c>
      <c r="M364" s="2">
        <v>38.729999999999997</v>
      </c>
      <c r="N364" s="2">
        <v>50.26</v>
      </c>
      <c r="O364" s="2">
        <v>1.1000000000000001</v>
      </c>
      <c r="P364" s="2">
        <v>60.64</v>
      </c>
      <c r="Q364" s="2">
        <v>0.68</v>
      </c>
      <c r="R364" s="2">
        <v>4.29</v>
      </c>
      <c r="S364" s="2">
        <v>68.47</v>
      </c>
      <c r="T364" s="2">
        <v>16.32</v>
      </c>
      <c r="U364" s="2">
        <v>4.29</v>
      </c>
      <c r="V364" s="2">
        <v>24.39</v>
      </c>
      <c r="W364" s="2">
        <v>11.73</v>
      </c>
      <c r="X364" s="2">
        <v>9.9600000000000009</v>
      </c>
      <c r="Y364" s="2">
        <v>9.82</v>
      </c>
      <c r="Z364" s="2">
        <v>2.87</v>
      </c>
      <c r="AA364" s="2">
        <v>8.0299999999999994</v>
      </c>
      <c r="AB364" s="2">
        <v>25.99</v>
      </c>
      <c r="AC364" s="2">
        <v>36.28</v>
      </c>
      <c r="AD364" s="2">
        <v>3.65</v>
      </c>
      <c r="AE364" s="2">
        <v>37.85</v>
      </c>
      <c r="AF364" s="2">
        <v>59.02</v>
      </c>
      <c r="AG364" s="2">
        <v>11.2</v>
      </c>
    </row>
    <row r="365" spans="1:33" x14ac:dyDescent="0.2">
      <c r="A365" s="3">
        <v>19024</v>
      </c>
      <c r="B365" s="2">
        <v>12.43</v>
      </c>
      <c r="C365" s="2">
        <v>38.299999999999997</v>
      </c>
      <c r="D365" s="2">
        <v>68.92</v>
      </c>
      <c r="E365" s="2">
        <v>104.31</v>
      </c>
      <c r="F365" s="2">
        <v>88.54</v>
      </c>
      <c r="G365" s="2">
        <v>190.1</v>
      </c>
      <c r="H365" s="2">
        <v>34.22</v>
      </c>
      <c r="I365" s="2">
        <v>56.04</v>
      </c>
      <c r="J365" s="2">
        <v>131.71</v>
      </c>
      <c r="K365" s="2">
        <v>47.43</v>
      </c>
      <c r="L365" s="2">
        <v>30.82</v>
      </c>
      <c r="M365" s="2">
        <v>35.78</v>
      </c>
      <c r="N365" s="2">
        <v>103.09</v>
      </c>
      <c r="O365" s="2">
        <v>1.8</v>
      </c>
      <c r="P365" s="2">
        <v>75.39</v>
      </c>
      <c r="Q365" s="2">
        <v>2.98</v>
      </c>
      <c r="R365" s="2">
        <v>17.059999999999999</v>
      </c>
      <c r="S365" s="2">
        <v>92.11</v>
      </c>
      <c r="T365" s="2">
        <v>58.02</v>
      </c>
      <c r="U365" s="2">
        <v>8.4700000000000006</v>
      </c>
      <c r="V365" s="2">
        <v>19.829999999999998</v>
      </c>
      <c r="W365" s="2">
        <v>4.26</v>
      </c>
      <c r="X365" s="2">
        <v>9.5</v>
      </c>
      <c r="Y365" s="2">
        <v>8.34</v>
      </c>
      <c r="Z365" s="2">
        <v>29.91</v>
      </c>
      <c r="AA365" s="2">
        <v>29.54</v>
      </c>
      <c r="AB365" s="2">
        <v>11.14</v>
      </c>
      <c r="AC365" s="2">
        <v>20.58</v>
      </c>
      <c r="AD365" s="2">
        <v>2.74</v>
      </c>
      <c r="AE365" s="2">
        <v>59.1</v>
      </c>
      <c r="AF365" s="2">
        <v>71.25</v>
      </c>
      <c r="AG365" s="2">
        <v>9.8800000000000008</v>
      </c>
    </row>
    <row r="366" spans="1:33" x14ac:dyDescent="0.2">
      <c r="A366" s="3">
        <v>19053</v>
      </c>
      <c r="B366" s="2">
        <v>17.11</v>
      </c>
      <c r="C366" s="2">
        <v>33.97</v>
      </c>
      <c r="D366" s="2">
        <v>-3.66</v>
      </c>
      <c r="E366" s="2">
        <v>25.38</v>
      </c>
      <c r="F366" s="2">
        <v>69.260000000000005</v>
      </c>
      <c r="G366" s="2">
        <v>29.46</v>
      </c>
      <c r="H366" s="2">
        <v>28.75</v>
      </c>
      <c r="I366" s="2">
        <v>45.31</v>
      </c>
      <c r="J366" s="2">
        <v>20.21</v>
      </c>
      <c r="K366" s="2">
        <v>5.59</v>
      </c>
      <c r="L366" s="2">
        <v>6.22</v>
      </c>
      <c r="M366" s="2">
        <v>-4.55</v>
      </c>
      <c r="N366" s="2">
        <v>53.13</v>
      </c>
      <c r="O366" s="2">
        <v>0.79</v>
      </c>
      <c r="P366" s="2">
        <v>-12.25</v>
      </c>
      <c r="Q366" s="2">
        <v>5.03</v>
      </c>
      <c r="R366" s="2">
        <v>9.57</v>
      </c>
      <c r="S366" s="2">
        <v>10.65</v>
      </c>
      <c r="T366" s="2">
        <v>6.39</v>
      </c>
      <c r="U366" s="2">
        <v>4.55</v>
      </c>
      <c r="V366" s="2">
        <v>8.66</v>
      </c>
      <c r="W366" s="2">
        <v>0</v>
      </c>
      <c r="X366" s="2">
        <v>3.08</v>
      </c>
      <c r="Y366" s="2">
        <v>3.38</v>
      </c>
      <c r="Z366" s="2">
        <v>2.11</v>
      </c>
      <c r="AA366" s="2">
        <v>0</v>
      </c>
      <c r="AB366" s="2">
        <v>0</v>
      </c>
      <c r="AC366" s="2">
        <v>0.27</v>
      </c>
      <c r="AD366" s="2">
        <v>2.76</v>
      </c>
      <c r="AE366" s="2">
        <v>8.58</v>
      </c>
      <c r="AF366" s="2">
        <v>59.39</v>
      </c>
      <c r="AG366" s="2">
        <v>10.08</v>
      </c>
    </row>
    <row r="367" spans="1:33" x14ac:dyDescent="0.2">
      <c r="A367" s="3">
        <v>19084</v>
      </c>
      <c r="B367" s="2">
        <v>12.5</v>
      </c>
      <c r="C367" s="2">
        <v>26.18</v>
      </c>
      <c r="D367" s="2">
        <v>-10.15</v>
      </c>
      <c r="E367" s="2">
        <v>-30.76</v>
      </c>
      <c r="F367" s="2">
        <v>-23.52</v>
      </c>
      <c r="G367" s="2">
        <v>-22.66</v>
      </c>
      <c r="H367" s="2">
        <v>20.65</v>
      </c>
      <c r="I367" s="2">
        <v>49.18</v>
      </c>
      <c r="J367" s="2">
        <v>34.450000000000003</v>
      </c>
      <c r="K367" s="2">
        <v>47.13</v>
      </c>
      <c r="L367" s="2">
        <v>25.8</v>
      </c>
      <c r="M367" s="2">
        <v>27.59</v>
      </c>
      <c r="N367" s="2">
        <v>101.14</v>
      </c>
      <c r="O367" s="2">
        <v>5</v>
      </c>
      <c r="P367" s="2">
        <v>92.23</v>
      </c>
      <c r="Q367" s="2">
        <v>13.18</v>
      </c>
      <c r="R367" s="2">
        <v>9.99</v>
      </c>
      <c r="S367" s="2">
        <v>84.49</v>
      </c>
      <c r="T367" s="2">
        <v>43.31</v>
      </c>
      <c r="U367" s="2">
        <v>11.11</v>
      </c>
      <c r="V367" s="2">
        <v>26.7</v>
      </c>
      <c r="W367" s="2">
        <v>0</v>
      </c>
      <c r="X367" s="2">
        <v>3.93</v>
      </c>
      <c r="Y367" s="2">
        <v>3.11</v>
      </c>
      <c r="Z367" s="2">
        <v>22.44</v>
      </c>
      <c r="AA367" s="2">
        <v>3.01</v>
      </c>
      <c r="AB367" s="2">
        <v>3.88</v>
      </c>
      <c r="AC367" s="2">
        <v>13.4</v>
      </c>
      <c r="AD367" s="2">
        <v>4.43</v>
      </c>
      <c r="AE367" s="2">
        <v>38.78</v>
      </c>
      <c r="AF367" s="2">
        <v>70.09</v>
      </c>
      <c r="AG367" s="2">
        <v>10.69</v>
      </c>
    </row>
    <row r="368" spans="1:33" x14ac:dyDescent="0.2">
      <c r="A368" s="3">
        <v>19114</v>
      </c>
      <c r="B368" s="2">
        <v>9.85</v>
      </c>
      <c r="C368" s="2">
        <v>19.649999999999999</v>
      </c>
      <c r="D368" s="2">
        <v>-19.989999999999998</v>
      </c>
      <c r="E368" s="2">
        <v>-19.190000000000001</v>
      </c>
      <c r="F368" s="2">
        <v>83.1</v>
      </c>
      <c r="G368" s="2">
        <v>-36.020000000000003</v>
      </c>
      <c r="H368" s="2">
        <v>27.97</v>
      </c>
      <c r="I368" s="2">
        <v>47.31</v>
      </c>
      <c r="J368" s="2">
        <v>35.14</v>
      </c>
      <c r="K368" s="2">
        <v>37.53</v>
      </c>
      <c r="L368" s="2">
        <v>38.07</v>
      </c>
      <c r="M368" s="2">
        <v>30.67</v>
      </c>
      <c r="N368" s="2">
        <v>50.72</v>
      </c>
      <c r="O368" s="2">
        <v>3.18</v>
      </c>
      <c r="P368" s="2">
        <v>6.36</v>
      </c>
      <c r="Q368" s="2">
        <v>17.21</v>
      </c>
      <c r="R368" s="2">
        <v>6.68</v>
      </c>
      <c r="S368" s="2">
        <v>29.86</v>
      </c>
      <c r="T368" s="2">
        <v>-12.02</v>
      </c>
      <c r="U368" s="2">
        <v>32.35</v>
      </c>
      <c r="V368" s="2">
        <v>31.3</v>
      </c>
      <c r="W368" s="2">
        <v>0</v>
      </c>
      <c r="X368" s="2">
        <v>4.75</v>
      </c>
      <c r="Y368" s="2">
        <v>4.3</v>
      </c>
      <c r="Z368" s="2">
        <v>3.25</v>
      </c>
      <c r="AA368" s="2">
        <v>4.16</v>
      </c>
      <c r="AB368" s="2">
        <v>5.65</v>
      </c>
      <c r="AC368" s="2">
        <v>1.08</v>
      </c>
      <c r="AD368" s="2">
        <v>5.56</v>
      </c>
      <c r="AE368" s="2">
        <v>11.75</v>
      </c>
      <c r="AF368" s="2">
        <v>86.72</v>
      </c>
      <c r="AG368" s="2">
        <v>14.64</v>
      </c>
    </row>
    <row r="369" spans="1:33" x14ac:dyDescent="0.2">
      <c r="A369" s="3">
        <v>19145</v>
      </c>
      <c r="B369" s="2">
        <v>8.8800000000000008</v>
      </c>
      <c r="C369" s="2">
        <v>12.4</v>
      </c>
      <c r="D369" s="2">
        <v>-9.69</v>
      </c>
      <c r="E369" s="2">
        <v>-41.75</v>
      </c>
      <c r="F369" s="2">
        <v>-26.92</v>
      </c>
      <c r="G369" s="2">
        <v>-29.77</v>
      </c>
      <c r="H369" s="2">
        <v>18.489999999999998</v>
      </c>
      <c r="I369" s="2">
        <v>39.39</v>
      </c>
      <c r="J369" s="2">
        <v>28.46</v>
      </c>
      <c r="K369" s="2">
        <v>25.44</v>
      </c>
      <c r="L369" s="2">
        <v>70.209999999999994</v>
      </c>
      <c r="M369" s="2">
        <v>35.409999999999997</v>
      </c>
      <c r="N369" s="2">
        <v>40.51</v>
      </c>
      <c r="O369" s="2">
        <v>25.56</v>
      </c>
      <c r="P369" s="2">
        <v>57.31</v>
      </c>
      <c r="Q369" s="2">
        <v>17.7</v>
      </c>
      <c r="R369" s="2">
        <v>20.239999999999998</v>
      </c>
      <c r="S369" s="2">
        <v>87.38</v>
      </c>
      <c r="T369" s="2">
        <v>15.99</v>
      </c>
      <c r="U369" s="2">
        <v>59.2</v>
      </c>
      <c r="V369" s="2">
        <v>51.77</v>
      </c>
      <c r="W369" s="2">
        <v>4.88</v>
      </c>
      <c r="X369" s="2">
        <v>7.74</v>
      </c>
      <c r="Y369" s="2">
        <v>6.6</v>
      </c>
      <c r="Z369" s="2">
        <v>0</v>
      </c>
      <c r="AA369" s="2">
        <v>0</v>
      </c>
      <c r="AB369" s="2">
        <v>0</v>
      </c>
      <c r="AC369" s="2">
        <v>0</v>
      </c>
      <c r="AD369" s="2">
        <v>8.7100000000000009</v>
      </c>
      <c r="AE369" s="2">
        <v>0.75</v>
      </c>
      <c r="AF369" s="2">
        <v>97.94</v>
      </c>
      <c r="AG369" s="2">
        <v>17.690000000000001</v>
      </c>
    </row>
    <row r="370" spans="1:33" x14ac:dyDescent="0.2">
      <c r="A370" s="3">
        <v>19175</v>
      </c>
      <c r="B370" s="2">
        <v>4.72</v>
      </c>
      <c r="C370" s="2">
        <v>10.19</v>
      </c>
      <c r="D370" s="2">
        <v>-16.18</v>
      </c>
      <c r="E370" s="2">
        <v>-85.9</v>
      </c>
      <c r="F370" s="2">
        <v>-99.47</v>
      </c>
      <c r="G370" s="2">
        <v>-38.229999999999997</v>
      </c>
      <c r="H370" s="2">
        <v>2.0099999999999998</v>
      </c>
      <c r="I370" s="2">
        <v>35.479999999999997</v>
      </c>
      <c r="J370" s="2">
        <v>-21.36</v>
      </c>
      <c r="K370" s="2">
        <v>-4.75</v>
      </c>
      <c r="L370" s="2">
        <v>-39.049999999999997</v>
      </c>
      <c r="M370" s="2">
        <v>-23.7</v>
      </c>
      <c r="N370" s="2">
        <v>21.4</v>
      </c>
      <c r="O370" s="2">
        <v>62.61</v>
      </c>
      <c r="P370" s="2">
        <v>-6.99</v>
      </c>
      <c r="Q370" s="2">
        <v>17.8</v>
      </c>
      <c r="R370" s="2">
        <v>18.45</v>
      </c>
      <c r="S370" s="2">
        <v>55.39</v>
      </c>
      <c r="T370" s="2">
        <v>33.22</v>
      </c>
      <c r="U370" s="2">
        <v>32.380000000000003</v>
      </c>
      <c r="V370" s="2">
        <v>38.909999999999997</v>
      </c>
      <c r="W370" s="2">
        <v>18.62</v>
      </c>
      <c r="X370" s="2">
        <v>13.05</v>
      </c>
      <c r="Y370" s="2">
        <v>12.67</v>
      </c>
      <c r="Z370" s="2">
        <v>0</v>
      </c>
      <c r="AA370" s="2">
        <v>0</v>
      </c>
      <c r="AB370" s="2">
        <v>0</v>
      </c>
      <c r="AC370" s="2">
        <v>0</v>
      </c>
      <c r="AD370" s="2">
        <v>13.05</v>
      </c>
      <c r="AE370" s="2">
        <v>0.19</v>
      </c>
      <c r="AF370" s="2">
        <v>107.19</v>
      </c>
      <c r="AG370" s="2">
        <v>22.83</v>
      </c>
    </row>
    <row r="371" spans="1:33" x14ac:dyDescent="0.2">
      <c r="A371" s="3">
        <v>19206</v>
      </c>
      <c r="B371" s="2">
        <v>3.18</v>
      </c>
      <c r="C371" s="2">
        <v>8.51</v>
      </c>
      <c r="D371" s="2">
        <v>-13.42</v>
      </c>
      <c r="E371" s="2">
        <v>-73.63</v>
      </c>
      <c r="F371" s="2">
        <v>-66.61</v>
      </c>
      <c r="G371" s="2">
        <v>-32.97</v>
      </c>
      <c r="H371" s="2">
        <v>-2.88</v>
      </c>
      <c r="I371" s="2">
        <v>27.36</v>
      </c>
      <c r="J371" s="2">
        <v>-69.180000000000007</v>
      </c>
      <c r="K371" s="2">
        <v>-38.700000000000003</v>
      </c>
      <c r="L371" s="2">
        <v>-98.74</v>
      </c>
      <c r="M371" s="2">
        <v>-60.45</v>
      </c>
      <c r="N371" s="2">
        <v>-9.9700000000000006</v>
      </c>
      <c r="O371" s="2">
        <v>85.2</v>
      </c>
      <c r="P371" s="2">
        <v>21.66</v>
      </c>
      <c r="Q371" s="2">
        <v>11.43</v>
      </c>
      <c r="R371" s="2">
        <v>13.03</v>
      </c>
      <c r="S371" s="2">
        <v>26.14</v>
      </c>
      <c r="T371" s="2">
        <v>41.27</v>
      </c>
      <c r="U371" s="2">
        <v>3.85</v>
      </c>
      <c r="V371" s="2">
        <v>36.159999999999997</v>
      </c>
      <c r="W371" s="2">
        <v>30.39</v>
      </c>
      <c r="X371" s="2">
        <v>18.239999999999998</v>
      </c>
      <c r="Y371" s="2">
        <v>18.2</v>
      </c>
      <c r="Z371" s="2">
        <v>1.39</v>
      </c>
      <c r="AA371" s="2">
        <v>0</v>
      </c>
      <c r="AB371" s="2">
        <v>1.37</v>
      </c>
      <c r="AC371" s="2">
        <v>4.74</v>
      </c>
      <c r="AD371" s="2">
        <v>11.07</v>
      </c>
      <c r="AE371" s="2">
        <v>0.37</v>
      </c>
      <c r="AF371" s="2">
        <v>116.73</v>
      </c>
      <c r="AG371" s="2">
        <v>24.8</v>
      </c>
    </row>
    <row r="372" spans="1:33" x14ac:dyDescent="0.2">
      <c r="A372" s="3">
        <v>19237</v>
      </c>
      <c r="B372" s="2">
        <v>2.4</v>
      </c>
      <c r="C372" s="2">
        <v>7.68</v>
      </c>
      <c r="D372" s="2">
        <v>-8.44</v>
      </c>
      <c r="E372" s="2">
        <v>-59.28</v>
      </c>
      <c r="F372" s="2">
        <v>-28.55</v>
      </c>
      <c r="G372" s="2">
        <v>-14.13</v>
      </c>
      <c r="H372" s="2">
        <v>4.95</v>
      </c>
      <c r="I372" s="2">
        <v>24.49</v>
      </c>
      <c r="J372" s="2">
        <v>-43.73</v>
      </c>
      <c r="K372" s="2">
        <v>20.89</v>
      </c>
      <c r="L372" s="2">
        <v>-56.48</v>
      </c>
      <c r="M372" s="2">
        <v>-24.97</v>
      </c>
      <c r="N372" s="2">
        <v>14.99</v>
      </c>
      <c r="O372" s="2">
        <v>67.16</v>
      </c>
      <c r="P372" s="2">
        <v>37.01</v>
      </c>
      <c r="Q372" s="2">
        <v>3.09</v>
      </c>
      <c r="R372" s="2">
        <v>15.44</v>
      </c>
      <c r="S372" s="2">
        <v>14.44</v>
      </c>
      <c r="T372" s="2">
        <v>38.869999999999997</v>
      </c>
      <c r="U372" s="2">
        <v>0.72</v>
      </c>
      <c r="V372" s="2">
        <v>32.25</v>
      </c>
      <c r="W372" s="2">
        <v>31.47</v>
      </c>
      <c r="X372" s="2">
        <v>20.54</v>
      </c>
      <c r="Y372" s="2">
        <v>20.67</v>
      </c>
      <c r="Z372" s="2">
        <v>0</v>
      </c>
      <c r="AA372" s="2">
        <v>1.74</v>
      </c>
      <c r="AB372" s="2">
        <v>0</v>
      </c>
      <c r="AC372" s="2">
        <v>0.95</v>
      </c>
      <c r="AD372" s="2">
        <v>7.19</v>
      </c>
      <c r="AE372" s="2">
        <v>0</v>
      </c>
      <c r="AF372" s="2">
        <v>118.71</v>
      </c>
      <c r="AG372" s="2">
        <v>23.65</v>
      </c>
    </row>
    <row r="373" spans="1:33" x14ac:dyDescent="0.2">
      <c r="A373" s="3">
        <v>19267</v>
      </c>
      <c r="B373" s="2">
        <v>-0.46</v>
      </c>
      <c r="C373" s="2">
        <v>5.91</v>
      </c>
      <c r="D373" s="2">
        <v>-14.2</v>
      </c>
      <c r="E373" s="2">
        <v>-58.92</v>
      </c>
      <c r="F373" s="2">
        <v>-15.38</v>
      </c>
      <c r="G373" s="2">
        <v>1.45</v>
      </c>
      <c r="H373" s="2">
        <v>14.7</v>
      </c>
      <c r="I373" s="2">
        <v>32.33</v>
      </c>
      <c r="J373" s="2">
        <v>-8.89</v>
      </c>
      <c r="K373" s="2">
        <v>-8.5299999999999994</v>
      </c>
      <c r="L373" s="2">
        <v>-29.29</v>
      </c>
      <c r="M373" s="2">
        <v>-10.49</v>
      </c>
      <c r="N373" s="2">
        <v>20.49</v>
      </c>
      <c r="O373" s="2">
        <v>2.35</v>
      </c>
      <c r="P373" s="2">
        <v>13.51</v>
      </c>
      <c r="Q373" s="2">
        <v>5.7</v>
      </c>
      <c r="R373" s="2">
        <v>9.39</v>
      </c>
      <c r="S373" s="2">
        <v>7.35</v>
      </c>
      <c r="T373" s="2">
        <v>13.2</v>
      </c>
      <c r="U373" s="2">
        <v>4.9400000000000004</v>
      </c>
      <c r="V373" s="2">
        <v>9.58</v>
      </c>
      <c r="W373" s="2">
        <v>26.1</v>
      </c>
      <c r="X373" s="2">
        <v>19.489999999999998</v>
      </c>
      <c r="Y373" s="2">
        <v>19.39</v>
      </c>
      <c r="Z373" s="2">
        <v>1.67</v>
      </c>
      <c r="AA373" s="2">
        <v>1.29</v>
      </c>
      <c r="AB373" s="2">
        <v>3.31</v>
      </c>
      <c r="AC373" s="2">
        <v>16.25</v>
      </c>
      <c r="AD373" s="2">
        <v>4.91</v>
      </c>
      <c r="AE373" s="2">
        <v>0</v>
      </c>
      <c r="AF373" s="2">
        <v>110.57</v>
      </c>
      <c r="AG373" s="2">
        <v>20.170000000000002</v>
      </c>
    </row>
    <row r="374" spans="1:33" x14ac:dyDescent="0.2">
      <c r="A374" s="3">
        <v>19298</v>
      </c>
      <c r="B374" s="2">
        <v>-0.54</v>
      </c>
      <c r="C374" s="2">
        <v>6.09</v>
      </c>
      <c r="D374" s="2">
        <v>-15.18</v>
      </c>
      <c r="E374" s="2">
        <v>-41.38</v>
      </c>
      <c r="F374" s="2">
        <v>-8.67</v>
      </c>
      <c r="G374" s="2">
        <v>5.84</v>
      </c>
      <c r="H374" s="2">
        <v>14.39</v>
      </c>
      <c r="I374" s="2">
        <v>32.04</v>
      </c>
      <c r="J374" s="2">
        <v>-4.26</v>
      </c>
      <c r="K374" s="2">
        <v>-5.01</v>
      </c>
      <c r="L374" s="2">
        <v>-12.43</v>
      </c>
      <c r="M374" s="2">
        <v>-2.31</v>
      </c>
      <c r="N374" s="2">
        <v>14.42</v>
      </c>
      <c r="O374" s="2">
        <v>11.84</v>
      </c>
      <c r="P374" s="2">
        <v>7.47</v>
      </c>
      <c r="Q374" s="2">
        <v>1.66</v>
      </c>
      <c r="R374" s="2">
        <v>2.23</v>
      </c>
      <c r="S374" s="2">
        <v>-2.27</v>
      </c>
      <c r="T374" s="2">
        <v>16.100000000000001</v>
      </c>
      <c r="U374" s="2">
        <v>1.46</v>
      </c>
      <c r="V374" s="2">
        <v>10.039999999999999</v>
      </c>
      <c r="W374" s="2">
        <v>22.19</v>
      </c>
      <c r="X374" s="2">
        <v>18.07</v>
      </c>
      <c r="Y374" s="2">
        <v>17.93</v>
      </c>
      <c r="Z374" s="2">
        <v>9.09</v>
      </c>
      <c r="AA374" s="2">
        <v>0</v>
      </c>
      <c r="AB374" s="2">
        <v>0</v>
      </c>
      <c r="AC374" s="2">
        <v>0</v>
      </c>
      <c r="AD374" s="2">
        <v>2.1</v>
      </c>
      <c r="AE374" s="2">
        <v>0.09</v>
      </c>
      <c r="AF374" s="2">
        <v>100.29</v>
      </c>
      <c r="AG374" s="2">
        <v>16.420000000000002</v>
      </c>
    </row>
    <row r="375" spans="1:33" x14ac:dyDescent="0.2">
      <c r="A375" s="3">
        <v>19328</v>
      </c>
      <c r="B375" s="2">
        <v>0.13</v>
      </c>
      <c r="C375" s="2">
        <v>6.28</v>
      </c>
      <c r="D375" s="2">
        <v>-4.2699999999999996</v>
      </c>
      <c r="E375" s="2">
        <v>-19.09</v>
      </c>
      <c r="F375" s="2">
        <v>-3.24</v>
      </c>
      <c r="G375" s="2">
        <v>9.0500000000000007</v>
      </c>
      <c r="H375" s="2">
        <v>13.61</v>
      </c>
      <c r="I375" s="2">
        <v>31.14</v>
      </c>
      <c r="J375" s="2">
        <v>4.8899999999999997</v>
      </c>
      <c r="K375" s="2">
        <v>-4.0999999999999996</v>
      </c>
      <c r="L375" s="2">
        <v>0.51</v>
      </c>
      <c r="M375" s="2">
        <v>4.03</v>
      </c>
      <c r="N375" s="2">
        <v>6.47</v>
      </c>
      <c r="O375" s="2">
        <v>3.16</v>
      </c>
      <c r="P375" s="2">
        <v>1.91</v>
      </c>
      <c r="Q375" s="2">
        <v>-0.69</v>
      </c>
      <c r="R375" s="2">
        <v>-0.14000000000000001</v>
      </c>
      <c r="S375" s="2">
        <v>17.940000000000001</v>
      </c>
      <c r="T375" s="2">
        <v>11.39</v>
      </c>
      <c r="U375" s="2">
        <v>5.54</v>
      </c>
      <c r="V375" s="2">
        <v>7.73</v>
      </c>
      <c r="W375" s="2">
        <v>15.43</v>
      </c>
      <c r="X375" s="2">
        <v>11.92</v>
      </c>
      <c r="Y375" s="2">
        <v>10.72</v>
      </c>
      <c r="Z375" s="2">
        <v>9.6199999999999992</v>
      </c>
      <c r="AA375" s="2">
        <v>29.25</v>
      </c>
      <c r="AB375" s="2">
        <v>2.15</v>
      </c>
      <c r="AC375" s="2">
        <v>17.46</v>
      </c>
      <c r="AD375" s="2">
        <v>1.18</v>
      </c>
      <c r="AE375" s="2">
        <v>13.24</v>
      </c>
      <c r="AF375" s="2">
        <v>65.81</v>
      </c>
      <c r="AG375" s="2">
        <v>12.92</v>
      </c>
    </row>
    <row r="376" spans="1:33" x14ac:dyDescent="0.2">
      <c r="A376" s="3">
        <v>19359</v>
      </c>
      <c r="B376" s="2">
        <v>8.5500000000000007</v>
      </c>
      <c r="C376" s="2">
        <v>30.77</v>
      </c>
      <c r="D376" s="2">
        <v>73.62</v>
      </c>
      <c r="E376" s="2">
        <v>141.77000000000001</v>
      </c>
      <c r="F376" s="2">
        <v>79.47</v>
      </c>
      <c r="G376" s="2">
        <v>182.6</v>
      </c>
      <c r="H376" s="2">
        <v>43.94</v>
      </c>
      <c r="I376" s="2">
        <v>43.68</v>
      </c>
      <c r="J376" s="2">
        <v>93.45</v>
      </c>
      <c r="K376" s="2">
        <v>48.61</v>
      </c>
      <c r="L376" s="2">
        <v>23.18</v>
      </c>
      <c r="M376" s="2">
        <v>33.33</v>
      </c>
      <c r="N376" s="2">
        <v>43.6</v>
      </c>
      <c r="O376" s="2">
        <v>2.91</v>
      </c>
      <c r="P376" s="2">
        <v>35.130000000000003</v>
      </c>
      <c r="Q376" s="2">
        <v>0.52</v>
      </c>
      <c r="R376" s="2">
        <v>6.5</v>
      </c>
      <c r="S376" s="2">
        <v>55.21</v>
      </c>
      <c r="T376" s="2">
        <v>23.53</v>
      </c>
      <c r="U376" s="2">
        <v>5.65</v>
      </c>
      <c r="V376" s="2">
        <v>8.2899999999999991</v>
      </c>
      <c r="W376" s="2">
        <v>11.73</v>
      </c>
      <c r="X376" s="2">
        <v>9.7200000000000006</v>
      </c>
      <c r="Y376" s="2">
        <v>9.74</v>
      </c>
      <c r="Z376" s="2">
        <v>0</v>
      </c>
      <c r="AA376" s="2">
        <v>25.38</v>
      </c>
      <c r="AB376" s="2">
        <v>3.47</v>
      </c>
      <c r="AC376" s="2">
        <v>15.57</v>
      </c>
      <c r="AD376" s="2">
        <v>1.24</v>
      </c>
      <c r="AE376" s="2">
        <v>42.51</v>
      </c>
      <c r="AF376" s="2">
        <v>60.46</v>
      </c>
      <c r="AG376" s="2">
        <v>11.2</v>
      </c>
    </row>
    <row r="377" spans="1:33" x14ac:dyDescent="0.2">
      <c r="A377" s="3">
        <v>19390</v>
      </c>
      <c r="B377" s="2">
        <v>23.57</v>
      </c>
      <c r="C377" s="2">
        <v>49.95</v>
      </c>
      <c r="D377" s="2">
        <v>43.03</v>
      </c>
      <c r="E377" s="2">
        <v>179.4</v>
      </c>
      <c r="F377" s="2">
        <v>242.77</v>
      </c>
      <c r="G377" s="2">
        <v>186.56</v>
      </c>
      <c r="H377" s="2">
        <v>39.08</v>
      </c>
      <c r="I377" s="2">
        <v>43.25</v>
      </c>
      <c r="J377" s="2">
        <v>51.88</v>
      </c>
      <c r="K377" s="2">
        <v>-18.5</v>
      </c>
      <c r="L377" s="2">
        <v>8.84</v>
      </c>
      <c r="M377" s="2">
        <v>-10.130000000000001</v>
      </c>
      <c r="N377" s="2">
        <v>15.28</v>
      </c>
      <c r="O377" s="2">
        <v>3.84</v>
      </c>
      <c r="P377" s="2">
        <v>18.64</v>
      </c>
      <c r="Q377" s="2">
        <v>1.43</v>
      </c>
      <c r="R377" s="2">
        <v>3.64</v>
      </c>
      <c r="S377" s="2">
        <v>25.46</v>
      </c>
      <c r="T377" s="2">
        <v>2.59</v>
      </c>
      <c r="U377" s="2">
        <v>6</v>
      </c>
      <c r="V377" s="2">
        <v>20.49</v>
      </c>
      <c r="W377" s="2">
        <v>4.26</v>
      </c>
      <c r="X377" s="2">
        <v>9.99</v>
      </c>
      <c r="Y377" s="2">
        <v>8.6300000000000008</v>
      </c>
      <c r="Z377" s="2">
        <v>0.28999999999999998</v>
      </c>
      <c r="AA377" s="2">
        <v>0.28999999999999998</v>
      </c>
      <c r="AB377" s="2">
        <v>1.1599999999999999</v>
      </c>
      <c r="AC377" s="2">
        <v>1.49</v>
      </c>
      <c r="AD377" s="2">
        <v>1.33</v>
      </c>
      <c r="AE377" s="2">
        <v>13.05</v>
      </c>
      <c r="AF377" s="2">
        <v>71.459999999999994</v>
      </c>
      <c r="AG377" s="2">
        <v>9.8800000000000008</v>
      </c>
    </row>
    <row r="378" spans="1:33" x14ac:dyDescent="0.2">
      <c r="A378" s="3">
        <v>19418</v>
      </c>
      <c r="B378" s="2">
        <v>5.97</v>
      </c>
      <c r="C378" s="2">
        <v>15.16</v>
      </c>
      <c r="D378" s="2">
        <v>-40.5</v>
      </c>
      <c r="E378" s="2">
        <v>-148.68</v>
      </c>
      <c r="F378" s="2">
        <v>-156.53</v>
      </c>
      <c r="G378" s="2">
        <v>-101.29</v>
      </c>
      <c r="H378" s="2">
        <v>-3.14</v>
      </c>
      <c r="I378" s="2">
        <v>25.93</v>
      </c>
      <c r="J378" s="2">
        <v>-18.13</v>
      </c>
      <c r="K378" s="2">
        <v>-7.08</v>
      </c>
      <c r="L378" s="2">
        <v>-19.64</v>
      </c>
      <c r="M378" s="2">
        <v>-15.32</v>
      </c>
      <c r="N378" s="2">
        <v>15.32</v>
      </c>
      <c r="O378" s="2">
        <v>4.58</v>
      </c>
      <c r="P378" s="2">
        <v>6.73</v>
      </c>
      <c r="Q378" s="2">
        <v>0.71</v>
      </c>
      <c r="R378" s="2">
        <v>4.16</v>
      </c>
      <c r="S378" s="2">
        <v>5.09</v>
      </c>
      <c r="T378" s="2">
        <v>10.98</v>
      </c>
      <c r="U378" s="2">
        <v>3.64</v>
      </c>
      <c r="V378" s="2">
        <v>8.4499999999999993</v>
      </c>
      <c r="W378" s="2">
        <v>0</v>
      </c>
      <c r="X378" s="2">
        <v>3.43</v>
      </c>
      <c r="Y378" s="2">
        <v>3.41</v>
      </c>
      <c r="Z378" s="2">
        <v>1.53</v>
      </c>
      <c r="AA378" s="2">
        <v>0.72</v>
      </c>
      <c r="AB378" s="2">
        <v>0.11</v>
      </c>
      <c r="AC378" s="2">
        <v>4.0599999999999996</v>
      </c>
      <c r="AD378" s="2">
        <v>1.57</v>
      </c>
      <c r="AE378" s="2">
        <v>0.19</v>
      </c>
      <c r="AF378" s="2">
        <v>59.57</v>
      </c>
      <c r="AG378" s="2">
        <v>10.08</v>
      </c>
    </row>
    <row r="379" spans="1:33" x14ac:dyDescent="0.2">
      <c r="A379" s="3">
        <v>19449</v>
      </c>
      <c r="B379" s="2">
        <v>4.2</v>
      </c>
      <c r="C379" s="2">
        <v>14.8</v>
      </c>
      <c r="D379" s="2">
        <v>-22.62</v>
      </c>
      <c r="E379" s="2">
        <v>-61.74</v>
      </c>
      <c r="F379" s="2">
        <v>-22.61</v>
      </c>
      <c r="G379" s="2">
        <v>-50.34</v>
      </c>
      <c r="H379" s="2">
        <v>7.67</v>
      </c>
      <c r="I379" s="2">
        <v>29.88</v>
      </c>
      <c r="J379" s="2">
        <v>-5.61</v>
      </c>
      <c r="K379" s="2">
        <v>18.32</v>
      </c>
      <c r="L379" s="2">
        <v>-34.82</v>
      </c>
      <c r="M379" s="2">
        <v>-11.44</v>
      </c>
      <c r="N379" s="2">
        <v>25.29</v>
      </c>
      <c r="O379" s="2">
        <v>11.79</v>
      </c>
      <c r="P379" s="2">
        <v>54.51</v>
      </c>
      <c r="Q379" s="2">
        <v>2.9</v>
      </c>
      <c r="R379" s="2">
        <v>-4.26</v>
      </c>
      <c r="S379" s="2">
        <v>0.08</v>
      </c>
      <c r="T379" s="2">
        <v>24.73</v>
      </c>
      <c r="U379" s="2">
        <v>0.56000000000000005</v>
      </c>
      <c r="V379" s="2">
        <v>12.96</v>
      </c>
      <c r="W379" s="2">
        <v>0</v>
      </c>
      <c r="X379" s="2">
        <v>4.34</v>
      </c>
      <c r="Y379" s="2">
        <v>3.33</v>
      </c>
      <c r="Z379" s="2">
        <v>0.86</v>
      </c>
      <c r="AA379" s="2">
        <v>1.29</v>
      </c>
      <c r="AB379" s="2">
        <v>1.79</v>
      </c>
      <c r="AC379" s="2">
        <v>0.95</v>
      </c>
      <c r="AD379" s="2">
        <v>3.23</v>
      </c>
      <c r="AE379" s="2">
        <v>8.9499999999999993</v>
      </c>
      <c r="AF379" s="2">
        <v>70.290000000000006</v>
      </c>
      <c r="AG379" s="2">
        <v>10.69</v>
      </c>
    </row>
    <row r="380" spans="1:33" x14ac:dyDescent="0.2">
      <c r="A380" s="3">
        <v>19479</v>
      </c>
      <c r="B380" s="2">
        <v>3.56</v>
      </c>
      <c r="C380" s="2">
        <v>13.88</v>
      </c>
      <c r="D380" s="2">
        <v>-13.65</v>
      </c>
      <c r="E380" s="2">
        <v>-36.03</v>
      </c>
      <c r="F380" s="2">
        <v>16.43</v>
      </c>
      <c r="G380" s="2">
        <v>-14.59</v>
      </c>
      <c r="H380" s="2">
        <v>13.15</v>
      </c>
      <c r="I380" s="2">
        <v>36.880000000000003</v>
      </c>
      <c r="J380" s="2">
        <v>8.4600000000000009</v>
      </c>
      <c r="K380" s="2">
        <v>5.0599999999999996</v>
      </c>
      <c r="L380" s="2">
        <v>12.66</v>
      </c>
      <c r="M380" s="2">
        <v>-1.79</v>
      </c>
      <c r="N380" s="2">
        <v>28.51</v>
      </c>
      <c r="O380" s="2">
        <v>4.1500000000000004</v>
      </c>
      <c r="P380" s="2">
        <v>42.64</v>
      </c>
      <c r="Q380" s="2">
        <v>1.18</v>
      </c>
      <c r="R380" s="2">
        <v>5.4</v>
      </c>
      <c r="S380" s="2">
        <v>12.93</v>
      </c>
      <c r="T380" s="2">
        <v>14.06</v>
      </c>
      <c r="U380" s="2">
        <v>6.68</v>
      </c>
      <c r="V380" s="2">
        <v>22.76</v>
      </c>
      <c r="W380" s="2">
        <v>0</v>
      </c>
      <c r="X380" s="2">
        <v>5.3</v>
      </c>
      <c r="Y380" s="2">
        <v>4.5599999999999996</v>
      </c>
      <c r="Z380" s="2">
        <v>2.82</v>
      </c>
      <c r="AA380" s="2">
        <v>0</v>
      </c>
      <c r="AB380" s="2">
        <v>2.31</v>
      </c>
      <c r="AC380" s="2">
        <v>5.55</v>
      </c>
      <c r="AD380" s="2">
        <v>4.17</v>
      </c>
      <c r="AE380" s="2">
        <v>6.99</v>
      </c>
      <c r="AF380" s="2">
        <v>86.98</v>
      </c>
      <c r="AG380" s="2">
        <v>14.64</v>
      </c>
    </row>
    <row r="381" spans="1:33" x14ac:dyDescent="0.2">
      <c r="A381" s="3">
        <v>19510</v>
      </c>
      <c r="B381" s="2">
        <v>5.53</v>
      </c>
      <c r="C381" s="2">
        <v>15.37</v>
      </c>
      <c r="D381" s="2">
        <v>-4.97</v>
      </c>
      <c r="E381" s="2">
        <v>-29.22</v>
      </c>
      <c r="F381" s="2">
        <v>-17.149999999999999</v>
      </c>
      <c r="G381" s="2">
        <v>-1.03</v>
      </c>
      <c r="H381" s="2">
        <v>11.92</v>
      </c>
      <c r="I381" s="2">
        <v>29.26</v>
      </c>
      <c r="J381" s="2">
        <v>1.26</v>
      </c>
      <c r="K381" s="2">
        <v>-1.22</v>
      </c>
      <c r="L381" s="2">
        <v>6.15</v>
      </c>
      <c r="M381" s="2">
        <v>-5.12</v>
      </c>
      <c r="N381" s="2">
        <v>17.95</v>
      </c>
      <c r="O381" s="2">
        <v>12.32</v>
      </c>
      <c r="P381" s="2">
        <v>35.93</v>
      </c>
      <c r="Q381" s="2">
        <v>-0.68</v>
      </c>
      <c r="R381" s="2">
        <v>0.6</v>
      </c>
      <c r="S381" s="2">
        <v>6.29</v>
      </c>
      <c r="T381" s="2">
        <v>39.659999999999997</v>
      </c>
      <c r="U381" s="2">
        <v>0.36</v>
      </c>
      <c r="V381" s="2">
        <v>26.68</v>
      </c>
      <c r="W381" s="2">
        <v>4.88</v>
      </c>
      <c r="X381" s="2">
        <v>8.3000000000000007</v>
      </c>
      <c r="Y381" s="2">
        <v>6.91</v>
      </c>
      <c r="Z381" s="2">
        <v>1.1000000000000001</v>
      </c>
      <c r="AA381" s="2">
        <v>0</v>
      </c>
      <c r="AB381" s="2">
        <v>0.79</v>
      </c>
      <c r="AC381" s="2">
        <v>2.17</v>
      </c>
      <c r="AD381" s="2">
        <v>7.66</v>
      </c>
      <c r="AE381" s="2">
        <v>3.54</v>
      </c>
      <c r="AF381" s="2">
        <v>98.23</v>
      </c>
      <c r="AG381" s="2">
        <v>17.690000000000001</v>
      </c>
    </row>
    <row r="382" spans="1:33" x14ac:dyDescent="0.2">
      <c r="A382" s="3">
        <v>19540</v>
      </c>
      <c r="B382" s="2">
        <v>4.93</v>
      </c>
      <c r="C382" s="2">
        <v>11.78</v>
      </c>
      <c r="D382" s="2">
        <v>-8.6199999999999992</v>
      </c>
      <c r="E382" s="2">
        <v>-43.99</v>
      </c>
      <c r="F382" s="2">
        <v>-26.72</v>
      </c>
      <c r="G382" s="2">
        <v>-7.7</v>
      </c>
      <c r="H382" s="2">
        <v>13.07</v>
      </c>
      <c r="I382" s="2">
        <v>34.68</v>
      </c>
      <c r="J382" s="2">
        <v>4.09</v>
      </c>
      <c r="K382" s="2">
        <v>32.65</v>
      </c>
      <c r="L382" s="2">
        <v>30.7</v>
      </c>
      <c r="M382" s="2">
        <v>15.43</v>
      </c>
      <c r="N382" s="2">
        <v>21.94</v>
      </c>
      <c r="O382" s="2">
        <v>75.67</v>
      </c>
      <c r="P382" s="2">
        <v>63.57</v>
      </c>
      <c r="Q382" s="2">
        <v>5.32</v>
      </c>
      <c r="R382" s="2">
        <v>3.7</v>
      </c>
      <c r="S382" s="2">
        <v>10.96</v>
      </c>
      <c r="T382" s="2">
        <v>57.44</v>
      </c>
      <c r="U382" s="2">
        <v>-2.2799999999999998</v>
      </c>
      <c r="V382" s="2">
        <v>38.049999999999997</v>
      </c>
      <c r="W382" s="2">
        <v>18.62</v>
      </c>
      <c r="X382" s="2">
        <v>13.68</v>
      </c>
      <c r="Y382" s="2">
        <v>12.94</v>
      </c>
      <c r="Z382" s="2">
        <v>0</v>
      </c>
      <c r="AA382" s="2">
        <v>0</v>
      </c>
      <c r="AB382" s="2">
        <v>0</v>
      </c>
      <c r="AC382" s="2">
        <v>0</v>
      </c>
      <c r="AD382" s="2">
        <v>9.64</v>
      </c>
      <c r="AE382" s="2">
        <v>0.75</v>
      </c>
      <c r="AF382" s="2">
        <v>107.5</v>
      </c>
      <c r="AG382" s="2">
        <v>22.83</v>
      </c>
    </row>
    <row r="383" spans="1:33" x14ac:dyDescent="0.2">
      <c r="A383" s="3">
        <v>19571</v>
      </c>
      <c r="B383" s="2">
        <v>2.33</v>
      </c>
      <c r="C383" s="2">
        <v>9.0299999999999994</v>
      </c>
      <c r="D383" s="2">
        <v>-10.41</v>
      </c>
      <c r="E383" s="2">
        <v>-65.8</v>
      </c>
      <c r="F383" s="2">
        <v>-49.02</v>
      </c>
      <c r="G383" s="2">
        <v>-12.63</v>
      </c>
      <c r="H383" s="2">
        <v>2.74</v>
      </c>
      <c r="I383" s="2">
        <v>23.94</v>
      </c>
      <c r="J383" s="2">
        <v>-27.77</v>
      </c>
      <c r="K383" s="2">
        <v>32.53</v>
      </c>
      <c r="L383" s="2">
        <v>-33.08</v>
      </c>
      <c r="M383" s="2">
        <v>-5.97</v>
      </c>
      <c r="N383" s="2">
        <v>24.72</v>
      </c>
      <c r="O383" s="2">
        <v>89.09</v>
      </c>
      <c r="P383" s="2">
        <v>90.54</v>
      </c>
      <c r="Q383" s="2">
        <v>1.01</v>
      </c>
      <c r="R383" s="2">
        <v>-0.36</v>
      </c>
      <c r="S383" s="2">
        <v>6.79</v>
      </c>
      <c r="T383" s="2">
        <v>45.75</v>
      </c>
      <c r="U383" s="2">
        <v>-1.47</v>
      </c>
      <c r="V383" s="2">
        <v>46.55</v>
      </c>
      <c r="W383" s="2">
        <v>30.39</v>
      </c>
      <c r="X383" s="2">
        <v>18.940000000000001</v>
      </c>
      <c r="Y383" s="2">
        <v>18.600000000000001</v>
      </c>
      <c r="Z383" s="2">
        <v>0</v>
      </c>
      <c r="AA383" s="2">
        <v>0.28999999999999998</v>
      </c>
      <c r="AB383" s="2">
        <v>0</v>
      </c>
      <c r="AC383" s="2">
        <v>0</v>
      </c>
      <c r="AD383" s="2">
        <v>10.02</v>
      </c>
      <c r="AE383" s="2">
        <v>0</v>
      </c>
      <c r="AF383" s="2">
        <v>117.07</v>
      </c>
      <c r="AG383" s="2">
        <v>24.8</v>
      </c>
    </row>
    <row r="384" spans="1:33" x14ac:dyDescent="0.2">
      <c r="A384" s="3">
        <v>19602</v>
      </c>
      <c r="B384" s="2">
        <v>2.3199999999999998</v>
      </c>
      <c r="C384" s="2">
        <v>9.1199999999999992</v>
      </c>
      <c r="D384" s="2">
        <v>-5.81</v>
      </c>
      <c r="E384" s="2">
        <v>-57.07</v>
      </c>
      <c r="F384" s="2">
        <v>-17.940000000000001</v>
      </c>
      <c r="G384" s="2">
        <v>-2.06</v>
      </c>
      <c r="H384" s="2">
        <v>8.74</v>
      </c>
      <c r="I384" s="2">
        <v>23.61</v>
      </c>
      <c r="J384" s="2">
        <v>-16.059999999999999</v>
      </c>
      <c r="K384" s="2">
        <v>33.590000000000003</v>
      </c>
      <c r="L384" s="2">
        <v>-30.04</v>
      </c>
      <c r="M384" s="2">
        <v>-11.98</v>
      </c>
      <c r="N384" s="2">
        <v>25.24</v>
      </c>
      <c r="O384" s="2">
        <v>70.900000000000006</v>
      </c>
      <c r="P384" s="2">
        <v>99.39</v>
      </c>
      <c r="Q384" s="2">
        <v>0.15</v>
      </c>
      <c r="R384" s="2">
        <v>-5.22</v>
      </c>
      <c r="S384" s="2">
        <v>5.54</v>
      </c>
      <c r="T384" s="2">
        <v>40.369999999999997</v>
      </c>
      <c r="U384" s="2">
        <v>5.52</v>
      </c>
      <c r="V384" s="2">
        <v>39.42</v>
      </c>
      <c r="W384" s="2">
        <v>31.47</v>
      </c>
      <c r="X384" s="2">
        <v>21.28</v>
      </c>
      <c r="Y384" s="2">
        <v>21.04</v>
      </c>
      <c r="Z384" s="2">
        <v>0.62</v>
      </c>
      <c r="AA384" s="2">
        <v>6.6</v>
      </c>
      <c r="AB384" s="2">
        <v>0.05</v>
      </c>
      <c r="AC384" s="2">
        <v>0</v>
      </c>
      <c r="AD384" s="2">
        <v>6.81</v>
      </c>
      <c r="AE384" s="2">
        <v>0.84</v>
      </c>
      <c r="AF384" s="2">
        <v>119.06</v>
      </c>
      <c r="AG384" s="2">
        <v>23.65</v>
      </c>
    </row>
    <row r="385" spans="1:33" x14ac:dyDescent="0.2">
      <c r="A385" s="3">
        <v>19632</v>
      </c>
      <c r="B385" s="2">
        <v>-0.43</v>
      </c>
      <c r="C385" s="2">
        <v>6.24</v>
      </c>
      <c r="D385" s="2">
        <v>-11.12</v>
      </c>
      <c r="E385" s="2">
        <v>-50.12</v>
      </c>
      <c r="F385" s="2">
        <v>-8.94</v>
      </c>
      <c r="G385" s="2">
        <v>11.04</v>
      </c>
      <c r="H385" s="2">
        <v>17.940000000000001</v>
      </c>
      <c r="I385" s="2">
        <v>29.94</v>
      </c>
      <c r="J385" s="2">
        <v>7.99</v>
      </c>
      <c r="K385" s="2">
        <v>19.010000000000002</v>
      </c>
      <c r="L385" s="2">
        <v>-15.03</v>
      </c>
      <c r="M385" s="2">
        <v>-2.31</v>
      </c>
      <c r="N385" s="2">
        <v>37.630000000000003</v>
      </c>
      <c r="O385" s="2">
        <v>0.4</v>
      </c>
      <c r="P385" s="2">
        <v>32.28</v>
      </c>
      <c r="Q385" s="2">
        <v>4.91</v>
      </c>
      <c r="R385" s="2">
        <v>0.13</v>
      </c>
      <c r="S385" s="2">
        <v>-0.74</v>
      </c>
      <c r="T385" s="2">
        <v>12.68</v>
      </c>
      <c r="U385" s="2">
        <v>4.91</v>
      </c>
      <c r="V385" s="2">
        <v>10.26</v>
      </c>
      <c r="W385" s="2">
        <v>26.1</v>
      </c>
      <c r="X385" s="2">
        <v>20.21</v>
      </c>
      <c r="Y385" s="2">
        <v>19.78</v>
      </c>
      <c r="Z385" s="2">
        <v>0</v>
      </c>
      <c r="AA385" s="2">
        <v>0</v>
      </c>
      <c r="AB385" s="2">
        <v>0</v>
      </c>
      <c r="AC385" s="2">
        <v>0</v>
      </c>
      <c r="AD385" s="2">
        <v>4.17</v>
      </c>
      <c r="AE385" s="2">
        <v>0</v>
      </c>
      <c r="AF385" s="2">
        <v>110.9</v>
      </c>
      <c r="AG385" s="2">
        <v>20.170000000000002</v>
      </c>
    </row>
    <row r="386" spans="1:33" x14ac:dyDescent="0.2">
      <c r="A386" s="3">
        <v>19663</v>
      </c>
      <c r="B386" s="2">
        <v>-1.79</v>
      </c>
      <c r="C386" s="2">
        <v>6.44</v>
      </c>
      <c r="D386" s="2">
        <v>-12.68</v>
      </c>
      <c r="E386" s="2">
        <v>-33.56</v>
      </c>
      <c r="F386" s="2">
        <v>-5.26</v>
      </c>
      <c r="G386" s="2">
        <v>14.11</v>
      </c>
      <c r="H386" s="2">
        <v>14.53</v>
      </c>
      <c r="I386" s="2">
        <v>31.31</v>
      </c>
      <c r="J386" s="2">
        <v>4.17</v>
      </c>
      <c r="K386" s="2">
        <v>-2.94</v>
      </c>
      <c r="L386" s="2">
        <v>-0.62</v>
      </c>
      <c r="M386" s="2">
        <v>0.01</v>
      </c>
      <c r="N386" s="2">
        <v>22.3</v>
      </c>
      <c r="O386" s="2">
        <v>13.76</v>
      </c>
      <c r="P386" s="2">
        <v>30.36</v>
      </c>
      <c r="Q386" s="2">
        <v>1.36</v>
      </c>
      <c r="R386" s="2">
        <v>-3.04</v>
      </c>
      <c r="S386" s="2">
        <v>2.15</v>
      </c>
      <c r="T386" s="2">
        <v>16.57</v>
      </c>
      <c r="U386" s="2">
        <v>1.21</v>
      </c>
      <c r="V386" s="2">
        <v>9.36</v>
      </c>
      <c r="W386" s="2">
        <v>22.19</v>
      </c>
      <c r="X386" s="2">
        <v>18.73</v>
      </c>
      <c r="Y386" s="2">
        <v>18.29</v>
      </c>
      <c r="Z386" s="2">
        <v>1.87</v>
      </c>
      <c r="AA386" s="2">
        <v>0</v>
      </c>
      <c r="AB386" s="2">
        <v>0.06</v>
      </c>
      <c r="AC386" s="2">
        <v>0</v>
      </c>
      <c r="AD386" s="2">
        <v>3.88</v>
      </c>
      <c r="AE386" s="2">
        <v>1.86</v>
      </c>
      <c r="AF386" s="2">
        <v>100.59</v>
      </c>
      <c r="AG386" s="2">
        <v>16.420000000000002</v>
      </c>
    </row>
    <row r="387" spans="1:33" x14ac:dyDescent="0.2">
      <c r="A387" s="3">
        <v>19693</v>
      </c>
      <c r="B387" s="2">
        <v>1.31</v>
      </c>
      <c r="C387" s="2">
        <v>13.91</v>
      </c>
      <c r="D387" s="2">
        <v>4.45</v>
      </c>
      <c r="E387" s="2">
        <v>5.96</v>
      </c>
      <c r="F387" s="2">
        <v>6.23</v>
      </c>
      <c r="G387" s="2">
        <v>23</v>
      </c>
      <c r="H387" s="2">
        <v>16.690000000000001</v>
      </c>
      <c r="I387" s="2">
        <v>29.95</v>
      </c>
      <c r="J387" s="2">
        <v>9.56</v>
      </c>
      <c r="K387" s="2">
        <v>-1.1399999999999999</v>
      </c>
      <c r="L387" s="2">
        <v>-2.63</v>
      </c>
      <c r="M387" s="2">
        <v>-3.3</v>
      </c>
      <c r="N387" s="2">
        <v>7.34</v>
      </c>
      <c r="O387" s="2">
        <v>2.39</v>
      </c>
      <c r="P387" s="2">
        <v>22.13</v>
      </c>
      <c r="Q387" s="2">
        <v>-0.48</v>
      </c>
      <c r="R387" s="2">
        <v>-3.39</v>
      </c>
      <c r="S387" s="2">
        <v>5.46</v>
      </c>
      <c r="T387" s="2">
        <v>10.130000000000001</v>
      </c>
      <c r="U387" s="2">
        <v>4.84</v>
      </c>
      <c r="V387" s="2">
        <v>7.85</v>
      </c>
      <c r="W387" s="2">
        <v>15.43</v>
      </c>
      <c r="X387" s="2">
        <v>12.19</v>
      </c>
      <c r="Y387" s="2">
        <v>10.76</v>
      </c>
      <c r="Z387" s="2">
        <v>0</v>
      </c>
      <c r="AA387" s="2">
        <v>2.15</v>
      </c>
      <c r="AB387" s="2">
        <v>0.33</v>
      </c>
      <c r="AC387" s="2">
        <v>0.41</v>
      </c>
      <c r="AD387" s="2">
        <v>2.4500000000000002</v>
      </c>
      <c r="AE387" s="2">
        <v>16.22</v>
      </c>
      <c r="AF387" s="2">
        <v>66</v>
      </c>
      <c r="AG387" s="2">
        <v>12.92</v>
      </c>
    </row>
    <row r="388" spans="1:33" x14ac:dyDescent="0.2">
      <c r="A388" s="3">
        <v>19724</v>
      </c>
      <c r="B388" s="2">
        <v>0.22</v>
      </c>
      <c r="C388" s="2">
        <v>6.92</v>
      </c>
      <c r="D388" s="2">
        <v>-12.11</v>
      </c>
      <c r="E388" s="2">
        <v>-26.35</v>
      </c>
      <c r="F388" s="2">
        <v>-14.51</v>
      </c>
      <c r="G388" s="2">
        <v>7.07</v>
      </c>
      <c r="H388" s="2">
        <v>9.09</v>
      </c>
      <c r="I388" s="2">
        <v>28.1</v>
      </c>
      <c r="J388" s="2">
        <v>5.34</v>
      </c>
      <c r="K388" s="2">
        <v>-3.89</v>
      </c>
      <c r="L388" s="2">
        <v>-6.07</v>
      </c>
      <c r="M388" s="2">
        <v>-3.3</v>
      </c>
      <c r="N388" s="2">
        <v>7.59</v>
      </c>
      <c r="O388" s="2">
        <v>2.4300000000000002</v>
      </c>
      <c r="P388" s="2">
        <v>16.12</v>
      </c>
      <c r="Q388" s="2">
        <v>-1</v>
      </c>
      <c r="R388" s="2">
        <v>-2.99</v>
      </c>
      <c r="S388" s="2">
        <v>3.04</v>
      </c>
      <c r="T388" s="2">
        <v>8.7799999999999994</v>
      </c>
      <c r="U388" s="2">
        <v>3.8</v>
      </c>
      <c r="V388" s="2">
        <v>7.42</v>
      </c>
      <c r="W388" s="2">
        <v>11.73</v>
      </c>
      <c r="X388" s="2">
        <v>9.98</v>
      </c>
      <c r="Y388" s="2">
        <v>9.76</v>
      </c>
      <c r="Z388" s="2">
        <v>0</v>
      </c>
      <c r="AA388" s="2">
        <v>0.14000000000000001</v>
      </c>
      <c r="AB388" s="2">
        <v>3.16</v>
      </c>
      <c r="AC388" s="2">
        <v>0</v>
      </c>
      <c r="AD388" s="2">
        <v>2.5099999999999998</v>
      </c>
      <c r="AE388" s="2">
        <v>4.66</v>
      </c>
      <c r="AF388" s="2">
        <v>60.63</v>
      </c>
      <c r="AG388" s="2">
        <v>11.2</v>
      </c>
    </row>
    <row r="389" spans="1:33" x14ac:dyDescent="0.2">
      <c r="A389" s="3">
        <v>19755</v>
      </c>
      <c r="B389" s="2">
        <v>9.32</v>
      </c>
      <c r="C389" s="2">
        <v>20.72</v>
      </c>
      <c r="D389" s="2">
        <v>24.94</v>
      </c>
      <c r="E389" s="2">
        <v>93.49</v>
      </c>
      <c r="F389" s="2">
        <v>53.41</v>
      </c>
      <c r="G389" s="2">
        <v>114</v>
      </c>
      <c r="H389" s="2">
        <v>33.479999999999997</v>
      </c>
      <c r="I389" s="2">
        <v>35.72</v>
      </c>
      <c r="J389" s="2">
        <v>24.68</v>
      </c>
      <c r="K389" s="2">
        <v>15.56</v>
      </c>
      <c r="L389" s="2">
        <v>-7.73</v>
      </c>
      <c r="M389" s="2">
        <v>1.06</v>
      </c>
      <c r="N389" s="2">
        <v>20.36</v>
      </c>
      <c r="O389" s="2">
        <v>2.5</v>
      </c>
      <c r="P389" s="2">
        <v>35.53</v>
      </c>
      <c r="Q389" s="2">
        <v>-1.86</v>
      </c>
      <c r="R389" s="2">
        <v>-2.0499999999999998</v>
      </c>
      <c r="S389" s="2">
        <v>30.42</v>
      </c>
      <c r="T389" s="2">
        <v>27.74</v>
      </c>
      <c r="U389" s="2">
        <v>3.72</v>
      </c>
      <c r="V389" s="2">
        <v>10.050000000000001</v>
      </c>
      <c r="W389" s="2">
        <v>4.26</v>
      </c>
      <c r="X389" s="2">
        <v>10.18</v>
      </c>
      <c r="Y389" s="2">
        <v>8.8699999999999992</v>
      </c>
      <c r="Z389" s="2">
        <v>21.68</v>
      </c>
      <c r="AA389" s="2">
        <v>6.88</v>
      </c>
      <c r="AB389" s="2">
        <v>10.130000000000001</v>
      </c>
      <c r="AC389" s="2">
        <v>29.11</v>
      </c>
      <c r="AD389" s="2">
        <v>2.35</v>
      </c>
      <c r="AE389" s="2">
        <v>20.6</v>
      </c>
      <c r="AF389" s="2">
        <v>71.459999999999994</v>
      </c>
      <c r="AG389" s="2">
        <v>9.8800000000000008</v>
      </c>
    </row>
    <row r="390" spans="1:33" x14ac:dyDescent="0.2">
      <c r="A390" s="3">
        <v>19783</v>
      </c>
      <c r="B390" s="2">
        <v>11.56</v>
      </c>
      <c r="C390" s="2">
        <v>18.170000000000002</v>
      </c>
      <c r="D390" s="2">
        <v>3.47</v>
      </c>
      <c r="E390" s="2">
        <v>52.69</v>
      </c>
      <c r="F390" s="2">
        <v>67.89</v>
      </c>
      <c r="G390" s="2">
        <v>80.25</v>
      </c>
      <c r="H390" s="2">
        <v>20.47</v>
      </c>
      <c r="I390" s="2">
        <v>30.39</v>
      </c>
      <c r="J390" s="2">
        <v>17.52</v>
      </c>
      <c r="K390" s="2">
        <v>20.7</v>
      </c>
      <c r="L390" s="2">
        <v>-6.35</v>
      </c>
      <c r="M390" s="2">
        <v>-5.79</v>
      </c>
      <c r="N390" s="2">
        <v>14.11</v>
      </c>
      <c r="O390" s="2">
        <v>3.47</v>
      </c>
      <c r="P390" s="2">
        <v>15.53</v>
      </c>
      <c r="Q390" s="2">
        <v>-1.94</v>
      </c>
      <c r="R390" s="2">
        <v>-1.63</v>
      </c>
      <c r="S390" s="2">
        <v>11.01</v>
      </c>
      <c r="T390" s="2">
        <v>9.59</v>
      </c>
      <c r="U390" s="2">
        <v>3.87</v>
      </c>
      <c r="V390" s="2">
        <v>9.26</v>
      </c>
      <c r="W390" s="2">
        <v>0</v>
      </c>
      <c r="X390" s="2">
        <v>3.6</v>
      </c>
      <c r="Y390" s="2">
        <v>3.68</v>
      </c>
      <c r="Z390" s="2">
        <v>7.94</v>
      </c>
      <c r="AA390" s="2">
        <v>0.28999999999999998</v>
      </c>
      <c r="AB390" s="2">
        <v>5.48</v>
      </c>
      <c r="AC390" s="2">
        <v>3.38</v>
      </c>
      <c r="AD390" s="2">
        <v>2.37</v>
      </c>
      <c r="AE390" s="2">
        <v>16.03</v>
      </c>
      <c r="AF390" s="2">
        <v>59.57</v>
      </c>
      <c r="AG390" s="2">
        <v>10.08</v>
      </c>
    </row>
    <row r="391" spans="1:33" x14ac:dyDescent="0.2">
      <c r="A391" s="3">
        <v>19814</v>
      </c>
      <c r="B391" s="2">
        <v>6</v>
      </c>
      <c r="C391" s="2">
        <v>12.87</v>
      </c>
      <c r="D391" s="2">
        <v>-2.73</v>
      </c>
      <c r="E391" s="2">
        <v>-25.58</v>
      </c>
      <c r="F391" s="2">
        <v>12.78</v>
      </c>
      <c r="G391" s="2">
        <v>45.64</v>
      </c>
      <c r="H391" s="2">
        <v>21.86</v>
      </c>
      <c r="I391" s="2">
        <v>33.909999999999997</v>
      </c>
      <c r="J391" s="2">
        <v>31.66</v>
      </c>
      <c r="K391" s="2">
        <v>24.11</v>
      </c>
      <c r="L391" s="2">
        <v>37.33</v>
      </c>
      <c r="M391" s="2">
        <v>24.93</v>
      </c>
      <c r="N391" s="2">
        <v>28.71</v>
      </c>
      <c r="O391" s="2">
        <v>9.8000000000000007</v>
      </c>
      <c r="P391" s="2">
        <v>63.09</v>
      </c>
      <c r="Q391" s="2">
        <v>1.85</v>
      </c>
      <c r="R391" s="2">
        <v>-2.5299999999999998</v>
      </c>
      <c r="S391" s="2">
        <v>28.06</v>
      </c>
      <c r="T391" s="2">
        <v>21.51</v>
      </c>
      <c r="U391" s="2">
        <v>1.37</v>
      </c>
      <c r="V391" s="2">
        <v>29.76</v>
      </c>
      <c r="W391" s="2">
        <v>0</v>
      </c>
      <c r="X391" s="2">
        <v>4.54</v>
      </c>
      <c r="Y391" s="2">
        <v>3.59</v>
      </c>
      <c r="Z391" s="2">
        <v>9.76</v>
      </c>
      <c r="AA391" s="2">
        <v>5.88</v>
      </c>
      <c r="AB391" s="2">
        <v>1.1100000000000001</v>
      </c>
      <c r="AC391" s="2">
        <v>10.56</v>
      </c>
      <c r="AD391" s="2">
        <v>4.1399999999999997</v>
      </c>
      <c r="AE391" s="2">
        <v>27.87</v>
      </c>
      <c r="AF391" s="2">
        <v>70.290000000000006</v>
      </c>
      <c r="AG391" s="2">
        <v>10.69</v>
      </c>
    </row>
    <row r="392" spans="1:33" x14ac:dyDescent="0.2">
      <c r="A392" s="3">
        <v>19844</v>
      </c>
      <c r="B392" s="2">
        <v>4.8099999999999996</v>
      </c>
      <c r="C392" s="2">
        <v>11.73</v>
      </c>
      <c r="D392" s="2">
        <v>-11.37</v>
      </c>
      <c r="E392" s="2">
        <v>-18.48</v>
      </c>
      <c r="F392" s="2">
        <v>17.34</v>
      </c>
      <c r="G392" s="2">
        <v>-13.49</v>
      </c>
      <c r="H392" s="2">
        <v>15</v>
      </c>
      <c r="I392" s="2">
        <v>34.729999999999997</v>
      </c>
      <c r="J392" s="2">
        <v>12.77</v>
      </c>
      <c r="K392" s="2">
        <v>-3.08</v>
      </c>
      <c r="L392" s="2">
        <v>22.25</v>
      </c>
      <c r="M392" s="2">
        <v>-7.3</v>
      </c>
      <c r="N392" s="2">
        <v>21.55</v>
      </c>
      <c r="O392" s="2">
        <v>3.85</v>
      </c>
      <c r="P392" s="2">
        <v>51.41</v>
      </c>
      <c r="Q392" s="2">
        <v>0.99</v>
      </c>
      <c r="R392" s="2">
        <v>-1.21</v>
      </c>
      <c r="S392" s="2">
        <v>5.77</v>
      </c>
      <c r="T392" s="2">
        <v>15.53</v>
      </c>
      <c r="U392" s="2">
        <v>5.09</v>
      </c>
      <c r="V392" s="2">
        <v>24.81</v>
      </c>
      <c r="W392" s="2">
        <v>0</v>
      </c>
      <c r="X392" s="2">
        <v>5.54</v>
      </c>
      <c r="Y392" s="2">
        <v>4.88</v>
      </c>
      <c r="Z392" s="2">
        <v>0</v>
      </c>
      <c r="AA392" s="2">
        <v>0</v>
      </c>
      <c r="AB392" s="2">
        <v>0</v>
      </c>
      <c r="AC392" s="2">
        <v>0</v>
      </c>
      <c r="AD392" s="2">
        <v>4.91</v>
      </c>
      <c r="AE392" s="2">
        <v>3.64</v>
      </c>
      <c r="AF392" s="2">
        <v>86.98</v>
      </c>
      <c r="AG392" s="2">
        <v>14.64</v>
      </c>
    </row>
    <row r="393" spans="1:33" x14ac:dyDescent="0.2">
      <c r="A393" s="3">
        <v>19875</v>
      </c>
      <c r="B393" s="2">
        <v>1.56</v>
      </c>
      <c r="C393" s="2">
        <v>2.08</v>
      </c>
      <c r="D393" s="2">
        <v>-10.199999999999999</v>
      </c>
      <c r="E393" s="2">
        <v>-73.73</v>
      </c>
      <c r="F393" s="2">
        <v>-77.22</v>
      </c>
      <c r="G393" s="2">
        <v>-43.46</v>
      </c>
      <c r="H393" s="2">
        <v>-8.33</v>
      </c>
      <c r="I393" s="2">
        <v>26.18</v>
      </c>
      <c r="J393" s="2">
        <v>-6.54</v>
      </c>
      <c r="K393" s="2">
        <v>25.05</v>
      </c>
      <c r="L393" s="2">
        <v>11.42</v>
      </c>
      <c r="M393" s="2">
        <v>13.08</v>
      </c>
      <c r="N393" s="2">
        <v>39.03</v>
      </c>
      <c r="O393" s="2">
        <v>8.4</v>
      </c>
      <c r="P393" s="2">
        <v>34.47</v>
      </c>
      <c r="Q393" s="2">
        <v>5.09</v>
      </c>
      <c r="R393" s="2">
        <v>2.2999999999999998</v>
      </c>
      <c r="S393" s="2">
        <v>9.75</v>
      </c>
      <c r="T393" s="2">
        <v>37.869999999999997</v>
      </c>
      <c r="U393" s="2">
        <v>-0.08</v>
      </c>
      <c r="V393" s="2">
        <v>29.57</v>
      </c>
      <c r="W393" s="2">
        <v>4.88</v>
      </c>
      <c r="X393" s="2">
        <v>8.59</v>
      </c>
      <c r="Y393" s="2">
        <v>7.27</v>
      </c>
      <c r="Z393" s="2">
        <v>0</v>
      </c>
      <c r="AA393" s="2">
        <v>0</v>
      </c>
      <c r="AB393" s="2">
        <v>0</v>
      </c>
      <c r="AC393" s="2">
        <v>0</v>
      </c>
      <c r="AD393" s="2">
        <v>5.66</v>
      </c>
      <c r="AE393" s="2">
        <v>1.1200000000000001</v>
      </c>
      <c r="AF393" s="2">
        <v>98.23</v>
      </c>
      <c r="AG393" s="2">
        <v>17.690000000000001</v>
      </c>
    </row>
    <row r="394" spans="1:33" x14ac:dyDescent="0.2">
      <c r="A394" s="3">
        <v>19905</v>
      </c>
      <c r="B394" s="2">
        <v>1.99</v>
      </c>
      <c r="C394" s="2">
        <v>4.66</v>
      </c>
      <c r="D394" s="2">
        <v>-11.44</v>
      </c>
      <c r="E394" s="2">
        <v>-76.709999999999994</v>
      </c>
      <c r="F394" s="2">
        <v>-40.29</v>
      </c>
      <c r="G394" s="2">
        <v>-24.64</v>
      </c>
      <c r="H394" s="2">
        <v>-2.65</v>
      </c>
      <c r="I394" s="2">
        <v>21.34</v>
      </c>
      <c r="J394" s="2">
        <v>-38.29</v>
      </c>
      <c r="K394" s="2">
        <v>-1.88</v>
      </c>
      <c r="L394" s="2">
        <v>-49.14</v>
      </c>
      <c r="M394" s="2">
        <v>-22.5</v>
      </c>
      <c r="N394" s="2">
        <v>14.92</v>
      </c>
      <c r="O394" s="2">
        <v>67.680000000000007</v>
      </c>
      <c r="P394" s="2">
        <v>73.67</v>
      </c>
      <c r="Q394" s="2">
        <v>4.9800000000000004</v>
      </c>
      <c r="R394" s="2">
        <v>0.8</v>
      </c>
      <c r="S394" s="2">
        <v>11.01</v>
      </c>
      <c r="T394" s="2">
        <v>55.63</v>
      </c>
      <c r="U394" s="2">
        <v>-1.59</v>
      </c>
      <c r="V394" s="2">
        <v>38.869999999999997</v>
      </c>
      <c r="W394" s="2">
        <v>18.62</v>
      </c>
      <c r="X394" s="2">
        <v>13.98</v>
      </c>
      <c r="Y394" s="2">
        <v>13.36</v>
      </c>
      <c r="Z394" s="2">
        <v>0</v>
      </c>
      <c r="AA394" s="2">
        <v>0</v>
      </c>
      <c r="AB394" s="2">
        <v>0.06</v>
      </c>
      <c r="AC394" s="2">
        <v>12.73</v>
      </c>
      <c r="AD394" s="2">
        <v>8.1300000000000008</v>
      </c>
      <c r="AE394" s="2">
        <v>1.1200000000000001</v>
      </c>
      <c r="AF394" s="2">
        <v>107.5</v>
      </c>
      <c r="AG394" s="2">
        <v>22.83</v>
      </c>
    </row>
    <row r="395" spans="1:33" x14ac:dyDescent="0.2">
      <c r="A395" s="3">
        <v>19936</v>
      </c>
      <c r="B395" s="2">
        <v>2.37</v>
      </c>
      <c r="C395" s="2">
        <v>7.1</v>
      </c>
      <c r="D395" s="2">
        <v>-4.88</v>
      </c>
      <c r="E395" s="2">
        <v>-53.33</v>
      </c>
      <c r="F395" s="2">
        <v>-16.59</v>
      </c>
      <c r="G395" s="2">
        <v>-3.98</v>
      </c>
      <c r="H395" s="2">
        <v>6.48</v>
      </c>
      <c r="I395" s="2">
        <v>24.43</v>
      </c>
      <c r="J395" s="2">
        <v>-25.34</v>
      </c>
      <c r="K395" s="2">
        <v>12.9</v>
      </c>
      <c r="L395" s="2">
        <v>-21.59</v>
      </c>
      <c r="M395" s="2">
        <v>-9.7799999999999994</v>
      </c>
      <c r="N395" s="2">
        <v>22.19</v>
      </c>
      <c r="O395" s="2">
        <v>93.17</v>
      </c>
      <c r="P395" s="2">
        <v>106.18</v>
      </c>
      <c r="Q395" s="2">
        <v>2.72</v>
      </c>
      <c r="R395" s="2">
        <v>7.5</v>
      </c>
      <c r="S395" s="2">
        <v>15.78</v>
      </c>
      <c r="T395" s="2">
        <v>51.23</v>
      </c>
      <c r="U395" s="2">
        <v>4.21</v>
      </c>
      <c r="V395" s="2">
        <v>46.34</v>
      </c>
      <c r="W395" s="2">
        <v>30.39</v>
      </c>
      <c r="X395" s="2">
        <v>19.27</v>
      </c>
      <c r="Y395" s="2">
        <v>19.02</v>
      </c>
      <c r="Z395" s="2">
        <v>0</v>
      </c>
      <c r="AA395" s="2">
        <v>1.1499999999999999</v>
      </c>
      <c r="AB395" s="2">
        <v>2.0499999999999998</v>
      </c>
      <c r="AC395" s="2">
        <v>4.2</v>
      </c>
      <c r="AD395" s="2">
        <v>10.96</v>
      </c>
      <c r="AE395" s="2">
        <v>0</v>
      </c>
      <c r="AF395" s="2">
        <v>117.07</v>
      </c>
      <c r="AG395" s="2">
        <v>24.8</v>
      </c>
    </row>
    <row r="396" spans="1:33" x14ac:dyDescent="0.2">
      <c r="A396" s="3">
        <v>19967</v>
      </c>
      <c r="B396" s="2">
        <v>2.33</v>
      </c>
      <c r="C396" s="2">
        <v>6.88</v>
      </c>
      <c r="D396" s="2">
        <v>-5.36</v>
      </c>
      <c r="E396" s="2">
        <v>-57.21</v>
      </c>
      <c r="F396" s="2">
        <v>-6.02</v>
      </c>
      <c r="G396" s="2">
        <v>4.62</v>
      </c>
      <c r="H396" s="2">
        <v>12.9</v>
      </c>
      <c r="I396" s="2">
        <v>25.01</v>
      </c>
      <c r="J396" s="2">
        <v>-11.49</v>
      </c>
      <c r="K396" s="2">
        <v>14.55</v>
      </c>
      <c r="L396" s="2">
        <v>-10.02</v>
      </c>
      <c r="M396" s="2">
        <v>-3.6</v>
      </c>
      <c r="N396" s="2">
        <v>21.83</v>
      </c>
      <c r="O396" s="2">
        <v>74.91</v>
      </c>
      <c r="P396" s="2">
        <v>92.21</v>
      </c>
      <c r="Q396" s="2">
        <v>1.38</v>
      </c>
      <c r="R396" s="2">
        <v>1.31</v>
      </c>
      <c r="S396" s="2">
        <v>14.42</v>
      </c>
      <c r="T396" s="2">
        <v>43.06</v>
      </c>
      <c r="U396" s="2">
        <v>7.66</v>
      </c>
      <c r="V396" s="2">
        <v>39.94</v>
      </c>
      <c r="W396" s="2">
        <v>31.47</v>
      </c>
      <c r="X396" s="2">
        <v>21.6</v>
      </c>
      <c r="Y396" s="2">
        <v>21.48</v>
      </c>
      <c r="Z396" s="2">
        <v>0</v>
      </c>
      <c r="AA396" s="2">
        <v>0</v>
      </c>
      <c r="AB396" s="2">
        <v>0</v>
      </c>
      <c r="AC396" s="2">
        <v>0</v>
      </c>
      <c r="AD396" s="2">
        <v>6.32</v>
      </c>
      <c r="AE396" s="2">
        <v>0</v>
      </c>
      <c r="AF396" s="2">
        <v>119.06</v>
      </c>
      <c r="AG396" s="2">
        <v>23.65</v>
      </c>
    </row>
    <row r="397" spans="1:33" x14ac:dyDescent="0.2">
      <c r="A397" s="3">
        <v>19997</v>
      </c>
      <c r="B397" s="2">
        <v>-1.69</v>
      </c>
      <c r="C397" s="2">
        <v>4.5</v>
      </c>
      <c r="D397" s="2">
        <v>-15.18</v>
      </c>
      <c r="E397" s="2">
        <v>-68.41</v>
      </c>
      <c r="F397" s="2">
        <v>-8.6199999999999992</v>
      </c>
      <c r="G397" s="2">
        <v>9.77</v>
      </c>
      <c r="H397" s="2">
        <v>14.97</v>
      </c>
      <c r="I397" s="2">
        <v>27.13</v>
      </c>
      <c r="J397" s="2">
        <v>5.14</v>
      </c>
      <c r="K397" s="2">
        <v>0.17</v>
      </c>
      <c r="L397" s="2">
        <v>-1.77</v>
      </c>
      <c r="M397" s="2">
        <v>-4</v>
      </c>
      <c r="N397" s="2">
        <v>28.45</v>
      </c>
      <c r="O397" s="2">
        <v>0.79</v>
      </c>
      <c r="P397" s="2">
        <v>25.62</v>
      </c>
      <c r="Q397" s="2">
        <v>2.8</v>
      </c>
      <c r="R397" s="2">
        <v>2.8</v>
      </c>
      <c r="S397" s="2">
        <v>1.67</v>
      </c>
      <c r="T397" s="2">
        <v>12.98</v>
      </c>
      <c r="U397" s="2">
        <v>5.13</v>
      </c>
      <c r="V397" s="2">
        <v>11.06</v>
      </c>
      <c r="W397" s="2">
        <v>26.1</v>
      </c>
      <c r="X397" s="2">
        <v>20.51</v>
      </c>
      <c r="Y397" s="2">
        <v>20.18</v>
      </c>
      <c r="Z397" s="2">
        <v>0</v>
      </c>
      <c r="AA397" s="2">
        <v>21.08</v>
      </c>
      <c r="AB397" s="2">
        <v>1.05</v>
      </c>
      <c r="AC397" s="2">
        <v>0</v>
      </c>
      <c r="AD397" s="2">
        <v>4.46</v>
      </c>
      <c r="AE397" s="2">
        <v>0</v>
      </c>
      <c r="AF397" s="2">
        <v>110.9</v>
      </c>
      <c r="AG397" s="2">
        <v>20.170000000000002</v>
      </c>
    </row>
    <row r="398" spans="1:33" x14ac:dyDescent="0.2">
      <c r="A398" s="3">
        <v>20028</v>
      </c>
      <c r="B398" s="2">
        <v>-3.01</v>
      </c>
      <c r="C398" s="2">
        <v>5.13</v>
      </c>
      <c r="D398" s="2">
        <v>-17.350000000000001</v>
      </c>
      <c r="E398" s="2">
        <v>-42.22</v>
      </c>
      <c r="F398" s="2">
        <v>-8.3699999999999992</v>
      </c>
      <c r="G398" s="2">
        <v>11.42</v>
      </c>
      <c r="H398" s="2">
        <v>13.63</v>
      </c>
      <c r="I398" s="2">
        <v>28.94</v>
      </c>
      <c r="J398" s="2">
        <v>2.39</v>
      </c>
      <c r="K398" s="2">
        <v>-11.05</v>
      </c>
      <c r="L398" s="2">
        <v>-0.21</v>
      </c>
      <c r="M398" s="2">
        <v>-7.7</v>
      </c>
      <c r="N398" s="2">
        <v>18.690000000000001</v>
      </c>
      <c r="O398" s="2">
        <v>16.739999999999998</v>
      </c>
      <c r="P398" s="2">
        <v>28.06</v>
      </c>
      <c r="Q398" s="2">
        <v>0.51</v>
      </c>
      <c r="R398" s="2">
        <v>-1.68</v>
      </c>
      <c r="S398" s="2">
        <v>3.6</v>
      </c>
      <c r="T398" s="2">
        <v>17.05</v>
      </c>
      <c r="U398" s="2">
        <v>1.69</v>
      </c>
      <c r="V398" s="2">
        <v>9.6300000000000008</v>
      </c>
      <c r="W398" s="2">
        <v>22.19</v>
      </c>
      <c r="X398" s="2">
        <v>19</v>
      </c>
      <c r="Y398" s="2">
        <v>18.649999999999999</v>
      </c>
      <c r="Z398" s="2">
        <v>6.27</v>
      </c>
      <c r="AA398" s="2">
        <v>0</v>
      </c>
      <c r="AB398" s="2">
        <v>0</v>
      </c>
      <c r="AC398" s="2">
        <v>0</v>
      </c>
      <c r="AD398" s="2">
        <v>2.92</v>
      </c>
      <c r="AE398" s="2">
        <v>0</v>
      </c>
      <c r="AF398" s="2">
        <v>100.59</v>
      </c>
      <c r="AG398" s="2">
        <v>16.420000000000002</v>
      </c>
    </row>
    <row r="399" spans="1:33" x14ac:dyDescent="0.2">
      <c r="A399" s="3">
        <v>20058</v>
      </c>
      <c r="B399" s="2">
        <v>0.52</v>
      </c>
      <c r="C399" s="2">
        <v>15.78</v>
      </c>
      <c r="D399" s="2">
        <v>10.51</v>
      </c>
      <c r="E399" s="2">
        <v>18.21</v>
      </c>
      <c r="F399" s="2">
        <v>17.010000000000002</v>
      </c>
      <c r="G399" s="2">
        <v>34.78</v>
      </c>
      <c r="H399" s="2">
        <v>18.690000000000001</v>
      </c>
      <c r="I399" s="2">
        <v>30.56</v>
      </c>
      <c r="J399" s="2">
        <v>13.52</v>
      </c>
      <c r="K399" s="2">
        <v>6.33</v>
      </c>
      <c r="L399" s="2">
        <v>2.14</v>
      </c>
      <c r="M399" s="2">
        <v>-1.1499999999999999</v>
      </c>
      <c r="N399" s="2">
        <v>17.86</v>
      </c>
      <c r="O399" s="2">
        <v>2.69</v>
      </c>
      <c r="P399" s="2">
        <v>22.1</v>
      </c>
      <c r="Q399" s="2">
        <v>0.19</v>
      </c>
      <c r="R399" s="2">
        <v>-3.01</v>
      </c>
      <c r="S399" s="2">
        <v>6.45</v>
      </c>
      <c r="T399" s="2">
        <v>10.71</v>
      </c>
      <c r="U399" s="2">
        <v>5</v>
      </c>
      <c r="V399" s="2">
        <v>7.99</v>
      </c>
      <c r="W399" s="2">
        <v>15.43</v>
      </c>
      <c r="X399" s="2">
        <v>12.41</v>
      </c>
      <c r="Y399" s="2">
        <v>11.05</v>
      </c>
      <c r="Z399" s="2">
        <v>3.88</v>
      </c>
      <c r="AA399" s="2">
        <v>2.44</v>
      </c>
      <c r="AB399" s="2">
        <v>3.7</v>
      </c>
      <c r="AC399" s="2">
        <v>17.190000000000001</v>
      </c>
      <c r="AD399" s="2">
        <v>1.81</v>
      </c>
      <c r="AE399" s="2">
        <v>12.31</v>
      </c>
      <c r="AF399" s="2">
        <v>66</v>
      </c>
      <c r="AG399" s="2">
        <v>12.92</v>
      </c>
    </row>
    <row r="400" spans="1:33" x14ac:dyDescent="0.2">
      <c r="A400" s="3">
        <v>20089</v>
      </c>
      <c r="B400" s="2">
        <v>2.59</v>
      </c>
      <c r="C400" s="2">
        <v>15.9</v>
      </c>
      <c r="D400" s="2">
        <v>7.21</v>
      </c>
      <c r="E400" s="2">
        <v>18.79</v>
      </c>
      <c r="F400" s="2">
        <v>22.9</v>
      </c>
      <c r="G400" s="2">
        <v>66.819999999999993</v>
      </c>
      <c r="H400" s="2">
        <v>19.25</v>
      </c>
      <c r="I400" s="2">
        <v>34.96</v>
      </c>
      <c r="J400" s="2">
        <v>46.96</v>
      </c>
      <c r="K400" s="2">
        <v>14.07</v>
      </c>
      <c r="L400" s="2">
        <v>15.37</v>
      </c>
      <c r="M400" s="2">
        <v>10.75</v>
      </c>
      <c r="N400" s="2">
        <v>19.46</v>
      </c>
      <c r="O400" s="2">
        <v>2.57</v>
      </c>
      <c r="P400" s="2">
        <v>26.53</v>
      </c>
      <c r="Q400" s="2">
        <v>-0.95</v>
      </c>
      <c r="R400" s="2">
        <v>-2.72</v>
      </c>
      <c r="S400" s="2">
        <v>13.25</v>
      </c>
      <c r="T400" s="2">
        <v>9.5</v>
      </c>
      <c r="U400" s="2">
        <v>3.41</v>
      </c>
      <c r="V400" s="2">
        <v>7.33</v>
      </c>
      <c r="W400" s="2">
        <v>11.73</v>
      </c>
      <c r="X400" s="2">
        <v>10.18</v>
      </c>
      <c r="Y400" s="2">
        <v>10.029999999999999</v>
      </c>
      <c r="Z400" s="2">
        <v>0</v>
      </c>
      <c r="AA400" s="2">
        <v>0.72</v>
      </c>
      <c r="AB400" s="2">
        <v>1.27</v>
      </c>
      <c r="AC400" s="2">
        <v>2.84</v>
      </c>
      <c r="AD400" s="2">
        <v>1.79</v>
      </c>
      <c r="AE400" s="2">
        <v>27.59</v>
      </c>
      <c r="AF400" s="2">
        <v>60.63</v>
      </c>
      <c r="AG400" s="2">
        <v>11.2</v>
      </c>
    </row>
    <row r="401" spans="1:33" x14ac:dyDescent="0.2">
      <c r="A401" s="3">
        <v>20120</v>
      </c>
      <c r="B401" s="2">
        <v>2.68</v>
      </c>
      <c r="C401" s="2">
        <v>14.38</v>
      </c>
      <c r="D401" s="2">
        <v>-6.45</v>
      </c>
      <c r="E401" s="2">
        <v>-13.61</v>
      </c>
      <c r="F401" s="2">
        <v>-8.9700000000000006</v>
      </c>
      <c r="G401" s="2">
        <v>22.15</v>
      </c>
      <c r="H401" s="2">
        <v>10.56</v>
      </c>
      <c r="I401" s="2">
        <v>35.380000000000003</v>
      </c>
      <c r="J401" s="2">
        <v>56.99</v>
      </c>
      <c r="K401" s="2">
        <v>38.909999999999997</v>
      </c>
      <c r="L401" s="2">
        <v>13.96</v>
      </c>
      <c r="M401" s="2">
        <v>23.47</v>
      </c>
      <c r="N401" s="2">
        <v>44.37</v>
      </c>
      <c r="O401" s="2">
        <v>3.07</v>
      </c>
      <c r="P401" s="2">
        <v>64.97</v>
      </c>
      <c r="Q401" s="2">
        <v>-0.05</v>
      </c>
      <c r="R401" s="2">
        <v>2.88</v>
      </c>
      <c r="S401" s="2">
        <v>51.28</v>
      </c>
      <c r="T401" s="2">
        <v>23.77</v>
      </c>
      <c r="U401" s="2">
        <v>2.57</v>
      </c>
      <c r="V401" s="2">
        <v>10.119999999999999</v>
      </c>
      <c r="W401" s="2">
        <v>4.26</v>
      </c>
      <c r="X401" s="2">
        <v>7.09</v>
      </c>
      <c r="Y401" s="2">
        <v>5.76</v>
      </c>
      <c r="Z401" s="2">
        <v>13.59</v>
      </c>
      <c r="AA401" s="2">
        <v>20.93</v>
      </c>
      <c r="AB401" s="2">
        <v>1.8</v>
      </c>
      <c r="AC401" s="2">
        <v>13.54</v>
      </c>
      <c r="AD401" s="2">
        <v>1.77</v>
      </c>
      <c r="AE401" s="2">
        <v>38.5</v>
      </c>
      <c r="AF401" s="2">
        <v>75.3</v>
      </c>
      <c r="AG401" s="2">
        <v>9.8800000000000008</v>
      </c>
    </row>
    <row r="402" spans="1:33" x14ac:dyDescent="0.2">
      <c r="A402" s="3">
        <v>20148</v>
      </c>
      <c r="B402" s="2">
        <v>1.1100000000000001</v>
      </c>
      <c r="C402" s="2">
        <v>8.94</v>
      </c>
      <c r="D402" s="2">
        <v>-18.46</v>
      </c>
      <c r="E402" s="2">
        <v>-46.07</v>
      </c>
      <c r="F402" s="2">
        <v>-19.02</v>
      </c>
      <c r="G402" s="2">
        <v>-3.58</v>
      </c>
      <c r="H402" s="2">
        <v>7.27</v>
      </c>
      <c r="I402" s="2">
        <v>28.97</v>
      </c>
      <c r="J402" s="2">
        <v>-1.1000000000000001</v>
      </c>
      <c r="K402" s="2">
        <v>-12.8</v>
      </c>
      <c r="L402" s="2">
        <v>-4.93</v>
      </c>
      <c r="M402" s="2">
        <v>-5.67</v>
      </c>
      <c r="N402" s="2">
        <v>4.22</v>
      </c>
      <c r="O402" s="2">
        <v>2.65</v>
      </c>
      <c r="P402" s="2">
        <v>18.91</v>
      </c>
      <c r="Q402" s="2">
        <v>0.66</v>
      </c>
      <c r="R402" s="2">
        <v>4.32</v>
      </c>
      <c r="S402" s="2">
        <v>17.04</v>
      </c>
      <c r="T402" s="2">
        <v>9.81</v>
      </c>
      <c r="U402" s="2">
        <v>3.92</v>
      </c>
      <c r="V402" s="2">
        <v>7.9</v>
      </c>
      <c r="W402" s="2">
        <v>0</v>
      </c>
      <c r="X402" s="2">
        <v>1.04</v>
      </c>
      <c r="Y402" s="2">
        <v>1.1100000000000001</v>
      </c>
      <c r="Z402" s="2">
        <v>1.05</v>
      </c>
      <c r="AA402" s="2">
        <v>0</v>
      </c>
      <c r="AB402" s="2">
        <v>2.54</v>
      </c>
      <c r="AC402" s="2">
        <v>0.68</v>
      </c>
      <c r="AD402" s="2">
        <v>2.11</v>
      </c>
      <c r="AE402" s="2">
        <v>14.26</v>
      </c>
      <c r="AF402" s="2">
        <v>62.77</v>
      </c>
      <c r="AG402" s="2">
        <v>10.08</v>
      </c>
    </row>
    <row r="403" spans="1:33" x14ac:dyDescent="0.2">
      <c r="A403" s="3">
        <v>20179</v>
      </c>
      <c r="B403" s="2">
        <v>0.65</v>
      </c>
      <c r="C403" s="2">
        <v>5.15</v>
      </c>
      <c r="D403" s="2">
        <v>-16.829999999999998</v>
      </c>
      <c r="E403" s="2">
        <v>-37.83</v>
      </c>
      <c r="F403" s="2">
        <v>-0.22</v>
      </c>
      <c r="G403" s="2">
        <v>-7.38</v>
      </c>
      <c r="H403" s="2">
        <v>10.7</v>
      </c>
      <c r="I403" s="2">
        <v>25.25</v>
      </c>
      <c r="J403" s="2">
        <v>-1.36</v>
      </c>
      <c r="K403" s="2">
        <v>-2.52</v>
      </c>
      <c r="L403" s="2">
        <v>-7.8</v>
      </c>
      <c r="M403" s="2">
        <v>-9.67</v>
      </c>
      <c r="N403" s="2">
        <v>15.23</v>
      </c>
      <c r="O403" s="2">
        <v>10.94</v>
      </c>
      <c r="P403" s="2">
        <v>53.23</v>
      </c>
      <c r="Q403" s="2">
        <v>2.61</v>
      </c>
      <c r="R403" s="2">
        <v>1.1200000000000001</v>
      </c>
      <c r="S403" s="2">
        <v>-6.33</v>
      </c>
      <c r="T403" s="2">
        <v>24.99</v>
      </c>
      <c r="U403" s="2">
        <v>-0.24</v>
      </c>
      <c r="V403" s="2">
        <v>19.86</v>
      </c>
      <c r="W403" s="2">
        <v>0</v>
      </c>
      <c r="X403" s="2">
        <v>1.52</v>
      </c>
      <c r="Y403" s="2">
        <v>0.53</v>
      </c>
      <c r="Z403" s="2">
        <v>0</v>
      </c>
      <c r="AA403" s="2">
        <v>0</v>
      </c>
      <c r="AB403" s="2">
        <v>0</v>
      </c>
      <c r="AC403" s="2">
        <v>0</v>
      </c>
      <c r="AD403" s="2">
        <v>3.97</v>
      </c>
      <c r="AE403" s="2">
        <v>0.47</v>
      </c>
      <c r="AF403" s="2">
        <v>74.069999999999993</v>
      </c>
      <c r="AG403" s="2">
        <v>10.69</v>
      </c>
    </row>
    <row r="404" spans="1:33" x14ac:dyDescent="0.2">
      <c r="A404" s="3">
        <v>20209</v>
      </c>
      <c r="B404" s="2">
        <v>0.79</v>
      </c>
      <c r="C404" s="2">
        <v>11.72</v>
      </c>
      <c r="D404" s="2">
        <v>-8.76</v>
      </c>
      <c r="E404" s="2">
        <v>-0.63</v>
      </c>
      <c r="F404" s="2">
        <v>12.1</v>
      </c>
      <c r="G404" s="2">
        <v>14.81</v>
      </c>
      <c r="H404" s="2">
        <v>12.84</v>
      </c>
      <c r="I404" s="2">
        <v>32.380000000000003</v>
      </c>
      <c r="J404" s="2">
        <v>2.29</v>
      </c>
      <c r="K404" s="2">
        <v>8.59</v>
      </c>
      <c r="L404" s="2">
        <v>-15.18</v>
      </c>
      <c r="M404" s="2">
        <v>-4.1399999999999997</v>
      </c>
      <c r="N404" s="2">
        <v>41.53</v>
      </c>
      <c r="O404" s="2">
        <v>1.83</v>
      </c>
      <c r="P404" s="2">
        <v>47.34</v>
      </c>
      <c r="Q404" s="2">
        <v>-1.0900000000000001</v>
      </c>
      <c r="R404" s="2">
        <v>3.19</v>
      </c>
      <c r="S404" s="2">
        <v>-2.4500000000000002</v>
      </c>
      <c r="T404" s="2">
        <v>16.079999999999998</v>
      </c>
      <c r="U404" s="2">
        <v>-1.71</v>
      </c>
      <c r="V404" s="2">
        <v>25.05</v>
      </c>
      <c r="W404" s="2">
        <v>0</v>
      </c>
      <c r="X404" s="2">
        <v>1.79</v>
      </c>
      <c r="Y404" s="2">
        <v>1.1000000000000001</v>
      </c>
      <c r="Z404" s="2">
        <v>4.79</v>
      </c>
      <c r="AA404" s="2">
        <v>0</v>
      </c>
      <c r="AB404" s="2">
        <v>1.1599999999999999</v>
      </c>
      <c r="AC404" s="2">
        <v>1.76</v>
      </c>
      <c r="AD404" s="2">
        <v>5.26</v>
      </c>
      <c r="AE404" s="2">
        <v>10.44</v>
      </c>
      <c r="AF404" s="2">
        <v>91.65</v>
      </c>
      <c r="AG404" s="2">
        <v>14.64</v>
      </c>
    </row>
    <row r="405" spans="1:33" x14ac:dyDescent="0.2">
      <c r="A405" s="3">
        <v>20240</v>
      </c>
      <c r="B405" s="2">
        <v>-0.71</v>
      </c>
      <c r="C405" s="2">
        <v>5.91</v>
      </c>
      <c r="D405" s="2">
        <v>-5.76</v>
      </c>
      <c r="E405" s="2">
        <v>-21.2</v>
      </c>
      <c r="F405" s="2">
        <v>13.92</v>
      </c>
      <c r="G405" s="2">
        <v>9.77</v>
      </c>
      <c r="H405" s="2">
        <v>14.23</v>
      </c>
      <c r="I405" s="2">
        <v>28.54</v>
      </c>
      <c r="J405" s="2">
        <v>-3.09</v>
      </c>
      <c r="K405" s="2">
        <v>-1.2</v>
      </c>
      <c r="L405" s="2">
        <v>4.17</v>
      </c>
      <c r="M405" s="2">
        <v>-3.63</v>
      </c>
      <c r="N405" s="2">
        <v>21.04</v>
      </c>
      <c r="O405" s="2">
        <v>7.42</v>
      </c>
      <c r="P405" s="2">
        <v>52</v>
      </c>
      <c r="Q405" s="2">
        <v>0.64</v>
      </c>
      <c r="R405" s="2">
        <v>0.2</v>
      </c>
      <c r="S405" s="2">
        <v>14.11</v>
      </c>
      <c r="T405" s="2">
        <v>35.93</v>
      </c>
      <c r="U405" s="2">
        <v>2.11</v>
      </c>
      <c r="V405" s="2">
        <v>30.74</v>
      </c>
      <c r="W405" s="2">
        <v>4.88</v>
      </c>
      <c r="X405" s="2">
        <v>4.3600000000000003</v>
      </c>
      <c r="Y405" s="2">
        <v>3</v>
      </c>
      <c r="Z405" s="2">
        <v>0.19</v>
      </c>
      <c r="AA405" s="2">
        <v>0</v>
      </c>
      <c r="AB405" s="2">
        <v>0.37</v>
      </c>
      <c r="AC405" s="2">
        <v>1.35</v>
      </c>
      <c r="AD405" s="2">
        <v>8.68</v>
      </c>
      <c r="AE405" s="2">
        <v>6.9</v>
      </c>
      <c r="AF405" s="2">
        <v>103.51</v>
      </c>
      <c r="AG405" s="2">
        <v>17.690000000000001</v>
      </c>
    </row>
    <row r="406" spans="1:33" x14ac:dyDescent="0.2">
      <c r="A406" s="3">
        <v>20270</v>
      </c>
      <c r="B406" s="2">
        <v>0.13</v>
      </c>
      <c r="C406" s="2">
        <v>7.6</v>
      </c>
      <c r="D406" s="2">
        <v>-9.2100000000000009</v>
      </c>
      <c r="E406" s="2">
        <v>-41.06</v>
      </c>
      <c r="F406" s="2">
        <v>-28.7</v>
      </c>
      <c r="G406" s="2">
        <v>3.77</v>
      </c>
      <c r="H406" s="2">
        <v>7.12</v>
      </c>
      <c r="I406" s="2">
        <v>26.23</v>
      </c>
      <c r="J406" s="2">
        <v>-9.19</v>
      </c>
      <c r="K406" s="2">
        <v>4.91</v>
      </c>
      <c r="L406" s="2">
        <v>11.01</v>
      </c>
      <c r="M406" s="2">
        <v>2.2000000000000002</v>
      </c>
      <c r="N406" s="2">
        <v>26.57</v>
      </c>
      <c r="O406" s="2">
        <v>72.86</v>
      </c>
      <c r="P406" s="2">
        <v>105.35</v>
      </c>
      <c r="Q406" s="2">
        <v>6.63</v>
      </c>
      <c r="R406" s="2">
        <v>3.64</v>
      </c>
      <c r="S406" s="2">
        <v>15.88</v>
      </c>
      <c r="T406" s="2">
        <v>65.59</v>
      </c>
      <c r="U406" s="2">
        <v>8.68</v>
      </c>
      <c r="V406" s="2">
        <v>43.63</v>
      </c>
      <c r="W406" s="2">
        <v>18.62</v>
      </c>
      <c r="X406" s="2">
        <v>9.36</v>
      </c>
      <c r="Y406" s="2">
        <v>8.69</v>
      </c>
      <c r="Z406" s="2">
        <v>0</v>
      </c>
      <c r="AA406" s="2">
        <v>0</v>
      </c>
      <c r="AB406" s="2">
        <v>0</v>
      </c>
      <c r="AC406" s="2">
        <v>0</v>
      </c>
      <c r="AD406" s="2">
        <v>8.4700000000000006</v>
      </c>
      <c r="AE406" s="2">
        <v>0</v>
      </c>
      <c r="AF406" s="2">
        <v>113.28</v>
      </c>
      <c r="AG406" s="2">
        <v>22.83</v>
      </c>
    </row>
    <row r="407" spans="1:33" x14ac:dyDescent="0.2">
      <c r="A407" s="3">
        <v>20301</v>
      </c>
      <c r="B407" s="2">
        <v>1.06</v>
      </c>
      <c r="C407" s="2">
        <v>14.28</v>
      </c>
      <c r="D407" s="2">
        <v>-4.7699999999999996</v>
      </c>
      <c r="E407" s="2">
        <v>-28.17</v>
      </c>
      <c r="F407" s="2">
        <v>-13.24</v>
      </c>
      <c r="G407" s="2">
        <v>13.75</v>
      </c>
      <c r="H407" s="2">
        <v>10.87</v>
      </c>
      <c r="I407" s="2">
        <v>26.82</v>
      </c>
      <c r="J407" s="2">
        <v>-13.21</v>
      </c>
      <c r="K407" s="2">
        <v>5.04</v>
      </c>
      <c r="L407" s="2">
        <v>-12.56</v>
      </c>
      <c r="M407" s="2">
        <v>2.67</v>
      </c>
      <c r="N407" s="2">
        <v>25.88</v>
      </c>
      <c r="O407" s="2">
        <v>101.36</v>
      </c>
      <c r="P407" s="2">
        <v>142.54</v>
      </c>
      <c r="Q407" s="2">
        <v>1.91</v>
      </c>
      <c r="R407" s="2">
        <v>2.95</v>
      </c>
      <c r="S407" s="2">
        <v>21.72</v>
      </c>
      <c r="T407" s="2">
        <v>57.8</v>
      </c>
      <c r="U407" s="2">
        <v>12.2</v>
      </c>
      <c r="V407" s="2">
        <v>45.76</v>
      </c>
      <c r="W407" s="2">
        <v>30.39</v>
      </c>
      <c r="X407" s="2">
        <v>14.24</v>
      </c>
      <c r="Y407" s="2">
        <v>13.93</v>
      </c>
      <c r="Z407" s="2">
        <v>0</v>
      </c>
      <c r="AA407" s="2">
        <v>1.1499999999999999</v>
      </c>
      <c r="AB407" s="2">
        <v>0.26</v>
      </c>
      <c r="AC407" s="2">
        <v>11.51</v>
      </c>
      <c r="AD407" s="2">
        <v>7.5</v>
      </c>
      <c r="AE407" s="2">
        <v>0</v>
      </c>
      <c r="AF407" s="2">
        <v>123.36</v>
      </c>
      <c r="AG407" s="2">
        <v>24.8</v>
      </c>
    </row>
    <row r="408" spans="1:33" x14ac:dyDescent="0.2">
      <c r="A408" s="3">
        <v>20332</v>
      </c>
      <c r="B408" s="2">
        <v>-0.62</v>
      </c>
      <c r="C408" s="2">
        <v>12.29</v>
      </c>
      <c r="D408" s="2">
        <v>-7.4</v>
      </c>
      <c r="E408" s="2">
        <v>-47.79</v>
      </c>
      <c r="F408" s="2">
        <v>0.67</v>
      </c>
      <c r="G408" s="2">
        <v>11.59</v>
      </c>
      <c r="H408" s="2">
        <v>12.61</v>
      </c>
      <c r="I408" s="2">
        <v>25.7</v>
      </c>
      <c r="J408" s="2">
        <v>-6.03</v>
      </c>
      <c r="K408" s="2">
        <v>4.2300000000000004</v>
      </c>
      <c r="L408" s="2">
        <v>-6.47</v>
      </c>
      <c r="M408" s="2">
        <v>2.06</v>
      </c>
      <c r="N408" s="2">
        <v>23.23</v>
      </c>
      <c r="O408" s="2">
        <v>81.3</v>
      </c>
      <c r="P408" s="2">
        <v>118.67</v>
      </c>
      <c r="Q408" s="2">
        <v>1.57</v>
      </c>
      <c r="R408" s="2">
        <v>1.46</v>
      </c>
      <c r="S408" s="2">
        <v>18.34</v>
      </c>
      <c r="T408" s="2">
        <v>47.04</v>
      </c>
      <c r="U408" s="2">
        <v>10.3</v>
      </c>
      <c r="V408" s="2">
        <v>40.32</v>
      </c>
      <c r="W408" s="2">
        <v>31.47</v>
      </c>
      <c r="X408" s="2">
        <v>16.48</v>
      </c>
      <c r="Y408" s="2">
        <v>16.309999999999999</v>
      </c>
      <c r="Z408" s="2">
        <v>0</v>
      </c>
      <c r="AA408" s="2">
        <v>1.29</v>
      </c>
      <c r="AB408" s="2">
        <v>1.37</v>
      </c>
      <c r="AC408" s="2">
        <v>17.329999999999998</v>
      </c>
      <c r="AD408" s="2">
        <v>5.21</v>
      </c>
      <c r="AE408" s="2">
        <v>0</v>
      </c>
      <c r="AF408" s="2">
        <v>125.46</v>
      </c>
      <c r="AG408" s="2">
        <v>23.65</v>
      </c>
    </row>
    <row r="409" spans="1:33" x14ac:dyDescent="0.2">
      <c r="A409" s="3">
        <v>20362</v>
      </c>
      <c r="B409" s="2">
        <v>-3.51</v>
      </c>
      <c r="C409" s="2">
        <v>11.17</v>
      </c>
      <c r="D409" s="2">
        <v>-14.04</v>
      </c>
      <c r="E409" s="2">
        <v>-41.72</v>
      </c>
      <c r="F409" s="2">
        <v>6.58</v>
      </c>
      <c r="G409" s="2">
        <v>14.48</v>
      </c>
      <c r="H409" s="2">
        <v>16.5</v>
      </c>
      <c r="I409" s="2">
        <v>29.71</v>
      </c>
      <c r="J409" s="2">
        <v>10.1</v>
      </c>
      <c r="K409" s="2">
        <v>-0.66</v>
      </c>
      <c r="L409" s="2">
        <v>-2.33</v>
      </c>
      <c r="M409" s="2">
        <v>0.15</v>
      </c>
      <c r="N409" s="2">
        <v>24.94</v>
      </c>
      <c r="O409" s="2">
        <v>3.6</v>
      </c>
      <c r="P409" s="2">
        <v>45.77</v>
      </c>
      <c r="Q409" s="2">
        <v>4.22</v>
      </c>
      <c r="R409" s="2">
        <v>4.9000000000000004</v>
      </c>
      <c r="S409" s="2">
        <v>1.86</v>
      </c>
      <c r="T409" s="2">
        <v>13.11</v>
      </c>
      <c r="U409" s="2">
        <v>5.13</v>
      </c>
      <c r="V409" s="2">
        <v>10.59</v>
      </c>
      <c r="W409" s="2">
        <v>26.1</v>
      </c>
      <c r="X409" s="2">
        <v>15.73</v>
      </c>
      <c r="Y409" s="2">
        <v>15.35</v>
      </c>
      <c r="Z409" s="2">
        <v>0</v>
      </c>
      <c r="AA409" s="2">
        <v>0</v>
      </c>
      <c r="AB409" s="2">
        <v>0</v>
      </c>
      <c r="AC409" s="2">
        <v>0</v>
      </c>
      <c r="AD409" s="2">
        <v>3.92</v>
      </c>
      <c r="AE409" s="2">
        <v>0</v>
      </c>
      <c r="AF409" s="2">
        <v>116.86</v>
      </c>
      <c r="AG409" s="2">
        <v>20.170000000000002</v>
      </c>
    </row>
    <row r="410" spans="1:33" x14ac:dyDescent="0.2">
      <c r="A410" s="3">
        <v>20393</v>
      </c>
      <c r="B410" s="2">
        <v>-4.87</v>
      </c>
      <c r="C410" s="2">
        <v>6.58</v>
      </c>
      <c r="D410" s="2">
        <v>-16.48</v>
      </c>
      <c r="E410" s="2">
        <v>-31.02</v>
      </c>
      <c r="F410" s="2">
        <v>0.65</v>
      </c>
      <c r="G410" s="2">
        <v>13.24</v>
      </c>
      <c r="H410" s="2">
        <v>13.38</v>
      </c>
      <c r="I410" s="2">
        <v>29.39</v>
      </c>
      <c r="J410" s="2">
        <v>3.39</v>
      </c>
      <c r="K410" s="2">
        <v>-4.76</v>
      </c>
      <c r="L410" s="2">
        <v>-3.54</v>
      </c>
      <c r="M410" s="2">
        <v>-5.54</v>
      </c>
      <c r="N410" s="2">
        <v>17.57</v>
      </c>
      <c r="O410" s="2">
        <v>17.95</v>
      </c>
      <c r="P410" s="2">
        <v>31.62</v>
      </c>
      <c r="Q410" s="2">
        <v>0.94</v>
      </c>
      <c r="R410" s="2">
        <v>-1.29</v>
      </c>
      <c r="S410" s="2">
        <v>2.89</v>
      </c>
      <c r="T410" s="2">
        <v>17.25</v>
      </c>
      <c r="U410" s="2">
        <v>1.48</v>
      </c>
      <c r="V410" s="2">
        <v>9.6</v>
      </c>
      <c r="W410" s="2">
        <v>22.19</v>
      </c>
      <c r="X410" s="2">
        <v>14.66</v>
      </c>
      <c r="Y410" s="2">
        <v>14.27</v>
      </c>
      <c r="Z410" s="2">
        <v>1.48</v>
      </c>
      <c r="AA410" s="2">
        <v>0</v>
      </c>
      <c r="AB410" s="2">
        <v>0</v>
      </c>
      <c r="AC410" s="2">
        <v>0</v>
      </c>
      <c r="AD410" s="2">
        <v>3.5</v>
      </c>
      <c r="AE410" s="2">
        <v>0.09</v>
      </c>
      <c r="AF410" s="2">
        <v>105.99</v>
      </c>
      <c r="AG410" s="2">
        <v>16.420000000000002</v>
      </c>
    </row>
    <row r="411" spans="1:33" x14ac:dyDescent="0.2">
      <c r="A411" s="3">
        <v>20423</v>
      </c>
      <c r="B411" s="2">
        <v>-0.34</v>
      </c>
      <c r="C411" s="2">
        <v>11.54</v>
      </c>
      <c r="D411" s="2">
        <v>1.44</v>
      </c>
      <c r="E411" s="2">
        <v>11.12</v>
      </c>
      <c r="F411" s="2">
        <v>9.44</v>
      </c>
      <c r="G411" s="2">
        <v>19.04</v>
      </c>
      <c r="H411" s="2">
        <v>16.52</v>
      </c>
      <c r="I411" s="2">
        <v>28.27</v>
      </c>
      <c r="J411" s="2">
        <v>9.8800000000000008</v>
      </c>
      <c r="K411" s="2">
        <v>-0.8</v>
      </c>
      <c r="L411" s="2">
        <v>1.75</v>
      </c>
      <c r="M411" s="2">
        <v>-0.2</v>
      </c>
      <c r="N411" s="2">
        <v>11.66</v>
      </c>
      <c r="O411" s="2">
        <v>3.14</v>
      </c>
      <c r="P411" s="2">
        <v>24.8</v>
      </c>
      <c r="Q411" s="2">
        <v>-0.54</v>
      </c>
      <c r="R411" s="2">
        <v>-2.96</v>
      </c>
      <c r="S411" s="2">
        <v>6.29</v>
      </c>
      <c r="T411" s="2">
        <v>10.88</v>
      </c>
      <c r="U411" s="2">
        <v>3.65</v>
      </c>
      <c r="V411" s="2">
        <v>7.39</v>
      </c>
      <c r="W411" s="2">
        <v>15.43</v>
      </c>
      <c r="X411" s="2">
        <v>9.6</v>
      </c>
      <c r="Y411" s="2">
        <v>8.1999999999999993</v>
      </c>
      <c r="Z411" s="2">
        <v>3.35</v>
      </c>
      <c r="AA411" s="2">
        <v>0</v>
      </c>
      <c r="AB411" s="2">
        <v>0.06</v>
      </c>
      <c r="AC411" s="2">
        <v>5.14</v>
      </c>
      <c r="AD411" s="2">
        <v>2.5</v>
      </c>
      <c r="AE411" s="2">
        <v>9.8800000000000008</v>
      </c>
      <c r="AF411" s="2">
        <v>69.540000000000006</v>
      </c>
      <c r="AG411" s="2">
        <v>12.92</v>
      </c>
    </row>
    <row r="412" spans="1:33" x14ac:dyDescent="0.2">
      <c r="A412" s="3">
        <v>20454</v>
      </c>
      <c r="B412" s="2">
        <v>11.66</v>
      </c>
      <c r="C412" s="2">
        <v>36.21</v>
      </c>
      <c r="D412" s="2">
        <v>80.900000000000006</v>
      </c>
      <c r="E412" s="2">
        <v>258.18</v>
      </c>
      <c r="F412" s="2">
        <v>337.8</v>
      </c>
      <c r="G412" s="2">
        <v>375.03</v>
      </c>
      <c r="H412" s="2">
        <v>64.319999999999993</v>
      </c>
      <c r="I412" s="2">
        <v>66.41</v>
      </c>
      <c r="J412" s="2">
        <v>205.53</v>
      </c>
      <c r="K412" s="2">
        <v>194.59</v>
      </c>
      <c r="L412" s="2">
        <v>147.25</v>
      </c>
      <c r="M412" s="2">
        <v>127.43</v>
      </c>
      <c r="N412" s="2">
        <v>227.49</v>
      </c>
      <c r="O412" s="2">
        <v>8.01</v>
      </c>
      <c r="P412" s="2">
        <v>204.07</v>
      </c>
      <c r="Q412" s="2">
        <v>5.19</v>
      </c>
      <c r="R412" s="2">
        <v>13.76</v>
      </c>
      <c r="S412" s="2">
        <v>230.69</v>
      </c>
      <c r="T412" s="2">
        <v>34.369999999999997</v>
      </c>
      <c r="U412" s="2">
        <v>3.82</v>
      </c>
      <c r="V412" s="2">
        <v>15</v>
      </c>
      <c r="W412" s="2">
        <v>11.73</v>
      </c>
      <c r="X412" s="2">
        <v>7.59</v>
      </c>
      <c r="Y412" s="2">
        <v>7.42</v>
      </c>
      <c r="Z412" s="2">
        <v>0</v>
      </c>
      <c r="AA412" s="2">
        <v>2.29</v>
      </c>
      <c r="AB412" s="2">
        <v>24.64</v>
      </c>
      <c r="AC412" s="2">
        <v>0.27</v>
      </c>
      <c r="AD412" s="2">
        <v>2.57</v>
      </c>
      <c r="AE412" s="2">
        <v>86.32</v>
      </c>
      <c r="AF412" s="2">
        <v>63.89</v>
      </c>
      <c r="AG412" s="2">
        <v>11.2</v>
      </c>
    </row>
    <row r="413" spans="1:33" x14ac:dyDescent="0.2">
      <c r="A413" s="3">
        <v>20485</v>
      </c>
      <c r="B413" s="2">
        <v>23.75</v>
      </c>
      <c r="C413" s="2">
        <v>58.75</v>
      </c>
      <c r="D413" s="2">
        <v>72.650000000000006</v>
      </c>
      <c r="E413" s="2">
        <v>196.3</v>
      </c>
      <c r="F413" s="2">
        <v>144.07</v>
      </c>
      <c r="G413" s="2">
        <v>170.97</v>
      </c>
      <c r="H413" s="2">
        <v>32.46</v>
      </c>
      <c r="I413" s="2">
        <v>61.44</v>
      </c>
      <c r="J413" s="2">
        <v>124.96</v>
      </c>
      <c r="K413" s="2">
        <v>20.93</v>
      </c>
      <c r="L413" s="2">
        <v>61.72</v>
      </c>
      <c r="M413" s="2">
        <v>43.08</v>
      </c>
      <c r="N413" s="2">
        <v>84.64</v>
      </c>
      <c r="O413" s="2">
        <v>3.68</v>
      </c>
      <c r="P413" s="2">
        <v>40.119999999999997</v>
      </c>
      <c r="Q413" s="2">
        <v>16.399999999999999</v>
      </c>
      <c r="R413" s="2">
        <v>16.55</v>
      </c>
      <c r="S413" s="2">
        <v>79.61</v>
      </c>
      <c r="T413" s="2">
        <v>13.18</v>
      </c>
      <c r="U413" s="2">
        <v>4.08</v>
      </c>
      <c r="V413" s="2">
        <v>24.21</v>
      </c>
      <c r="W413" s="2">
        <v>4.26</v>
      </c>
      <c r="X413" s="2">
        <v>9.0399999999999991</v>
      </c>
      <c r="Y413" s="2">
        <v>7.69</v>
      </c>
      <c r="Z413" s="2">
        <v>13.11</v>
      </c>
      <c r="AA413" s="2">
        <v>0.28999999999999998</v>
      </c>
      <c r="AB413" s="2">
        <v>15.3</v>
      </c>
      <c r="AC413" s="2">
        <v>16.79</v>
      </c>
      <c r="AD413" s="2">
        <v>2.6</v>
      </c>
      <c r="AE413" s="2">
        <v>43.44</v>
      </c>
      <c r="AF413" s="2">
        <v>71.25</v>
      </c>
      <c r="AG413" s="2">
        <v>9.8800000000000008</v>
      </c>
    </row>
    <row r="414" spans="1:33" x14ac:dyDescent="0.2">
      <c r="A414" s="3">
        <v>20514</v>
      </c>
      <c r="B414" s="2">
        <v>17.45</v>
      </c>
      <c r="C414" s="2">
        <v>39.69</v>
      </c>
      <c r="D414" s="2">
        <v>-12.34</v>
      </c>
      <c r="E414" s="2">
        <v>-66.709999999999994</v>
      </c>
      <c r="F414" s="2">
        <v>-69.23</v>
      </c>
      <c r="G414" s="2">
        <v>20.63</v>
      </c>
      <c r="H414" s="2">
        <v>17.55</v>
      </c>
      <c r="I414" s="2">
        <v>41.86</v>
      </c>
      <c r="J414" s="2">
        <v>-25.73</v>
      </c>
      <c r="K414" s="2">
        <v>-46.8</v>
      </c>
      <c r="L414" s="2">
        <v>-61.62</v>
      </c>
      <c r="M414" s="2">
        <v>-51.52</v>
      </c>
      <c r="N414" s="2">
        <v>31.65</v>
      </c>
      <c r="O414" s="2">
        <v>5.78</v>
      </c>
      <c r="P414" s="2">
        <v>-2</v>
      </c>
      <c r="Q414" s="2">
        <v>13.17</v>
      </c>
      <c r="R414" s="2">
        <v>17.989999999999998</v>
      </c>
      <c r="S414" s="2">
        <v>1.86</v>
      </c>
      <c r="T414" s="2">
        <v>-9.5299999999999994</v>
      </c>
      <c r="U414" s="2">
        <v>30.34</v>
      </c>
      <c r="V414" s="2">
        <v>10.88</v>
      </c>
      <c r="W414" s="2">
        <v>0</v>
      </c>
      <c r="X414" s="2">
        <v>2.65</v>
      </c>
      <c r="Y414" s="2">
        <v>2.68</v>
      </c>
      <c r="Z414" s="2">
        <v>0</v>
      </c>
      <c r="AA414" s="2">
        <v>0.52</v>
      </c>
      <c r="AB414" s="2">
        <v>0</v>
      </c>
      <c r="AC414" s="2">
        <v>0</v>
      </c>
      <c r="AD414" s="2">
        <v>2.67</v>
      </c>
      <c r="AE414" s="2">
        <v>8.11</v>
      </c>
      <c r="AF414" s="2">
        <v>59.39</v>
      </c>
      <c r="AG414" s="2">
        <v>10.08</v>
      </c>
    </row>
    <row r="415" spans="1:33" x14ac:dyDescent="0.2">
      <c r="A415" s="3">
        <v>20545</v>
      </c>
      <c r="B415" s="2">
        <v>11.3</v>
      </c>
      <c r="C415" s="2">
        <v>24.64</v>
      </c>
      <c r="D415" s="2">
        <v>-40.26</v>
      </c>
      <c r="E415" s="2">
        <v>-108.99</v>
      </c>
      <c r="F415" s="2">
        <v>-55.74</v>
      </c>
      <c r="G415" s="2">
        <v>-130.46</v>
      </c>
      <c r="H415" s="2">
        <v>10.94</v>
      </c>
      <c r="I415" s="2">
        <v>37.06</v>
      </c>
      <c r="J415" s="2">
        <v>-27.48</v>
      </c>
      <c r="K415" s="2">
        <v>-27.9</v>
      </c>
      <c r="L415" s="2">
        <v>-33.56</v>
      </c>
      <c r="M415" s="2">
        <v>-24.78</v>
      </c>
      <c r="N415" s="2">
        <v>31.08</v>
      </c>
      <c r="O415" s="2">
        <v>15.16</v>
      </c>
      <c r="P415" s="2">
        <v>9.17</v>
      </c>
      <c r="Q415" s="2">
        <v>10.52</v>
      </c>
      <c r="R415" s="2">
        <v>4.12</v>
      </c>
      <c r="S415" s="2">
        <v>-0.3</v>
      </c>
      <c r="T415" s="2">
        <v>26.31</v>
      </c>
      <c r="U415" s="2">
        <v>2.8</v>
      </c>
      <c r="V415" s="2">
        <v>23.26</v>
      </c>
      <c r="W415" s="2">
        <v>0</v>
      </c>
      <c r="X415" s="2">
        <v>3.42</v>
      </c>
      <c r="Y415" s="2">
        <v>2.42</v>
      </c>
      <c r="Z415" s="2">
        <v>0</v>
      </c>
      <c r="AA415" s="2">
        <v>0</v>
      </c>
      <c r="AB415" s="2">
        <v>0</v>
      </c>
      <c r="AC415" s="2">
        <v>0</v>
      </c>
      <c r="AD415" s="2">
        <v>4.57</v>
      </c>
      <c r="AE415" s="2">
        <v>0.65</v>
      </c>
      <c r="AF415" s="2">
        <v>70.09</v>
      </c>
      <c r="AG415" s="2">
        <v>10.69</v>
      </c>
    </row>
    <row r="416" spans="1:33" x14ac:dyDescent="0.2">
      <c r="A416" s="3">
        <v>20575</v>
      </c>
      <c r="B416" s="2">
        <v>4.34</v>
      </c>
      <c r="C416" s="2">
        <v>18.86</v>
      </c>
      <c r="D416" s="2">
        <v>-26.14</v>
      </c>
      <c r="E416" s="2">
        <v>-82.22</v>
      </c>
      <c r="F416" s="2">
        <v>-29.77</v>
      </c>
      <c r="G416" s="2">
        <v>-46.64</v>
      </c>
      <c r="H416" s="2">
        <v>9.5299999999999994</v>
      </c>
      <c r="I416" s="2">
        <v>41.87</v>
      </c>
      <c r="J416" s="2">
        <v>-9.24</v>
      </c>
      <c r="K416" s="2">
        <v>-8.58</v>
      </c>
      <c r="L416" s="2">
        <v>-0.65</v>
      </c>
      <c r="M416" s="2">
        <v>-1.26</v>
      </c>
      <c r="N416" s="2">
        <v>33.1</v>
      </c>
      <c r="O416" s="2">
        <v>4.6399999999999997</v>
      </c>
      <c r="P416" s="2">
        <v>21.23</v>
      </c>
      <c r="Q416" s="2">
        <v>10.24</v>
      </c>
      <c r="R416" s="2">
        <v>-2</v>
      </c>
      <c r="S416" s="2">
        <v>14.57</v>
      </c>
      <c r="T416" s="2">
        <v>19.11</v>
      </c>
      <c r="U416" s="2">
        <v>5.17</v>
      </c>
      <c r="V416" s="2">
        <v>15.77</v>
      </c>
      <c r="W416" s="2">
        <v>0</v>
      </c>
      <c r="X416" s="2">
        <v>4.1500000000000004</v>
      </c>
      <c r="Y416" s="2">
        <v>3.44</v>
      </c>
      <c r="Z416" s="2">
        <v>8.3699999999999992</v>
      </c>
      <c r="AA416" s="2">
        <v>3.15</v>
      </c>
      <c r="AB416" s="2">
        <v>5.23</v>
      </c>
      <c r="AC416" s="2">
        <v>9.07</v>
      </c>
      <c r="AD416" s="2">
        <v>5.13</v>
      </c>
      <c r="AE416" s="2">
        <v>9.42</v>
      </c>
      <c r="AF416" s="2">
        <v>86.72</v>
      </c>
      <c r="AG416" s="2">
        <v>14.64</v>
      </c>
    </row>
    <row r="417" spans="1:33" x14ac:dyDescent="0.2">
      <c r="A417" s="3">
        <v>20606</v>
      </c>
      <c r="B417" s="2">
        <v>10.14</v>
      </c>
      <c r="C417" s="2">
        <v>23.18</v>
      </c>
      <c r="D417" s="2">
        <v>-3.86</v>
      </c>
      <c r="E417" s="2">
        <v>-22.06</v>
      </c>
      <c r="F417" s="2">
        <v>-6.5</v>
      </c>
      <c r="G417" s="2">
        <v>-4.41</v>
      </c>
      <c r="H417" s="2">
        <v>22.24</v>
      </c>
      <c r="I417" s="2">
        <v>39.83</v>
      </c>
      <c r="J417" s="2">
        <v>40.56</v>
      </c>
      <c r="K417" s="2">
        <v>40.06</v>
      </c>
      <c r="L417" s="2">
        <v>58.64</v>
      </c>
      <c r="M417" s="2">
        <v>43.85</v>
      </c>
      <c r="N417" s="2">
        <v>38.58</v>
      </c>
      <c r="O417" s="2">
        <v>9.94</v>
      </c>
      <c r="P417" s="2">
        <v>33.57</v>
      </c>
      <c r="Q417" s="2">
        <v>11.58</v>
      </c>
      <c r="R417" s="2">
        <v>1.24</v>
      </c>
      <c r="S417" s="2">
        <v>20.11</v>
      </c>
      <c r="T417" s="2">
        <v>30.76</v>
      </c>
      <c r="U417" s="2">
        <v>1.07</v>
      </c>
      <c r="V417" s="2">
        <v>28.1</v>
      </c>
      <c r="W417" s="2">
        <v>4.88</v>
      </c>
      <c r="X417" s="2">
        <v>7.02</v>
      </c>
      <c r="Y417" s="2">
        <v>5.64</v>
      </c>
      <c r="Z417" s="2">
        <v>0.56999999999999995</v>
      </c>
      <c r="AA417" s="2">
        <v>0</v>
      </c>
      <c r="AB417" s="2">
        <v>0.11</v>
      </c>
      <c r="AC417" s="2">
        <v>0</v>
      </c>
      <c r="AD417" s="2">
        <v>7.58</v>
      </c>
      <c r="AE417" s="2">
        <v>10.72</v>
      </c>
      <c r="AF417" s="2">
        <v>97.94</v>
      </c>
      <c r="AG417" s="2">
        <v>17.690000000000001</v>
      </c>
    </row>
    <row r="418" spans="1:33" x14ac:dyDescent="0.2">
      <c r="A418" s="3">
        <v>20636</v>
      </c>
      <c r="B418" s="2">
        <v>4.47</v>
      </c>
      <c r="C418" s="2">
        <v>16.93</v>
      </c>
      <c r="D418" s="2">
        <v>-17.37</v>
      </c>
      <c r="E418" s="2">
        <v>-81.25</v>
      </c>
      <c r="F418" s="2">
        <v>-69.209999999999994</v>
      </c>
      <c r="G418" s="2">
        <v>-29.27</v>
      </c>
      <c r="H418" s="2">
        <v>1.58</v>
      </c>
      <c r="I418" s="2">
        <v>33.700000000000003</v>
      </c>
      <c r="J418" s="2">
        <v>-14.74</v>
      </c>
      <c r="K418" s="2">
        <v>5.77</v>
      </c>
      <c r="L418" s="2">
        <v>-9.7799999999999994</v>
      </c>
      <c r="M418" s="2">
        <v>7.3</v>
      </c>
      <c r="N418" s="2">
        <v>37.450000000000003</v>
      </c>
      <c r="O418" s="2">
        <v>80.05</v>
      </c>
      <c r="P418" s="2">
        <v>87.86</v>
      </c>
      <c r="Q418" s="2">
        <v>15.12</v>
      </c>
      <c r="R418" s="2">
        <v>8.7200000000000006</v>
      </c>
      <c r="S418" s="2">
        <v>20.37</v>
      </c>
      <c r="T418" s="2">
        <v>65.180000000000007</v>
      </c>
      <c r="U418" s="2">
        <v>-3.24</v>
      </c>
      <c r="V418" s="2">
        <v>43.77</v>
      </c>
      <c r="W418" s="2">
        <v>18.62</v>
      </c>
      <c r="X418" s="2">
        <v>12.27</v>
      </c>
      <c r="Y418" s="2">
        <v>11.57</v>
      </c>
      <c r="Z418" s="2">
        <v>0</v>
      </c>
      <c r="AA418" s="2">
        <v>0</v>
      </c>
      <c r="AB418" s="2">
        <v>0</v>
      </c>
      <c r="AC418" s="2">
        <v>0</v>
      </c>
      <c r="AD418" s="2">
        <v>13.38</v>
      </c>
      <c r="AE418" s="2">
        <v>0</v>
      </c>
      <c r="AF418" s="2">
        <v>107.19</v>
      </c>
      <c r="AG418" s="2">
        <v>22.83</v>
      </c>
    </row>
    <row r="419" spans="1:33" x14ac:dyDescent="0.2">
      <c r="A419" s="3">
        <v>20667</v>
      </c>
      <c r="B419" s="2">
        <v>4.24</v>
      </c>
      <c r="C419" s="2">
        <v>18.21</v>
      </c>
      <c r="D419" s="2">
        <v>-12.24</v>
      </c>
      <c r="E419" s="2">
        <v>-65.790000000000006</v>
      </c>
      <c r="F419" s="2">
        <v>-42.04</v>
      </c>
      <c r="G419" s="2">
        <v>-12.47</v>
      </c>
      <c r="H419" s="2">
        <v>2.93</v>
      </c>
      <c r="I419" s="2">
        <v>26.23</v>
      </c>
      <c r="J419" s="2">
        <v>-51.89</v>
      </c>
      <c r="K419" s="2">
        <v>-38.950000000000003</v>
      </c>
      <c r="L419" s="2">
        <v>-46.2</v>
      </c>
      <c r="M419" s="2">
        <v>-36.67</v>
      </c>
      <c r="N419" s="2">
        <v>9.18</v>
      </c>
      <c r="O419" s="2">
        <v>110.47</v>
      </c>
      <c r="P419" s="2">
        <v>104.17</v>
      </c>
      <c r="Q419" s="2">
        <v>10.74</v>
      </c>
      <c r="R419" s="2">
        <v>10.31</v>
      </c>
      <c r="S419" s="2">
        <v>22.24</v>
      </c>
      <c r="T419" s="2">
        <v>48.71</v>
      </c>
      <c r="U419" s="2">
        <v>6.19</v>
      </c>
      <c r="V419" s="2">
        <v>48.26</v>
      </c>
      <c r="W419" s="2">
        <v>30.39</v>
      </c>
      <c r="X419" s="2">
        <v>17.41</v>
      </c>
      <c r="Y419" s="2">
        <v>17.079999999999998</v>
      </c>
      <c r="Z419" s="2">
        <v>0.24</v>
      </c>
      <c r="AA419" s="2">
        <v>2.29</v>
      </c>
      <c r="AB419" s="2">
        <v>0.28000000000000003</v>
      </c>
      <c r="AC419" s="2">
        <v>23.56</v>
      </c>
      <c r="AD419" s="2">
        <v>10.220000000000001</v>
      </c>
      <c r="AE419" s="2">
        <v>0</v>
      </c>
      <c r="AF419" s="2">
        <v>116.73</v>
      </c>
      <c r="AG419" s="2">
        <v>24.8</v>
      </c>
    </row>
    <row r="420" spans="1:33" x14ac:dyDescent="0.2">
      <c r="A420" s="3">
        <v>20698</v>
      </c>
      <c r="B420" s="2">
        <v>2.48</v>
      </c>
      <c r="C420" s="2">
        <v>16.84</v>
      </c>
      <c r="D420" s="2">
        <v>-11.41</v>
      </c>
      <c r="E420" s="2">
        <v>-59.11</v>
      </c>
      <c r="F420" s="2">
        <v>-11.45</v>
      </c>
      <c r="G420" s="2">
        <v>2.5</v>
      </c>
      <c r="H420" s="2">
        <v>10.28</v>
      </c>
      <c r="I420" s="2">
        <v>28.6</v>
      </c>
      <c r="J420" s="2">
        <v>-27.62</v>
      </c>
      <c r="K420" s="2">
        <v>-10.89</v>
      </c>
      <c r="L420" s="2">
        <v>-36.049999999999997</v>
      </c>
      <c r="M420" s="2">
        <v>-10.82</v>
      </c>
      <c r="N420" s="2">
        <v>15.42</v>
      </c>
      <c r="O420" s="2">
        <v>86.15</v>
      </c>
      <c r="P420" s="2">
        <v>74.22</v>
      </c>
      <c r="Q420" s="2">
        <v>5.95</v>
      </c>
      <c r="R420" s="2">
        <v>19.399999999999999</v>
      </c>
      <c r="S420" s="2">
        <v>20.96</v>
      </c>
      <c r="T420" s="2">
        <v>47.57</v>
      </c>
      <c r="U420" s="2">
        <v>4.82</v>
      </c>
      <c r="V420" s="2">
        <v>44.7</v>
      </c>
      <c r="W420" s="2">
        <v>31.47</v>
      </c>
      <c r="X420" s="2">
        <v>19.71</v>
      </c>
      <c r="Y420" s="2">
        <v>19.510000000000002</v>
      </c>
      <c r="Z420" s="2">
        <v>0</v>
      </c>
      <c r="AA420" s="2">
        <v>0</v>
      </c>
      <c r="AB420" s="2">
        <v>0</v>
      </c>
      <c r="AC420" s="2">
        <v>0</v>
      </c>
      <c r="AD420" s="2">
        <v>8.07</v>
      </c>
      <c r="AE420" s="2">
        <v>0</v>
      </c>
      <c r="AF420" s="2">
        <v>118.71</v>
      </c>
      <c r="AG420" s="2">
        <v>23.65</v>
      </c>
    </row>
    <row r="421" spans="1:33" x14ac:dyDescent="0.2">
      <c r="A421" s="3">
        <v>20728</v>
      </c>
      <c r="B421" s="2">
        <v>0.95</v>
      </c>
      <c r="C421" s="2">
        <v>17.440000000000001</v>
      </c>
      <c r="D421" s="2">
        <v>-9.25</v>
      </c>
      <c r="E421" s="2">
        <v>-34.85</v>
      </c>
      <c r="F421" s="2">
        <v>-8.34</v>
      </c>
      <c r="G421" s="2">
        <v>16.850000000000001</v>
      </c>
      <c r="H421" s="2">
        <v>19.78</v>
      </c>
      <c r="I421" s="2">
        <v>37.340000000000003</v>
      </c>
      <c r="J421" s="2">
        <v>-0.8</v>
      </c>
      <c r="K421" s="2">
        <v>-4.6900000000000004</v>
      </c>
      <c r="L421" s="2">
        <v>-19.2</v>
      </c>
      <c r="M421" s="2">
        <v>-7.61</v>
      </c>
      <c r="N421" s="2">
        <v>31.99</v>
      </c>
      <c r="O421" s="2">
        <v>3.51</v>
      </c>
      <c r="P421" s="2">
        <v>12.54</v>
      </c>
      <c r="Q421" s="2">
        <v>4.34</v>
      </c>
      <c r="R421" s="2">
        <v>11.39</v>
      </c>
      <c r="S421" s="2">
        <v>5.8</v>
      </c>
      <c r="T421" s="2">
        <v>14.79</v>
      </c>
      <c r="U421" s="2">
        <v>8.4600000000000009</v>
      </c>
      <c r="V421" s="2">
        <v>10.45</v>
      </c>
      <c r="W421" s="2">
        <v>26.1</v>
      </c>
      <c r="X421" s="2">
        <v>18.739999999999998</v>
      </c>
      <c r="Y421" s="2">
        <v>18.34</v>
      </c>
      <c r="Z421" s="2">
        <v>0</v>
      </c>
      <c r="AA421" s="2">
        <v>0</v>
      </c>
      <c r="AB421" s="2">
        <v>0</v>
      </c>
      <c r="AC421" s="2">
        <v>0</v>
      </c>
      <c r="AD421" s="2">
        <v>4.95</v>
      </c>
      <c r="AE421" s="2">
        <v>4.1900000000000004</v>
      </c>
      <c r="AF421" s="2">
        <v>110.57</v>
      </c>
      <c r="AG421" s="2">
        <v>20.170000000000002</v>
      </c>
    </row>
    <row r="422" spans="1:33" x14ac:dyDescent="0.2">
      <c r="A422" s="3">
        <v>20759</v>
      </c>
      <c r="B422" s="2">
        <v>1.81</v>
      </c>
      <c r="C422" s="2">
        <v>15.18</v>
      </c>
      <c r="D422" s="2">
        <v>-6.06</v>
      </c>
      <c r="E422" s="2">
        <v>-14.49</v>
      </c>
      <c r="F422" s="2">
        <v>-6.87</v>
      </c>
      <c r="G422" s="2">
        <v>17.07</v>
      </c>
      <c r="H422" s="2">
        <v>18.059999999999999</v>
      </c>
      <c r="I422" s="2">
        <v>35.11</v>
      </c>
      <c r="J422" s="2">
        <v>-0.04</v>
      </c>
      <c r="K422" s="2">
        <v>-1.66</v>
      </c>
      <c r="L422" s="2">
        <v>-7.01</v>
      </c>
      <c r="M422" s="2">
        <v>-10.210000000000001</v>
      </c>
      <c r="N422" s="2">
        <v>30.7</v>
      </c>
      <c r="O422" s="2">
        <v>12.09</v>
      </c>
      <c r="P422" s="2">
        <v>17.36</v>
      </c>
      <c r="Q422" s="2">
        <v>2.81</v>
      </c>
      <c r="R422" s="2">
        <v>0.78</v>
      </c>
      <c r="S422" s="2">
        <v>2.29</v>
      </c>
      <c r="T422" s="2">
        <v>16.899999999999999</v>
      </c>
      <c r="U422" s="2">
        <v>4.97</v>
      </c>
      <c r="V422" s="2">
        <v>10.17</v>
      </c>
      <c r="W422" s="2">
        <v>22.19</v>
      </c>
      <c r="X422" s="2">
        <v>17.399999999999999</v>
      </c>
      <c r="Y422" s="2">
        <v>16.98</v>
      </c>
      <c r="Z422" s="2">
        <v>0</v>
      </c>
      <c r="AA422" s="2">
        <v>0</v>
      </c>
      <c r="AB422" s="2">
        <v>3.08</v>
      </c>
      <c r="AC422" s="2">
        <v>0.41</v>
      </c>
      <c r="AD422" s="2">
        <v>2.44</v>
      </c>
      <c r="AE422" s="2">
        <v>4.8499999999999996</v>
      </c>
      <c r="AF422" s="2">
        <v>100.29</v>
      </c>
      <c r="AG422" s="2">
        <v>16.420000000000002</v>
      </c>
    </row>
    <row r="423" spans="1:33" x14ac:dyDescent="0.2">
      <c r="A423" s="3">
        <v>20789</v>
      </c>
      <c r="B423" s="2">
        <v>-1.25</v>
      </c>
      <c r="C423" s="2">
        <v>8.5299999999999994</v>
      </c>
      <c r="D423" s="2">
        <v>-10.91</v>
      </c>
      <c r="E423" s="2">
        <v>-22.38</v>
      </c>
      <c r="F423" s="2">
        <v>-9.89</v>
      </c>
      <c r="G423" s="2">
        <v>10.88</v>
      </c>
      <c r="H423" s="2">
        <v>14.2</v>
      </c>
      <c r="I423" s="2">
        <v>31.67</v>
      </c>
      <c r="J423" s="2">
        <v>4.5199999999999996</v>
      </c>
      <c r="K423" s="2">
        <v>-7.44</v>
      </c>
      <c r="L423" s="2">
        <v>6.03</v>
      </c>
      <c r="M423" s="2">
        <v>-0.14000000000000001</v>
      </c>
      <c r="N423" s="2">
        <v>12.64</v>
      </c>
      <c r="O423" s="2">
        <v>4.55</v>
      </c>
      <c r="P423" s="2">
        <v>15.63</v>
      </c>
      <c r="Q423" s="2">
        <v>2.36</v>
      </c>
      <c r="R423" s="2">
        <v>-0.79</v>
      </c>
      <c r="S423" s="2">
        <v>0.96</v>
      </c>
      <c r="T423" s="2">
        <v>10.85</v>
      </c>
      <c r="U423" s="2">
        <v>5.39</v>
      </c>
      <c r="V423" s="2">
        <v>7.81</v>
      </c>
      <c r="W423" s="2">
        <v>15.43</v>
      </c>
      <c r="X423" s="2">
        <v>11.36</v>
      </c>
      <c r="Y423" s="2">
        <v>9.94</v>
      </c>
      <c r="Z423" s="2">
        <v>0.14000000000000001</v>
      </c>
      <c r="AA423" s="2">
        <v>0</v>
      </c>
      <c r="AB423" s="2">
        <v>0</v>
      </c>
      <c r="AC423" s="2">
        <v>0</v>
      </c>
      <c r="AD423" s="2">
        <v>1.45</v>
      </c>
      <c r="AE423" s="2">
        <v>0</v>
      </c>
      <c r="AF423" s="2">
        <v>65.81</v>
      </c>
      <c r="AG423" s="2">
        <v>12.92</v>
      </c>
    </row>
    <row r="424" spans="1:33" x14ac:dyDescent="0.2">
      <c r="A424" s="3">
        <v>20820</v>
      </c>
      <c r="B424" s="2">
        <v>-2.23</v>
      </c>
      <c r="C424" s="2">
        <v>6.32</v>
      </c>
      <c r="D424" s="2">
        <v>-9.9700000000000006</v>
      </c>
      <c r="E424" s="2">
        <v>-25.54</v>
      </c>
      <c r="F424" s="2">
        <v>-15.27</v>
      </c>
      <c r="G424" s="2">
        <v>5.9</v>
      </c>
      <c r="H424" s="2">
        <v>10.71</v>
      </c>
      <c r="I424" s="2">
        <v>30.81</v>
      </c>
      <c r="J424" s="2">
        <v>5.85</v>
      </c>
      <c r="K424" s="2">
        <v>-3.16</v>
      </c>
      <c r="L424" s="2">
        <v>-2.74</v>
      </c>
      <c r="M424" s="2">
        <v>-1.43</v>
      </c>
      <c r="N424" s="2">
        <v>12.42</v>
      </c>
      <c r="O424" s="2">
        <v>4.0999999999999996</v>
      </c>
      <c r="P424" s="2">
        <v>15.47</v>
      </c>
      <c r="Q424" s="2">
        <v>0.2</v>
      </c>
      <c r="R424" s="2">
        <v>-2.23</v>
      </c>
      <c r="S424" s="2">
        <v>-2.2400000000000002</v>
      </c>
      <c r="T424" s="2">
        <v>9.76</v>
      </c>
      <c r="U424" s="2">
        <v>4.84</v>
      </c>
      <c r="V424" s="2">
        <v>8.39</v>
      </c>
      <c r="W424" s="2">
        <v>11.73</v>
      </c>
      <c r="X424" s="2">
        <v>9.2100000000000009</v>
      </c>
      <c r="Y424" s="2">
        <v>9.02</v>
      </c>
      <c r="Z424" s="2">
        <v>1.44</v>
      </c>
      <c r="AA424" s="2">
        <v>0.14000000000000001</v>
      </c>
      <c r="AB424" s="2">
        <v>0</v>
      </c>
      <c r="AC424" s="2">
        <v>0</v>
      </c>
      <c r="AD424" s="2">
        <v>2.2799999999999998</v>
      </c>
      <c r="AE424" s="2">
        <v>4.38</v>
      </c>
      <c r="AF424" s="2">
        <v>60.46</v>
      </c>
      <c r="AG424" s="2">
        <v>11.2</v>
      </c>
    </row>
    <row r="425" spans="1:33" x14ac:dyDescent="0.2">
      <c r="A425" s="3">
        <v>20851</v>
      </c>
      <c r="B425" s="2">
        <v>0.28999999999999998</v>
      </c>
      <c r="C425" s="2">
        <v>13.44</v>
      </c>
      <c r="D425" s="2">
        <v>-1.63</v>
      </c>
      <c r="E425" s="2">
        <v>-6.26</v>
      </c>
      <c r="F425" s="2">
        <v>4.26</v>
      </c>
      <c r="G425" s="2">
        <v>27.24</v>
      </c>
      <c r="H425" s="2">
        <v>12.26</v>
      </c>
      <c r="I425" s="2">
        <v>29.97</v>
      </c>
      <c r="J425" s="2">
        <v>7.8</v>
      </c>
      <c r="K425" s="2">
        <v>7.11</v>
      </c>
      <c r="L425" s="2">
        <v>-12.94</v>
      </c>
      <c r="M425" s="2">
        <v>-5.44</v>
      </c>
      <c r="N425" s="2">
        <v>15.11</v>
      </c>
      <c r="O425" s="2">
        <v>4.49</v>
      </c>
      <c r="P425" s="2">
        <v>39.19</v>
      </c>
      <c r="Q425" s="2">
        <v>-2.82</v>
      </c>
      <c r="R425" s="2">
        <v>-3.17</v>
      </c>
      <c r="S425" s="2">
        <v>13.92</v>
      </c>
      <c r="T425" s="2">
        <v>14.42</v>
      </c>
      <c r="U425" s="2">
        <v>2.5499999999999998</v>
      </c>
      <c r="V425" s="2">
        <v>10.9</v>
      </c>
      <c r="W425" s="2">
        <v>4.26</v>
      </c>
      <c r="X425" s="2">
        <v>10.18</v>
      </c>
      <c r="Y425" s="2">
        <v>8.83</v>
      </c>
      <c r="Z425" s="2">
        <v>17.28</v>
      </c>
      <c r="AA425" s="2">
        <v>19.07</v>
      </c>
      <c r="AB425" s="2">
        <v>9.1300000000000008</v>
      </c>
      <c r="AC425" s="2">
        <v>12.32</v>
      </c>
      <c r="AD425" s="2">
        <v>2.0099999999999998</v>
      </c>
      <c r="AE425" s="2">
        <v>26.01</v>
      </c>
      <c r="AF425" s="2">
        <v>71.459999999999994</v>
      </c>
      <c r="AG425" s="2">
        <v>9.8800000000000008</v>
      </c>
    </row>
    <row r="426" spans="1:33" x14ac:dyDescent="0.2">
      <c r="A426" s="3">
        <v>20879</v>
      </c>
      <c r="B426" s="2">
        <v>1.37</v>
      </c>
      <c r="C426" s="2">
        <v>16.96</v>
      </c>
      <c r="D426" s="2">
        <v>10.87</v>
      </c>
      <c r="E426" s="2">
        <v>39.14</v>
      </c>
      <c r="F426" s="2">
        <v>69.62</v>
      </c>
      <c r="G426" s="2">
        <v>95.98</v>
      </c>
      <c r="H426" s="2">
        <v>26.78</v>
      </c>
      <c r="I426" s="2">
        <v>32.979999999999997</v>
      </c>
      <c r="J426" s="2">
        <v>17.89</v>
      </c>
      <c r="K426" s="2">
        <v>5.18</v>
      </c>
      <c r="L426" s="2">
        <v>-20.66</v>
      </c>
      <c r="M426" s="2">
        <v>-12.13</v>
      </c>
      <c r="N426" s="2">
        <v>9.74</v>
      </c>
      <c r="O426" s="2">
        <v>4.87</v>
      </c>
      <c r="P426" s="2">
        <v>21.16</v>
      </c>
      <c r="Q426" s="2">
        <v>-2.4700000000000002</v>
      </c>
      <c r="R426" s="2">
        <v>-3.11</v>
      </c>
      <c r="S426" s="2">
        <v>6.45</v>
      </c>
      <c r="T426" s="2">
        <v>11.84</v>
      </c>
      <c r="U426" s="2">
        <v>4.07</v>
      </c>
      <c r="V426" s="2">
        <v>7.62</v>
      </c>
      <c r="W426" s="2">
        <v>0</v>
      </c>
      <c r="X426" s="2">
        <v>3.6</v>
      </c>
      <c r="Y426" s="2">
        <v>3.63</v>
      </c>
      <c r="Z426" s="2">
        <v>3.49</v>
      </c>
      <c r="AA426" s="2">
        <v>0.43</v>
      </c>
      <c r="AB426" s="2">
        <v>3.64</v>
      </c>
      <c r="AC426" s="2">
        <v>3.52</v>
      </c>
      <c r="AD426" s="2">
        <v>2.04</v>
      </c>
      <c r="AE426" s="2">
        <v>25.36</v>
      </c>
      <c r="AF426" s="2">
        <v>59.57</v>
      </c>
      <c r="AG426" s="2">
        <v>10.08</v>
      </c>
    </row>
    <row r="427" spans="1:33" x14ac:dyDescent="0.2">
      <c r="A427" s="3">
        <v>20910</v>
      </c>
      <c r="B427" s="2">
        <v>9.9</v>
      </c>
      <c r="C427" s="2">
        <v>17.86</v>
      </c>
      <c r="D427" s="2">
        <v>1.66</v>
      </c>
      <c r="E427" s="2">
        <v>51.28</v>
      </c>
      <c r="F427" s="2">
        <v>26.49</v>
      </c>
      <c r="G427" s="2">
        <v>28.84</v>
      </c>
      <c r="H427" s="2">
        <v>26.41</v>
      </c>
      <c r="I427" s="2">
        <v>40.94</v>
      </c>
      <c r="J427" s="2">
        <v>23.59</v>
      </c>
      <c r="K427" s="2">
        <v>4.3899999999999997</v>
      </c>
      <c r="L427" s="2">
        <v>9.52</v>
      </c>
      <c r="M427" s="2">
        <v>4.18</v>
      </c>
      <c r="N427" s="2">
        <v>20.010000000000002</v>
      </c>
      <c r="O427" s="2">
        <v>16.489999999999998</v>
      </c>
      <c r="P427" s="2">
        <v>68.98</v>
      </c>
      <c r="Q427" s="2">
        <v>-2.8</v>
      </c>
      <c r="R427" s="2">
        <v>-5.95</v>
      </c>
      <c r="S427" s="2">
        <v>-0.98</v>
      </c>
      <c r="T427" s="2">
        <v>25.46</v>
      </c>
      <c r="U427" s="2">
        <v>-2.52</v>
      </c>
      <c r="V427" s="2">
        <v>21.05</v>
      </c>
      <c r="W427" s="2">
        <v>0</v>
      </c>
      <c r="X427" s="2">
        <v>4.54</v>
      </c>
      <c r="Y427" s="2">
        <v>3.54</v>
      </c>
      <c r="Z427" s="2">
        <v>3.11</v>
      </c>
      <c r="AA427" s="2">
        <v>0.72</v>
      </c>
      <c r="AB427" s="2">
        <v>2.63</v>
      </c>
      <c r="AC427" s="2">
        <v>5.69</v>
      </c>
      <c r="AD427" s="2">
        <v>3.94</v>
      </c>
      <c r="AE427" s="2">
        <v>7.64</v>
      </c>
      <c r="AF427" s="2">
        <v>70.290000000000006</v>
      </c>
      <c r="AG427" s="2">
        <v>10.69</v>
      </c>
    </row>
    <row r="428" spans="1:33" x14ac:dyDescent="0.2">
      <c r="A428" s="3">
        <v>20940</v>
      </c>
      <c r="B428" s="2">
        <v>-1.45</v>
      </c>
      <c r="C428" s="2">
        <v>5.47</v>
      </c>
      <c r="D428" s="2">
        <v>-20.12</v>
      </c>
      <c r="E428" s="2">
        <v>-67.52</v>
      </c>
      <c r="F428" s="2">
        <v>-51.16</v>
      </c>
      <c r="G428" s="2">
        <v>-33.659999999999997</v>
      </c>
      <c r="H428" s="2">
        <v>-1.37</v>
      </c>
      <c r="I428" s="2">
        <v>28.73</v>
      </c>
      <c r="J428" s="2">
        <v>-14.39</v>
      </c>
      <c r="K428" s="2">
        <v>2.29</v>
      </c>
      <c r="L428" s="2">
        <v>-14.82</v>
      </c>
      <c r="M428" s="2">
        <v>-6.49</v>
      </c>
      <c r="N428" s="2">
        <v>25.43</v>
      </c>
      <c r="O428" s="2">
        <v>2.95</v>
      </c>
      <c r="P428" s="2">
        <v>45.45</v>
      </c>
      <c r="Q428" s="2">
        <v>-2.76</v>
      </c>
      <c r="R428" s="2">
        <v>-0.56000000000000005</v>
      </c>
      <c r="S428" s="2">
        <v>9.1</v>
      </c>
      <c r="T428" s="2">
        <v>14.32</v>
      </c>
      <c r="U428" s="2">
        <v>4.18</v>
      </c>
      <c r="V428" s="2">
        <v>26.15</v>
      </c>
      <c r="W428" s="2">
        <v>0</v>
      </c>
      <c r="X428" s="2">
        <v>5.54</v>
      </c>
      <c r="Y428" s="2">
        <v>4.83</v>
      </c>
      <c r="Z428" s="2">
        <v>1.67</v>
      </c>
      <c r="AA428" s="2">
        <v>0</v>
      </c>
      <c r="AB428" s="2">
        <v>3.3</v>
      </c>
      <c r="AC428" s="2">
        <v>3.11</v>
      </c>
      <c r="AD428" s="2">
        <v>4.82</v>
      </c>
      <c r="AE428" s="2">
        <v>8.76</v>
      </c>
      <c r="AF428" s="2">
        <v>86.98</v>
      </c>
      <c r="AG428" s="2">
        <v>14.64</v>
      </c>
    </row>
    <row r="429" spans="1:33" x14ac:dyDescent="0.2">
      <c r="A429" s="3">
        <v>20971</v>
      </c>
      <c r="B429" s="2">
        <v>3.89</v>
      </c>
      <c r="C429" s="2">
        <v>11.27</v>
      </c>
      <c r="D429" s="2">
        <v>4.08</v>
      </c>
      <c r="E429" s="2">
        <v>10.24</v>
      </c>
      <c r="F429" s="2">
        <v>20.65</v>
      </c>
      <c r="G429" s="2">
        <v>24.53</v>
      </c>
      <c r="H429" s="2">
        <v>20.02</v>
      </c>
      <c r="I429" s="2">
        <v>30.5</v>
      </c>
      <c r="J429" s="2">
        <v>6.9</v>
      </c>
      <c r="K429" s="2">
        <v>1.92</v>
      </c>
      <c r="L429" s="2">
        <v>22.63</v>
      </c>
      <c r="M429" s="2">
        <v>3.23</v>
      </c>
      <c r="N429" s="2">
        <v>23.96</v>
      </c>
      <c r="O429" s="2">
        <v>15.34</v>
      </c>
      <c r="P429" s="2">
        <v>58.31</v>
      </c>
      <c r="Q429" s="2">
        <v>-2.77</v>
      </c>
      <c r="R429" s="2">
        <v>-4.5999999999999996</v>
      </c>
      <c r="S429" s="2">
        <v>22.07</v>
      </c>
      <c r="T429" s="2">
        <v>27.15</v>
      </c>
      <c r="U429" s="2">
        <v>1.23</v>
      </c>
      <c r="V429" s="2">
        <v>29.93</v>
      </c>
      <c r="W429" s="2">
        <v>4.88</v>
      </c>
      <c r="X429" s="2">
        <v>8.59</v>
      </c>
      <c r="Y429" s="2">
        <v>7.2</v>
      </c>
      <c r="Z429" s="2">
        <v>0.81</v>
      </c>
      <c r="AA429" s="2">
        <v>0</v>
      </c>
      <c r="AB429" s="2">
        <v>6.94</v>
      </c>
      <c r="AC429" s="2">
        <v>0</v>
      </c>
      <c r="AD429" s="2">
        <v>7.19</v>
      </c>
      <c r="AE429" s="2">
        <v>11.28</v>
      </c>
      <c r="AF429" s="2">
        <v>98.23</v>
      </c>
      <c r="AG429" s="2">
        <v>17.690000000000001</v>
      </c>
    </row>
    <row r="430" spans="1:33" x14ac:dyDescent="0.2">
      <c r="A430" s="3">
        <v>21001</v>
      </c>
      <c r="B430" s="2">
        <v>-0.89</v>
      </c>
      <c r="C430" s="2">
        <v>5.08</v>
      </c>
      <c r="D430" s="2">
        <v>-14.86</v>
      </c>
      <c r="E430" s="2">
        <v>-56.47</v>
      </c>
      <c r="F430" s="2">
        <v>-43.09</v>
      </c>
      <c r="G430" s="2">
        <v>-9.16</v>
      </c>
      <c r="H430" s="2">
        <v>1.78</v>
      </c>
      <c r="I430" s="2">
        <v>31.27</v>
      </c>
      <c r="J430" s="2">
        <v>-7.86</v>
      </c>
      <c r="K430" s="2">
        <v>6.58</v>
      </c>
      <c r="L430" s="2">
        <v>15.76</v>
      </c>
      <c r="M430" s="2">
        <v>11.07</v>
      </c>
      <c r="N430" s="2">
        <v>26.19</v>
      </c>
      <c r="O430" s="2">
        <v>96.09</v>
      </c>
      <c r="P430" s="2">
        <v>88.14</v>
      </c>
      <c r="Q430" s="2">
        <v>7.04</v>
      </c>
      <c r="R430" s="2">
        <v>4.3099999999999996</v>
      </c>
      <c r="S430" s="2">
        <v>27.18</v>
      </c>
      <c r="T430" s="2">
        <v>69.930000000000007</v>
      </c>
      <c r="U430" s="2">
        <v>9.19</v>
      </c>
      <c r="V430" s="2">
        <v>46.7</v>
      </c>
      <c r="W430" s="2">
        <v>18.62</v>
      </c>
      <c r="X430" s="2">
        <v>13.99</v>
      </c>
      <c r="Y430" s="2">
        <v>13.29</v>
      </c>
      <c r="Z430" s="2">
        <v>0</v>
      </c>
      <c r="AA430" s="2">
        <v>0</v>
      </c>
      <c r="AB430" s="2">
        <v>0</v>
      </c>
      <c r="AC430" s="2">
        <v>0</v>
      </c>
      <c r="AD430" s="2">
        <v>11.64</v>
      </c>
      <c r="AE430" s="2">
        <v>1.1200000000000001</v>
      </c>
      <c r="AF430" s="2">
        <v>107.5</v>
      </c>
      <c r="AG430" s="2">
        <v>22.83</v>
      </c>
    </row>
    <row r="431" spans="1:33" x14ac:dyDescent="0.2">
      <c r="A431" s="3">
        <v>21032</v>
      </c>
      <c r="B431" s="2">
        <v>-1</v>
      </c>
      <c r="C431" s="2">
        <v>6.45</v>
      </c>
      <c r="D431" s="2">
        <v>-12.62</v>
      </c>
      <c r="E431" s="2">
        <v>-48.93</v>
      </c>
      <c r="F431" s="2">
        <v>-18.22</v>
      </c>
      <c r="G431" s="2">
        <v>3.69</v>
      </c>
      <c r="H431" s="2">
        <v>4.87</v>
      </c>
      <c r="I431" s="2">
        <v>27.99</v>
      </c>
      <c r="J431" s="2">
        <v>-23.5</v>
      </c>
      <c r="K431" s="2">
        <v>-7.78</v>
      </c>
      <c r="L431" s="2">
        <v>-27.41</v>
      </c>
      <c r="M431" s="2">
        <v>-6.6</v>
      </c>
      <c r="N431" s="2">
        <v>26.63</v>
      </c>
      <c r="O431" s="2">
        <v>123.11</v>
      </c>
      <c r="P431" s="2">
        <v>139.38999999999999</v>
      </c>
      <c r="Q431" s="2">
        <v>9.06</v>
      </c>
      <c r="R431" s="2">
        <v>5.21</v>
      </c>
      <c r="S431" s="2">
        <v>27.88</v>
      </c>
      <c r="T431" s="2">
        <v>62.71</v>
      </c>
      <c r="U431" s="2">
        <v>9.61</v>
      </c>
      <c r="V431" s="2">
        <v>45.97</v>
      </c>
      <c r="W431" s="2">
        <v>30.39</v>
      </c>
      <c r="X431" s="2">
        <v>19.27</v>
      </c>
      <c r="Y431" s="2">
        <v>18.95</v>
      </c>
      <c r="Z431" s="2">
        <v>0.1</v>
      </c>
      <c r="AA431" s="2">
        <v>0</v>
      </c>
      <c r="AB431" s="2">
        <v>0</v>
      </c>
      <c r="AC431" s="2">
        <v>0</v>
      </c>
      <c r="AD431" s="2">
        <v>11.48</v>
      </c>
      <c r="AE431" s="2">
        <v>0</v>
      </c>
      <c r="AF431" s="2">
        <v>117.07</v>
      </c>
      <c r="AG431" s="2">
        <v>24.8</v>
      </c>
    </row>
    <row r="432" spans="1:33" x14ac:dyDescent="0.2">
      <c r="A432" s="3">
        <v>21063</v>
      </c>
      <c r="B432" s="2">
        <v>-2.35</v>
      </c>
      <c r="C432" s="2">
        <v>6.34</v>
      </c>
      <c r="D432" s="2">
        <v>-10.82</v>
      </c>
      <c r="E432" s="2">
        <v>-47.46</v>
      </c>
      <c r="F432" s="2">
        <v>-4.2699999999999996</v>
      </c>
      <c r="G432" s="2">
        <v>11.13</v>
      </c>
      <c r="H432" s="2">
        <v>10.59</v>
      </c>
      <c r="I432" s="2">
        <v>28.54</v>
      </c>
      <c r="J432" s="2">
        <v>-12.14</v>
      </c>
      <c r="K432" s="2">
        <v>-4.2699999999999996</v>
      </c>
      <c r="L432" s="2">
        <v>-15.37</v>
      </c>
      <c r="M432" s="2">
        <v>-1.92</v>
      </c>
      <c r="N432" s="2">
        <v>22.5</v>
      </c>
      <c r="O432" s="2">
        <v>92.52</v>
      </c>
      <c r="P432" s="2">
        <v>130.38999999999999</v>
      </c>
      <c r="Q432" s="2">
        <v>0.78</v>
      </c>
      <c r="R432" s="2">
        <v>4.12</v>
      </c>
      <c r="S432" s="2">
        <v>29.28</v>
      </c>
      <c r="T432" s="2">
        <v>51.83</v>
      </c>
      <c r="U432" s="2">
        <v>6.82</v>
      </c>
      <c r="V432" s="2">
        <v>41.6</v>
      </c>
      <c r="W432" s="2">
        <v>31.47</v>
      </c>
      <c r="X432" s="2">
        <v>21.6</v>
      </c>
      <c r="Y432" s="2">
        <v>21.41</v>
      </c>
      <c r="Z432" s="2">
        <v>0</v>
      </c>
      <c r="AA432" s="2">
        <v>3.3</v>
      </c>
      <c r="AB432" s="2">
        <v>0</v>
      </c>
      <c r="AC432" s="2">
        <v>0</v>
      </c>
      <c r="AD432" s="2">
        <v>6.86</v>
      </c>
      <c r="AE432" s="2">
        <v>0</v>
      </c>
      <c r="AF432" s="2">
        <v>119.06</v>
      </c>
      <c r="AG432" s="2">
        <v>23.65</v>
      </c>
    </row>
    <row r="433" spans="1:33" x14ac:dyDescent="0.2">
      <c r="A433" s="3">
        <v>21093</v>
      </c>
      <c r="B433" s="2">
        <v>-2.34</v>
      </c>
      <c r="C433" s="2">
        <v>9.7899999999999991</v>
      </c>
      <c r="D433" s="2">
        <v>-2.41</v>
      </c>
      <c r="E433" s="2">
        <v>-20.73</v>
      </c>
      <c r="F433" s="2">
        <v>10.33</v>
      </c>
      <c r="G433" s="2">
        <v>19.78</v>
      </c>
      <c r="H433" s="2">
        <v>20.29</v>
      </c>
      <c r="I433" s="2">
        <v>32.700000000000003</v>
      </c>
      <c r="J433" s="2">
        <v>9.0500000000000007</v>
      </c>
      <c r="K433" s="2">
        <v>-1.75</v>
      </c>
      <c r="L433" s="2">
        <v>-8.81</v>
      </c>
      <c r="M433" s="2">
        <v>-2.31</v>
      </c>
      <c r="N433" s="2">
        <v>25.61</v>
      </c>
      <c r="O433" s="2">
        <v>7.42</v>
      </c>
      <c r="P433" s="2">
        <v>50.8</v>
      </c>
      <c r="Q433" s="2">
        <v>4.99</v>
      </c>
      <c r="R433" s="2">
        <v>4.6500000000000004</v>
      </c>
      <c r="S433" s="2">
        <v>3.75</v>
      </c>
      <c r="T433" s="2">
        <v>13.88</v>
      </c>
      <c r="U433" s="2">
        <v>3.81</v>
      </c>
      <c r="V433" s="2">
        <v>11.4</v>
      </c>
      <c r="W433" s="2">
        <v>26.1</v>
      </c>
      <c r="X433" s="2">
        <v>20.51</v>
      </c>
      <c r="Y433" s="2">
        <v>20.11</v>
      </c>
      <c r="Z433" s="2">
        <v>0</v>
      </c>
      <c r="AA433" s="2">
        <v>0</v>
      </c>
      <c r="AB433" s="2">
        <v>0.78</v>
      </c>
      <c r="AC433" s="2">
        <v>0</v>
      </c>
      <c r="AD433" s="2">
        <v>4.6500000000000004</v>
      </c>
      <c r="AE433" s="2">
        <v>2.52</v>
      </c>
      <c r="AF433" s="2">
        <v>110.9</v>
      </c>
      <c r="AG433" s="2">
        <v>20.170000000000002</v>
      </c>
    </row>
    <row r="434" spans="1:33" x14ac:dyDescent="0.2">
      <c r="A434" s="3">
        <v>21124</v>
      </c>
      <c r="B434" s="2">
        <v>0.9</v>
      </c>
      <c r="C434" s="2">
        <v>17.399999999999999</v>
      </c>
      <c r="D434" s="2">
        <v>7.41</v>
      </c>
      <c r="E434" s="2">
        <v>20.2</v>
      </c>
      <c r="F434" s="2">
        <v>8.0399999999999991</v>
      </c>
      <c r="G434" s="2">
        <v>34.01</v>
      </c>
      <c r="H434" s="2">
        <v>23.22</v>
      </c>
      <c r="I434" s="2">
        <v>32.130000000000003</v>
      </c>
      <c r="J434" s="2">
        <v>12.73</v>
      </c>
      <c r="K434" s="2">
        <v>-3.57</v>
      </c>
      <c r="L434" s="2">
        <v>3.68</v>
      </c>
      <c r="M434" s="2">
        <v>4.25</v>
      </c>
      <c r="N434" s="2">
        <v>15.13</v>
      </c>
      <c r="O434" s="2">
        <v>14.54</v>
      </c>
      <c r="P434" s="2">
        <v>30.39</v>
      </c>
      <c r="Q434" s="2">
        <v>0.17</v>
      </c>
      <c r="R434" s="2">
        <v>-1.89</v>
      </c>
      <c r="S434" s="2">
        <v>0.21</v>
      </c>
      <c r="T434" s="2">
        <v>15.71</v>
      </c>
      <c r="U434" s="2">
        <v>1.22</v>
      </c>
      <c r="V434" s="2">
        <v>8.6</v>
      </c>
      <c r="W434" s="2">
        <v>22.19</v>
      </c>
      <c r="X434" s="2">
        <v>19</v>
      </c>
      <c r="Y434" s="2">
        <v>18.59</v>
      </c>
      <c r="Z434" s="2">
        <v>4.45</v>
      </c>
      <c r="AA434" s="2">
        <v>17.64</v>
      </c>
      <c r="AB434" s="2">
        <v>1.41</v>
      </c>
      <c r="AC434" s="2">
        <v>17.46</v>
      </c>
      <c r="AD434" s="2">
        <v>3.9</v>
      </c>
      <c r="AE434" s="2">
        <v>8.58</v>
      </c>
      <c r="AF434" s="2">
        <v>100.59</v>
      </c>
      <c r="AG434" s="2">
        <v>16.420000000000002</v>
      </c>
    </row>
    <row r="435" spans="1:33" x14ac:dyDescent="0.2">
      <c r="A435" s="3">
        <v>21154</v>
      </c>
      <c r="B435" s="2">
        <v>0.79</v>
      </c>
      <c r="C435" s="2">
        <v>11.68</v>
      </c>
      <c r="D435" s="2">
        <v>-9.19</v>
      </c>
      <c r="E435" s="2">
        <v>-10.78</v>
      </c>
      <c r="F435" s="2">
        <v>-3.44</v>
      </c>
      <c r="G435" s="2">
        <v>11.06</v>
      </c>
      <c r="H435" s="2">
        <v>14.4</v>
      </c>
      <c r="I435" s="2">
        <v>27.54</v>
      </c>
      <c r="J435" s="2">
        <v>10.9</v>
      </c>
      <c r="K435" s="2">
        <v>-3.66</v>
      </c>
      <c r="L435" s="2">
        <v>2.4500000000000002</v>
      </c>
      <c r="M435" s="2">
        <v>2.14</v>
      </c>
      <c r="N435" s="2">
        <v>9.82</v>
      </c>
      <c r="O435" s="2">
        <v>5.23</v>
      </c>
      <c r="P435" s="2">
        <v>26.46</v>
      </c>
      <c r="Q435" s="2">
        <v>-0.85</v>
      </c>
      <c r="R435" s="2">
        <v>-3.65</v>
      </c>
      <c r="S435" s="2">
        <v>2.98</v>
      </c>
      <c r="T435" s="2">
        <v>11.16</v>
      </c>
      <c r="U435" s="2">
        <v>2.54</v>
      </c>
      <c r="V435" s="2">
        <v>7.68</v>
      </c>
      <c r="W435" s="2">
        <v>15.43</v>
      </c>
      <c r="X435" s="2">
        <v>12.41</v>
      </c>
      <c r="Y435" s="2">
        <v>11</v>
      </c>
      <c r="Z435" s="2">
        <v>8.85</v>
      </c>
      <c r="AA435" s="2">
        <v>0.72</v>
      </c>
      <c r="AB435" s="2">
        <v>2.65</v>
      </c>
      <c r="AC435" s="2">
        <v>2.98</v>
      </c>
      <c r="AD435" s="2">
        <v>2.42</v>
      </c>
      <c r="AE435" s="2">
        <v>2.0499999999999998</v>
      </c>
      <c r="AF435" s="2">
        <v>66</v>
      </c>
      <c r="AG435" s="2">
        <v>12.92</v>
      </c>
    </row>
    <row r="436" spans="1:33" x14ac:dyDescent="0.2">
      <c r="A436" s="3">
        <v>21185</v>
      </c>
      <c r="B436" s="2">
        <v>1.0900000000000001</v>
      </c>
      <c r="C436" s="2">
        <v>15.53</v>
      </c>
      <c r="D436" s="2">
        <v>2.2999999999999998</v>
      </c>
      <c r="E436" s="2">
        <v>17.36</v>
      </c>
      <c r="F436" s="2">
        <v>35.68</v>
      </c>
      <c r="G436" s="2">
        <v>45.48</v>
      </c>
      <c r="H436" s="2">
        <v>20.36</v>
      </c>
      <c r="I436" s="2">
        <v>31.1</v>
      </c>
      <c r="J436" s="2">
        <v>19.010000000000002</v>
      </c>
      <c r="K436" s="2">
        <v>22.12</v>
      </c>
      <c r="L436" s="2">
        <v>-1.02</v>
      </c>
      <c r="M436" s="2">
        <v>6.73</v>
      </c>
      <c r="N436" s="2">
        <v>23.18</v>
      </c>
      <c r="O436" s="2">
        <v>4.74</v>
      </c>
      <c r="P436" s="2">
        <v>30.38</v>
      </c>
      <c r="Q436" s="2">
        <v>-2.15</v>
      </c>
      <c r="R436" s="2">
        <v>-2.63</v>
      </c>
      <c r="S436" s="2">
        <v>15.77</v>
      </c>
      <c r="T436" s="2">
        <v>11.77</v>
      </c>
      <c r="U436" s="2">
        <v>2.02</v>
      </c>
      <c r="V436" s="2">
        <v>7.71</v>
      </c>
      <c r="W436" s="2">
        <v>11.73</v>
      </c>
      <c r="X436" s="2">
        <v>10.18</v>
      </c>
      <c r="Y436" s="2">
        <v>9.99</v>
      </c>
      <c r="Z436" s="2">
        <v>7.47</v>
      </c>
      <c r="AA436" s="2">
        <v>1.58</v>
      </c>
      <c r="AB436" s="2">
        <v>5.86</v>
      </c>
      <c r="AC436" s="2">
        <v>8.39</v>
      </c>
      <c r="AD436" s="2">
        <v>2.2999999999999998</v>
      </c>
      <c r="AE436" s="2">
        <v>25.64</v>
      </c>
      <c r="AF436" s="2">
        <v>60.63</v>
      </c>
      <c r="AG436" s="2">
        <v>11.2</v>
      </c>
    </row>
    <row r="437" spans="1:33" x14ac:dyDescent="0.2">
      <c r="A437" s="3">
        <v>21216</v>
      </c>
      <c r="B437" s="2">
        <v>5.14</v>
      </c>
      <c r="C437" s="2">
        <v>22.36</v>
      </c>
      <c r="D437" s="2">
        <v>28.99</v>
      </c>
      <c r="E437" s="2">
        <v>79.959999999999994</v>
      </c>
      <c r="F437" s="2">
        <v>50.09</v>
      </c>
      <c r="G437" s="2">
        <v>140.96</v>
      </c>
      <c r="H437" s="2">
        <v>26.29</v>
      </c>
      <c r="I437" s="2">
        <v>36.72</v>
      </c>
      <c r="J437" s="2">
        <v>43.21</v>
      </c>
      <c r="K437" s="2">
        <v>24.71</v>
      </c>
      <c r="L437" s="2">
        <v>6.3</v>
      </c>
      <c r="M437" s="2">
        <v>1.97</v>
      </c>
      <c r="N437" s="2">
        <v>35.89</v>
      </c>
      <c r="O437" s="2">
        <v>4.7699999999999996</v>
      </c>
      <c r="P437" s="2">
        <v>40.15</v>
      </c>
      <c r="Q437" s="2">
        <v>-1.37</v>
      </c>
      <c r="R437" s="2">
        <v>-0.01</v>
      </c>
      <c r="S437" s="2">
        <v>23.09</v>
      </c>
      <c r="T437" s="2">
        <v>11.16</v>
      </c>
      <c r="U437" s="2">
        <v>1.9</v>
      </c>
      <c r="V437" s="2">
        <v>9.7200000000000006</v>
      </c>
      <c r="W437" s="2">
        <v>4.26</v>
      </c>
      <c r="X437" s="2">
        <v>9.14</v>
      </c>
      <c r="Y437" s="2">
        <v>7.83</v>
      </c>
      <c r="Z437" s="2">
        <v>4.6900000000000004</v>
      </c>
      <c r="AA437" s="2">
        <v>0.86</v>
      </c>
      <c r="AB437" s="2">
        <v>6.65</v>
      </c>
      <c r="AC437" s="2">
        <v>4.74</v>
      </c>
      <c r="AD437" s="2">
        <v>2.15</v>
      </c>
      <c r="AE437" s="2">
        <v>27.13</v>
      </c>
      <c r="AF437" s="2">
        <v>71.25</v>
      </c>
      <c r="AG437" s="2">
        <v>9.8800000000000008</v>
      </c>
    </row>
    <row r="438" spans="1:33" x14ac:dyDescent="0.2">
      <c r="A438" s="3">
        <v>21244</v>
      </c>
      <c r="B438" s="2">
        <v>24.89</v>
      </c>
      <c r="C438" s="2">
        <v>72.06</v>
      </c>
      <c r="D438" s="2">
        <v>109.1</v>
      </c>
      <c r="E438" s="2">
        <v>384.97</v>
      </c>
      <c r="F438" s="2">
        <v>387.66</v>
      </c>
      <c r="G438" s="2">
        <v>285.45999999999998</v>
      </c>
      <c r="H438" s="2">
        <v>30.91</v>
      </c>
      <c r="I438" s="2">
        <v>46.08</v>
      </c>
      <c r="J438" s="2">
        <v>80.94</v>
      </c>
      <c r="K438" s="2">
        <v>48.27</v>
      </c>
      <c r="L438" s="2">
        <v>29.6</v>
      </c>
      <c r="M438" s="2">
        <v>26.86</v>
      </c>
      <c r="N438" s="2">
        <v>77.25</v>
      </c>
      <c r="O438" s="2">
        <v>4.26</v>
      </c>
      <c r="P438" s="2">
        <v>53.58</v>
      </c>
      <c r="Q438" s="2">
        <v>0.83</v>
      </c>
      <c r="R438" s="2">
        <v>7.83</v>
      </c>
      <c r="S438" s="2">
        <v>44.73</v>
      </c>
      <c r="T438" s="2">
        <v>25.83</v>
      </c>
      <c r="U438" s="2">
        <v>4.54</v>
      </c>
      <c r="V438" s="2">
        <v>18.41</v>
      </c>
      <c r="W438" s="2">
        <v>0</v>
      </c>
      <c r="X438" s="2">
        <v>2.74</v>
      </c>
      <c r="Y438" s="2">
        <v>2.83</v>
      </c>
      <c r="Z438" s="2">
        <v>15.31</v>
      </c>
      <c r="AA438" s="2">
        <v>23.23</v>
      </c>
      <c r="AB438" s="2">
        <v>8.51</v>
      </c>
      <c r="AC438" s="2">
        <v>10.29</v>
      </c>
      <c r="AD438" s="2">
        <v>2.41</v>
      </c>
      <c r="AE438" s="2">
        <v>50.25</v>
      </c>
      <c r="AF438" s="2">
        <v>59.39</v>
      </c>
      <c r="AG438" s="2">
        <v>10.08</v>
      </c>
    </row>
    <row r="439" spans="1:33" x14ac:dyDescent="0.2">
      <c r="A439" s="3">
        <v>21275</v>
      </c>
      <c r="B439" s="2">
        <v>11.08</v>
      </c>
      <c r="C439" s="2">
        <v>33.24</v>
      </c>
      <c r="D439" s="2">
        <v>-25.71</v>
      </c>
      <c r="E439" s="2">
        <v>-115.36</v>
      </c>
      <c r="F439" s="2">
        <v>-80.2</v>
      </c>
      <c r="G439" s="2">
        <v>21.31</v>
      </c>
      <c r="H439" s="2">
        <v>20.23</v>
      </c>
      <c r="I439" s="2">
        <v>52.62</v>
      </c>
      <c r="J439" s="2">
        <v>71.48</v>
      </c>
      <c r="K439" s="2">
        <v>95.78</v>
      </c>
      <c r="L439" s="2">
        <v>58.67</v>
      </c>
      <c r="M439" s="2">
        <v>65.010000000000005</v>
      </c>
      <c r="N439" s="2">
        <v>148.55000000000001</v>
      </c>
      <c r="O439" s="2">
        <v>6.71</v>
      </c>
      <c r="P439" s="2">
        <v>153.1</v>
      </c>
      <c r="Q439" s="2">
        <v>13.06</v>
      </c>
      <c r="R439" s="2">
        <v>16.93</v>
      </c>
      <c r="S439" s="2">
        <v>112.25</v>
      </c>
      <c r="T439" s="2">
        <v>60.9</v>
      </c>
      <c r="U439" s="2">
        <v>6.12</v>
      </c>
      <c r="V439" s="2">
        <v>38.49</v>
      </c>
      <c r="W439" s="2">
        <v>0</v>
      </c>
      <c r="X439" s="2">
        <v>3.53</v>
      </c>
      <c r="Y439" s="2">
        <v>2.57</v>
      </c>
      <c r="Z439" s="2">
        <v>14.07</v>
      </c>
      <c r="AA439" s="2">
        <v>10.039999999999999</v>
      </c>
      <c r="AB439" s="2">
        <v>2.88</v>
      </c>
      <c r="AC439" s="2">
        <v>19.489999999999998</v>
      </c>
      <c r="AD439" s="2">
        <v>4.2300000000000004</v>
      </c>
      <c r="AE439" s="2">
        <v>45.03</v>
      </c>
      <c r="AF439" s="2">
        <v>70.09</v>
      </c>
      <c r="AG439" s="2">
        <v>10.69</v>
      </c>
    </row>
    <row r="440" spans="1:33" x14ac:dyDescent="0.2">
      <c r="A440" s="3">
        <v>21305</v>
      </c>
      <c r="B440" s="2">
        <v>14.33</v>
      </c>
      <c r="C440" s="2">
        <v>30.5</v>
      </c>
      <c r="D440" s="2">
        <v>-19.149999999999999</v>
      </c>
      <c r="E440" s="2">
        <v>-7.09</v>
      </c>
      <c r="F440" s="2">
        <v>52.43</v>
      </c>
      <c r="G440" s="2">
        <v>-69.040000000000006</v>
      </c>
      <c r="H440" s="2">
        <v>19.43</v>
      </c>
      <c r="I440" s="2">
        <v>57.82</v>
      </c>
      <c r="J440" s="2">
        <v>51.37</v>
      </c>
      <c r="K440" s="2">
        <v>56.6</v>
      </c>
      <c r="L440" s="2">
        <v>54.22</v>
      </c>
      <c r="M440" s="2">
        <v>48.61</v>
      </c>
      <c r="N440" s="2">
        <v>129.97999999999999</v>
      </c>
      <c r="O440" s="2">
        <v>8.49</v>
      </c>
      <c r="P440" s="2">
        <v>105.55</v>
      </c>
      <c r="Q440" s="2">
        <v>24</v>
      </c>
      <c r="R440" s="2">
        <v>17.14</v>
      </c>
      <c r="S440" s="2">
        <v>74.98</v>
      </c>
      <c r="T440" s="2">
        <v>31.79</v>
      </c>
      <c r="U440" s="2">
        <v>10.119999999999999</v>
      </c>
      <c r="V440" s="2">
        <v>20.89</v>
      </c>
      <c r="W440" s="2">
        <v>0</v>
      </c>
      <c r="X440" s="2">
        <v>4.28</v>
      </c>
      <c r="Y440" s="2">
        <v>3.63</v>
      </c>
      <c r="Z440" s="2">
        <v>10.82</v>
      </c>
      <c r="AA440" s="2">
        <v>7.03</v>
      </c>
      <c r="AB440" s="2">
        <v>5.36</v>
      </c>
      <c r="AC440" s="2">
        <v>11.64</v>
      </c>
      <c r="AD440" s="2">
        <v>4.74</v>
      </c>
      <c r="AE440" s="2">
        <v>34.31</v>
      </c>
      <c r="AF440" s="2">
        <v>86.72</v>
      </c>
      <c r="AG440" s="2">
        <v>14.64</v>
      </c>
    </row>
    <row r="441" spans="1:33" x14ac:dyDescent="0.2">
      <c r="A441" s="3">
        <v>21336</v>
      </c>
      <c r="B441" s="2">
        <v>5.5</v>
      </c>
      <c r="C441" s="2">
        <v>19.440000000000001</v>
      </c>
      <c r="D441" s="2">
        <v>-25.62</v>
      </c>
      <c r="E441" s="2">
        <v>-116.91</v>
      </c>
      <c r="F441" s="2">
        <v>-73.48</v>
      </c>
      <c r="G441" s="2">
        <v>-73.599999999999994</v>
      </c>
      <c r="H441" s="2">
        <v>22.32</v>
      </c>
      <c r="I441" s="2">
        <v>44.38</v>
      </c>
      <c r="J441" s="2">
        <v>1.32</v>
      </c>
      <c r="K441" s="2">
        <v>-12.76</v>
      </c>
      <c r="L441" s="2">
        <v>29.22</v>
      </c>
      <c r="M441" s="2">
        <v>2.21</v>
      </c>
      <c r="N441" s="2">
        <v>35.11</v>
      </c>
      <c r="O441" s="2">
        <v>14.45</v>
      </c>
      <c r="P441" s="2">
        <v>82.3</v>
      </c>
      <c r="Q441" s="2">
        <v>20.39</v>
      </c>
      <c r="R441" s="2">
        <v>13.07</v>
      </c>
      <c r="S441" s="2">
        <v>63.42</v>
      </c>
      <c r="T441" s="2">
        <v>22.36</v>
      </c>
      <c r="U441" s="2">
        <v>1.95</v>
      </c>
      <c r="V441" s="2">
        <v>25.82</v>
      </c>
      <c r="W441" s="2">
        <v>4.88</v>
      </c>
      <c r="X441" s="2">
        <v>7.18</v>
      </c>
      <c r="Y441" s="2">
        <v>5.85</v>
      </c>
      <c r="Z441" s="2">
        <v>1.34</v>
      </c>
      <c r="AA441" s="2">
        <v>0.56999999999999995</v>
      </c>
      <c r="AB441" s="2">
        <v>0</v>
      </c>
      <c r="AC441" s="2">
        <v>0.95</v>
      </c>
      <c r="AD441" s="2">
        <v>6.67</v>
      </c>
      <c r="AE441" s="2">
        <v>4.9400000000000004</v>
      </c>
      <c r="AF441" s="2">
        <v>97.94</v>
      </c>
      <c r="AG441" s="2">
        <v>17.690000000000001</v>
      </c>
    </row>
    <row r="442" spans="1:33" x14ac:dyDescent="0.2">
      <c r="A442" s="3">
        <v>21366</v>
      </c>
      <c r="B442" s="2">
        <v>3.49</v>
      </c>
      <c r="C442" s="2">
        <v>14.74</v>
      </c>
      <c r="D442" s="2">
        <v>-22.75</v>
      </c>
      <c r="E442" s="2">
        <v>-102.83</v>
      </c>
      <c r="F442" s="2">
        <v>-99.16</v>
      </c>
      <c r="G442" s="2">
        <v>-27.25</v>
      </c>
      <c r="H442" s="2">
        <v>1.79</v>
      </c>
      <c r="I442" s="2">
        <v>36.5</v>
      </c>
      <c r="J442" s="2">
        <v>-34.1</v>
      </c>
      <c r="K442" s="2">
        <v>-34.520000000000003</v>
      </c>
      <c r="L442" s="2">
        <v>-35.39</v>
      </c>
      <c r="M442" s="2">
        <v>-23.63</v>
      </c>
      <c r="N442" s="2">
        <v>20.46</v>
      </c>
      <c r="O442" s="2">
        <v>55.39</v>
      </c>
      <c r="P442" s="2">
        <v>88.13</v>
      </c>
      <c r="Q442" s="2">
        <v>18.579999999999998</v>
      </c>
      <c r="R442" s="2">
        <v>15.26</v>
      </c>
      <c r="S442" s="2">
        <v>26.61</v>
      </c>
      <c r="T442" s="2">
        <v>70.84</v>
      </c>
      <c r="U442" s="2">
        <v>-0.54</v>
      </c>
      <c r="V442" s="2">
        <v>43.39</v>
      </c>
      <c r="W442" s="2">
        <v>18.62</v>
      </c>
      <c r="X442" s="2">
        <v>12.44</v>
      </c>
      <c r="Y442" s="2">
        <v>11.81</v>
      </c>
      <c r="Z442" s="2">
        <v>0</v>
      </c>
      <c r="AA442" s="2">
        <v>0</v>
      </c>
      <c r="AB442" s="2">
        <v>0</v>
      </c>
      <c r="AC442" s="2">
        <v>0</v>
      </c>
      <c r="AD442" s="2">
        <v>13.74</v>
      </c>
      <c r="AE442" s="2">
        <v>3.82</v>
      </c>
      <c r="AF442" s="2">
        <v>107.19</v>
      </c>
      <c r="AG442" s="2">
        <v>22.83</v>
      </c>
    </row>
    <row r="443" spans="1:33" x14ac:dyDescent="0.2">
      <c r="A443" s="3">
        <v>21397</v>
      </c>
      <c r="B443" s="2">
        <v>2.2400000000000002</v>
      </c>
      <c r="C443" s="2">
        <v>14.52</v>
      </c>
      <c r="D443" s="2">
        <v>-16.27</v>
      </c>
      <c r="E443" s="2">
        <v>-91.84</v>
      </c>
      <c r="F443" s="2">
        <v>-72.930000000000007</v>
      </c>
      <c r="G443" s="2">
        <v>-22.31</v>
      </c>
      <c r="H443" s="2">
        <v>-2.38</v>
      </c>
      <c r="I443" s="2">
        <v>27.82</v>
      </c>
      <c r="J443" s="2">
        <v>-67.180000000000007</v>
      </c>
      <c r="K443" s="2">
        <v>-64.87</v>
      </c>
      <c r="L443" s="2">
        <v>-69.19</v>
      </c>
      <c r="M443" s="2">
        <v>-37.49</v>
      </c>
      <c r="N443" s="2">
        <v>-7.07</v>
      </c>
      <c r="O443" s="2">
        <v>110.17</v>
      </c>
      <c r="P443" s="2">
        <v>59.1</v>
      </c>
      <c r="Q443" s="2">
        <v>13.51</v>
      </c>
      <c r="R443" s="2">
        <v>8.16</v>
      </c>
      <c r="S443" s="2">
        <v>22.79</v>
      </c>
      <c r="T443" s="2">
        <v>39.49</v>
      </c>
      <c r="U443" s="2">
        <v>4.49</v>
      </c>
      <c r="V443" s="2">
        <v>52.46</v>
      </c>
      <c r="W443" s="2">
        <v>30.39</v>
      </c>
      <c r="X443" s="2">
        <v>17.59</v>
      </c>
      <c r="Y443" s="2">
        <v>17.32</v>
      </c>
      <c r="Z443" s="2">
        <v>0</v>
      </c>
      <c r="AA443" s="2">
        <v>0.86</v>
      </c>
      <c r="AB443" s="2">
        <v>0</v>
      </c>
      <c r="AC443" s="2">
        <v>25.72</v>
      </c>
      <c r="AD443" s="2">
        <v>9.6199999999999992</v>
      </c>
      <c r="AE443" s="2">
        <v>0</v>
      </c>
      <c r="AF443" s="2">
        <v>116.73</v>
      </c>
      <c r="AG443" s="2">
        <v>24.8</v>
      </c>
    </row>
    <row r="444" spans="1:33" x14ac:dyDescent="0.2">
      <c r="A444" s="3">
        <v>21428</v>
      </c>
      <c r="B444" s="2">
        <v>1.6</v>
      </c>
      <c r="C444" s="2">
        <v>13.96</v>
      </c>
      <c r="D444" s="2">
        <v>-11.39</v>
      </c>
      <c r="E444" s="2">
        <v>-64.7</v>
      </c>
      <c r="F444" s="2">
        <v>-28.87</v>
      </c>
      <c r="G444" s="2">
        <v>1.64</v>
      </c>
      <c r="H444" s="2">
        <v>10.08</v>
      </c>
      <c r="I444" s="2">
        <v>30.15</v>
      </c>
      <c r="J444" s="2">
        <v>-39.15</v>
      </c>
      <c r="K444" s="2">
        <v>-24.23</v>
      </c>
      <c r="L444" s="2">
        <v>-46.91</v>
      </c>
      <c r="M444" s="2">
        <v>-23.43</v>
      </c>
      <c r="N444" s="2">
        <v>8.6199999999999992</v>
      </c>
      <c r="O444" s="2">
        <v>93.16</v>
      </c>
      <c r="P444" s="2">
        <v>47.47</v>
      </c>
      <c r="Q444" s="2">
        <v>8.9700000000000006</v>
      </c>
      <c r="R444" s="2">
        <v>18.66</v>
      </c>
      <c r="S444" s="2">
        <v>25.14</v>
      </c>
      <c r="T444" s="2">
        <v>38.21</v>
      </c>
      <c r="U444" s="2">
        <v>9.06</v>
      </c>
      <c r="V444" s="2">
        <v>43.04</v>
      </c>
      <c r="W444" s="2">
        <v>31.47</v>
      </c>
      <c r="X444" s="2">
        <v>19.89</v>
      </c>
      <c r="Y444" s="2">
        <v>19.760000000000002</v>
      </c>
      <c r="Z444" s="2">
        <v>0</v>
      </c>
      <c r="AA444" s="2">
        <v>0.14000000000000001</v>
      </c>
      <c r="AB444" s="2">
        <v>0.9</v>
      </c>
      <c r="AC444" s="2">
        <v>3.11</v>
      </c>
      <c r="AD444" s="2">
        <v>6.4</v>
      </c>
      <c r="AE444" s="2">
        <v>0.28000000000000003</v>
      </c>
      <c r="AF444" s="2">
        <v>118.71</v>
      </c>
      <c r="AG444" s="2">
        <v>23.65</v>
      </c>
    </row>
    <row r="445" spans="1:33" x14ac:dyDescent="0.2">
      <c r="A445" s="3">
        <v>21458</v>
      </c>
      <c r="B445" s="2">
        <v>-0.02</v>
      </c>
      <c r="C445" s="2">
        <v>13.65</v>
      </c>
      <c r="D445" s="2">
        <v>-12.01</v>
      </c>
      <c r="E445" s="2">
        <v>-36.880000000000003</v>
      </c>
      <c r="F445" s="2">
        <v>-16.8</v>
      </c>
      <c r="G445" s="2">
        <v>15.88</v>
      </c>
      <c r="H445" s="2">
        <v>18.96</v>
      </c>
      <c r="I445" s="2">
        <v>38.76</v>
      </c>
      <c r="J445" s="2">
        <v>-4.68</v>
      </c>
      <c r="K445" s="2">
        <v>-7.75</v>
      </c>
      <c r="L445" s="2">
        <v>-20.350000000000001</v>
      </c>
      <c r="M445" s="2">
        <v>-4.42</v>
      </c>
      <c r="N445" s="2">
        <v>28</v>
      </c>
      <c r="O445" s="2">
        <v>6.93</v>
      </c>
      <c r="P445" s="2">
        <v>5.17</v>
      </c>
      <c r="Q445" s="2">
        <v>5.25</v>
      </c>
      <c r="R445" s="2">
        <v>9.86</v>
      </c>
      <c r="S445" s="2">
        <v>13.12</v>
      </c>
      <c r="T445" s="2">
        <v>16.809999999999999</v>
      </c>
      <c r="U445" s="2">
        <v>11.33</v>
      </c>
      <c r="V445" s="2">
        <v>19.170000000000002</v>
      </c>
      <c r="W445" s="2">
        <v>26.1</v>
      </c>
      <c r="X445" s="2">
        <v>18.899999999999999</v>
      </c>
      <c r="Y445" s="2">
        <v>18.57</v>
      </c>
      <c r="Z445" s="2">
        <v>2.0099999999999998</v>
      </c>
      <c r="AA445" s="2">
        <v>0</v>
      </c>
      <c r="AB445" s="2">
        <v>0.56000000000000005</v>
      </c>
      <c r="AC445" s="2">
        <v>11.1</v>
      </c>
      <c r="AD445" s="2">
        <v>4.4800000000000004</v>
      </c>
      <c r="AE445" s="2">
        <v>0.37</v>
      </c>
      <c r="AF445" s="2">
        <v>110.57</v>
      </c>
      <c r="AG445" s="2">
        <v>20.170000000000002</v>
      </c>
    </row>
    <row r="446" spans="1:33" x14ac:dyDescent="0.2">
      <c r="A446" s="3">
        <v>21489</v>
      </c>
      <c r="B446" s="2">
        <v>-1.26</v>
      </c>
      <c r="C446" s="2">
        <v>13.23</v>
      </c>
      <c r="D446" s="2">
        <v>-11.57</v>
      </c>
      <c r="E446" s="2">
        <v>-36.270000000000003</v>
      </c>
      <c r="F446" s="2">
        <v>-23.23</v>
      </c>
      <c r="G446" s="2">
        <v>12.51</v>
      </c>
      <c r="H446" s="2">
        <v>14.84</v>
      </c>
      <c r="I446" s="2">
        <v>37.47</v>
      </c>
      <c r="J446" s="2">
        <v>7.0000000000000007E-2</v>
      </c>
      <c r="K446" s="2">
        <v>-7.5</v>
      </c>
      <c r="L446" s="2">
        <v>-2.57</v>
      </c>
      <c r="M446" s="2">
        <v>5.39</v>
      </c>
      <c r="N446" s="2">
        <v>16.05</v>
      </c>
      <c r="O446" s="2">
        <v>9.3699999999999992</v>
      </c>
      <c r="P446" s="2">
        <v>25.93</v>
      </c>
      <c r="Q446" s="2">
        <v>2.29</v>
      </c>
      <c r="R446" s="2">
        <v>0.1</v>
      </c>
      <c r="S446" s="2">
        <v>0.4</v>
      </c>
      <c r="T446" s="2">
        <v>19.149999999999999</v>
      </c>
      <c r="U446" s="2">
        <v>0.87</v>
      </c>
      <c r="V446" s="2">
        <v>17.170000000000002</v>
      </c>
      <c r="W446" s="2">
        <v>22.19</v>
      </c>
      <c r="X446" s="2">
        <v>17.54</v>
      </c>
      <c r="Y446" s="2">
        <v>17.190000000000001</v>
      </c>
      <c r="Z446" s="2">
        <v>1.05</v>
      </c>
      <c r="AA446" s="2">
        <v>0</v>
      </c>
      <c r="AB446" s="2">
        <v>0.26</v>
      </c>
      <c r="AC446" s="2">
        <v>12.59</v>
      </c>
      <c r="AD446" s="2">
        <v>2.39</v>
      </c>
      <c r="AE446" s="2">
        <v>0.09</v>
      </c>
      <c r="AF446" s="2">
        <v>100.29</v>
      </c>
      <c r="AG446" s="2">
        <v>16.420000000000002</v>
      </c>
    </row>
    <row r="447" spans="1:33" x14ac:dyDescent="0.2">
      <c r="A447" s="3">
        <v>21519</v>
      </c>
      <c r="B447" s="2">
        <v>-1.66</v>
      </c>
      <c r="C447" s="2">
        <v>9.85</v>
      </c>
      <c r="D447" s="2">
        <v>-10.81</v>
      </c>
      <c r="E447" s="2">
        <v>-31.91</v>
      </c>
      <c r="F447" s="2">
        <v>-11.09</v>
      </c>
      <c r="G447" s="2">
        <v>9.25</v>
      </c>
      <c r="H447" s="2">
        <v>13.76</v>
      </c>
      <c r="I447" s="2">
        <v>31.1</v>
      </c>
      <c r="J447" s="2">
        <v>9.9</v>
      </c>
      <c r="K447" s="2">
        <v>-5.72</v>
      </c>
      <c r="L447" s="2">
        <v>11.87</v>
      </c>
      <c r="M447" s="2">
        <v>3.14</v>
      </c>
      <c r="N447" s="2">
        <v>11.37</v>
      </c>
      <c r="O447" s="2">
        <v>6.71</v>
      </c>
      <c r="P447" s="2">
        <v>21.26</v>
      </c>
      <c r="Q447" s="2">
        <v>1.23</v>
      </c>
      <c r="R447" s="2">
        <v>-1.05</v>
      </c>
      <c r="S447" s="2">
        <v>0.83</v>
      </c>
      <c r="T447" s="2">
        <v>10.78</v>
      </c>
      <c r="U447" s="2">
        <v>6.03</v>
      </c>
      <c r="V447" s="2">
        <v>9.6</v>
      </c>
      <c r="W447" s="2">
        <v>15.43</v>
      </c>
      <c r="X447" s="2">
        <v>11.48</v>
      </c>
      <c r="Y447" s="2">
        <v>10.11</v>
      </c>
      <c r="Z447" s="2">
        <v>0</v>
      </c>
      <c r="AA447" s="2">
        <v>2.09</v>
      </c>
      <c r="AB447" s="2">
        <v>1.4</v>
      </c>
      <c r="AC447" s="2">
        <v>7.18</v>
      </c>
      <c r="AD447" s="2">
        <v>1.33</v>
      </c>
      <c r="AE447" s="2">
        <v>2.14</v>
      </c>
      <c r="AF447" s="2">
        <v>65.81</v>
      </c>
      <c r="AG447" s="2">
        <v>12.92</v>
      </c>
    </row>
    <row r="448" spans="1:33" x14ac:dyDescent="0.2">
      <c r="A448" s="3">
        <v>21550</v>
      </c>
      <c r="B448" s="2">
        <v>-0.4</v>
      </c>
      <c r="C448" s="2">
        <v>8.99</v>
      </c>
      <c r="D448" s="2">
        <v>-4.6100000000000003</v>
      </c>
      <c r="E448" s="2">
        <v>-25.71</v>
      </c>
      <c r="F448" s="2">
        <v>-9.15</v>
      </c>
      <c r="G448" s="2">
        <v>8.15</v>
      </c>
      <c r="H448" s="2">
        <v>11.55</v>
      </c>
      <c r="I448" s="2">
        <v>30.18</v>
      </c>
      <c r="J448" s="2">
        <v>4.21</v>
      </c>
      <c r="K448" s="2">
        <v>-4.8</v>
      </c>
      <c r="L448" s="2">
        <v>-3.58</v>
      </c>
      <c r="M448" s="2">
        <v>-11.85</v>
      </c>
      <c r="N448" s="2">
        <v>9.8699999999999992</v>
      </c>
      <c r="O448" s="2">
        <v>6.99</v>
      </c>
      <c r="P448" s="2">
        <v>23.17</v>
      </c>
      <c r="Q448" s="2">
        <v>-0.46</v>
      </c>
      <c r="R448" s="2">
        <v>-1.33</v>
      </c>
      <c r="S448" s="2">
        <v>-0.34</v>
      </c>
      <c r="T448" s="2">
        <v>9.56</v>
      </c>
      <c r="U448" s="2">
        <v>4.83</v>
      </c>
      <c r="V448" s="2">
        <v>9.15</v>
      </c>
      <c r="W448" s="2">
        <v>11.73</v>
      </c>
      <c r="X448" s="2">
        <v>9.32</v>
      </c>
      <c r="Y448" s="2">
        <v>9.17</v>
      </c>
      <c r="Z448" s="2">
        <v>3.54</v>
      </c>
      <c r="AA448" s="2">
        <v>0</v>
      </c>
      <c r="AB448" s="2">
        <v>0.05</v>
      </c>
      <c r="AC448" s="2">
        <v>0</v>
      </c>
      <c r="AD448" s="2">
        <v>1.33</v>
      </c>
      <c r="AE448" s="2">
        <v>5.59</v>
      </c>
      <c r="AF448" s="2">
        <v>60.46</v>
      </c>
      <c r="AG448" s="2">
        <v>11.2</v>
      </c>
    </row>
    <row r="449" spans="1:33" x14ac:dyDescent="0.2">
      <c r="A449" s="3">
        <v>21581</v>
      </c>
      <c r="B449" s="2">
        <v>5.0199999999999996</v>
      </c>
      <c r="C449" s="2">
        <v>23.42</v>
      </c>
      <c r="D449" s="2">
        <v>29.96</v>
      </c>
      <c r="E449" s="2">
        <v>76.849999999999994</v>
      </c>
      <c r="F449" s="2">
        <v>51.55</v>
      </c>
      <c r="G449" s="2">
        <v>93.13</v>
      </c>
      <c r="H449" s="2">
        <v>33.130000000000003</v>
      </c>
      <c r="I449" s="2">
        <v>39.47</v>
      </c>
      <c r="J449" s="2">
        <v>27.54</v>
      </c>
      <c r="K449" s="2">
        <v>17.2</v>
      </c>
      <c r="L449" s="2">
        <v>-10.58</v>
      </c>
      <c r="M449" s="2">
        <v>-1.61</v>
      </c>
      <c r="N449" s="2">
        <v>20.440000000000001</v>
      </c>
      <c r="O449" s="2">
        <v>9.4</v>
      </c>
      <c r="P449" s="2">
        <v>31.79</v>
      </c>
      <c r="Q449" s="2">
        <v>-4.2</v>
      </c>
      <c r="R449" s="2">
        <v>-3.81</v>
      </c>
      <c r="S449" s="2">
        <v>8.43</v>
      </c>
      <c r="T449" s="2">
        <v>15.67</v>
      </c>
      <c r="U449" s="2">
        <v>2.12</v>
      </c>
      <c r="V449" s="2">
        <v>11.71</v>
      </c>
      <c r="W449" s="2">
        <v>4.26</v>
      </c>
      <c r="X449" s="2">
        <v>6.52</v>
      </c>
      <c r="Y449" s="2">
        <v>5.08</v>
      </c>
      <c r="Z449" s="2">
        <v>4.59</v>
      </c>
      <c r="AA449" s="2">
        <v>0.72</v>
      </c>
      <c r="AB449" s="2">
        <v>0.78</v>
      </c>
      <c r="AC449" s="2">
        <v>4.2</v>
      </c>
      <c r="AD449" s="2">
        <v>1.26</v>
      </c>
      <c r="AE449" s="2">
        <v>28.43</v>
      </c>
      <c r="AF449" s="2">
        <v>75.3</v>
      </c>
      <c r="AG449" s="2">
        <v>9.8800000000000008</v>
      </c>
    </row>
    <row r="450" spans="1:33" x14ac:dyDescent="0.2">
      <c r="A450" s="3">
        <v>21609</v>
      </c>
      <c r="B450" s="2">
        <v>7.29</v>
      </c>
      <c r="C450" s="2">
        <v>23.25</v>
      </c>
      <c r="D450" s="2">
        <v>23.04</v>
      </c>
      <c r="E450" s="2">
        <v>46.36</v>
      </c>
      <c r="F450" s="2">
        <v>48.58</v>
      </c>
      <c r="G450" s="2">
        <v>125.08</v>
      </c>
      <c r="H450" s="2">
        <v>19.100000000000001</v>
      </c>
      <c r="I450" s="2">
        <v>38.22</v>
      </c>
      <c r="J450" s="2">
        <v>35.19</v>
      </c>
      <c r="K450" s="2">
        <v>32.020000000000003</v>
      </c>
      <c r="L450" s="2">
        <v>-0.67</v>
      </c>
      <c r="M450" s="2">
        <v>10.01</v>
      </c>
      <c r="N450" s="2">
        <v>38.32</v>
      </c>
      <c r="O450" s="2">
        <v>6.45</v>
      </c>
      <c r="P450" s="2">
        <v>47.71</v>
      </c>
      <c r="Q450" s="2">
        <v>-0.56999999999999995</v>
      </c>
      <c r="R450" s="2">
        <v>-0.75</v>
      </c>
      <c r="S450" s="2">
        <v>30.86</v>
      </c>
      <c r="T450" s="2">
        <v>17.37</v>
      </c>
      <c r="U450" s="2">
        <v>4.83</v>
      </c>
      <c r="V450" s="2">
        <v>9.39</v>
      </c>
      <c r="W450" s="2">
        <v>0</v>
      </c>
      <c r="X450" s="2">
        <v>0.52</v>
      </c>
      <c r="Y450" s="2">
        <v>0.38</v>
      </c>
      <c r="Z450" s="2">
        <v>9.0399999999999991</v>
      </c>
      <c r="AA450" s="2">
        <v>3.58</v>
      </c>
      <c r="AB450" s="2">
        <v>6.28</v>
      </c>
      <c r="AC450" s="2">
        <v>10.29</v>
      </c>
      <c r="AD450" s="2">
        <v>1.62</v>
      </c>
      <c r="AE450" s="2">
        <v>46.14</v>
      </c>
      <c r="AF450" s="2">
        <v>62.77</v>
      </c>
      <c r="AG450" s="2">
        <v>10.08</v>
      </c>
    </row>
    <row r="451" spans="1:33" x14ac:dyDescent="0.2">
      <c r="A451" s="3">
        <v>21640</v>
      </c>
      <c r="B451" s="2">
        <v>0.45</v>
      </c>
      <c r="C451" s="2">
        <v>14.31</v>
      </c>
      <c r="D451" s="2">
        <v>-25.21</v>
      </c>
      <c r="E451" s="2">
        <v>-72.150000000000006</v>
      </c>
      <c r="F451" s="2">
        <v>-32.979999999999997</v>
      </c>
      <c r="G451" s="2">
        <v>-42.58</v>
      </c>
      <c r="H451" s="2">
        <v>5.92</v>
      </c>
      <c r="I451" s="2">
        <v>32.32</v>
      </c>
      <c r="J451" s="2">
        <v>-10.52</v>
      </c>
      <c r="K451" s="2">
        <v>-23.53</v>
      </c>
      <c r="L451" s="2">
        <v>-14.69</v>
      </c>
      <c r="M451" s="2">
        <v>-16.21</v>
      </c>
      <c r="N451" s="2">
        <v>12.69</v>
      </c>
      <c r="O451" s="2">
        <v>13.97</v>
      </c>
      <c r="P451" s="2">
        <v>67.540000000000006</v>
      </c>
      <c r="Q451" s="2">
        <v>0.15</v>
      </c>
      <c r="R451" s="2">
        <v>-1.68</v>
      </c>
      <c r="S451" s="2">
        <v>-12.34</v>
      </c>
      <c r="T451" s="2">
        <v>27.97</v>
      </c>
      <c r="U451" s="2">
        <v>-2.33</v>
      </c>
      <c r="V451" s="2">
        <v>17.11</v>
      </c>
      <c r="W451" s="2">
        <v>0</v>
      </c>
      <c r="X451" s="2">
        <v>0.9</v>
      </c>
      <c r="Y451" s="2">
        <v>0</v>
      </c>
      <c r="Z451" s="2">
        <v>0</v>
      </c>
      <c r="AA451" s="2">
        <v>0</v>
      </c>
      <c r="AB451" s="2">
        <v>0.36</v>
      </c>
      <c r="AC451" s="2">
        <v>0</v>
      </c>
      <c r="AD451" s="2">
        <v>3.35</v>
      </c>
      <c r="AE451" s="2">
        <v>2.33</v>
      </c>
      <c r="AF451" s="2">
        <v>74.069999999999993</v>
      </c>
      <c r="AG451" s="2">
        <v>10.69</v>
      </c>
    </row>
    <row r="452" spans="1:33" x14ac:dyDescent="0.2">
      <c r="A452" s="3">
        <v>21670</v>
      </c>
      <c r="B452" s="2">
        <v>-1.27</v>
      </c>
      <c r="C452" s="2">
        <v>7.42</v>
      </c>
      <c r="D452" s="2">
        <v>-20.76</v>
      </c>
      <c r="E452" s="2">
        <v>-62.09</v>
      </c>
      <c r="F452" s="2">
        <v>-22.86</v>
      </c>
      <c r="G452" s="2">
        <v>-21.99</v>
      </c>
      <c r="H452" s="2">
        <v>2.0099999999999998</v>
      </c>
      <c r="I452" s="2">
        <v>34.619999999999997</v>
      </c>
      <c r="J452" s="2">
        <v>-16.7</v>
      </c>
      <c r="K452" s="2">
        <v>-4.7699999999999996</v>
      </c>
      <c r="L452" s="2">
        <v>-21.96</v>
      </c>
      <c r="M452" s="2">
        <v>-8.8000000000000007</v>
      </c>
      <c r="N452" s="2">
        <v>23.79</v>
      </c>
      <c r="O452" s="2">
        <v>8.6300000000000008</v>
      </c>
      <c r="P452" s="2">
        <v>42.49</v>
      </c>
      <c r="Q452" s="2">
        <v>-2.4900000000000002</v>
      </c>
      <c r="R452" s="2">
        <v>2.16</v>
      </c>
      <c r="S452" s="2">
        <v>-3.06</v>
      </c>
      <c r="T452" s="2">
        <v>17.25</v>
      </c>
      <c r="U452" s="2">
        <v>0.59</v>
      </c>
      <c r="V452" s="2">
        <v>15.8</v>
      </c>
      <c r="W452" s="2">
        <v>0</v>
      </c>
      <c r="X452" s="2">
        <v>1.06</v>
      </c>
      <c r="Y452" s="2">
        <v>0.2</v>
      </c>
      <c r="Z452" s="2">
        <v>1.1000000000000001</v>
      </c>
      <c r="AA452" s="2">
        <v>0.14000000000000001</v>
      </c>
      <c r="AB452" s="2">
        <v>0</v>
      </c>
      <c r="AC452" s="2">
        <v>0</v>
      </c>
      <c r="AD452" s="2">
        <v>4.2</v>
      </c>
      <c r="AE452" s="2">
        <v>5.59</v>
      </c>
      <c r="AF452" s="2">
        <v>91.65</v>
      </c>
      <c r="AG452" s="2">
        <v>14.64</v>
      </c>
    </row>
    <row r="453" spans="1:33" x14ac:dyDescent="0.2">
      <c r="A453" s="3">
        <v>21701</v>
      </c>
      <c r="B453" s="2">
        <v>-0.91</v>
      </c>
      <c r="C453" s="2">
        <v>8.0299999999999994</v>
      </c>
      <c r="D453" s="2">
        <v>-9.49</v>
      </c>
      <c r="E453" s="2">
        <v>-40.299999999999997</v>
      </c>
      <c r="F453" s="2">
        <v>-29.27</v>
      </c>
      <c r="G453" s="2">
        <v>-5.78</v>
      </c>
      <c r="H453" s="2">
        <v>4.8899999999999997</v>
      </c>
      <c r="I453" s="2">
        <v>25.43</v>
      </c>
      <c r="J453" s="2">
        <v>-16.02</v>
      </c>
      <c r="K453" s="2">
        <v>-6.4</v>
      </c>
      <c r="L453" s="2">
        <v>-13.51</v>
      </c>
      <c r="M453" s="2">
        <v>-3.69</v>
      </c>
      <c r="N453" s="2">
        <v>21.05</v>
      </c>
      <c r="O453" s="2">
        <v>24.42</v>
      </c>
      <c r="P453" s="2">
        <v>56.91</v>
      </c>
      <c r="Q453" s="2">
        <v>-1.1399999999999999</v>
      </c>
      <c r="R453" s="2">
        <v>0.24</v>
      </c>
      <c r="S453" s="2">
        <v>14.16</v>
      </c>
      <c r="T453" s="2">
        <v>47.94</v>
      </c>
      <c r="U453" s="2">
        <v>-0.92</v>
      </c>
      <c r="V453" s="2">
        <v>45.22</v>
      </c>
      <c r="W453" s="2">
        <v>4.88</v>
      </c>
      <c r="X453" s="2">
        <v>3.49</v>
      </c>
      <c r="Y453" s="2">
        <v>2</v>
      </c>
      <c r="Z453" s="2">
        <v>0</v>
      </c>
      <c r="AA453" s="2">
        <v>0</v>
      </c>
      <c r="AB453" s="2">
        <v>0</v>
      </c>
      <c r="AC453" s="2">
        <v>0</v>
      </c>
      <c r="AD453" s="2">
        <v>7.61</v>
      </c>
      <c r="AE453" s="2">
        <v>0.09</v>
      </c>
      <c r="AF453" s="2">
        <v>103.51</v>
      </c>
      <c r="AG453" s="2">
        <v>17.690000000000001</v>
      </c>
    </row>
    <row r="454" spans="1:33" x14ac:dyDescent="0.2">
      <c r="A454" s="3">
        <v>21731</v>
      </c>
      <c r="B454" s="2">
        <v>-0.14000000000000001</v>
      </c>
      <c r="C454" s="2">
        <v>11.46</v>
      </c>
      <c r="D454" s="2">
        <v>-11.07</v>
      </c>
      <c r="E454" s="2">
        <v>-42.39</v>
      </c>
      <c r="F454" s="2">
        <v>-22.05</v>
      </c>
      <c r="G454" s="2">
        <v>3.83</v>
      </c>
      <c r="H454" s="2">
        <v>8.3800000000000008</v>
      </c>
      <c r="I454" s="2">
        <v>27.69</v>
      </c>
      <c r="J454" s="2">
        <v>-12.32</v>
      </c>
      <c r="K454" s="2">
        <v>0.21</v>
      </c>
      <c r="L454" s="2">
        <v>-4.76</v>
      </c>
      <c r="M454" s="2">
        <v>2.61</v>
      </c>
      <c r="N454" s="2">
        <v>24.7</v>
      </c>
      <c r="O454" s="2">
        <v>119.35</v>
      </c>
      <c r="P454" s="2">
        <v>116.67</v>
      </c>
      <c r="Q454" s="2">
        <v>3.45</v>
      </c>
      <c r="R454" s="2">
        <v>0.28000000000000003</v>
      </c>
      <c r="S454" s="2">
        <v>56.12</v>
      </c>
      <c r="T454" s="2">
        <v>71.44</v>
      </c>
      <c r="U454" s="2">
        <v>11.4</v>
      </c>
      <c r="V454" s="2">
        <v>56.88</v>
      </c>
      <c r="W454" s="2">
        <v>18.62</v>
      </c>
      <c r="X454" s="2">
        <v>8.42</v>
      </c>
      <c r="Y454" s="2">
        <v>7.55</v>
      </c>
      <c r="Z454" s="2">
        <v>0</v>
      </c>
      <c r="AA454" s="2">
        <v>0</v>
      </c>
      <c r="AB454" s="2">
        <v>0</v>
      </c>
      <c r="AC454" s="2">
        <v>0</v>
      </c>
      <c r="AD454" s="2">
        <v>9.67</v>
      </c>
      <c r="AE454" s="2">
        <v>0</v>
      </c>
      <c r="AF454" s="2">
        <v>113.28</v>
      </c>
      <c r="AG454" s="2">
        <v>22.83</v>
      </c>
    </row>
    <row r="455" spans="1:33" x14ac:dyDescent="0.2">
      <c r="A455" s="3">
        <v>21762</v>
      </c>
      <c r="B455" s="2">
        <v>0.64</v>
      </c>
      <c r="C455" s="2">
        <v>13.41</v>
      </c>
      <c r="D455" s="2">
        <v>-7.01</v>
      </c>
      <c r="E455" s="2">
        <v>-30.06</v>
      </c>
      <c r="F455" s="2">
        <v>0.41</v>
      </c>
      <c r="G455" s="2">
        <v>16.91</v>
      </c>
      <c r="H455" s="2">
        <v>15.56</v>
      </c>
      <c r="I455" s="2">
        <v>28.75</v>
      </c>
      <c r="J455" s="2">
        <v>-10.96</v>
      </c>
      <c r="K455" s="2">
        <v>-1.78</v>
      </c>
      <c r="L455" s="2">
        <v>1.1399999999999999</v>
      </c>
      <c r="M455" s="2">
        <v>4.25</v>
      </c>
      <c r="N455" s="2">
        <v>24.21</v>
      </c>
      <c r="O455" s="2">
        <v>129.97</v>
      </c>
      <c r="P455" s="2">
        <v>157.94999999999999</v>
      </c>
      <c r="Q455" s="2">
        <v>0.94</v>
      </c>
      <c r="R455" s="2">
        <v>-5.4</v>
      </c>
      <c r="S455" s="2">
        <v>73.63</v>
      </c>
      <c r="T455" s="2">
        <v>55.35</v>
      </c>
      <c r="U455" s="2">
        <v>17.66</v>
      </c>
      <c r="V455" s="2">
        <v>56.28</v>
      </c>
      <c r="W455" s="2">
        <v>30.39</v>
      </c>
      <c r="X455" s="2">
        <v>13.21</v>
      </c>
      <c r="Y455" s="2">
        <v>12.76</v>
      </c>
      <c r="Z455" s="2">
        <v>0</v>
      </c>
      <c r="AA455" s="2">
        <v>0</v>
      </c>
      <c r="AB455" s="2">
        <v>0.21</v>
      </c>
      <c r="AC455" s="2">
        <v>1.35</v>
      </c>
      <c r="AD455" s="2">
        <v>8.92</v>
      </c>
      <c r="AE455" s="2">
        <v>0</v>
      </c>
      <c r="AF455" s="2">
        <v>123.36</v>
      </c>
      <c r="AG455" s="2">
        <v>24.8</v>
      </c>
    </row>
    <row r="456" spans="1:33" x14ac:dyDescent="0.2">
      <c r="A456" s="3">
        <v>21793</v>
      </c>
      <c r="B456" s="2">
        <v>-0.08</v>
      </c>
      <c r="C456" s="2">
        <v>11.98</v>
      </c>
      <c r="D456" s="2">
        <v>1.37</v>
      </c>
      <c r="E456" s="2">
        <v>-45.66</v>
      </c>
      <c r="F456" s="2">
        <v>-2.42</v>
      </c>
      <c r="G456" s="2">
        <v>20.84</v>
      </c>
      <c r="H456" s="2">
        <v>17.8</v>
      </c>
      <c r="I456" s="2">
        <v>28</v>
      </c>
      <c r="J456" s="2">
        <v>-5.21</v>
      </c>
      <c r="K456" s="2">
        <v>-5.43</v>
      </c>
      <c r="L456" s="2">
        <v>-0.67</v>
      </c>
      <c r="M456" s="2">
        <v>1.99</v>
      </c>
      <c r="N456" s="2">
        <v>21.41</v>
      </c>
      <c r="O456" s="2">
        <v>97.34</v>
      </c>
      <c r="P456" s="2">
        <v>138.44</v>
      </c>
      <c r="Q456" s="2">
        <v>1.69</v>
      </c>
      <c r="R456" s="2">
        <v>-4.21</v>
      </c>
      <c r="S456" s="2">
        <v>56.87</v>
      </c>
      <c r="T456" s="2">
        <v>54.15</v>
      </c>
      <c r="U456" s="2">
        <v>11.61</v>
      </c>
      <c r="V456" s="2">
        <v>42.69</v>
      </c>
      <c r="W456" s="2">
        <v>31.47</v>
      </c>
      <c r="X456" s="2">
        <v>15.46</v>
      </c>
      <c r="Y456" s="2">
        <v>15.1</v>
      </c>
      <c r="Z456" s="2">
        <v>0.62</v>
      </c>
      <c r="AA456" s="2">
        <v>1.72</v>
      </c>
      <c r="AB456" s="2">
        <v>0.05</v>
      </c>
      <c r="AC456" s="2">
        <v>6.36</v>
      </c>
      <c r="AD456" s="2">
        <v>6.7</v>
      </c>
      <c r="AE456" s="2">
        <v>0</v>
      </c>
      <c r="AF456" s="2">
        <v>125.46</v>
      </c>
      <c r="AG456" s="2">
        <v>23.65</v>
      </c>
    </row>
    <row r="457" spans="1:33" x14ac:dyDescent="0.2">
      <c r="A457" s="3">
        <v>21823</v>
      </c>
      <c r="B457" s="2">
        <v>-1.61</v>
      </c>
      <c r="C457" s="2">
        <v>11.77</v>
      </c>
      <c r="D457" s="2">
        <v>-9.94</v>
      </c>
      <c r="E457" s="2">
        <v>-35.840000000000003</v>
      </c>
      <c r="F457" s="2">
        <v>9.81</v>
      </c>
      <c r="G457" s="2">
        <v>21.89</v>
      </c>
      <c r="H457" s="2">
        <v>18.329999999999998</v>
      </c>
      <c r="I457" s="2">
        <v>37.03</v>
      </c>
      <c r="J457" s="2">
        <v>10.59</v>
      </c>
      <c r="K457" s="2">
        <v>4.67</v>
      </c>
      <c r="L457" s="2">
        <v>-0.59</v>
      </c>
      <c r="M457" s="2">
        <v>2.31</v>
      </c>
      <c r="N457" s="2">
        <v>24</v>
      </c>
      <c r="O457" s="2">
        <v>7.94</v>
      </c>
      <c r="P457" s="2">
        <v>41.25</v>
      </c>
      <c r="Q457" s="2">
        <v>1.76</v>
      </c>
      <c r="R457" s="2">
        <v>4.79</v>
      </c>
      <c r="S457" s="2">
        <v>8.9700000000000006</v>
      </c>
      <c r="T457" s="2">
        <v>14.34</v>
      </c>
      <c r="U457" s="2">
        <v>4.74</v>
      </c>
      <c r="V457" s="2">
        <v>10.76</v>
      </c>
      <c r="W457" s="2">
        <v>26.1</v>
      </c>
      <c r="X457" s="2">
        <v>14.81</v>
      </c>
      <c r="Y457" s="2">
        <v>14.26</v>
      </c>
      <c r="Z457" s="2">
        <v>0.91</v>
      </c>
      <c r="AA457" s="2">
        <v>0.86</v>
      </c>
      <c r="AB457" s="2">
        <v>1.25</v>
      </c>
      <c r="AC457" s="2">
        <v>0</v>
      </c>
      <c r="AD457" s="2">
        <v>4.24</v>
      </c>
      <c r="AE457" s="2">
        <v>19.02</v>
      </c>
      <c r="AF457" s="2">
        <v>116.86</v>
      </c>
      <c r="AG457" s="2">
        <v>20.170000000000002</v>
      </c>
    </row>
    <row r="458" spans="1:33" x14ac:dyDescent="0.2">
      <c r="A458" s="3">
        <v>21854</v>
      </c>
      <c r="B458" s="2">
        <v>-5.88</v>
      </c>
      <c r="C458" s="2">
        <v>10.56</v>
      </c>
      <c r="D458" s="2">
        <v>-12.61</v>
      </c>
      <c r="E458" s="2">
        <v>-34.520000000000003</v>
      </c>
      <c r="F458" s="2">
        <v>-5.37</v>
      </c>
      <c r="G458" s="2">
        <v>14</v>
      </c>
      <c r="H458" s="2">
        <v>14.09</v>
      </c>
      <c r="I458" s="2">
        <v>32.17</v>
      </c>
      <c r="J458" s="2">
        <v>-0.6</v>
      </c>
      <c r="K458" s="2">
        <v>-8.17</v>
      </c>
      <c r="L458" s="2">
        <v>-2.13</v>
      </c>
      <c r="M458" s="2">
        <v>-3.86</v>
      </c>
      <c r="N458" s="2">
        <v>15.92</v>
      </c>
      <c r="O458" s="2">
        <v>14.88</v>
      </c>
      <c r="P458" s="2">
        <v>32.840000000000003</v>
      </c>
      <c r="Q458" s="2">
        <v>1.64</v>
      </c>
      <c r="R458" s="2">
        <v>0.15</v>
      </c>
      <c r="S458" s="2">
        <v>1.41</v>
      </c>
      <c r="T458" s="2">
        <v>17.18</v>
      </c>
      <c r="U458" s="2">
        <v>1.71</v>
      </c>
      <c r="V458" s="2">
        <v>9.2200000000000006</v>
      </c>
      <c r="W458" s="2">
        <v>22.19</v>
      </c>
      <c r="X458" s="2">
        <v>13.83</v>
      </c>
      <c r="Y458" s="2">
        <v>13.28</v>
      </c>
      <c r="Z458" s="2">
        <v>0</v>
      </c>
      <c r="AA458" s="2">
        <v>4.18</v>
      </c>
      <c r="AB458" s="2">
        <v>0</v>
      </c>
      <c r="AC458" s="2">
        <v>0</v>
      </c>
      <c r="AD458" s="2">
        <v>3.59</v>
      </c>
      <c r="AE458" s="2">
        <v>0</v>
      </c>
      <c r="AF458" s="2">
        <v>105.99</v>
      </c>
      <c r="AG458" s="2">
        <v>16.420000000000002</v>
      </c>
    </row>
    <row r="459" spans="1:33" x14ac:dyDescent="0.2">
      <c r="A459" s="3">
        <v>21884</v>
      </c>
      <c r="B459" s="2">
        <v>-5.52</v>
      </c>
      <c r="C459" s="2">
        <v>7.65</v>
      </c>
      <c r="D459" s="2">
        <v>-13.93</v>
      </c>
      <c r="E459" s="2">
        <v>-36.590000000000003</v>
      </c>
      <c r="F459" s="2">
        <v>-7.38</v>
      </c>
      <c r="G459" s="2">
        <v>8</v>
      </c>
      <c r="H459" s="2">
        <v>9.9499999999999993</v>
      </c>
      <c r="I459" s="2">
        <v>28.13</v>
      </c>
      <c r="J459" s="2">
        <v>4.99</v>
      </c>
      <c r="K459" s="2">
        <v>-6.85</v>
      </c>
      <c r="L459" s="2">
        <v>0.42</v>
      </c>
      <c r="M459" s="2">
        <v>-1.5</v>
      </c>
      <c r="N459" s="2">
        <v>14.95</v>
      </c>
      <c r="O459" s="2">
        <v>6.48</v>
      </c>
      <c r="P459" s="2">
        <v>26.35</v>
      </c>
      <c r="Q459" s="2">
        <v>1.87</v>
      </c>
      <c r="R459" s="2">
        <v>-1.63</v>
      </c>
      <c r="S459" s="2">
        <v>-1.5</v>
      </c>
      <c r="T459" s="2">
        <v>12.98</v>
      </c>
      <c r="U459" s="2">
        <v>3.67</v>
      </c>
      <c r="V459" s="2">
        <v>10.18</v>
      </c>
      <c r="W459" s="2">
        <v>15.43</v>
      </c>
      <c r="X459" s="2">
        <v>8.91</v>
      </c>
      <c r="Y459" s="2">
        <v>7.39</v>
      </c>
      <c r="Z459" s="2">
        <v>5.46</v>
      </c>
      <c r="AA459" s="2">
        <v>7.31</v>
      </c>
      <c r="AB459" s="2">
        <v>0</v>
      </c>
      <c r="AC459" s="2">
        <v>7.99</v>
      </c>
      <c r="AD459" s="2">
        <v>2.35</v>
      </c>
      <c r="AE459" s="2">
        <v>0</v>
      </c>
      <c r="AF459" s="2">
        <v>69.540000000000006</v>
      </c>
      <c r="AG459" s="2">
        <v>12.92</v>
      </c>
    </row>
    <row r="460" spans="1:33" x14ac:dyDescent="0.2">
      <c r="A460" s="3">
        <v>21915</v>
      </c>
      <c r="B460" s="2">
        <v>-3.66</v>
      </c>
      <c r="C460" s="2">
        <v>7.62</v>
      </c>
      <c r="D460" s="2">
        <v>-1.95</v>
      </c>
      <c r="E460" s="2">
        <v>-18.940000000000001</v>
      </c>
      <c r="F460" s="2">
        <v>-5.35</v>
      </c>
      <c r="G460" s="2">
        <v>11.77</v>
      </c>
      <c r="H460" s="2">
        <v>11.8</v>
      </c>
      <c r="I460" s="2">
        <v>27.9</v>
      </c>
      <c r="J460" s="2">
        <v>6.43</v>
      </c>
      <c r="K460" s="2">
        <v>-3.33</v>
      </c>
      <c r="L460" s="2">
        <v>-1.72</v>
      </c>
      <c r="M460" s="2">
        <v>-0.94</v>
      </c>
      <c r="N460" s="2">
        <v>11.44</v>
      </c>
      <c r="O460" s="2">
        <v>5.99</v>
      </c>
      <c r="P460" s="2">
        <v>24.48</v>
      </c>
      <c r="Q460" s="2">
        <v>-0.56999999999999995</v>
      </c>
      <c r="R460" s="2">
        <v>-1.7</v>
      </c>
      <c r="S460" s="2">
        <v>-1.32</v>
      </c>
      <c r="T460" s="2">
        <v>10.62</v>
      </c>
      <c r="U460" s="2">
        <v>2.08</v>
      </c>
      <c r="V460" s="2">
        <v>9.02</v>
      </c>
      <c r="W460" s="2">
        <v>11.73</v>
      </c>
      <c r="X460" s="2">
        <v>6.96</v>
      </c>
      <c r="Y460" s="2">
        <v>6.66</v>
      </c>
      <c r="Z460" s="2">
        <v>0</v>
      </c>
      <c r="AA460" s="2">
        <v>23.8</v>
      </c>
      <c r="AB460" s="2">
        <v>1.36</v>
      </c>
      <c r="AC460" s="2">
        <v>11.37</v>
      </c>
      <c r="AD460" s="2">
        <v>2.25</v>
      </c>
      <c r="AE460" s="2">
        <v>5.87</v>
      </c>
      <c r="AF460" s="2">
        <v>63.89</v>
      </c>
      <c r="AG460" s="2">
        <v>11.2</v>
      </c>
    </row>
    <row r="461" spans="1:33" x14ac:dyDescent="0.2">
      <c r="A461" s="3">
        <v>21946</v>
      </c>
      <c r="B461" s="2">
        <v>-2.8</v>
      </c>
      <c r="C461" s="2">
        <v>18.37</v>
      </c>
      <c r="D461" s="2">
        <v>16.03</v>
      </c>
      <c r="E461" s="2">
        <v>42.43</v>
      </c>
      <c r="F461" s="2">
        <v>28.97</v>
      </c>
      <c r="G461" s="2">
        <v>49.88</v>
      </c>
      <c r="H461" s="2">
        <v>19.07</v>
      </c>
      <c r="I461" s="2">
        <v>33.06</v>
      </c>
      <c r="J461" s="2">
        <v>17.78</v>
      </c>
      <c r="K461" s="2">
        <v>10.72</v>
      </c>
      <c r="L461" s="2">
        <v>-1.01</v>
      </c>
      <c r="M461" s="2">
        <v>4.53</v>
      </c>
      <c r="N461" s="2">
        <v>16.62</v>
      </c>
      <c r="O461" s="2">
        <v>7.72</v>
      </c>
      <c r="P461" s="2">
        <v>31.47</v>
      </c>
      <c r="Q461" s="2">
        <v>-3.83</v>
      </c>
      <c r="R461" s="2">
        <v>-3.37</v>
      </c>
      <c r="S461" s="2">
        <v>5.54</v>
      </c>
      <c r="T461" s="2">
        <v>12.26</v>
      </c>
      <c r="U461" s="2">
        <v>1.39</v>
      </c>
      <c r="V461" s="2">
        <v>9.24</v>
      </c>
      <c r="W461" s="2">
        <v>4.26</v>
      </c>
      <c r="X461" s="2">
        <v>5.56</v>
      </c>
      <c r="Y461" s="2">
        <v>4.13</v>
      </c>
      <c r="Z461" s="2">
        <v>6.84</v>
      </c>
      <c r="AA461" s="2">
        <v>4.7300000000000004</v>
      </c>
      <c r="AB461" s="2">
        <v>0.3</v>
      </c>
      <c r="AC461" s="2">
        <v>5.82</v>
      </c>
      <c r="AD461" s="2">
        <v>2.1800000000000002</v>
      </c>
      <c r="AE461" s="2">
        <v>27.13</v>
      </c>
      <c r="AF461" s="2">
        <v>68.83</v>
      </c>
      <c r="AG461" s="2">
        <v>9.8800000000000008</v>
      </c>
    </row>
    <row r="462" spans="1:33" x14ac:dyDescent="0.2">
      <c r="A462" s="3">
        <v>21975</v>
      </c>
      <c r="B462" s="2">
        <v>1.82</v>
      </c>
      <c r="C462" s="2">
        <v>22.85</v>
      </c>
      <c r="D462" s="2">
        <v>14.35</v>
      </c>
      <c r="E462" s="2">
        <v>60.86</v>
      </c>
      <c r="F462" s="2">
        <v>80.86</v>
      </c>
      <c r="G462" s="2">
        <v>139.26</v>
      </c>
      <c r="H462" s="2">
        <v>29.92</v>
      </c>
      <c r="I462" s="2">
        <v>37.4</v>
      </c>
      <c r="J462" s="2">
        <v>35.6</v>
      </c>
      <c r="K462" s="2">
        <v>25.48</v>
      </c>
      <c r="L462" s="2">
        <v>-3.57</v>
      </c>
      <c r="M462" s="2">
        <v>4.1399999999999997</v>
      </c>
      <c r="N462" s="2">
        <v>33.07</v>
      </c>
      <c r="O462" s="2">
        <v>5.65</v>
      </c>
      <c r="P462" s="2">
        <v>43.27</v>
      </c>
      <c r="Q462" s="2">
        <v>-1.98</v>
      </c>
      <c r="R462" s="2">
        <v>-2.97</v>
      </c>
      <c r="S462" s="2">
        <v>32.46</v>
      </c>
      <c r="T462" s="2">
        <v>13.18</v>
      </c>
      <c r="U462" s="2">
        <v>3.73</v>
      </c>
      <c r="V462" s="2">
        <v>12.76</v>
      </c>
      <c r="W462" s="2">
        <v>0</v>
      </c>
      <c r="X462" s="2">
        <v>0</v>
      </c>
      <c r="Y462" s="2">
        <v>0</v>
      </c>
      <c r="Z462" s="2">
        <v>6.94</v>
      </c>
      <c r="AA462" s="2">
        <v>4.4400000000000004</v>
      </c>
      <c r="AB462" s="2">
        <v>6.28</v>
      </c>
      <c r="AC462" s="2">
        <v>9.8800000000000008</v>
      </c>
      <c r="AD462" s="2">
        <v>2.44</v>
      </c>
      <c r="AE462" s="2">
        <v>30.48</v>
      </c>
      <c r="AF462" s="2">
        <v>57.37</v>
      </c>
      <c r="AG462" s="2">
        <v>10.08</v>
      </c>
    </row>
    <row r="463" spans="1:33" x14ac:dyDescent="0.2">
      <c r="A463" s="3">
        <v>22006</v>
      </c>
      <c r="B463" s="2">
        <v>0.97</v>
      </c>
      <c r="C463" s="2">
        <v>17.61</v>
      </c>
      <c r="D463" s="2">
        <v>-10.64</v>
      </c>
      <c r="E463" s="2">
        <v>-12.79</v>
      </c>
      <c r="F463" s="2">
        <v>7.54</v>
      </c>
      <c r="G463" s="2">
        <v>2.17</v>
      </c>
      <c r="H463" s="2">
        <v>22.1</v>
      </c>
      <c r="I463" s="2">
        <v>33.93</v>
      </c>
      <c r="J463" s="2">
        <v>3.22</v>
      </c>
      <c r="K463" s="2">
        <v>-14.98</v>
      </c>
      <c r="L463" s="2">
        <v>-15.03</v>
      </c>
      <c r="M463" s="2">
        <v>-9.81</v>
      </c>
      <c r="N463" s="2">
        <v>13.23</v>
      </c>
      <c r="O463" s="2">
        <v>15.44</v>
      </c>
      <c r="P463" s="2">
        <v>69.72</v>
      </c>
      <c r="Q463" s="2">
        <v>-1.81</v>
      </c>
      <c r="R463" s="2">
        <v>-7.64</v>
      </c>
      <c r="S463" s="2">
        <v>1.02</v>
      </c>
      <c r="T463" s="2">
        <v>28.62</v>
      </c>
      <c r="U463" s="2">
        <v>-4.04</v>
      </c>
      <c r="V463" s="2">
        <v>12.52</v>
      </c>
      <c r="W463" s="2">
        <v>0</v>
      </c>
      <c r="X463" s="2">
        <v>0</v>
      </c>
      <c r="Y463" s="2">
        <v>0</v>
      </c>
      <c r="Z463" s="2">
        <v>0.24</v>
      </c>
      <c r="AA463" s="2">
        <v>0.43</v>
      </c>
      <c r="AB463" s="2">
        <v>0</v>
      </c>
      <c r="AC463" s="2">
        <v>0</v>
      </c>
      <c r="AD463" s="2">
        <v>4.22</v>
      </c>
      <c r="AE463" s="2">
        <v>4.47</v>
      </c>
      <c r="AF463" s="2">
        <v>67.7</v>
      </c>
      <c r="AG463" s="2">
        <v>10.69</v>
      </c>
    </row>
    <row r="464" spans="1:33" x14ac:dyDescent="0.2">
      <c r="A464" s="3">
        <v>22036</v>
      </c>
      <c r="B464" s="2">
        <v>-1.08</v>
      </c>
      <c r="C464" s="2">
        <v>9.33</v>
      </c>
      <c r="D464" s="2">
        <v>-16.16</v>
      </c>
      <c r="E464" s="2">
        <v>-57.56</v>
      </c>
      <c r="F464" s="2">
        <v>-51.42</v>
      </c>
      <c r="G464" s="2">
        <v>-23.13</v>
      </c>
      <c r="H464" s="2">
        <v>1.73</v>
      </c>
      <c r="I464" s="2">
        <v>28.9</v>
      </c>
      <c r="J464" s="2">
        <v>-6.59</v>
      </c>
      <c r="K464" s="2">
        <v>2.4900000000000002</v>
      </c>
      <c r="L464" s="2">
        <v>-3.36</v>
      </c>
      <c r="M464" s="2">
        <v>-0.67</v>
      </c>
      <c r="N464" s="2">
        <v>27.45</v>
      </c>
      <c r="O464" s="2">
        <v>5.96</v>
      </c>
      <c r="P464" s="2">
        <v>53.59</v>
      </c>
      <c r="Q464" s="2">
        <v>-1.65</v>
      </c>
      <c r="R464" s="2">
        <v>0.91</v>
      </c>
      <c r="S464" s="2">
        <v>11.43</v>
      </c>
      <c r="T464" s="2">
        <v>16.899999999999999</v>
      </c>
      <c r="U464" s="2">
        <v>1.1000000000000001</v>
      </c>
      <c r="V464" s="2">
        <v>11.46</v>
      </c>
      <c r="W464" s="2">
        <v>0</v>
      </c>
      <c r="X464" s="2">
        <v>0</v>
      </c>
      <c r="Y464" s="2">
        <v>0</v>
      </c>
      <c r="Z464" s="2">
        <v>1.67</v>
      </c>
      <c r="AA464" s="2">
        <v>0</v>
      </c>
      <c r="AB464" s="2">
        <v>0</v>
      </c>
      <c r="AC464" s="2">
        <v>0</v>
      </c>
      <c r="AD464" s="2">
        <v>5.1100000000000003</v>
      </c>
      <c r="AE464" s="2">
        <v>7.46</v>
      </c>
      <c r="AF464" s="2">
        <v>83.78</v>
      </c>
      <c r="AG464" s="2">
        <v>14.64</v>
      </c>
    </row>
    <row r="465" spans="1:33" x14ac:dyDescent="0.2">
      <c r="A465" s="3">
        <v>22067</v>
      </c>
      <c r="B465" s="2">
        <v>0.44</v>
      </c>
      <c r="C465" s="2">
        <v>7.06</v>
      </c>
      <c r="D465" s="2">
        <v>-7.3</v>
      </c>
      <c r="E465" s="2">
        <v>-37.93</v>
      </c>
      <c r="F465" s="2">
        <v>-31.82</v>
      </c>
      <c r="G465" s="2">
        <v>-6.05</v>
      </c>
      <c r="H465" s="2">
        <v>2.9</v>
      </c>
      <c r="I465" s="2">
        <v>24.63</v>
      </c>
      <c r="J465" s="2">
        <v>-14.01</v>
      </c>
      <c r="K465" s="2">
        <v>-4.26</v>
      </c>
      <c r="L465" s="2">
        <v>-3.17</v>
      </c>
      <c r="M465" s="2">
        <v>-1.45</v>
      </c>
      <c r="N465" s="2">
        <v>25.39</v>
      </c>
      <c r="O465" s="2">
        <v>25.96</v>
      </c>
      <c r="P465" s="2">
        <v>65.150000000000006</v>
      </c>
      <c r="Q465" s="2">
        <v>-4.62</v>
      </c>
      <c r="R465" s="2">
        <v>-2.2400000000000002</v>
      </c>
      <c r="S465" s="2">
        <v>23.23</v>
      </c>
      <c r="T465" s="2">
        <v>28.51</v>
      </c>
      <c r="U465" s="2">
        <v>1.73</v>
      </c>
      <c r="V465" s="2">
        <v>47.95</v>
      </c>
      <c r="W465" s="2">
        <v>4.88</v>
      </c>
      <c r="X465" s="2">
        <v>2.2000000000000002</v>
      </c>
      <c r="Y465" s="2">
        <v>0.72</v>
      </c>
      <c r="Z465" s="2">
        <v>0</v>
      </c>
      <c r="AA465" s="2">
        <v>0</v>
      </c>
      <c r="AB465" s="2">
        <v>0.05</v>
      </c>
      <c r="AC465" s="2">
        <v>0</v>
      </c>
      <c r="AD465" s="2">
        <v>5.76</v>
      </c>
      <c r="AE465" s="2">
        <v>2.61</v>
      </c>
      <c r="AF465" s="2">
        <v>94.61</v>
      </c>
      <c r="AG465" s="2">
        <v>17.690000000000001</v>
      </c>
    </row>
    <row r="466" spans="1:33" x14ac:dyDescent="0.2">
      <c r="A466" s="3">
        <v>22097</v>
      </c>
      <c r="B466" s="2">
        <v>7.0000000000000007E-2</v>
      </c>
      <c r="C466" s="2">
        <v>9.8000000000000007</v>
      </c>
      <c r="D466" s="2">
        <v>-9.59</v>
      </c>
      <c r="E466" s="2">
        <v>-47.59</v>
      </c>
      <c r="F466" s="2">
        <v>-15.92</v>
      </c>
      <c r="G466" s="2">
        <v>4.4400000000000004</v>
      </c>
      <c r="H466" s="2">
        <v>8.1999999999999993</v>
      </c>
      <c r="I466" s="2">
        <v>29.74</v>
      </c>
      <c r="J466" s="2">
        <v>-11.98</v>
      </c>
      <c r="K466" s="2">
        <v>2.46</v>
      </c>
      <c r="L466" s="2">
        <v>0.48</v>
      </c>
      <c r="M466" s="2">
        <v>5.01</v>
      </c>
      <c r="N466" s="2">
        <v>27.02</v>
      </c>
      <c r="O466" s="2">
        <v>121.69</v>
      </c>
      <c r="P466" s="2">
        <v>145.66</v>
      </c>
      <c r="Q466" s="2">
        <v>3.57</v>
      </c>
      <c r="R466" s="2">
        <v>-2.4</v>
      </c>
      <c r="S466" s="2">
        <v>63.4</v>
      </c>
      <c r="T466" s="2">
        <v>77.81</v>
      </c>
      <c r="U466" s="2">
        <v>10.11</v>
      </c>
      <c r="V466" s="2">
        <v>53.04</v>
      </c>
      <c r="W466" s="2">
        <v>18.62</v>
      </c>
      <c r="X466" s="2">
        <v>7.01</v>
      </c>
      <c r="Y466" s="2">
        <v>6.17</v>
      </c>
      <c r="Z466" s="2">
        <v>0</v>
      </c>
      <c r="AA466" s="2">
        <v>0</v>
      </c>
      <c r="AB466" s="2">
        <v>0</v>
      </c>
      <c r="AC466" s="2">
        <v>0</v>
      </c>
      <c r="AD466" s="2">
        <v>7.72</v>
      </c>
      <c r="AE466" s="2">
        <v>0</v>
      </c>
      <c r="AF466" s="2">
        <v>103.54</v>
      </c>
      <c r="AG466" s="2">
        <v>22.83</v>
      </c>
    </row>
    <row r="467" spans="1:33" x14ac:dyDescent="0.2">
      <c r="A467" s="3">
        <v>22128</v>
      </c>
      <c r="B467" s="2">
        <v>0.24</v>
      </c>
      <c r="C467" s="2">
        <v>10.050000000000001</v>
      </c>
      <c r="D467" s="2">
        <v>-8.8800000000000008</v>
      </c>
      <c r="E467" s="2">
        <v>-42.93</v>
      </c>
      <c r="F467" s="2">
        <v>-8.44</v>
      </c>
      <c r="G467" s="2">
        <v>16.079999999999998</v>
      </c>
      <c r="H467" s="2">
        <v>12.33</v>
      </c>
      <c r="I467" s="2">
        <v>30.04</v>
      </c>
      <c r="J467" s="2">
        <v>-10.61</v>
      </c>
      <c r="K467" s="2">
        <v>2.21</v>
      </c>
      <c r="L467" s="2">
        <v>1.67</v>
      </c>
      <c r="M467" s="2">
        <v>6.59</v>
      </c>
      <c r="N467" s="2">
        <v>29.23</v>
      </c>
      <c r="O467" s="2">
        <v>129.35</v>
      </c>
      <c r="P467" s="2">
        <v>178.54</v>
      </c>
      <c r="Q467" s="2">
        <v>-0.57999999999999996</v>
      </c>
      <c r="R467" s="2">
        <v>-4.68</v>
      </c>
      <c r="S467" s="2">
        <v>71.989999999999995</v>
      </c>
      <c r="T467" s="2">
        <v>69.5</v>
      </c>
      <c r="U467" s="2">
        <v>14.87</v>
      </c>
      <c r="V467" s="2">
        <v>46.58</v>
      </c>
      <c r="W467" s="2">
        <v>30.39</v>
      </c>
      <c r="X467" s="2">
        <v>11.67</v>
      </c>
      <c r="Y467" s="2">
        <v>11.23</v>
      </c>
      <c r="Z467" s="2">
        <v>0</v>
      </c>
      <c r="AA467" s="2">
        <v>0</v>
      </c>
      <c r="AB467" s="2">
        <v>0</v>
      </c>
      <c r="AC467" s="2">
        <v>0</v>
      </c>
      <c r="AD467" s="2">
        <v>6.36</v>
      </c>
      <c r="AE467" s="2">
        <v>0.19</v>
      </c>
      <c r="AF467" s="2">
        <v>112.76</v>
      </c>
      <c r="AG467" s="2">
        <v>24.8</v>
      </c>
    </row>
    <row r="468" spans="1:33" x14ac:dyDescent="0.2">
      <c r="A468" s="3">
        <v>22159</v>
      </c>
      <c r="B468" s="2">
        <v>-0.93</v>
      </c>
      <c r="C468" s="2">
        <v>9.44</v>
      </c>
      <c r="D468" s="2">
        <v>-10.199999999999999</v>
      </c>
      <c r="E468" s="2">
        <v>-51.58</v>
      </c>
      <c r="F468" s="2">
        <v>2.58</v>
      </c>
      <c r="G468" s="2">
        <v>17.78</v>
      </c>
      <c r="H468" s="2">
        <v>13.59</v>
      </c>
      <c r="I468" s="2">
        <v>28.42</v>
      </c>
      <c r="J468" s="2">
        <v>-6.25</v>
      </c>
      <c r="K468" s="2">
        <v>-2.85</v>
      </c>
      <c r="L468" s="2">
        <v>-0.13</v>
      </c>
      <c r="M468" s="2">
        <v>2.1</v>
      </c>
      <c r="N468" s="2">
        <v>32.24</v>
      </c>
      <c r="O468" s="2">
        <v>95.12</v>
      </c>
      <c r="P468" s="2">
        <v>128.88</v>
      </c>
      <c r="Q468" s="2">
        <v>-1.66</v>
      </c>
      <c r="R468" s="2">
        <v>-1.52</v>
      </c>
      <c r="S468" s="2">
        <v>56.08</v>
      </c>
      <c r="T468" s="2">
        <v>54.31</v>
      </c>
      <c r="U468" s="2">
        <v>10.84</v>
      </c>
      <c r="V468" s="2">
        <v>41.45</v>
      </c>
      <c r="W468" s="2">
        <v>31.47</v>
      </c>
      <c r="X468" s="2">
        <v>13.88</v>
      </c>
      <c r="Y468" s="2">
        <v>13.55</v>
      </c>
      <c r="Z468" s="2">
        <v>0</v>
      </c>
      <c r="AA468" s="2">
        <v>4</v>
      </c>
      <c r="AB468" s="2">
        <v>0</v>
      </c>
      <c r="AC468" s="2">
        <v>0</v>
      </c>
      <c r="AD468" s="2">
        <v>5.32</v>
      </c>
      <c r="AE468" s="2">
        <v>0</v>
      </c>
      <c r="AF468" s="2">
        <v>114.68</v>
      </c>
      <c r="AG468" s="2">
        <v>23.65</v>
      </c>
    </row>
    <row r="469" spans="1:33" x14ac:dyDescent="0.2">
      <c r="A469" s="3">
        <v>22189</v>
      </c>
      <c r="B469" s="2">
        <v>-4.45</v>
      </c>
      <c r="C469" s="2">
        <v>8.14</v>
      </c>
      <c r="D469" s="2">
        <v>-17.05</v>
      </c>
      <c r="E469" s="2">
        <v>-38.35</v>
      </c>
      <c r="F469" s="2">
        <v>0.89</v>
      </c>
      <c r="G469" s="2">
        <v>20.52</v>
      </c>
      <c r="H469" s="2">
        <v>18.760000000000002</v>
      </c>
      <c r="I469" s="2">
        <v>30.08</v>
      </c>
      <c r="J469" s="2">
        <v>8.23</v>
      </c>
      <c r="K469" s="2">
        <v>-3.62</v>
      </c>
      <c r="L469" s="2">
        <v>-1.3</v>
      </c>
      <c r="M469" s="2">
        <v>-1.54</v>
      </c>
      <c r="N469" s="2">
        <v>31.46</v>
      </c>
      <c r="O469" s="2">
        <v>5.38</v>
      </c>
      <c r="P469" s="2">
        <v>39.18</v>
      </c>
      <c r="Q469" s="2">
        <v>2.4300000000000002</v>
      </c>
      <c r="R469" s="2">
        <v>3.9</v>
      </c>
      <c r="S469" s="2">
        <v>5.84</v>
      </c>
      <c r="T469" s="2">
        <v>13.99</v>
      </c>
      <c r="U469" s="2">
        <v>3.7</v>
      </c>
      <c r="V469" s="2">
        <v>11.16</v>
      </c>
      <c r="W469" s="2">
        <v>26.1</v>
      </c>
      <c r="X469" s="2">
        <v>13.33</v>
      </c>
      <c r="Y469" s="2">
        <v>12.8</v>
      </c>
      <c r="Z469" s="2">
        <v>0</v>
      </c>
      <c r="AA469" s="2">
        <v>1.86</v>
      </c>
      <c r="AB469" s="2">
        <v>0.25</v>
      </c>
      <c r="AC469" s="2">
        <v>14.21</v>
      </c>
      <c r="AD469" s="2">
        <v>4.2699999999999996</v>
      </c>
      <c r="AE469" s="2">
        <v>0</v>
      </c>
      <c r="AF469" s="2">
        <v>106.81</v>
      </c>
      <c r="AG469" s="2">
        <v>20.170000000000002</v>
      </c>
    </row>
    <row r="470" spans="1:33" x14ac:dyDescent="0.2">
      <c r="A470" s="3">
        <v>22220</v>
      </c>
      <c r="B470" s="2">
        <v>-4.8099999999999996</v>
      </c>
      <c r="C470" s="2">
        <v>10.01</v>
      </c>
      <c r="D470" s="2">
        <v>-15.01</v>
      </c>
      <c r="E470" s="2">
        <v>-29.16</v>
      </c>
      <c r="F470" s="2">
        <v>-7.73</v>
      </c>
      <c r="G470" s="2">
        <v>17.059999999999999</v>
      </c>
      <c r="H470" s="2">
        <v>15.09</v>
      </c>
      <c r="I470" s="2">
        <v>29.92</v>
      </c>
      <c r="J470" s="2">
        <v>3.25</v>
      </c>
      <c r="K470" s="2">
        <v>-6.59</v>
      </c>
      <c r="L470" s="2">
        <v>4.6500000000000004</v>
      </c>
      <c r="M470" s="2">
        <v>-0.31</v>
      </c>
      <c r="N470" s="2">
        <v>19.899999999999999</v>
      </c>
      <c r="O470" s="2">
        <v>18.48</v>
      </c>
      <c r="P470" s="2">
        <v>34.75</v>
      </c>
      <c r="Q470" s="2">
        <v>0.83</v>
      </c>
      <c r="R470" s="2">
        <v>0.2</v>
      </c>
      <c r="S470" s="2">
        <v>-0.64</v>
      </c>
      <c r="T470" s="2">
        <v>15.55</v>
      </c>
      <c r="U470" s="2">
        <v>0.62</v>
      </c>
      <c r="V470" s="2">
        <v>9.83</v>
      </c>
      <c r="W470" s="2">
        <v>22.19</v>
      </c>
      <c r="X470" s="2">
        <v>12.49</v>
      </c>
      <c r="Y470" s="2">
        <v>11.96</v>
      </c>
      <c r="Z470" s="2">
        <v>6.22</v>
      </c>
      <c r="AA470" s="2">
        <v>0.35</v>
      </c>
      <c r="AB470" s="2">
        <v>1.64</v>
      </c>
      <c r="AC470" s="2">
        <v>6.5</v>
      </c>
      <c r="AD470" s="2">
        <v>3.91</v>
      </c>
      <c r="AE470" s="2">
        <v>0.47</v>
      </c>
      <c r="AF470" s="2">
        <v>96.89</v>
      </c>
      <c r="AG470" s="2">
        <v>16.420000000000002</v>
      </c>
    </row>
    <row r="471" spans="1:33" x14ac:dyDescent="0.2">
      <c r="A471" s="3">
        <v>22250</v>
      </c>
      <c r="B471" s="2">
        <v>-1.68</v>
      </c>
      <c r="C471" s="2">
        <v>18.68</v>
      </c>
      <c r="D471" s="2">
        <v>13.13</v>
      </c>
      <c r="E471" s="2">
        <v>25.79</v>
      </c>
      <c r="F471" s="2">
        <v>34.39</v>
      </c>
      <c r="G471" s="2">
        <v>38.64</v>
      </c>
      <c r="H471" s="2">
        <v>22.6</v>
      </c>
      <c r="I471" s="2">
        <v>34.11</v>
      </c>
      <c r="J471" s="2">
        <v>21.25</v>
      </c>
      <c r="K471" s="2">
        <v>17.77</v>
      </c>
      <c r="L471" s="2">
        <v>12.77</v>
      </c>
      <c r="M471" s="2">
        <v>13.46</v>
      </c>
      <c r="N471" s="2">
        <v>26.96</v>
      </c>
      <c r="O471" s="2">
        <v>6.12</v>
      </c>
      <c r="P471" s="2">
        <v>67.010000000000005</v>
      </c>
      <c r="Q471" s="2">
        <v>-0.42</v>
      </c>
      <c r="R471" s="2">
        <v>0.56000000000000005</v>
      </c>
      <c r="S471" s="2">
        <v>39.04</v>
      </c>
      <c r="T471" s="2">
        <v>37.659999999999997</v>
      </c>
      <c r="U471" s="2">
        <v>2.65</v>
      </c>
      <c r="V471" s="2">
        <v>13.3</v>
      </c>
      <c r="W471" s="2">
        <v>15.43</v>
      </c>
      <c r="X471" s="2">
        <v>8.09</v>
      </c>
      <c r="Y471" s="2">
        <v>6.59</v>
      </c>
      <c r="Z471" s="2">
        <v>0.38</v>
      </c>
      <c r="AA471" s="2">
        <v>6.88</v>
      </c>
      <c r="AB471" s="2">
        <v>11.13</v>
      </c>
      <c r="AC471" s="2">
        <v>4.74</v>
      </c>
      <c r="AD471" s="2">
        <v>2.62</v>
      </c>
      <c r="AE471" s="2">
        <v>26.75</v>
      </c>
      <c r="AF471" s="2">
        <v>63.57</v>
      </c>
      <c r="AG471" s="2">
        <v>12.92</v>
      </c>
    </row>
    <row r="472" spans="1:33" x14ac:dyDescent="0.2">
      <c r="A472" s="3">
        <v>22281</v>
      </c>
      <c r="B472" s="2">
        <v>-0.6</v>
      </c>
      <c r="C472" s="2">
        <v>18.36</v>
      </c>
      <c r="D472" s="2">
        <v>0.32</v>
      </c>
      <c r="E472" s="2">
        <v>2.27</v>
      </c>
      <c r="F472" s="2">
        <v>7.51</v>
      </c>
      <c r="G472" s="2">
        <v>35.119999999999997</v>
      </c>
      <c r="H472" s="2">
        <v>14.97</v>
      </c>
      <c r="I472" s="2">
        <v>30.73</v>
      </c>
      <c r="J472" s="2">
        <v>7.93</v>
      </c>
      <c r="K472" s="2">
        <v>-10.14</v>
      </c>
      <c r="L472" s="2">
        <v>2.66</v>
      </c>
      <c r="M472" s="2">
        <v>-0.45</v>
      </c>
      <c r="N472" s="2">
        <v>10.49</v>
      </c>
      <c r="O472" s="2">
        <v>5.5</v>
      </c>
      <c r="P472" s="2">
        <v>25.66</v>
      </c>
      <c r="Q472" s="2">
        <v>1.07</v>
      </c>
      <c r="R472" s="2">
        <v>1.5</v>
      </c>
      <c r="S472" s="2">
        <v>1.87</v>
      </c>
      <c r="T472" s="2">
        <v>10.61</v>
      </c>
      <c r="U472" s="2">
        <v>1.36</v>
      </c>
      <c r="V472" s="2">
        <v>9.44</v>
      </c>
      <c r="W472" s="2">
        <v>11.73</v>
      </c>
      <c r="X472" s="2">
        <v>6.21</v>
      </c>
      <c r="Y472" s="2">
        <v>5.93</v>
      </c>
      <c r="Z472" s="2">
        <v>1.1000000000000001</v>
      </c>
      <c r="AA472" s="2">
        <v>0.43</v>
      </c>
      <c r="AB472" s="2">
        <v>0</v>
      </c>
      <c r="AC472" s="2">
        <v>0.41</v>
      </c>
      <c r="AD472" s="2">
        <v>2.44</v>
      </c>
      <c r="AE472" s="2">
        <v>12.03</v>
      </c>
      <c r="AF472" s="2">
        <v>58.4</v>
      </c>
      <c r="AG472" s="2">
        <v>11.2</v>
      </c>
    </row>
    <row r="473" spans="1:33" x14ac:dyDescent="0.2">
      <c r="A473" s="3">
        <v>22312</v>
      </c>
      <c r="B473" s="2">
        <v>-1.27</v>
      </c>
      <c r="C473" s="2">
        <v>17.989999999999998</v>
      </c>
      <c r="D473" s="2">
        <v>3.84</v>
      </c>
      <c r="E473" s="2">
        <v>-1.7</v>
      </c>
      <c r="F473" s="2">
        <v>-0.1</v>
      </c>
      <c r="G473" s="2">
        <v>46.38</v>
      </c>
      <c r="H473" s="2">
        <v>9.99</v>
      </c>
      <c r="I473" s="2">
        <v>28.46</v>
      </c>
      <c r="J473" s="2">
        <v>20.34</v>
      </c>
      <c r="K473" s="2">
        <v>18.7</v>
      </c>
      <c r="L473" s="2">
        <v>0.83</v>
      </c>
      <c r="M473" s="2">
        <v>4.08</v>
      </c>
      <c r="N473" s="2">
        <v>20.82</v>
      </c>
      <c r="O473" s="2">
        <v>5.9</v>
      </c>
      <c r="P473" s="2">
        <v>25.73</v>
      </c>
      <c r="Q473" s="2">
        <v>-1.1499999999999999</v>
      </c>
      <c r="R473" s="2">
        <v>0.91</v>
      </c>
      <c r="S473" s="2">
        <v>1.49</v>
      </c>
      <c r="T473" s="2">
        <v>11.5</v>
      </c>
      <c r="U473" s="2">
        <v>1.58</v>
      </c>
      <c r="V473" s="2">
        <v>8.89</v>
      </c>
      <c r="W473" s="2">
        <v>4.26</v>
      </c>
      <c r="X473" s="2">
        <v>5.4</v>
      </c>
      <c r="Y473" s="2">
        <v>4</v>
      </c>
      <c r="Z473" s="2">
        <v>1.63</v>
      </c>
      <c r="AA473" s="2">
        <v>2.87</v>
      </c>
      <c r="AB473" s="2">
        <v>3.12</v>
      </c>
      <c r="AC473" s="2">
        <v>1.62</v>
      </c>
      <c r="AD473" s="2">
        <v>2.46</v>
      </c>
      <c r="AE473" s="2">
        <v>12.68</v>
      </c>
      <c r="AF473" s="2">
        <v>68.83</v>
      </c>
      <c r="AG473" s="2">
        <v>9.8800000000000008</v>
      </c>
    </row>
    <row r="474" spans="1:33" x14ac:dyDescent="0.2">
      <c r="A474" s="3">
        <v>22340</v>
      </c>
      <c r="B474" s="2">
        <v>6.6</v>
      </c>
      <c r="C474" s="2">
        <v>24.51</v>
      </c>
      <c r="D474" s="2">
        <v>4.03</v>
      </c>
      <c r="E474" s="2">
        <v>37.35</v>
      </c>
      <c r="F474" s="2">
        <v>34.78</v>
      </c>
      <c r="G474" s="2">
        <v>64.27</v>
      </c>
      <c r="H474" s="2">
        <v>25.37</v>
      </c>
      <c r="I474" s="2">
        <v>31.75</v>
      </c>
      <c r="J474" s="2">
        <v>11.2</v>
      </c>
      <c r="K474" s="2">
        <v>-7.89</v>
      </c>
      <c r="L474" s="2">
        <v>-12.88</v>
      </c>
      <c r="M474" s="2">
        <v>-12.18</v>
      </c>
      <c r="N474" s="2">
        <v>7.45</v>
      </c>
      <c r="O474" s="2">
        <v>5.0599999999999996</v>
      </c>
      <c r="P474" s="2">
        <v>24.54</v>
      </c>
      <c r="Q474" s="2">
        <v>0.04</v>
      </c>
      <c r="R474" s="2">
        <v>1.61</v>
      </c>
      <c r="S474" s="2">
        <v>-2.95</v>
      </c>
      <c r="T474" s="2">
        <v>11.32</v>
      </c>
      <c r="U474" s="2">
        <v>0.88</v>
      </c>
      <c r="V474" s="2">
        <v>11.67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0.05</v>
      </c>
      <c r="AC474" s="2">
        <v>0</v>
      </c>
      <c r="AD474" s="2">
        <v>2.79</v>
      </c>
      <c r="AE474" s="2">
        <v>7.46</v>
      </c>
      <c r="AF474" s="2">
        <v>57.37</v>
      </c>
      <c r="AG474" s="2">
        <v>10.08</v>
      </c>
    </row>
    <row r="475" spans="1:33" x14ac:dyDescent="0.2">
      <c r="A475" s="3">
        <v>22371</v>
      </c>
      <c r="B475" s="2">
        <v>7.47</v>
      </c>
      <c r="C475" s="2">
        <v>21.46</v>
      </c>
      <c r="D475" s="2">
        <v>-3.59</v>
      </c>
      <c r="E475" s="2">
        <v>4.41</v>
      </c>
      <c r="F475" s="2">
        <v>-2.75</v>
      </c>
      <c r="G475" s="2">
        <v>27.35</v>
      </c>
      <c r="H475" s="2">
        <v>18.190000000000001</v>
      </c>
      <c r="I475" s="2">
        <v>30.27</v>
      </c>
      <c r="J475" s="2">
        <v>7.73</v>
      </c>
      <c r="K475" s="2">
        <v>-2.63</v>
      </c>
      <c r="L475" s="2">
        <v>-11.54</v>
      </c>
      <c r="M475" s="2">
        <v>-4.3899999999999997</v>
      </c>
      <c r="N475" s="2">
        <v>20.03</v>
      </c>
      <c r="O475" s="2">
        <v>16.829999999999998</v>
      </c>
      <c r="P475" s="2">
        <v>72.319999999999993</v>
      </c>
      <c r="Q475" s="2">
        <v>-1.63</v>
      </c>
      <c r="R475" s="2">
        <v>-5.1100000000000003</v>
      </c>
      <c r="S475" s="2">
        <v>7.76</v>
      </c>
      <c r="T475" s="2">
        <v>28.73</v>
      </c>
      <c r="U475" s="2">
        <v>-3.59</v>
      </c>
      <c r="V475" s="2">
        <v>9.33</v>
      </c>
      <c r="W475" s="2">
        <v>0</v>
      </c>
      <c r="X475" s="2">
        <v>0</v>
      </c>
      <c r="Y475" s="2">
        <v>0</v>
      </c>
      <c r="Z475" s="2">
        <v>2.25</v>
      </c>
      <c r="AA475" s="2">
        <v>0.43</v>
      </c>
      <c r="AB475" s="2">
        <v>0.11</v>
      </c>
      <c r="AC475" s="2">
        <v>0.27</v>
      </c>
      <c r="AD475" s="2">
        <v>4.54</v>
      </c>
      <c r="AE475" s="2">
        <v>18.920000000000002</v>
      </c>
      <c r="AF475" s="2">
        <v>67.7</v>
      </c>
      <c r="AG475" s="2">
        <v>10.69</v>
      </c>
    </row>
    <row r="476" spans="1:33" x14ac:dyDescent="0.2">
      <c r="A476" s="3">
        <v>22401</v>
      </c>
      <c r="B476" s="2">
        <v>0.23</v>
      </c>
      <c r="C476" s="2">
        <v>14.38</v>
      </c>
      <c r="D476" s="2">
        <v>-20.96</v>
      </c>
      <c r="E476" s="2">
        <v>-62.02</v>
      </c>
      <c r="F476" s="2">
        <v>-14.63</v>
      </c>
      <c r="G476" s="2">
        <v>-14.74</v>
      </c>
      <c r="H476" s="2">
        <v>2.9</v>
      </c>
      <c r="I476" s="2">
        <v>28.62</v>
      </c>
      <c r="J476" s="2">
        <v>-6.77</v>
      </c>
      <c r="K476" s="2">
        <v>-5.01</v>
      </c>
      <c r="L476" s="2">
        <v>-0.79</v>
      </c>
      <c r="M476" s="2">
        <v>2.72</v>
      </c>
      <c r="N476" s="2">
        <v>22.62</v>
      </c>
      <c r="O476" s="2">
        <v>6.63</v>
      </c>
      <c r="P476" s="2">
        <v>46.87</v>
      </c>
      <c r="Q476" s="2">
        <v>-2.91</v>
      </c>
      <c r="R476" s="2">
        <v>1.18</v>
      </c>
      <c r="S476" s="2">
        <v>7.26</v>
      </c>
      <c r="T476" s="2">
        <v>19.46</v>
      </c>
      <c r="U476" s="2">
        <v>-3.87</v>
      </c>
      <c r="V476" s="2">
        <v>11.44</v>
      </c>
      <c r="W476" s="2">
        <v>0</v>
      </c>
      <c r="X476" s="2">
        <v>0</v>
      </c>
      <c r="Y476" s="2">
        <v>0</v>
      </c>
      <c r="Z476" s="2">
        <v>0.19</v>
      </c>
      <c r="AA476" s="2">
        <v>0</v>
      </c>
      <c r="AB476" s="2">
        <v>0.27</v>
      </c>
      <c r="AC476" s="2">
        <v>0</v>
      </c>
      <c r="AD476" s="2">
        <v>5.36</v>
      </c>
      <c r="AE476" s="2">
        <v>7.08</v>
      </c>
      <c r="AF476" s="2">
        <v>83.78</v>
      </c>
      <c r="AG476" s="2">
        <v>14.64</v>
      </c>
    </row>
    <row r="477" spans="1:33" x14ac:dyDescent="0.2">
      <c r="A477" s="3">
        <v>22432</v>
      </c>
      <c r="B477" s="2">
        <v>0.74</v>
      </c>
      <c r="C477" s="2">
        <v>8.4600000000000009</v>
      </c>
      <c r="D477" s="2">
        <v>-9.0299999999999994</v>
      </c>
      <c r="E477" s="2">
        <v>-46.02</v>
      </c>
      <c r="F477" s="2">
        <v>-11.11</v>
      </c>
      <c r="G477" s="2">
        <v>-2.2400000000000002</v>
      </c>
      <c r="H477" s="2">
        <v>5.95</v>
      </c>
      <c r="I477" s="2">
        <v>25.17</v>
      </c>
      <c r="J477" s="2">
        <v>-8.4499999999999993</v>
      </c>
      <c r="K477" s="2">
        <v>-2.63</v>
      </c>
      <c r="L477" s="2">
        <v>0.09</v>
      </c>
      <c r="M477" s="2">
        <v>6.36</v>
      </c>
      <c r="N477" s="2">
        <v>28.29</v>
      </c>
      <c r="O477" s="2">
        <v>22.41</v>
      </c>
      <c r="P477" s="2">
        <v>62.31</v>
      </c>
      <c r="Q477" s="2">
        <v>-6.55</v>
      </c>
      <c r="R477" s="2">
        <v>-2.14</v>
      </c>
      <c r="S477" s="2">
        <v>33.380000000000003</v>
      </c>
      <c r="T477" s="2">
        <v>32.18</v>
      </c>
      <c r="U477" s="2">
        <v>4.33</v>
      </c>
      <c r="V477" s="2">
        <v>24.51</v>
      </c>
      <c r="W477" s="2">
        <v>4.88</v>
      </c>
      <c r="X477" s="2">
        <v>1.97</v>
      </c>
      <c r="Y477" s="2">
        <v>0.53</v>
      </c>
      <c r="Z477" s="2">
        <v>0</v>
      </c>
      <c r="AA477" s="2">
        <v>0</v>
      </c>
      <c r="AB477" s="2">
        <v>0.16</v>
      </c>
      <c r="AC477" s="2">
        <v>0</v>
      </c>
      <c r="AD477" s="2">
        <v>6.43</v>
      </c>
      <c r="AE477" s="2">
        <v>5.5</v>
      </c>
      <c r="AF477" s="2">
        <v>94.61</v>
      </c>
      <c r="AG477" s="2">
        <v>17.690000000000001</v>
      </c>
    </row>
    <row r="478" spans="1:33" x14ac:dyDescent="0.2">
      <c r="A478" s="3">
        <v>22462</v>
      </c>
      <c r="B478" s="2">
        <v>0.88</v>
      </c>
      <c r="C478" s="2">
        <v>12.06</v>
      </c>
      <c r="D478" s="2">
        <v>-11.3</v>
      </c>
      <c r="E478" s="2">
        <v>-49.47</v>
      </c>
      <c r="F478" s="2">
        <v>-15.16</v>
      </c>
      <c r="G478" s="2">
        <v>7.42</v>
      </c>
      <c r="H478" s="2">
        <v>9.85</v>
      </c>
      <c r="I478" s="2">
        <v>26.18</v>
      </c>
      <c r="J478" s="2">
        <v>-9.7899999999999991</v>
      </c>
      <c r="K478" s="2">
        <v>0.84</v>
      </c>
      <c r="L478" s="2">
        <v>4.46</v>
      </c>
      <c r="M478" s="2">
        <v>5.76</v>
      </c>
      <c r="N478" s="2">
        <v>32.49</v>
      </c>
      <c r="O478" s="2">
        <v>109.21</v>
      </c>
      <c r="P478" s="2">
        <v>156.13</v>
      </c>
      <c r="Q478" s="2">
        <v>-2.7</v>
      </c>
      <c r="R478" s="2">
        <v>-4.3</v>
      </c>
      <c r="S478" s="2">
        <v>88.66</v>
      </c>
      <c r="T478" s="2">
        <v>68.36</v>
      </c>
      <c r="U478" s="2">
        <v>14.31</v>
      </c>
      <c r="V478" s="2">
        <v>53.08</v>
      </c>
      <c r="W478" s="2">
        <v>18.62</v>
      </c>
      <c r="X478" s="2">
        <v>6.75</v>
      </c>
      <c r="Y478" s="2">
        <v>5.95</v>
      </c>
      <c r="Z478" s="2">
        <v>0</v>
      </c>
      <c r="AA478" s="2">
        <v>0</v>
      </c>
      <c r="AB478" s="2">
        <v>0.16</v>
      </c>
      <c r="AC478" s="2">
        <v>0</v>
      </c>
      <c r="AD478" s="2">
        <v>8.93</v>
      </c>
      <c r="AE478" s="2">
        <v>1.1200000000000001</v>
      </c>
      <c r="AF478" s="2">
        <v>103.54</v>
      </c>
      <c r="AG478" s="2">
        <v>22.83</v>
      </c>
    </row>
    <row r="479" spans="1:33" x14ac:dyDescent="0.2">
      <c r="A479" s="3">
        <v>22493</v>
      </c>
      <c r="B479" s="2">
        <v>0.98</v>
      </c>
      <c r="C479" s="2">
        <v>13.36</v>
      </c>
      <c r="D479" s="2">
        <v>-7.76</v>
      </c>
      <c r="E479" s="2">
        <v>-42.5</v>
      </c>
      <c r="F479" s="2">
        <v>0.17</v>
      </c>
      <c r="G479" s="2">
        <v>15.83</v>
      </c>
      <c r="H479" s="2">
        <v>14.06</v>
      </c>
      <c r="I479" s="2">
        <v>28.83</v>
      </c>
      <c r="J479" s="2">
        <v>-9.16</v>
      </c>
      <c r="K479" s="2">
        <v>-0.32</v>
      </c>
      <c r="L479" s="2">
        <v>6.48</v>
      </c>
      <c r="M479" s="2">
        <v>6.84</v>
      </c>
      <c r="N479" s="2">
        <v>33.76</v>
      </c>
      <c r="O479" s="2">
        <v>128.93</v>
      </c>
      <c r="P479" s="2">
        <v>170.34</v>
      </c>
      <c r="Q479" s="2">
        <v>-1.1100000000000001</v>
      </c>
      <c r="R479" s="2">
        <v>-1.89</v>
      </c>
      <c r="S479" s="2">
        <v>94.98</v>
      </c>
      <c r="T479" s="2">
        <v>65.16</v>
      </c>
      <c r="U479" s="2">
        <v>17.04</v>
      </c>
      <c r="V479" s="2">
        <v>52.62</v>
      </c>
      <c r="W479" s="2">
        <v>30.39</v>
      </c>
      <c r="X479" s="2">
        <v>11.4</v>
      </c>
      <c r="Y479" s="2">
        <v>11.01</v>
      </c>
      <c r="Z479" s="2">
        <v>0</v>
      </c>
      <c r="AA479" s="2">
        <v>0.35</v>
      </c>
      <c r="AB479" s="2">
        <v>0.6</v>
      </c>
      <c r="AC479" s="2">
        <v>0</v>
      </c>
      <c r="AD479" s="2">
        <v>6.69</v>
      </c>
      <c r="AE479" s="2">
        <v>0</v>
      </c>
      <c r="AF479" s="2">
        <v>112.76</v>
      </c>
      <c r="AG479" s="2">
        <v>24.8</v>
      </c>
    </row>
    <row r="480" spans="1:33" x14ac:dyDescent="0.2">
      <c r="A480" s="3">
        <v>22524</v>
      </c>
      <c r="B480" s="2">
        <v>0.02</v>
      </c>
      <c r="C480" s="2">
        <v>12.14</v>
      </c>
      <c r="D480" s="2">
        <v>-9.4700000000000006</v>
      </c>
      <c r="E480" s="2">
        <v>-50.68</v>
      </c>
      <c r="F480" s="2">
        <v>8.99</v>
      </c>
      <c r="G480" s="2">
        <v>18.18</v>
      </c>
      <c r="H480" s="2">
        <v>14.85</v>
      </c>
      <c r="I480" s="2">
        <v>28.07</v>
      </c>
      <c r="J480" s="2">
        <v>-4.41</v>
      </c>
      <c r="K480" s="2">
        <v>-9.77</v>
      </c>
      <c r="L480" s="2">
        <v>4.24</v>
      </c>
      <c r="M480" s="2">
        <v>3.66</v>
      </c>
      <c r="N480" s="2">
        <v>34.81</v>
      </c>
      <c r="O480" s="2">
        <v>95.01</v>
      </c>
      <c r="P480" s="2">
        <v>132.56</v>
      </c>
      <c r="Q480" s="2">
        <v>-3.94</v>
      </c>
      <c r="R480" s="2">
        <v>-0.17</v>
      </c>
      <c r="S480" s="2">
        <v>64.349999999999994</v>
      </c>
      <c r="T480" s="2">
        <v>54.04</v>
      </c>
      <c r="U480" s="2">
        <v>9.07</v>
      </c>
      <c r="V480" s="2">
        <v>43.78</v>
      </c>
      <c r="W480" s="2">
        <v>31.47</v>
      </c>
      <c r="X480" s="2">
        <v>13.61</v>
      </c>
      <c r="Y480" s="2">
        <v>13.32</v>
      </c>
      <c r="Z480" s="2">
        <v>3.11</v>
      </c>
      <c r="AA480" s="2">
        <v>12.04</v>
      </c>
      <c r="AB480" s="2">
        <v>2.4700000000000002</v>
      </c>
      <c r="AC480" s="2">
        <v>7.99</v>
      </c>
      <c r="AD480" s="2">
        <v>5.86</v>
      </c>
      <c r="AE480" s="2">
        <v>0.37</v>
      </c>
      <c r="AF480" s="2">
        <v>114.68</v>
      </c>
      <c r="AG480" s="2">
        <v>23.65</v>
      </c>
    </row>
    <row r="481" spans="1:33" x14ac:dyDescent="0.2">
      <c r="A481" s="3">
        <v>22554</v>
      </c>
      <c r="B481" s="2">
        <v>-3.05</v>
      </c>
      <c r="C481" s="2">
        <v>11</v>
      </c>
      <c r="D481" s="2">
        <v>-16.989999999999998</v>
      </c>
      <c r="E481" s="2">
        <v>-47.82</v>
      </c>
      <c r="F481" s="2">
        <v>-8.4700000000000006</v>
      </c>
      <c r="G481" s="2">
        <v>17.010000000000002</v>
      </c>
      <c r="H481" s="2">
        <v>16.8</v>
      </c>
      <c r="I481" s="2">
        <v>28.29</v>
      </c>
      <c r="J481" s="2">
        <v>6.88</v>
      </c>
      <c r="K481" s="2">
        <v>-8.93</v>
      </c>
      <c r="L481" s="2">
        <v>3.85</v>
      </c>
      <c r="M481" s="2">
        <v>-0.04</v>
      </c>
      <c r="N481" s="2">
        <v>31.18</v>
      </c>
      <c r="O481" s="2">
        <v>5.99</v>
      </c>
      <c r="P481" s="2">
        <v>41.58</v>
      </c>
      <c r="Q481" s="2">
        <v>1.88</v>
      </c>
      <c r="R481" s="2">
        <v>6.24</v>
      </c>
      <c r="S481" s="2">
        <v>10.27</v>
      </c>
      <c r="T481" s="2">
        <v>14.37</v>
      </c>
      <c r="U481" s="2">
        <v>1.35</v>
      </c>
      <c r="V481" s="2">
        <v>11.86</v>
      </c>
      <c r="W481" s="2">
        <v>26.1</v>
      </c>
      <c r="X481" s="2">
        <v>13.08</v>
      </c>
      <c r="Y481" s="2">
        <v>12.59</v>
      </c>
      <c r="Z481" s="2">
        <v>0</v>
      </c>
      <c r="AA481" s="2">
        <v>0</v>
      </c>
      <c r="AB481" s="2">
        <v>0</v>
      </c>
      <c r="AC481" s="2">
        <v>0</v>
      </c>
      <c r="AD481" s="2">
        <v>4.5199999999999996</v>
      </c>
      <c r="AE481" s="2">
        <v>1.96</v>
      </c>
      <c r="AF481" s="2">
        <v>106.81</v>
      </c>
      <c r="AG481" s="2">
        <v>20.170000000000002</v>
      </c>
    </row>
    <row r="482" spans="1:33" x14ac:dyDescent="0.2">
      <c r="A482" s="3">
        <v>22585</v>
      </c>
      <c r="B482" s="2">
        <v>-4.25</v>
      </c>
      <c r="C482" s="2">
        <v>10.92</v>
      </c>
      <c r="D482" s="2">
        <v>-15.41</v>
      </c>
      <c r="E482" s="2">
        <v>-32.590000000000003</v>
      </c>
      <c r="F482" s="2">
        <v>-3.18</v>
      </c>
      <c r="G482" s="2">
        <v>15.31</v>
      </c>
      <c r="H482" s="2">
        <v>14.37</v>
      </c>
      <c r="I482" s="2">
        <v>28.26</v>
      </c>
      <c r="J482" s="2">
        <v>1.34</v>
      </c>
      <c r="K482" s="2">
        <v>-10.8</v>
      </c>
      <c r="L482" s="2">
        <v>3.36</v>
      </c>
      <c r="M482" s="2">
        <v>-1.56</v>
      </c>
      <c r="N482" s="2">
        <v>20.94</v>
      </c>
      <c r="O482" s="2">
        <v>13.3</v>
      </c>
      <c r="P482" s="2">
        <v>39.14</v>
      </c>
      <c r="Q482" s="2">
        <v>0.31</v>
      </c>
      <c r="R482" s="2">
        <v>2.16</v>
      </c>
      <c r="S482" s="2">
        <v>4.49</v>
      </c>
      <c r="T482" s="2">
        <v>17.329999999999998</v>
      </c>
      <c r="U482" s="2">
        <v>-1.67</v>
      </c>
      <c r="V482" s="2">
        <v>9.68</v>
      </c>
      <c r="W482" s="2">
        <v>22.19</v>
      </c>
      <c r="X482" s="2">
        <v>12.26</v>
      </c>
      <c r="Y482" s="2">
        <v>11.77</v>
      </c>
      <c r="Z482" s="2">
        <v>5.26</v>
      </c>
      <c r="AA482" s="2">
        <v>0</v>
      </c>
      <c r="AB482" s="2">
        <v>0</v>
      </c>
      <c r="AC482" s="2">
        <v>0</v>
      </c>
      <c r="AD482" s="2">
        <v>4.16</v>
      </c>
      <c r="AE482" s="2">
        <v>0.56000000000000005</v>
      </c>
      <c r="AF482" s="2">
        <v>96.89</v>
      </c>
      <c r="AG482" s="2">
        <v>16.420000000000002</v>
      </c>
    </row>
    <row r="483" spans="1:33" x14ac:dyDescent="0.2">
      <c r="A483" s="3">
        <v>22615</v>
      </c>
      <c r="B483" s="2">
        <v>-1.1499999999999999</v>
      </c>
      <c r="C483" s="2">
        <v>14</v>
      </c>
      <c r="D483" s="2">
        <v>3.83</v>
      </c>
      <c r="E483" s="2">
        <v>3.61</v>
      </c>
      <c r="F483" s="2">
        <v>12.66</v>
      </c>
      <c r="G483" s="2">
        <v>24.57</v>
      </c>
      <c r="H483" s="2">
        <v>17.03</v>
      </c>
      <c r="I483" s="2">
        <v>29.93</v>
      </c>
      <c r="J483" s="2">
        <v>14.36</v>
      </c>
      <c r="K483" s="2">
        <v>5.05</v>
      </c>
      <c r="L483" s="2">
        <v>7.04</v>
      </c>
      <c r="M483" s="2">
        <v>9</v>
      </c>
      <c r="N483" s="2">
        <v>20.350000000000001</v>
      </c>
      <c r="O483" s="2">
        <v>5.81</v>
      </c>
      <c r="P483" s="2">
        <v>32.75</v>
      </c>
      <c r="Q483" s="2">
        <v>-1.04</v>
      </c>
      <c r="R483" s="2">
        <v>0.77</v>
      </c>
      <c r="S483" s="2">
        <v>7.29</v>
      </c>
      <c r="T483" s="2">
        <v>10.73</v>
      </c>
      <c r="U483" s="2">
        <v>1.88</v>
      </c>
      <c r="V483" s="2">
        <v>10.65</v>
      </c>
      <c r="W483" s="2">
        <v>15.43</v>
      </c>
      <c r="X483" s="2">
        <v>7.91</v>
      </c>
      <c r="Y483" s="2">
        <v>6.44</v>
      </c>
      <c r="Z483" s="2">
        <v>5.22</v>
      </c>
      <c r="AA483" s="2">
        <v>0.7</v>
      </c>
      <c r="AB483" s="2">
        <v>2.4900000000000002</v>
      </c>
      <c r="AC483" s="2">
        <v>6.23</v>
      </c>
      <c r="AD483" s="2">
        <v>3.33</v>
      </c>
      <c r="AE483" s="2">
        <v>24.52</v>
      </c>
      <c r="AF483" s="2">
        <v>63.57</v>
      </c>
      <c r="AG483" s="2">
        <v>12.92</v>
      </c>
    </row>
    <row r="484" spans="1:33" x14ac:dyDescent="0.2">
      <c r="A484" s="3">
        <v>22646</v>
      </c>
      <c r="B484" s="2">
        <v>-0.69</v>
      </c>
      <c r="C484" s="2">
        <v>19.13</v>
      </c>
      <c r="D484" s="2">
        <v>4.67</v>
      </c>
      <c r="E484" s="2">
        <v>12.67</v>
      </c>
      <c r="F484" s="2">
        <v>23.47</v>
      </c>
      <c r="G484" s="2">
        <v>39.35</v>
      </c>
      <c r="H484" s="2">
        <v>16.89</v>
      </c>
      <c r="I484" s="2">
        <v>29.74</v>
      </c>
      <c r="J484" s="2">
        <v>9.6999999999999993</v>
      </c>
      <c r="K484" s="2">
        <v>-3.95</v>
      </c>
      <c r="L484" s="2">
        <v>-0.28000000000000003</v>
      </c>
      <c r="M484" s="2">
        <v>-0.91</v>
      </c>
      <c r="N484" s="2">
        <v>15.19</v>
      </c>
      <c r="O484" s="2">
        <v>5.26</v>
      </c>
      <c r="P484" s="2">
        <v>32.04</v>
      </c>
      <c r="Q484" s="2">
        <v>-0.98</v>
      </c>
      <c r="R484" s="2">
        <v>0.99</v>
      </c>
      <c r="S484" s="2">
        <v>2.63</v>
      </c>
      <c r="T484" s="2">
        <v>7.64</v>
      </c>
      <c r="U484" s="2">
        <v>1.37</v>
      </c>
      <c r="V484" s="2">
        <v>13.35</v>
      </c>
      <c r="W484" s="2">
        <v>11.73</v>
      </c>
      <c r="X484" s="2">
        <v>6.04</v>
      </c>
      <c r="Y484" s="2">
        <v>5.79</v>
      </c>
      <c r="Z484" s="2">
        <v>0</v>
      </c>
      <c r="AA484" s="2">
        <v>4.01</v>
      </c>
      <c r="AB484" s="2">
        <v>1.02</v>
      </c>
      <c r="AC484" s="2">
        <v>9.34</v>
      </c>
      <c r="AD484" s="2">
        <v>3.15</v>
      </c>
      <c r="AE484" s="2">
        <v>11.93</v>
      </c>
      <c r="AF484" s="2">
        <v>58.4</v>
      </c>
      <c r="AG484" s="2">
        <v>11.2</v>
      </c>
    </row>
    <row r="485" spans="1:33" x14ac:dyDescent="0.2">
      <c r="A485" s="3">
        <v>22677</v>
      </c>
      <c r="B485" s="2">
        <v>-2.72</v>
      </c>
      <c r="C485" s="2">
        <v>8.66</v>
      </c>
      <c r="D485" s="2">
        <v>-16.420000000000002</v>
      </c>
      <c r="E485" s="2">
        <v>-37.92</v>
      </c>
      <c r="F485" s="2">
        <v>-10.16</v>
      </c>
      <c r="G485" s="2">
        <v>14.75</v>
      </c>
      <c r="H485" s="2">
        <v>6.88</v>
      </c>
      <c r="I485" s="2">
        <v>27.25</v>
      </c>
      <c r="J485" s="2">
        <v>7.37</v>
      </c>
      <c r="K485" s="2">
        <v>7.68</v>
      </c>
      <c r="L485" s="2">
        <v>0.23</v>
      </c>
      <c r="M485" s="2">
        <v>0.9</v>
      </c>
      <c r="N485" s="2">
        <v>18.36</v>
      </c>
      <c r="O485" s="2">
        <v>5.48</v>
      </c>
      <c r="P485" s="2">
        <v>27.58</v>
      </c>
      <c r="Q485" s="2">
        <v>-1.65</v>
      </c>
      <c r="R485" s="2">
        <v>1.68</v>
      </c>
      <c r="S485" s="2">
        <v>10.210000000000001</v>
      </c>
      <c r="T485" s="2">
        <v>9.25</v>
      </c>
      <c r="U485" s="2">
        <v>-0.89</v>
      </c>
      <c r="V485" s="2">
        <v>11.7</v>
      </c>
      <c r="W485" s="2">
        <v>4.26</v>
      </c>
      <c r="X485" s="2">
        <v>10.32</v>
      </c>
      <c r="Y485" s="2">
        <v>9.0399999999999991</v>
      </c>
      <c r="Z485" s="2">
        <v>8.4700000000000006</v>
      </c>
      <c r="AA485" s="2">
        <v>1.29</v>
      </c>
      <c r="AB485" s="2">
        <v>6.68</v>
      </c>
      <c r="AC485" s="2">
        <v>4.33</v>
      </c>
      <c r="AD485" s="2">
        <v>2.92</v>
      </c>
      <c r="AE485" s="2">
        <v>7.55</v>
      </c>
      <c r="AF485" s="2">
        <v>71.459999999999994</v>
      </c>
      <c r="AG485" s="2">
        <v>9.8800000000000008</v>
      </c>
    </row>
    <row r="486" spans="1:33" x14ac:dyDescent="0.2">
      <c r="A486" s="3">
        <v>22705</v>
      </c>
      <c r="B486" s="2">
        <v>4.29</v>
      </c>
      <c r="C486" s="2">
        <v>27.14</v>
      </c>
      <c r="D486" s="2">
        <v>43.82</v>
      </c>
      <c r="E486" s="2">
        <v>114.36</v>
      </c>
      <c r="F486" s="2">
        <v>130.85</v>
      </c>
      <c r="G486" s="2">
        <v>195.5</v>
      </c>
      <c r="H486" s="2">
        <v>36.94</v>
      </c>
      <c r="I486" s="2">
        <v>45.21</v>
      </c>
      <c r="J486" s="2">
        <v>108.88</v>
      </c>
      <c r="K486" s="2">
        <v>126.71</v>
      </c>
      <c r="L486" s="2">
        <v>70.52</v>
      </c>
      <c r="M486" s="2">
        <v>74.02</v>
      </c>
      <c r="N486" s="2">
        <v>157.38</v>
      </c>
      <c r="O486" s="2">
        <v>8.4600000000000009</v>
      </c>
      <c r="P486" s="2">
        <v>226.65</v>
      </c>
      <c r="Q486" s="2">
        <v>0.1</v>
      </c>
      <c r="R486" s="2">
        <v>10.07</v>
      </c>
      <c r="S486" s="2">
        <v>154.19</v>
      </c>
      <c r="T486" s="2">
        <v>190.52</v>
      </c>
      <c r="U486" s="2">
        <v>2.41</v>
      </c>
      <c r="V486" s="2">
        <v>53.81</v>
      </c>
      <c r="W486" s="2">
        <v>0</v>
      </c>
      <c r="X486" s="2">
        <v>3.73</v>
      </c>
      <c r="Y486" s="2">
        <v>3.86</v>
      </c>
      <c r="Z486" s="2">
        <v>21.1</v>
      </c>
      <c r="AA486" s="2">
        <v>2.0099999999999998</v>
      </c>
      <c r="AB486" s="2">
        <v>21.58</v>
      </c>
      <c r="AC486" s="2">
        <v>14.76</v>
      </c>
      <c r="AD486" s="2">
        <v>3.01</v>
      </c>
      <c r="AE486" s="2">
        <v>52.3</v>
      </c>
      <c r="AF486" s="2">
        <v>59.57</v>
      </c>
      <c r="AG486" s="2">
        <v>10.08</v>
      </c>
    </row>
    <row r="487" spans="1:33" x14ac:dyDescent="0.2">
      <c r="A487" s="3">
        <v>22736</v>
      </c>
      <c r="B487" s="2">
        <v>4.08</v>
      </c>
      <c r="C487" s="2">
        <v>21.38</v>
      </c>
      <c r="D487" s="2">
        <v>-7.61</v>
      </c>
      <c r="E487" s="2">
        <v>-27.9</v>
      </c>
      <c r="F487" s="2">
        <v>-39.06</v>
      </c>
      <c r="G487" s="2">
        <v>33.69</v>
      </c>
      <c r="H487" s="2">
        <v>15.36</v>
      </c>
      <c r="I487" s="2">
        <v>36.11</v>
      </c>
      <c r="J487" s="2">
        <v>-1.42</v>
      </c>
      <c r="K487" s="2">
        <v>-48.57</v>
      </c>
      <c r="L487" s="2">
        <v>17</v>
      </c>
      <c r="M487" s="2">
        <v>-1.1499999999999999</v>
      </c>
      <c r="N487" s="2">
        <v>8.4600000000000009</v>
      </c>
      <c r="O487" s="2">
        <v>6.6</v>
      </c>
      <c r="P487" s="2">
        <v>17.61</v>
      </c>
      <c r="Q487" s="2">
        <v>9.56</v>
      </c>
      <c r="R487" s="2">
        <v>12.52</v>
      </c>
      <c r="S487" s="2">
        <v>3.62</v>
      </c>
      <c r="T487" s="2">
        <v>13.03</v>
      </c>
      <c r="U487" s="2">
        <v>4.6500000000000004</v>
      </c>
      <c r="V487" s="2">
        <v>23.24</v>
      </c>
      <c r="W487" s="2">
        <v>0</v>
      </c>
      <c r="X487" s="2">
        <v>4.7</v>
      </c>
      <c r="Y487" s="2">
        <v>3.76</v>
      </c>
      <c r="Z487" s="2">
        <v>5.79</v>
      </c>
      <c r="AA487" s="2">
        <v>2.0099999999999998</v>
      </c>
      <c r="AB487" s="2">
        <v>1.76</v>
      </c>
      <c r="AC487" s="2">
        <v>1.9</v>
      </c>
      <c r="AD487" s="2">
        <v>4.92</v>
      </c>
      <c r="AE487" s="2">
        <v>18.18</v>
      </c>
      <c r="AF487" s="2">
        <v>70.290000000000006</v>
      </c>
      <c r="AG487" s="2">
        <v>10.69</v>
      </c>
    </row>
    <row r="488" spans="1:33" x14ac:dyDescent="0.2">
      <c r="A488" s="3">
        <v>22766</v>
      </c>
      <c r="B488" s="2">
        <v>-1.02</v>
      </c>
      <c r="C488" s="2">
        <v>15.92</v>
      </c>
      <c r="D488" s="2">
        <v>-26.32</v>
      </c>
      <c r="E488" s="2">
        <v>-57.79</v>
      </c>
      <c r="F488" s="2">
        <v>12.35</v>
      </c>
      <c r="G488" s="2">
        <v>-35.08</v>
      </c>
      <c r="H488" s="2">
        <v>11.78</v>
      </c>
      <c r="I488" s="2">
        <v>37.49</v>
      </c>
      <c r="J488" s="2">
        <v>-20.39</v>
      </c>
      <c r="K488" s="2">
        <v>-31.85</v>
      </c>
      <c r="L488" s="2">
        <v>-7.73</v>
      </c>
      <c r="M488" s="2">
        <v>-14.32</v>
      </c>
      <c r="N488" s="2">
        <v>36.19</v>
      </c>
      <c r="O488" s="2">
        <v>9.51</v>
      </c>
      <c r="P488" s="2">
        <v>28.4</v>
      </c>
      <c r="Q488" s="2">
        <v>7.76</v>
      </c>
      <c r="R488" s="2">
        <v>4.47</v>
      </c>
      <c r="S488" s="2">
        <v>-0.84</v>
      </c>
      <c r="T488" s="2">
        <v>22.22</v>
      </c>
      <c r="U488" s="2">
        <v>2.99</v>
      </c>
      <c r="V488" s="2">
        <v>30.85</v>
      </c>
      <c r="W488" s="2">
        <v>0</v>
      </c>
      <c r="X488" s="2">
        <v>5.73</v>
      </c>
      <c r="Y488" s="2">
        <v>5.0999999999999996</v>
      </c>
      <c r="Z488" s="2">
        <v>0</v>
      </c>
      <c r="AA488" s="2">
        <v>0</v>
      </c>
      <c r="AB488" s="2">
        <v>0</v>
      </c>
      <c r="AC488" s="2">
        <v>0</v>
      </c>
      <c r="AD488" s="2">
        <v>5.64</v>
      </c>
      <c r="AE488" s="2">
        <v>0.93</v>
      </c>
      <c r="AF488" s="2">
        <v>86.98</v>
      </c>
      <c r="AG488" s="2">
        <v>14.64</v>
      </c>
    </row>
    <row r="489" spans="1:33" x14ac:dyDescent="0.2">
      <c r="A489" s="3">
        <v>22797</v>
      </c>
      <c r="B489" s="2">
        <v>0.85</v>
      </c>
      <c r="C489" s="2">
        <v>8.99</v>
      </c>
      <c r="D489" s="2">
        <v>-10.039999999999999</v>
      </c>
      <c r="E489" s="2">
        <v>-44.6</v>
      </c>
      <c r="F489" s="2">
        <v>-34.43</v>
      </c>
      <c r="G489" s="2">
        <v>-18.57</v>
      </c>
      <c r="H489" s="2">
        <v>4.95</v>
      </c>
      <c r="I489" s="2">
        <v>28.63</v>
      </c>
      <c r="J489" s="2">
        <v>-18.57</v>
      </c>
      <c r="K489" s="2">
        <v>-5.98</v>
      </c>
      <c r="L489" s="2">
        <v>1.3</v>
      </c>
      <c r="M489" s="2">
        <v>0.71</v>
      </c>
      <c r="N489" s="2">
        <v>27.22</v>
      </c>
      <c r="O489" s="2">
        <v>18.75</v>
      </c>
      <c r="P489" s="2">
        <v>52.93</v>
      </c>
      <c r="Q489" s="2">
        <v>8.0500000000000007</v>
      </c>
      <c r="R489" s="2">
        <v>8.2200000000000006</v>
      </c>
      <c r="S489" s="2">
        <v>6.46</v>
      </c>
      <c r="T489" s="2">
        <v>35.119999999999997</v>
      </c>
      <c r="U489" s="2">
        <v>-2.58</v>
      </c>
      <c r="V489" s="2">
        <v>32.82</v>
      </c>
      <c r="W489" s="2">
        <v>4.88</v>
      </c>
      <c r="X489" s="2">
        <v>8.81</v>
      </c>
      <c r="Y489" s="2">
        <v>7.51</v>
      </c>
      <c r="Z489" s="2">
        <v>0.24</v>
      </c>
      <c r="AA489" s="2">
        <v>0</v>
      </c>
      <c r="AB489" s="2">
        <v>1.59</v>
      </c>
      <c r="AC489" s="2">
        <v>1.08</v>
      </c>
      <c r="AD489" s="2">
        <v>7.15</v>
      </c>
      <c r="AE489" s="2">
        <v>0</v>
      </c>
      <c r="AF489" s="2">
        <v>98.23</v>
      </c>
      <c r="AG489" s="2">
        <v>17.690000000000001</v>
      </c>
    </row>
    <row r="490" spans="1:33" x14ac:dyDescent="0.2">
      <c r="A490" s="3">
        <v>22827</v>
      </c>
      <c r="B490" s="2">
        <v>1.08</v>
      </c>
      <c r="C490" s="2">
        <v>13.15</v>
      </c>
      <c r="D490" s="2">
        <v>-11.95</v>
      </c>
      <c r="E490" s="2">
        <v>-52.15</v>
      </c>
      <c r="F490" s="2">
        <v>-25.32</v>
      </c>
      <c r="G490" s="2">
        <v>-4.28</v>
      </c>
      <c r="H490" s="2">
        <v>7.87</v>
      </c>
      <c r="I490" s="2">
        <v>34.79</v>
      </c>
      <c r="J490" s="2">
        <v>-6.51</v>
      </c>
      <c r="K490" s="2">
        <v>4.07</v>
      </c>
      <c r="L490" s="2">
        <v>14.35</v>
      </c>
      <c r="M490" s="2">
        <v>9.99</v>
      </c>
      <c r="N490" s="2">
        <v>29.64</v>
      </c>
      <c r="O490" s="2">
        <v>84.56</v>
      </c>
      <c r="P490" s="2">
        <v>128.49</v>
      </c>
      <c r="Q490" s="2">
        <v>12.7</v>
      </c>
      <c r="R490" s="2">
        <v>10.029999999999999</v>
      </c>
      <c r="S490" s="2">
        <v>27.04</v>
      </c>
      <c r="T490" s="2">
        <v>81.459999999999994</v>
      </c>
      <c r="U490" s="2">
        <v>2.4700000000000002</v>
      </c>
      <c r="V490" s="2">
        <v>47.92</v>
      </c>
      <c r="W490" s="2">
        <v>18.62</v>
      </c>
      <c r="X490" s="2">
        <v>14.23</v>
      </c>
      <c r="Y490" s="2">
        <v>13.64</v>
      </c>
      <c r="Z490" s="2">
        <v>0</v>
      </c>
      <c r="AA490" s="2">
        <v>0</v>
      </c>
      <c r="AB490" s="2">
        <v>1.25</v>
      </c>
      <c r="AC490" s="2">
        <v>0</v>
      </c>
      <c r="AD490" s="2">
        <v>10.48</v>
      </c>
      <c r="AE490" s="2">
        <v>0</v>
      </c>
      <c r="AF490" s="2">
        <v>107.5</v>
      </c>
      <c r="AG490" s="2">
        <v>22.83</v>
      </c>
    </row>
    <row r="491" spans="1:33" x14ac:dyDescent="0.2">
      <c r="A491" s="3">
        <v>22858</v>
      </c>
      <c r="B491" s="2">
        <v>0.89</v>
      </c>
      <c r="C491" s="2">
        <v>12.81</v>
      </c>
      <c r="D491" s="2">
        <v>-11.04</v>
      </c>
      <c r="E491" s="2">
        <v>-50.34</v>
      </c>
      <c r="F491" s="2">
        <v>-14.58</v>
      </c>
      <c r="G491" s="2">
        <v>7.98</v>
      </c>
      <c r="H491" s="2">
        <v>9.11</v>
      </c>
      <c r="I491" s="2">
        <v>33.020000000000003</v>
      </c>
      <c r="J491" s="2">
        <v>-23.24</v>
      </c>
      <c r="K491" s="2">
        <v>-12.77</v>
      </c>
      <c r="L491" s="2">
        <v>-25.01</v>
      </c>
      <c r="M491" s="2">
        <v>3.56</v>
      </c>
      <c r="N491" s="2">
        <v>31.37</v>
      </c>
      <c r="O491" s="2">
        <v>120.44</v>
      </c>
      <c r="P491" s="2">
        <v>136.86000000000001</v>
      </c>
      <c r="Q491" s="2">
        <v>12.62</v>
      </c>
      <c r="R491" s="2">
        <v>16.13</v>
      </c>
      <c r="S491" s="2">
        <v>37.5</v>
      </c>
      <c r="T491" s="2">
        <v>59.45</v>
      </c>
      <c r="U491" s="2">
        <v>9.57</v>
      </c>
      <c r="V491" s="2">
        <v>52.98</v>
      </c>
      <c r="W491" s="2">
        <v>30.39</v>
      </c>
      <c r="X491" s="2">
        <v>19.54</v>
      </c>
      <c r="Y491" s="2">
        <v>19.3</v>
      </c>
      <c r="Z491" s="2">
        <v>0</v>
      </c>
      <c r="AA491" s="2">
        <v>0</v>
      </c>
      <c r="AB491" s="2">
        <v>1.47</v>
      </c>
      <c r="AC491" s="2">
        <v>0</v>
      </c>
      <c r="AD491" s="2">
        <v>7.69</v>
      </c>
      <c r="AE491" s="2">
        <v>0</v>
      </c>
      <c r="AF491" s="2">
        <v>117.07</v>
      </c>
      <c r="AG491" s="2">
        <v>24.8</v>
      </c>
    </row>
    <row r="492" spans="1:33" x14ac:dyDescent="0.2">
      <c r="A492" s="3">
        <v>22889</v>
      </c>
      <c r="B492" s="2">
        <v>0.54</v>
      </c>
      <c r="C492" s="2">
        <v>12.97</v>
      </c>
      <c r="D492" s="2">
        <v>-9.8699999999999992</v>
      </c>
      <c r="E492" s="2">
        <v>-50.37</v>
      </c>
      <c r="F492" s="2">
        <v>-2.44</v>
      </c>
      <c r="G492" s="2">
        <v>15.61</v>
      </c>
      <c r="H492" s="2">
        <v>14.21</v>
      </c>
      <c r="I492" s="2">
        <v>31.27</v>
      </c>
      <c r="J492" s="2">
        <v>-10.11</v>
      </c>
      <c r="K492" s="2">
        <v>-7.1</v>
      </c>
      <c r="L492" s="2">
        <v>-11.97</v>
      </c>
      <c r="M492" s="2">
        <v>6.83</v>
      </c>
      <c r="N492" s="2">
        <v>25.69</v>
      </c>
      <c r="O492" s="2">
        <v>95.95</v>
      </c>
      <c r="P492" s="2">
        <v>139.08000000000001</v>
      </c>
      <c r="Q492" s="2">
        <v>5.95</v>
      </c>
      <c r="R492" s="2">
        <v>14.84</v>
      </c>
      <c r="S492" s="2">
        <v>24.77</v>
      </c>
      <c r="T492" s="2">
        <v>52.34</v>
      </c>
      <c r="U492" s="2">
        <v>7.42</v>
      </c>
      <c r="V492" s="2">
        <v>41.86</v>
      </c>
      <c r="W492" s="2">
        <v>31.47</v>
      </c>
      <c r="X492" s="2">
        <v>21.87</v>
      </c>
      <c r="Y492" s="2">
        <v>21.78</v>
      </c>
      <c r="Z492" s="2">
        <v>0</v>
      </c>
      <c r="AA492" s="2">
        <v>0</v>
      </c>
      <c r="AB492" s="2">
        <v>0</v>
      </c>
      <c r="AC492" s="2">
        <v>0</v>
      </c>
      <c r="AD492" s="2">
        <v>7.71</v>
      </c>
      <c r="AE492" s="2">
        <v>0</v>
      </c>
      <c r="AF492" s="2">
        <v>119.06</v>
      </c>
      <c r="AG492" s="2">
        <v>23.65</v>
      </c>
    </row>
    <row r="493" spans="1:33" x14ac:dyDescent="0.2">
      <c r="A493" s="3">
        <v>22919</v>
      </c>
      <c r="B493" s="2">
        <v>-2.96</v>
      </c>
      <c r="C493" s="2">
        <v>10.89</v>
      </c>
      <c r="D493" s="2">
        <v>-15.95</v>
      </c>
      <c r="E493" s="2">
        <v>-43.21</v>
      </c>
      <c r="F493" s="2">
        <v>-0.57999999999999996</v>
      </c>
      <c r="G493" s="2">
        <v>17.829999999999998</v>
      </c>
      <c r="H493" s="2">
        <v>18.5</v>
      </c>
      <c r="I493" s="2">
        <v>33.56</v>
      </c>
      <c r="J493" s="2">
        <v>7.28</v>
      </c>
      <c r="K493" s="2">
        <v>-2.96</v>
      </c>
      <c r="L493" s="2">
        <v>-7.82</v>
      </c>
      <c r="M493" s="2">
        <v>2.4500000000000002</v>
      </c>
      <c r="N493" s="2">
        <v>33.25</v>
      </c>
      <c r="O493" s="2">
        <v>10.89</v>
      </c>
      <c r="P493" s="2">
        <v>73.28</v>
      </c>
      <c r="Q493" s="2">
        <v>8.81</v>
      </c>
      <c r="R493" s="2">
        <v>15.71</v>
      </c>
      <c r="S493" s="2">
        <v>9.51</v>
      </c>
      <c r="T493" s="2">
        <v>14.54</v>
      </c>
      <c r="U493" s="2">
        <v>4.7</v>
      </c>
      <c r="V493" s="2">
        <v>13.81</v>
      </c>
      <c r="W493" s="2">
        <v>26.1</v>
      </c>
      <c r="X493" s="2">
        <v>20.74</v>
      </c>
      <c r="Y493" s="2">
        <v>20.440000000000001</v>
      </c>
      <c r="Z493" s="2">
        <v>0</v>
      </c>
      <c r="AA493" s="2">
        <v>0</v>
      </c>
      <c r="AB493" s="2">
        <v>1.81</v>
      </c>
      <c r="AC493" s="2">
        <v>0</v>
      </c>
      <c r="AD493" s="2">
        <v>5</v>
      </c>
      <c r="AE493" s="2">
        <v>0</v>
      </c>
      <c r="AF493" s="2">
        <v>110.9</v>
      </c>
      <c r="AG493" s="2">
        <v>20.170000000000002</v>
      </c>
    </row>
    <row r="494" spans="1:33" x14ac:dyDescent="0.2">
      <c r="A494" s="3">
        <v>22950</v>
      </c>
      <c r="B494" s="2">
        <v>2.44</v>
      </c>
      <c r="C494" s="2">
        <v>23.72</v>
      </c>
      <c r="D494" s="2">
        <v>24.04</v>
      </c>
      <c r="E494" s="2">
        <v>79.06</v>
      </c>
      <c r="F494" s="2">
        <v>143.08000000000001</v>
      </c>
      <c r="G494" s="2">
        <v>139.97</v>
      </c>
      <c r="H494" s="2">
        <v>43.57</v>
      </c>
      <c r="I494" s="2">
        <v>42.01</v>
      </c>
      <c r="J494" s="2">
        <v>40.409999999999997</v>
      </c>
      <c r="K494" s="2">
        <v>-6.74</v>
      </c>
      <c r="L494" s="2">
        <v>2.7</v>
      </c>
      <c r="M494" s="2">
        <v>3.92</v>
      </c>
      <c r="N494" s="2">
        <v>20.86</v>
      </c>
      <c r="O494" s="2">
        <v>13.74</v>
      </c>
      <c r="P494" s="2">
        <v>38.409999999999997</v>
      </c>
      <c r="Q494" s="2">
        <v>2.6</v>
      </c>
      <c r="R494" s="2">
        <v>6.82</v>
      </c>
      <c r="S494" s="2">
        <v>0.01</v>
      </c>
      <c r="T494" s="2">
        <v>17.61</v>
      </c>
      <c r="U494" s="2">
        <v>2.2599999999999998</v>
      </c>
      <c r="V494" s="2">
        <v>11.17</v>
      </c>
      <c r="W494" s="2">
        <v>22.19</v>
      </c>
      <c r="X494" s="2">
        <v>19.21</v>
      </c>
      <c r="Y494" s="2">
        <v>18.89</v>
      </c>
      <c r="Z494" s="2">
        <v>0</v>
      </c>
      <c r="AA494" s="2">
        <v>2.58</v>
      </c>
      <c r="AB494" s="2">
        <v>0.86</v>
      </c>
      <c r="AC494" s="2">
        <v>3.25</v>
      </c>
      <c r="AD494" s="2">
        <v>2.89</v>
      </c>
      <c r="AE494" s="2">
        <v>42.79</v>
      </c>
      <c r="AF494" s="2">
        <v>100.59</v>
      </c>
      <c r="AG494" s="2">
        <v>16.420000000000002</v>
      </c>
    </row>
    <row r="495" spans="1:33" x14ac:dyDescent="0.2">
      <c r="A495" s="3">
        <v>22980</v>
      </c>
      <c r="B495" s="2">
        <v>-1.53</v>
      </c>
      <c r="C495" s="2">
        <v>10.23</v>
      </c>
      <c r="D495" s="2">
        <v>-18.850000000000001</v>
      </c>
      <c r="E495" s="2">
        <v>-60.33</v>
      </c>
      <c r="F495" s="2">
        <v>-86.94</v>
      </c>
      <c r="G495" s="2">
        <v>-29.95</v>
      </c>
      <c r="H495" s="2">
        <v>5.5</v>
      </c>
      <c r="I495" s="2">
        <v>28.28</v>
      </c>
      <c r="J495" s="2">
        <v>-0.36</v>
      </c>
      <c r="K495" s="2">
        <v>-6.47</v>
      </c>
      <c r="L495" s="2">
        <v>4.6100000000000003</v>
      </c>
      <c r="M495" s="2">
        <v>4.3899999999999997</v>
      </c>
      <c r="N495" s="2">
        <v>17.37</v>
      </c>
      <c r="O495" s="2">
        <v>8.17</v>
      </c>
      <c r="P495" s="2">
        <v>28.41</v>
      </c>
      <c r="Q495" s="2">
        <v>4.18</v>
      </c>
      <c r="R495" s="2">
        <v>4.7300000000000004</v>
      </c>
      <c r="S495" s="2">
        <v>-1.97</v>
      </c>
      <c r="T495" s="2">
        <v>13.21</v>
      </c>
      <c r="U495" s="2">
        <v>3.9</v>
      </c>
      <c r="V495" s="2">
        <v>11.97</v>
      </c>
      <c r="W495" s="2">
        <v>15.43</v>
      </c>
      <c r="X495" s="2">
        <v>12.59</v>
      </c>
      <c r="Y495" s="2">
        <v>11.25</v>
      </c>
      <c r="Z495" s="2">
        <v>0.14000000000000001</v>
      </c>
      <c r="AA495" s="2">
        <v>0</v>
      </c>
      <c r="AB495" s="2">
        <v>0</v>
      </c>
      <c r="AC495" s="2">
        <v>0</v>
      </c>
      <c r="AD495" s="2">
        <v>1.96</v>
      </c>
      <c r="AE495" s="2">
        <v>2.61</v>
      </c>
      <c r="AF495" s="2">
        <v>66</v>
      </c>
      <c r="AG495" s="2">
        <v>12.92</v>
      </c>
    </row>
    <row r="496" spans="1:33" x14ac:dyDescent="0.2">
      <c r="A496" s="3">
        <v>23011</v>
      </c>
      <c r="B496" s="2">
        <v>3.84</v>
      </c>
      <c r="C496" s="2">
        <v>21.2</v>
      </c>
      <c r="D496" s="2">
        <v>3.84</v>
      </c>
      <c r="E496" s="2">
        <v>26.04</v>
      </c>
      <c r="F496" s="2">
        <v>41.14</v>
      </c>
      <c r="G496" s="2">
        <v>34.380000000000003</v>
      </c>
      <c r="H496" s="2">
        <v>25.85</v>
      </c>
      <c r="I496" s="2">
        <v>34.04</v>
      </c>
      <c r="J496" s="2">
        <v>16.82</v>
      </c>
      <c r="K496" s="2">
        <v>4.03</v>
      </c>
      <c r="L496" s="2">
        <v>9.2200000000000006</v>
      </c>
      <c r="M496" s="2">
        <v>10.48</v>
      </c>
      <c r="N496" s="2">
        <v>18.23</v>
      </c>
      <c r="O496" s="2">
        <v>6.58</v>
      </c>
      <c r="P496" s="2">
        <v>24.36</v>
      </c>
      <c r="Q496" s="2">
        <v>1.62</v>
      </c>
      <c r="R496" s="2">
        <v>4.24</v>
      </c>
      <c r="S496" s="2">
        <v>-2.02</v>
      </c>
      <c r="T496" s="2">
        <v>10.89</v>
      </c>
      <c r="U496" s="2">
        <v>2.77</v>
      </c>
      <c r="V496" s="2">
        <v>10.93</v>
      </c>
      <c r="W496" s="2">
        <v>11.73</v>
      </c>
      <c r="X496" s="2">
        <v>10.34</v>
      </c>
      <c r="Y496" s="2">
        <v>10.220000000000001</v>
      </c>
      <c r="Z496" s="2">
        <v>0.33</v>
      </c>
      <c r="AA496" s="2">
        <v>4.01</v>
      </c>
      <c r="AB496" s="2">
        <v>0.06</v>
      </c>
      <c r="AC496" s="2">
        <v>0.95</v>
      </c>
      <c r="AD496" s="2">
        <v>1.97</v>
      </c>
      <c r="AE496" s="2">
        <v>18.64</v>
      </c>
      <c r="AF496" s="2">
        <v>60.63</v>
      </c>
      <c r="AG496" s="2">
        <v>11.2</v>
      </c>
    </row>
    <row r="497" spans="1:33" x14ac:dyDescent="0.2">
      <c r="A497" s="3">
        <v>23042</v>
      </c>
      <c r="B497" s="2">
        <v>0.28999999999999998</v>
      </c>
      <c r="C497" s="2">
        <v>17.86</v>
      </c>
      <c r="D497" s="2">
        <v>2.15</v>
      </c>
      <c r="E497" s="2">
        <v>-1.27</v>
      </c>
      <c r="F497" s="2">
        <v>-0.22</v>
      </c>
      <c r="G497" s="2">
        <v>51.3</v>
      </c>
      <c r="H497" s="2">
        <v>12.36</v>
      </c>
      <c r="I497" s="2">
        <v>30.79</v>
      </c>
      <c r="J497" s="2">
        <v>15.9</v>
      </c>
      <c r="K497" s="2">
        <v>22.82</v>
      </c>
      <c r="L497" s="2">
        <v>-11.84</v>
      </c>
      <c r="M497" s="2">
        <v>1.39</v>
      </c>
      <c r="N497" s="2">
        <v>30.92</v>
      </c>
      <c r="O497" s="2">
        <v>7.15</v>
      </c>
      <c r="P497" s="2">
        <v>33.07</v>
      </c>
      <c r="Q497" s="2">
        <v>-0.56000000000000005</v>
      </c>
      <c r="R497" s="2">
        <v>1.72</v>
      </c>
      <c r="S497" s="2">
        <v>24</v>
      </c>
      <c r="T497" s="2">
        <v>16.690000000000001</v>
      </c>
      <c r="U497" s="2">
        <v>-0.25</v>
      </c>
      <c r="V497" s="2">
        <v>14.44</v>
      </c>
      <c r="W497" s="2">
        <v>4.26</v>
      </c>
      <c r="X497" s="2">
        <v>9.93</v>
      </c>
      <c r="Y497" s="2">
        <v>8.61</v>
      </c>
      <c r="Z497" s="2">
        <v>0.1</v>
      </c>
      <c r="AA497" s="2">
        <v>1.86</v>
      </c>
      <c r="AB497" s="2">
        <v>12.66</v>
      </c>
      <c r="AC497" s="2">
        <v>0</v>
      </c>
      <c r="AD497" s="2">
        <v>1.89</v>
      </c>
      <c r="AE497" s="2">
        <v>37.200000000000003</v>
      </c>
      <c r="AF497" s="2">
        <v>69.56</v>
      </c>
      <c r="AG497" s="2">
        <v>9.8800000000000008</v>
      </c>
    </row>
    <row r="498" spans="1:33" x14ac:dyDescent="0.2">
      <c r="A498" s="3">
        <v>23070</v>
      </c>
      <c r="B498" s="2">
        <v>4.57</v>
      </c>
      <c r="C498" s="2">
        <v>26.3</v>
      </c>
      <c r="D498" s="2">
        <v>7.4</v>
      </c>
      <c r="E498" s="2">
        <v>41.45</v>
      </c>
      <c r="F498" s="2">
        <v>93.23</v>
      </c>
      <c r="G498" s="2">
        <v>113.85</v>
      </c>
      <c r="H498" s="2">
        <v>24.11</v>
      </c>
      <c r="I498" s="2">
        <v>43.81</v>
      </c>
      <c r="J498" s="2">
        <v>68.150000000000006</v>
      </c>
      <c r="K498" s="2">
        <v>44.61</v>
      </c>
      <c r="L498" s="2">
        <v>62.48</v>
      </c>
      <c r="M498" s="2">
        <v>36.24</v>
      </c>
      <c r="N498" s="2">
        <v>53.63</v>
      </c>
      <c r="O498" s="2">
        <v>6.37</v>
      </c>
      <c r="P498" s="2">
        <v>44.73</v>
      </c>
      <c r="Q498" s="2">
        <v>-1.39</v>
      </c>
      <c r="R498" s="2">
        <v>4.72</v>
      </c>
      <c r="S498" s="2">
        <v>22.68</v>
      </c>
      <c r="T498" s="2">
        <v>18.2</v>
      </c>
      <c r="U498" s="2">
        <v>3.07</v>
      </c>
      <c r="V498" s="2">
        <v>10.92</v>
      </c>
      <c r="W498" s="2">
        <v>0</v>
      </c>
      <c r="X498" s="2">
        <v>3.4</v>
      </c>
      <c r="Y498" s="2">
        <v>3.47</v>
      </c>
      <c r="Z498" s="2">
        <v>4.3099999999999996</v>
      </c>
      <c r="AA498" s="2">
        <v>11.33</v>
      </c>
      <c r="AB498" s="2">
        <v>22.33</v>
      </c>
      <c r="AC498" s="2">
        <v>1.76</v>
      </c>
      <c r="AD498" s="2">
        <v>2.68</v>
      </c>
      <c r="AE498" s="2">
        <v>20.79</v>
      </c>
      <c r="AF498" s="2">
        <v>57.98</v>
      </c>
      <c r="AG498" s="2">
        <v>10.08</v>
      </c>
    </row>
    <row r="499" spans="1:33" x14ac:dyDescent="0.2">
      <c r="A499" s="3">
        <v>23101</v>
      </c>
      <c r="B499" s="2">
        <v>-0.3</v>
      </c>
      <c r="C499" s="2">
        <v>18.25</v>
      </c>
      <c r="D499" s="2">
        <v>-10.87</v>
      </c>
      <c r="E499" s="2">
        <v>-42.81</v>
      </c>
      <c r="F499" s="2">
        <v>-71.27</v>
      </c>
      <c r="G499" s="2">
        <v>-4.6500000000000004</v>
      </c>
      <c r="H499" s="2">
        <v>8.52</v>
      </c>
      <c r="I499" s="2">
        <v>34.119999999999997</v>
      </c>
      <c r="J499" s="2">
        <v>-6.54</v>
      </c>
      <c r="K499" s="2">
        <v>-16.2</v>
      </c>
      <c r="L499" s="2">
        <v>-21.84</v>
      </c>
      <c r="M499" s="2">
        <v>-13.97</v>
      </c>
      <c r="N499" s="2">
        <v>25.61</v>
      </c>
      <c r="O499" s="2">
        <v>14.42</v>
      </c>
      <c r="P499" s="2">
        <v>73.38</v>
      </c>
      <c r="Q499" s="2">
        <v>1.1100000000000001</v>
      </c>
      <c r="R499" s="2">
        <v>-1.3</v>
      </c>
      <c r="S499" s="2">
        <v>13.97</v>
      </c>
      <c r="T499" s="2">
        <v>25.49</v>
      </c>
      <c r="U499" s="2">
        <v>-4.04</v>
      </c>
      <c r="V499" s="2">
        <v>21.82</v>
      </c>
      <c r="W499" s="2">
        <v>0</v>
      </c>
      <c r="X499" s="2">
        <v>4.3099999999999996</v>
      </c>
      <c r="Y499" s="2">
        <v>3.34</v>
      </c>
      <c r="Z499" s="2">
        <v>4.93</v>
      </c>
      <c r="AA499" s="2">
        <v>1.1499999999999999</v>
      </c>
      <c r="AB499" s="2">
        <v>2.58</v>
      </c>
      <c r="AC499" s="2">
        <v>2.2999999999999998</v>
      </c>
      <c r="AD499" s="2">
        <v>4.0999999999999996</v>
      </c>
      <c r="AE499" s="2">
        <v>32.909999999999997</v>
      </c>
      <c r="AF499" s="2">
        <v>68.42</v>
      </c>
      <c r="AG499" s="2">
        <v>10.69</v>
      </c>
    </row>
    <row r="500" spans="1:33" x14ac:dyDescent="0.2">
      <c r="A500" s="3">
        <v>23131</v>
      </c>
      <c r="B500" s="2">
        <v>10.73</v>
      </c>
      <c r="C500" s="2">
        <v>28.89</v>
      </c>
      <c r="D500" s="2">
        <v>19.02</v>
      </c>
      <c r="E500" s="2">
        <v>112.93</v>
      </c>
      <c r="F500" s="2">
        <v>139.69999999999999</v>
      </c>
      <c r="G500" s="2">
        <v>42.93</v>
      </c>
      <c r="H500" s="2">
        <v>34.72</v>
      </c>
      <c r="I500" s="2">
        <v>48.22</v>
      </c>
      <c r="J500" s="2">
        <v>50.22</v>
      </c>
      <c r="K500" s="2">
        <v>23.61</v>
      </c>
      <c r="L500" s="2">
        <v>45.7</v>
      </c>
      <c r="M500" s="2">
        <v>24.4</v>
      </c>
      <c r="N500" s="2">
        <v>43.49</v>
      </c>
      <c r="O500" s="2">
        <v>7</v>
      </c>
      <c r="P500" s="2">
        <v>42.92</v>
      </c>
      <c r="Q500" s="2">
        <v>6.08</v>
      </c>
      <c r="R500" s="2">
        <v>-2.91</v>
      </c>
      <c r="S500" s="2">
        <v>29.22</v>
      </c>
      <c r="T500" s="2">
        <v>17.350000000000001</v>
      </c>
      <c r="U500" s="2">
        <v>3.8</v>
      </c>
      <c r="V500" s="2">
        <v>29.77</v>
      </c>
      <c r="W500" s="2">
        <v>0</v>
      </c>
      <c r="X500" s="2">
        <v>5.25</v>
      </c>
      <c r="Y500" s="2">
        <v>4.57</v>
      </c>
      <c r="Z500" s="2">
        <v>3.97</v>
      </c>
      <c r="AA500" s="2">
        <v>0.14000000000000001</v>
      </c>
      <c r="AB500" s="2">
        <v>2.06</v>
      </c>
      <c r="AC500" s="2">
        <v>3.93</v>
      </c>
      <c r="AD500" s="2">
        <v>6.35</v>
      </c>
      <c r="AE500" s="2">
        <v>28.71</v>
      </c>
      <c r="AF500" s="2">
        <v>84.67</v>
      </c>
      <c r="AG500" s="2">
        <v>14.64</v>
      </c>
    </row>
    <row r="501" spans="1:33" x14ac:dyDescent="0.2">
      <c r="A501" s="3">
        <v>23162</v>
      </c>
      <c r="B501" s="2">
        <v>2.86</v>
      </c>
      <c r="C501" s="2">
        <v>13.26</v>
      </c>
      <c r="D501" s="2">
        <v>-19.91</v>
      </c>
      <c r="E501" s="2">
        <v>-81.87</v>
      </c>
      <c r="F501" s="2">
        <v>-66.11</v>
      </c>
      <c r="G501" s="2">
        <v>-29.23</v>
      </c>
      <c r="H501" s="2">
        <v>10.81</v>
      </c>
      <c r="I501" s="2">
        <v>38.200000000000003</v>
      </c>
      <c r="J501" s="2">
        <v>8.41</v>
      </c>
      <c r="K501" s="2">
        <v>-0.33</v>
      </c>
      <c r="L501" s="2">
        <v>40.159999999999997</v>
      </c>
      <c r="M501" s="2">
        <v>7.03</v>
      </c>
      <c r="N501" s="2">
        <v>23.75</v>
      </c>
      <c r="O501" s="2">
        <v>18.579999999999998</v>
      </c>
      <c r="P501" s="2">
        <v>52.64</v>
      </c>
      <c r="Q501" s="2">
        <v>8.35</v>
      </c>
      <c r="R501" s="2">
        <v>2.5</v>
      </c>
      <c r="S501" s="2">
        <v>-3.06</v>
      </c>
      <c r="T501" s="2">
        <v>23.81</v>
      </c>
      <c r="U501" s="2">
        <v>-3.15</v>
      </c>
      <c r="V501" s="2">
        <v>39.380000000000003</v>
      </c>
      <c r="W501" s="2">
        <v>4.88</v>
      </c>
      <c r="X501" s="2">
        <v>8.26</v>
      </c>
      <c r="Y501" s="2">
        <v>6.91</v>
      </c>
      <c r="Z501" s="2">
        <v>0</v>
      </c>
      <c r="AA501" s="2">
        <v>0</v>
      </c>
      <c r="AB501" s="2">
        <v>0.92</v>
      </c>
      <c r="AC501" s="2">
        <v>0</v>
      </c>
      <c r="AD501" s="2">
        <v>8.6</v>
      </c>
      <c r="AE501" s="2">
        <v>4.8499999999999996</v>
      </c>
      <c r="AF501" s="2">
        <v>95.62</v>
      </c>
      <c r="AG501" s="2">
        <v>17.690000000000001</v>
      </c>
    </row>
    <row r="502" spans="1:33" x14ac:dyDescent="0.2">
      <c r="A502" s="3">
        <v>23192</v>
      </c>
      <c r="B502" s="2">
        <v>-2.2999999999999998</v>
      </c>
      <c r="C502" s="2">
        <v>7.5</v>
      </c>
      <c r="D502" s="2">
        <v>-24.1</v>
      </c>
      <c r="E502" s="2">
        <v>-96.76</v>
      </c>
      <c r="F502" s="2">
        <v>-81.28</v>
      </c>
      <c r="G502" s="2">
        <v>-37.97</v>
      </c>
      <c r="H502" s="2">
        <v>-7.43</v>
      </c>
      <c r="I502" s="2">
        <v>30.79</v>
      </c>
      <c r="J502" s="2">
        <v>-40.700000000000003</v>
      </c>
      <c r="K502" s="2">
        <v>-4.45</v>
      </c>
      <c r="L502" s="2">
        <v>-20.43</v>
      </c>
      <c r="M502" s="2">
        <v>2.46</v>
      </c>
      <c r="N502" s="2">
        <v>33.29</v>
      </c>
      <c r="O502" s="2">
        <v>84.65</v>
      </c>
      <c r="P502" s="2">
        <v>107.98</v>
      </c>
      <c r="Q502" s="2">
        <v>12.71</v>
      </c>
      <c r="R502" s="2">
        <v>10.45</v>
      </c>
      <c r="S502" s="2">
        <v>10.14</v>
      </c>
      <c r="T502" s="2">
        <v>73.180000000000007</v>
      </c>
      <c r="U502" s="2">
        <v>1.04</v>
      </c>
      <c r="V502" s="2">
        <v>48.78</v>
      </c>
      <c r="W502" s="2">
        <v>18.62</v>
      </c>
      <c r="X502" s="2">
        <v>13.63</v>
      </c>
      <c r="Y502" s="2">
        <v>12.98</v>
      </c>
      <c r="Z502" s="2">
        <v>0</v>
      </c>
      <c r="AA502" s="2">
        <v>0</v>
      </c>
      <c r="AB502" s="2">
        <v>4.8099999999999996</v>
      </c>
      <c r="AC502" s="2">
        <v>0.81</v>
      </c>
      <c r="AD502" s="2">
        <v>15.48</v>
      </c>
      <c r="AE502" s="2">
        <v>0.19</v>
      </c>
      <c r="AF502" s="2">
        <v>104.64</v>
      </c>
      <c r="AG502" s="2">
        <v>22.83</v>
      </c>
    </row>
    <row r="503" spans="1:33" x14ac:dyDescent="0.2">
      <c r="A503" s="3">
        <v>23223</v>
      </c>
      <c r="B503" s="2">
        <v>-1.41</v>
      </c>
      <c r="C503" s="2">
        <v>10.72</v>
      </c>
      <c r="D503" s="2">
        <v>-16.03</v>
      </c>
      <c r="E503" s="2">
        <v>-55.4</v>
      </c>
      <c r="F503" s="2">
        <v>-19.190000000000001</v>
      </c>
      <c r="G503" s="2">
        <v>-3.5</v>
      </c>
      <c r="H503" s="2">
        <v>4.88</v>
      </c>
      <c r="I503" s="2">
        <v>30.32</v>
      </c>
      <c r="J503" s="2">
        <v>-44.37</v>
      </c>
      <c r="K503" s="2">
        <v>-14.22</v>
      </c>
      <c r="L503" s="2">
        <v>-47.57</v>
      </c>
      <c r="M503" s="2">
        <v>-12.33</v>
      </c>
      <c r="N503" s="2">
        <v>27.53</v>
      </c>
      <c r="O503" s="2">
        <v>122.36</v>
      </c>
      <c r="P503" s="2">
        <v>134.12</v>
      </c>
      <c r="Q503" s="2">
        <v>13.14</v>
      </c>
      <c r="R503" s="2">
        <v>9.1300000000000008</v>
      </c>
      <c r="S503" s="2">
        <v>27.55</v>
      </c>
      <c r="T503" s="2">
        <v>67.989999999999995</v>
      </c>
      <c r="U503" s="2">
        <v>7.76</v>
      </c>
      <c r="V503" s="2">
        <v>54.64</v>
      </c>
      <c r="W503" s="2">
        <v>30.39</v>
      </c>
      <c r="X503" s="2">
        <v>18.88</v>
      </c>
      <c r="Y503" s="2">
        <v>18.600000000000001</v>
      </c>
      <c r="Z503" s="2">
        <v>0</v>
      </c>
      <c r="AA503" s="2">
        <v>0</v>
      </c>
      <c r="AB503" s="2">
        <v>0</v>
      </c>
      <c r="AC503" s="2">
        <v>0</v>
      </c>
      <c r="AD503" s="2">
        <v>14.17</v>
      </c>
      <c r="AE503" s="2">
        <v>0</v>
      </c>
      <c r="AF503" s="2">
        <v>113.96</v>
      </c>
      <c r="AG503" s="2">
        <v>24.8</v>
      </c>
    </row>
    <row r="504" spans="1:33" x14ac:dyDescent="0.2">
      <c r="A504" s="3">
        <v>23254</v>
      </c>
      <c r="B504" s="2">
        <v>-2.0699999999999998</v>
      </c>
      <c r="C504" s="2">
        <v>11.48</v>
      </c>
      <c r="D504" s="2">
        <v>-11.65</v>
      </c>
      <c r="E504" s="2">
        <v>-49.22</v>
      </c>
      <c r="F504" s="2">
        <v>-22.31</v>
      </c>
      <c r="G504" s="2">
        <v>7.1</v>
      </c>
      <c r="H504" s="2">
        <v>9.48</v>
      </c>
      <c r="I504" s="2">
        <v>31.08</v>
      </c>
      <c r="J504" s="2">
        <v>-20.78</v>
      </c>
      <c r="K504" s="2">
        <v>-5.96</v>
      </c>
      <c r="L504" s="2">
        <v>-27.34</v>
      </c>
      <c r="M504" s="2">
        <v>-4.21</v>
      </c>
      <c r="N504" s="2">
        <v>28.41</v>
      </c>
      <c r="O504" s="2">
        <v>95.67</v>
      </c>
      <c r="P504" s="2">
        <v>105.66</v>
      </c>
      <c r="Q504" s="2">
        <v>9.23</v>
      </c>
      <c r="R504" s="2">
        <v>10.01</v>
      </c>
      <c r="S504" s="2">
        <v>21.44</v>
      </c>
      <c r="T504" s="2">
        <v>48.28</v>
      </c>
      <c r="U504" s="2">
        <v>9.09</v>
      </c>
      <c r="V504" s="2">
        <v>49.28</v>
      </c>
      <c r="W504" s="2">
        <v>31.47</v>
      </c>
      <c r="X504" s="2">
        <v>21.21</v>
      </c>
      <c r="Y504" s="2">
        <v>21.05</v>
      </c>
      <c r="Z504" s="2">
        <v>0.48</v>
      </c>
      <c r="AA504" s="2">
        <v>1.72</v>
      </c>
      <c r="AB504" s="2">
        <v>7.96</v>
      </c>
      <c r="AC504" s="2">
        <v>4.33</v>
      </c>
      <c r="AD504" s="2">
        <v>8.15</v>
      </c>
      <c r="AE504" s="2">
        <v>0</v>
      </c>
      <c r="AF504" s="2">
        <v>115.89</v>
      </c>
      <c r="AG504" s="2">
        <v>23.65</v>
      </c>
    </row>
    <row r="505" spans="1:33" x14ac:dyDescent="0.2">
      <c r="A505" s="3">
        <v>23284</v>
      </c>
      <c r="B505" s="2">
        <v>-2.73</v>
      </c>
      <c r="C505" s="2">
        <v>11.57</v>
      </c>
      <c r="D505" s="2">
        <v>-12.46</v>
      </c>
      <c r="E505" s="2">
        <v>-28.48</v>
      </c>
      <c r="F505" s="2">
        <v>0.85</v>
      </c>
      <c r="G505" s="2">
        <v>13.58</v>
      </c>
      <c r="H505" s="2">
        <v>19.59</v>
      </c>
      <c r="I505" s="2">
        <v>35.840000000000003</v>
      </c>
      <c r="J505" s="2">
        <v>4.58</v>
      </c>
      <c r="K505" s="2">
        <v>1.97</v>
      </c>
      <c r="L505" s="2">
        <v>-15.18</v>
      </c>
      <c r="M505" s="2">
        <v>-2.59</v>
      </c>
      <c r="N505" s="2">
        <v>31.49</v>
      </c>
      <c r="O505" s="2">
        <v>11.17</v>
      </c>
      <c r="P505" s="2">
        <v>53.28</v>
      </c>
      <c r="Q505" s="2">
        <v>8.92</v>
      </c>
      <c r="R505" s="2">
        <v>14.58</v>
      </c>
      <c r="S505" s="2">
        <v>10.82</v>
      </c>
      <c r="T505" s="2">
        <v>14.39</v>
      </c>
      <c r="U505" s="2">
        <v>8.2899999999999991</v>
      </c>
      <c r="V505" s="2">
        <v>18.829999999999998</v>
      </c>
      <c r="W505" s="2">
        <v>26.1</v>
      </c>
      <c r="X505" s="2">
        <v>20.13</v>
      </c>
      <c r="Y505" s="2">
        <v>19.78</v>
      </c>
      <c r="Z505" s="2">
        <v>8.14</v>
      </c>
      <c r="AA505" s="2">
        <v>28.96</v>
      </c>
      <c r="AB505" s="2">
        <v>4.3499999999999996</v>
      </c>
      <c r="AC505" s="2">
        <v>21.39</v>
      </c>
      <c r="AD505" s="2">
        <v>5.0999999999999996</v>
      </c>
      <c r="AE505" s="2">
        <v>2.33</v>
      </c>
      <c r="AF505" s="2">
        <v>107.95</v>
      </c>
      <c r="AG505" s="2">
        <v>20.170000000000002</v>
      </c>
    </row>
    <row r="506" spans="1:33" x14ac:dyDescent="0.2">
      <c r="A506" s="3">
        <v>23315</v>
      </c>
      <c r="B506" s="2">
        <v>-2.5499999999999998</v>
      </c>
      <c r="C506" s="2">
        <v>11.36</v>
      </c>
      <c r="D506" s="2">
        <v>-8.8699999999999992</v>
      </c>
      <c r="E506" s="2">
        <v>-23.6</v>
      </c>
      <c r="F506" s="2">
        <v>-1</v>
      </c>
      <c r="G506" s="2">
        <v>13.52</v>
      </c>
      <c r="H506" s="2">
        <v>16.329999999999998</v>
      </c>
      <c r="I506" s="2">
        <v>32.159999999999997</v>
      </c>
      <c r="J506" s="2">
        <v>10.24</v>
      </c>
      <c r="K506" s="2">
        <v>28.17</v>
      </c>
      <c r="L506" s="2">
        <v>10.26</v>
      </c>
      <c r="M506" s="2">
        <v>10.28</v>
      </c>
      <c r="N506" s="2">
        <v>19.329999999999998</v>
      </c>
      <c r="O506" s="2">
        <v>15.05</v>
      </c>
      <c r="P506" s="2">
        <v>17.82</v>
      </c>
      <c r="Q506" s="2">
        <v>5.45</v>
      </c>
      <c r="R506" s="2">
        <v>2.77</v>
      </c>
      <c r="S506" s="2">
        <v>9.19</v>
      </c>
      <c r="T506" s="2">
        <v>22.51</v>
      </c>
      <c r="U506" s="2">
        <v>1.83</v>
      </c>
      <c r="V506" s="2">
        <v>12.79</v>
      </c>
      <c r="W506" s="2">
        <v>22.19</v>
      </c>
      <c r="X506" s="2">
        <v>18.66</v>
      </c>
      <c r="Y506" s="2">
        <v>18.28</v>
      </c>
      <c r="Z506" s="2">
        <v>6.22</v>
      </c>
      <c r="AA506" s="2">
        <v>17.350000000000001</v>
      </c>
      <c r="AB506" s="2">
        <v>0.69</v>
      </c>
      <c r="AC506" s="2">
        <v>10.97</v>
      </c>
      <c r="AD506" s="2">
        <v>2.39</v>
      </c>
      <c r="AE506" s="2">
        <v>11.56</v>
      </c>
      <c r="AF506" s="2">
        <v>97.91</v>
      </c>
      <c r="AG506" s="2">
        <v>16.420000000000002</v>
      </c>
    </row>
    <row r="507" spans="1:33" x14ac:dyDescent="0.2">
      <c r="A507" s="3">
        <v>23345</v>
      </c>
      <c r="B507" s="2">
        <v>-0.31</v>
      </c>
      <c r="C507" s="2">
        <v>19.21</v>
      </c>
      <c r="D507" s="2">
        <v>12.01</v>
      </c>
      <c r="E507" s="2">
        <v>29.25</v>
      </c>
      <c r="F507" s="2">
        <v>42.13</v>
      </c>
      <c r="G507" s="2">
        <v>48.44</v>
      </c>
      <c r="H507" s="2">
        <v>27.94</v>
      </c>
      <c r="I507" s="2">
        <v>38.35</v>
      </c>
      <c r="J507" s="2">
        <v>30.41</v>
      </c>
      <c r="K507" s="2">
        <v>13.99</v>
      </c>
      <c r="L507" s="2">
        <v>12.26</v>
      </c>
      <c r="M507" s="2">
        <v>18.11</v>
      </c>
      <c r="N507" s="2">
        <v>25.2</v>
      </c>
      <c r="O507" s="2">
        <v>7.63</v>
      </c>
      <c r="P507" s="2">
        <v>33.270000000000003</v>
      </c>
      <c r="Q507" s="2">
        <v>2.0499999999999998</v>
      </c>
      <c r="R507" s="2">
        <v>1.93</v>
      </c>
      <c r="S507" s="2">
        <v>21.33</v>
      </c>
      <c r="T507" s="2">
        <v>14.61</v>
      </c>
      <c r="U507" s="2">
        <v>4.03</v>
      </c>
      <c r="V507" s="2">
        <v>11.04</v>
      </c>
      <c r="W507" s="2">
        <v>15.43</v>
      </c>
      <c r="X507" s="2">
        <v>12.2</v>
      </c>
      <c r="Y507" s="2">
        <v>10.82</v>
      </c>
      <c r="Z507" s="2">
        <v>0.1</v>
      </c>
      <c r="AA507" s="2">
        <v>5.45</v>
      </c>
      <c r="AB507" s="2">
        <v>0.13</v>
      </c>
      <c r="AC507" s="2">
        <v>0.22</v>
      </c>
      <c r="AD507" s="2">
        <v>1.26</v>
      </c>
      <c r="AE507" s="2">
        <v>27.69</v>
      </c>
      <c r="AF507" s="2">
        <v>64.239999999999995</v>
      </c>
      <c r="AG507" s="2">
        <v>12.92</v>
      </c>
    </row>
    <row r="508" spans="1:33" x14ac:dyDescent="0.2">
      <c r="A508" s="3">
        <v>23376</v>
      </c>
      <c r="B508" s="2">
        <v>-0.46</v>
      </c>
      <c r="C508" s="2">
        <v>9.0299999999999994</v>
      </c>
      <c r="D508" s="2">
        <v>-11.98</v>
      </c>
      <c r="E508" s="2">
        <v>-27.03</v>
      </c>
      <c r="F508" s="2">
        <v>-25.1</v>
      </c>
      <c r="G508" s="2">
        <v>1.04</v>
      </c>
      <c r="H508" s="2">
        <v>9.09</v>
      </c>
      <c r="I508" s="2">
        <v>27.88</v>
      </c>
      <c r="J508" s="2">
        <v>3.48</v>
      </c>
      <c r="K508" s="2">
        <v>-12.4</v>
      </c>
      <c r="L508" s="2">
        <v>4.68</v>
      </c>
      <c r="M508" s="2">
        <v>-3.38</v>
      </c>
      <c r="N508" s="2">
        <v>9.2899999999999991</v>
      </c>
      <c r="O508" s="2">
        <v>7.65</v>
      </c>
      <c r="P508" s="2">
        <v>24.93</v>
      </c>
      <c r="Q508" s="2">
        <v>1.87</v>
      </c>
      <c r="R508" s="2">
        <v>4.1100000000000003</v>
      </c>
      <c r="S508" s="2">
        <v>2.06</v>
      </c>
      <c r="T508" s="2">
        <v>11.8</v>
      </c>
      <c r="U508" s="2">
        <v>3.08</v>
      </c>
      <c r="V508" s="2">
        <v>12.53</v>
      </c>
      <c r="W508" s="2">
        <v>11.73</v>
      </c>
      <c r="X508" s="2">
        <v>9.99</v>
      </c>
      <c r="Y508" s="2">
        <v>9.82</v>
      </c>
      <c r="Z508" s="2">
        <v>6.89</v>
      </c>
      <c r="AA508" s="2">
        <v>0</v>
      </c>
      <c r="AB508" s="2">
        <v>0</v>
      </c>
      <c r="AC508" s="2">
        <v>0</v>
      </c>
      <c r="AD508" s="2">
        <v>1.2</v>
      </c>
      <c r="AE508" s="2">
        <v>1.86</v>
      </c>
      <c r="AF508" s="2">
        <v>59.02</v>
      </c>
      <c r="AG508" s="2">
        <v>11.2</v>
      </c>
    </row>
    <row r="509" spans="1:33" x14ac:dyDescent="0.2">
      <c r="A509" s="3">
        <v>23407</v>
      </c>
      <c r="B509" s="2">
        <v>-1.43</v>
      </c>
      <c r="C509" s="2">
        <v>11.6</v>
      </c>
      <c r="D509" s="2">
        <v>2.4500000000000002</v>
      </c>
      <c r="E509" s="2">
        <v>11.56</v>
      </c>
      <c r="F509" s="2">
        <v>23.61</v>
      </c>
      <c r="G509" s="2">
        <v>56.24</v>
      </c>
      <c r="H509" s="2">
        <v>15.2</v>
      </c>
      <c r="I509" s="2">
        <v>32.369999999999997</v>
      </c>
      <c r="J509" s="2">
        <v>16.010000000000002</v>
      </c>
      <c r="K509" s="2">
        <v>1.72</v>
      </c>
      <c r="L509" s="2">
        <v>-0.93</v>
      </c>
      <c r="M509" s="2">
        <v>-11.2</v>
      </c>
      <c r="N509" s="2">
        <v>17.489999999999998</v>
      </c>
      <c r="O509" s="2">
        <v>8.7100000000000009</v>
      </c>
      <c r="P509" s="2">
        <v>27.35</v>
      </c>
      <c r="Q509" s="2">
        <v>-0.01</v>
      </c>
      <c r="R509" s="2">
        <v>2.81</v>
      </c>
      <c r="S509" s="2">
        <v>2.67</v>
      </c>
      <c r="T509" s="2">
        <v>15.32</v>
      </c>
      <c r="U509" s="2">
        <v>1.36</v>
      </c>
      <c r="V509" s="2">
        <v>12.9</v>
      </c>
      <c r="W509" s="2">
        <v>4.26</v>
      </c>
      <c r="X509" s="2">
        <v>6.92</v>
      </c>
      <c r="Y509" s="2">
        <v>5.59</v>
      </c>
      <c r="Z509" s="2">
        <v>6.22</v>
      </c>
      <c r="AA509" s="2">
        <v>3.3</v>
      </c>
      <c r="AB509" s="2">
        <v>0.6</v>
      </c>
      <c r="AC509" s="2">
        <v>0</v>
      </c>
      <c r="AD509" s="2">
        <v>1.18</v>
      </c>
      <c r="AE509" s="2">
        <v>31.79</v>
      </c>
      <c r="AF509" s="2">
        <v>75.3</v>
      </c>
      <c r="AG509" s="2">
        <v>9.8800000000000008</v>
      </c>
    </row>
    <row r="510" spans="1:33" x14ac:dyDescent="0.2">
      <c r="A510" s="3">
        <v>23436</v>
      </c>
      <c r="B510" s="2">
        <v>-1.56</v>
      </c>
      <c r="C510" s="2">
        <v>7.51</v>
      </c>
      <c r="D510" s="2">
        <v>-13.55</v>
      </c>
      <c r="E510" s="2">
        <v>-27.54</v>
      </c>
      <c r="F510" s="2">
        <v>-23.19</v>
      </c>
      <c r="G510" s="2">
        <v>-4.3499999999999996</v>
      </c>
      <c r="H510" s="2">
        <v>8.66</v>
      </c>
      <c r="I510" s="2">
        <v>26.61</v>
      </c>
      <c r="J510" s="2">
        <v>-5.53</v>
      </c>
      <c r="K510" s="2">
        <v>-12.19</v>
      </c>
      <c r="L510" s="2">
        <v>-22.15</v>
      </c>
      <c r="M510" s="2">
        <v>-14.63</v>
      </c>
      <c r="N510" s="2">
        <v>13.63</v>
      </c>
      <c r="O510" s="2">
        <v>9.06</v>
      </c>
      <c r="P510" s="2">
        <v>21.82</v>
      </c>
      <c r="Q510" s="2">
        <v>0.8</v>
      </c>
      <c r="R510" s="2">
        <v>2.98</v>
      </c>
      <c r="S510" s="2">
        <v>1.59</v>
      </c>
      <c r="T510" s="2">
        <v>14.67</v>
      </c>
      <c r="U510" s="2">
        <v>1.1399999999999999</v>
      </c>
      <c r="V510" s="2">
        <v>11.77</v>
      </c>
      <c r="W510" s="2">
        <v>0</v>
      </c>
      <c r="X510" s="2">
        <v>0.88</v>
      </c>
      <c r="Y510" s="2">
        <v>0.92</v>
      </c>
      <c r="Z510" s="2">
        <v>0.1</v>
      </c>
      <c r="AA510" s="2">
        <v>1</v>
      </c>
      <c r="AB510" s="2">
        <v>0</v>
      </c>
      <c r="AC510" s="2">
        <v>0</v>
      </c>
      <c r="AD510" s="2">
        <v>1.99</v>
      </c>
      <c r="AE510" s="2">
        <v>2.14</v>
      </c>
      <c r="AF510" s="2">
        <v>62.77</v>
      </c>
      <c r="AG510" s="2">
        <v>10.08</v>
      </c>
    </row>
    <row r="511" spans="1:33" x14ac:dyDescent="0.2">
      <c r="A511" s="3">
        <v>23467</v>
      </c>
      <c r="B511" s="2">
        <v>-3.43</v>
      </c>
      <c r="C511" s="2">
        <v>7.05</v>
      </c>
      <c r="D511" s="2">
        <v>-17.03</v>
      </c>
      <c r="E511" s="2">
        <v>-42.4</v>
      </c>
      <c r="F511" s="2">
        <v>-4.16</v>
      </c>
      <c r="G511" s="2">
        <v>-4.55</v>
      </c>
      <c r="H511" s="2">
        <v>7.43</v>
      </c>
      <c r="I511" s="2">
        <v>28.07</v>
      </c>
      <c r="J511" s="2">
        <v>-2.41</v>
      </c>
      <c r="K511" s="2">
        <v>19.3</v>
      </c>
      <c r="L511" s="2">
        <v>-15.44</v>
      </c>
      <c r="M511" s="2">
        <v>-4.62</v>
      </c>
      <c r="N511" s="2">
        <v>35.479999999999997</v>
      </c>
      <c r="O511" s="2">
        <v>15.48</v>
      </c>
      <c r="P511" s="2">
        <v>67.930000000000007</v>
      </c>
      <c r="Q511" s="2">
        <v>-2.14</v>
      </c>
      <c r="R511" s="2">
        <v>1.65</v>
      </c>
      <c r="S511" s="2">
        <v>-3.46</v>
      </c>
      <c r="T511" s="2">
        <v>28.2</v>
      </c>
      <c r="U511" s="2">
        <v>-4.87</v>
      </c>
      <c r="V511" s="2">
        <v>14.07</v>
      </c>
      <c r="W511" s="2">
        <v>0</v>
      </c>
      <c r="X511" s="2">
        <v>1.33</v>
      </c>
      <c r="Y511" s="2">
        <v>0.35</v>
      </c>
      <c r="Z511" s="2">
        <v>5.41</v>
      </c>
      <c r="AA511" s="2">
        <v>3.3</v>
      </c>
      <c r="AB511" s="2">
        <v>0.09</v>
      </c>
      <c r="AC511" s="2">
        <v>1.76</v>
      </c>
      <c r="AD511" s="2">
        <v>3.32</v>
      </c>
      <c r="AE511" s="2">
        <v>10.63</v>
      </c>
      <c r="AF511" s="2">
        <v>74.069999999999993</v>
      </c>
      <c r="AG511" s="2">
        <v>10.69</v>
      </c>
    </row>
    <row r="512" spans="1:33" x14ac:dyDescent="0.2">
      <c r="A512" s="3">
        <v>23497</v>
      </c>
      <c r="B512" s="2">
        <v>-4.1900000000000004</v>
      </c>
      <c r="C512" s="2">
        <v>8.6</v>
      </c>
      <c r="D512" s="2">
        <v>-11.44</v>
      </c>
      <c r="E512" s="2">
        <v>-23.96</v>
      </c>
      <c r="F512" s="2">
        <v>14.52</v>
      </c>
      <c r="G512" s="2">
        <v>7.01</v>
      </c>
      <c r="H512" s="2">
        <v>11.62</v>
      </c>
      <c r="I512" s="2">
        <v>34.79</v>
      </c>
      <c r="J512" s="2">
        <v>-3.46</v>
      </c>
      <c r="K512" s="2">
        <v>-4.28</v>
      </c>
      <c r="L512" s="2">
        <v>-7.03</v>
      </c>
      <c r="M512" s="2">
        <v>1.61</v>
      </c>
      <c r="N512" s="2">
        <v>21.93</v>
      </c>
      <c r="O512" s="2">
        <v>9.36</v>
      </c>
      <c r="P512" s="2">
        <v>50.79</v>
      </c>
      <c r="Q512" s="2">
        <v>-1.92</v>
      </c>
      <c r="R512" s="2">
        <v>-8.91</v>
      </c>
      <c r="S512" s="2">
        <v>3.53</v>
      </c>
      <c r="T512" s="2">
        <v>18.260000000000002</v>
      </c>
      <c r="U512" s="2">
        <v>-0.86</v>
      </c>
      <c r="V512" s="2">
        <v>13.45</v>
      </c>
      <c r="W512" s="2">
        <v>0</v>
      </c>
      <c r="X512" s="2">
        <v>1.57</v>
      </c>
      <c r="Y512" s="2">
        <v>0.87</v>
      </c>
      <c r="Z512" s="2">
        <v>0.86</v>
      </c>
      <c r="AA512" s="2">
        <v>0.56999999999999995</v>
      </c>
      <c r="AB512" s="2">
        <v>0.3</v>
      </c>
      <c r="AC512" s="2">
        <v>0.95</v>
      </c>
      <c r="AD512" s="2">
        <v>3.86</v>
      </c>
      <c r="AE512" s="2">
        <v>1.96</v>
      </c>
      <c r="AF512" s="2">
        <v>91.65</v>
      </c>
      <c r="AG512" s="2">
        <v>14.64</v>
      </c>
    </row>
    <row r="513" spans="1:33" x14ac:dyDescent="0.2">
      <c r="A513" s="3">
        <v>23528</v>
      </c>
      <c r="B513" s="2">
        <v>-2.92</v>
      </c>
      <c r="C513" s="2">
        <v>10.07</v>
      </c>
      <c r="D513" s="2">
        <v>-8.36</v>
      </c>
      <c r="E513" s="2">
        <v>-21.84</v>
      </c>
      <c r="F513" s="2">
        <v>-4.78</v>
      </c>
      <c r="G513" s="2">
        <v>13.11</v>
      </c>
      <c r="H513" s="2">
        <v>11.67</v>
      </c>
      <c r="I513" s="2">
        <v>29.7</v>
      </c>
      <c r="J513" s="2">
        <v>-6.46</v>
      </c>
      <c r="K513" s="2">
        <v>2.54</v>
      </c>
      <c r="L513" s="2">
        <v>-3.62</v>
      </c>
      <c r="M513" s="2">
        <v>2.74</v>
      </c>
      <c r="N513" s="2">
        <v>29.4</v>
      </c>
      <c r="O513" s="2">
        <v>22.88</v>
      </c>
      <c r="P513" s="2">
        <v>66.150000000000006</v>
      </c>
      <c r="Q513" s="2">
        <v>-6.26</v>
      </c>
      <c r="R513" s="2">
        <v>0.85</v>
      </c>
      <c r="S513" s="2">
        <v>22.35</v>
      </c>
      <c r="T513" s="2">
        <v>30.66</v>
      </c>
      <c r="U513" s="2">
        <v>-3.55</v>
      </c>
      <c r="V513" s="2">
        <v>22.39</v>
      </c>
      <c r="W513" s="2">
        <v>4.88</v>
      </c>
      <c r="X513" s="2">
        <v>4.0999999999999996</v>
      </c>
      <c r="Y513" s="2">
        <v>2.74</v>
      </c>
      <c r="Z513" s="2">
        <v>1.29</v>
      </c>
      <c r="AA513" s="2">
        <v>0</v>
      </c>
      <c r="AB513" s="2">
        <v>1.51</v>
      </c>
      <c r="AC513" s="2">
        <v>2.0299999999999998</v>
      </c>
      <c r="AD513" s="2">
        <v>5.81</v>
      </c>
      <c r="AE513" s="2">
        <v>3.54</v>
      </c>
      <c r="AF513" s="2">
        <v>103.51</v>
      </c>
      <c r="AG513" s="2">
        <v>17.690000000000001</v>
      </c>
    </row>
    <row r="514" spans="1:33" x14ac:dyDescent="0.2">
      <c r="A514" s="3">
        <v>23558</v>
      </c>
      <c r="B514" s="2">
        <v>-1.72</v>
      </c>
      <c r="C514" s="2">
        <v>11.79</v>
      </c>
      <c r="D514" s="2">
        <v>-11.31</v>
      </c>
      <c r="E514" s="2">
        <v>-28.86</v>
      </c>
      <c r="F514" s="2">
        <v>-11.17</v>
      </c>
      <c r="G514" s="2">
        <v>13.78</v>
      </c>
      <c r="H514" s="2">
        <v>10.92</v>
      </c>
      <c r="I514" s="2">
        <v>28.54</v>
      </c>
      <c r="J514" s="2">
        <v>-8.39</v>
      </c>
      <c r="K514" s="2">
        <v>8.24</v>
      </c>
      <c r="L514" s="2">
        <v>1.57</v>
      </c>
      <c r="M514" s="2">
        <v>5.81</v>
      </c>
      <c r="N514" s="2">
        <v>27.31</v>
      </c>
      <c r="O514" s="2">
        <v>96.4</v>
      </c>
      <c r="P514" s="2">
        <v>135.27000000000001</v>
      </c>
      <c r="Q514" s="2">
        <v>4.21</v>
      </c>
      <c r="R514" s="2">
        <v>2.52</v>
      </c>
      <c r="S514" s="2">
        <v>60.57</v>
      </c>
      <c r="T514" s="2">
        <v>54.38</v>
      </c>
      <c r="U514" s="2">
        <v>10.41</v>
      </c>
      <c r="V514" s="2">
        <v>68.959999999999994</v>
      </c>
      <c r="W514" s="2">
        <v>18.62</v>
      </c>
      <c r="X514" s="2">
        <v>9.07</v>
      </c>
      <c r="Y514" s="2">
        <v>8.4</v>
      </c>
      <c r="Z514" s="2">
        <v>0</v>
      </c>
      <c r="AA514" s="2">
        <v>0</v>
      </c>
      <c r="AB514" s="2">
        <v>0</v>
      </c>
      <c r="AC514" s="2">
        <v>0</v>
      </c>
      <c r="AD514" s="2">
        <v>8.99</v>
      </c>
      <c r="AE514" s="2">
        <v>5.22</v>
      </c>
      <c r="AF514" s="2">
        <v>113.28</v>
      </c>
      <c r="AG514" s="2">
        <v>22.83</v>
      </c>
    </row>
    <row r="515" spans="1:33" x14ac:dyDescent="0.2">
      <c r="A515" s="3">
        <v>23589</v>
      </c>
      <c r="B515" s="2">
        <v>-1.78</v>
      </c>
      <c r="C515" s="2">
        <v>12.65</v>
      </c>
      <c r="D515" s="2">
        <v>-11.2</v>
      </c>
      <c r="E515" s="2">
        <v>-12.59</v>
      </c>
      <c r="F515" s="2">
        <v>-0.59</v>
      </c>
      <c r="G515" s="2">
        <v>25.49</v>
      </c>
      <c r="H515" s="2">
        <v>13.5</v>
      </c>
      <c r="I515" s="2">
        <v>34.11</v>
      </c>
      <c r="J515" s="2">
        <v>-8.44</v>
      </c>
      <c r="K515" s="2">
        <v>14.07</v>
      </c>
      <c r="L515" s="2">
        <v>1.78</v>
      </c>
      <c r="M515" s="2">
        <v>9.94</v>
      </c>
      <c r="N515" s="2">
        <v>30.99</v>
      </c>
      <c r="O515" s="2">
        <v>124.65</v>
      </c>
      <c r="P515" s="2">
        <v>159.93</v>
      </c>
      <c r="Q515" s="2">
        <v>2.97</v>
      </c>
      <c r="R515" s="2">
        <v>2.38</v>
      </c>
      <c r="S515" s="2">
        <v>66.27</v>
      </c>
      <c r="T515" s="2">
        <v>59.11</v>
      </c>
      <c r="U515" s="2">
        <v>17.41</v>
      </c>
      <c r="V515" s="2">
        <v>54.88</v>
      </c>
      <c r="W515" s="2">
        <v>30.39</v>
      </c>
      <c r="X515" s="2">
        <v>13.92</v>
      </c>
      <c r="Y515" s="2">
        <v>13.63</v>
      </c>
      <c r="Z515" s="2">
        <v>0</v>
      </c>
      <c r="AA515" s="2">
        <v>0.17</v>
      </c>
      <c r="AB515" s="2">
        <v>0.3</v>
      </c>
      <c r="AC515" s="2">
        <v>5.14</v>
      </c>
      <c r="AD515" s="2">
        <v>9.27</v>
      </c>
      <c r="AE515" s="2">
        <v>0</v>
      </c>
      <c r="AF515" s="2">
        <v>123.36</v>
      </c>
      <c r="AG515" s="2">
        <v>24.8</v>
      </c>
    </row>
    <row r="516" spans="1:33" x14ac:dyDescent="0.2">
      <c r="A516" s="3">
        <v>23620</v>
      </c>
      <c r="B516" s="2">
        <v>-2.5499999999999998</v>
      </c>
      <c r="C516" s="2">
        <v>12.47</v>
      </c>
      <c r="D516" s="2">
        <v>-11.07</v>
      </c>
      <c r="E516" s="2">
        <v>-25.46</v>
      </c>
      <c r="F516" s="2">
        <v>5.33</v>
      </c>
      <c r="G516" s="2">
        <v>24.4</v>
      </c>
      <c r="H516" s="2">
        <v>11.89</v>
      </c>
      <c r="I516" s="2">
        <v>31.35</v>
      </c>
      <c r="J516" s="2">
        <v>-3.76</v>
      </c>
      <c r="K516" s="2">
        <v>3.25</v>
      </c>
      <c r="L516" s="2">
        <v>1.88</v>
      </c>
      <c r="M516" s="2">
        <v>6.41</v>
      </c>
      <c r="N516" s="2">
        <v>25.69</v>
      </c>
      <c r="O516" s="2">
        <v>93.11</v>
      </c>
      <c r="P516" s="2">
        <v>140.29</v>
      </c>
      <c r="Q516" s="2">
        <v>3.01</v>
      </c>
      <c r="R516" s="2">
        <v>-0.04</v>
      </c>
      <c r="S516" s="2">
        <v>43.76</v>
      </c>
      <c r="T516" s="2">
        <v>55.54</v>
      </c>
      <c r="U516" s="2">
        <v>11.45</v>
      </c>
      <c r="V516" s="2">
        <v>40.5</v>
      </c>
      <c r="W516" s="2">
        <v>31.47</v>
      </c>
      <c r="X516" s="2">
        <v>16.170000000000002</v>
      </c>
      <c r="Y516" s="2">
        <v>16</v>
      </c>
      <c r="Z516" s="2">
        <v>0</v>
      </c>
      <c r="AA516" s="2">
        <v>2.44</v>
      </c>
      <c r="AB516" s="2">
        <v>0.17</v>
      </c>
      <c r="AC516" s="2">
        <v>0.41</v>
      </c>
      <c r="AD516" s="2">
        <v>6.16</v>
      </c>
      <c r="AE516" s="2">
        <v>0.93</v>
      </c>
      <c r="AF516" s="2">
        <v>125.46</v>
      </c>
      <c r="AG516" s="2">
        <v>23.65</v>
      </c>
    </row>
    <row r="517" spans="1:33" x14ac:dyDescent="0.2">
      <c r="A517" s="3">
        <v>23650</v>
      </c>
      <c r="B517" s="2">
        <v>-4.92</v>
      </c>
      <c r="C517" s="2">
        <v>11.69</v>
      </c>
      <c r="D517" s="2">
        <v>-13.1</v>
      </c>
      <c r="E517" s="2">
        <v>-19.510000000000002</v>
      </c>
      <c r="F517" s="2">
        <v>9.7799999999999994</v>
      </c>
      <c r="G517" s="2">
        <v>21.49</v>
      </c>
      <c r="H517" s="2">
        <v>18.829999999999998</v>
      </c>
      <c r="I517" s="2">
        <v>34.94</v>
      </c>
      <c r="J517" s="2">
        <v>10.17</v>
      </c>
      <c r="K517" s="2">
        <v>6.24</v>
      </c>
      <c r="L517" s="2">
        <v>-1.17</v>
      </c>
      <c r="M517" s="2">
        <v>1.57</v>
      </c>
      <c r="N517" s="2">
        <v>31.18</v>
      </c>
      <c r="O517" s="2">
        <v>12.89</v>
      </c>
      <c r="P517" s="2">
        <v>68.25</v>
      </c>
      <c r="Q517" s="2">
        <v>4.1399999999999997</v>
      </c>
      <c r="R517" s="2">
        <v>8.65</v>
      </c>
      <c r="S517" s="2">
        <v>8.23</v>
      </c>
      <c r="T517" s="2">
        <v>13.62</v>
      </c>
      <c r="U517" s="2">
        <v>3.32</v>
      </c>
      <c r="V517" s="2">
        <v>13.06</v>
      </c>
      <c r="W517" s="2">
        <v>26.1</v>
      </c>
      <c r="X517" s="2">
        <v>15.44</v>
      </c>
      <c r="Y517" s="2">
        <v>15.07</v>
      </c>
      <c r="Z517" s="2">
        <v>0</v>
      </c>
      <c r="AA517" s="2">
        <v>1</v>
      </c>
      <c r="AB517" s="2">
        <v>0</v>
      </c>
      <c r="AC517" s="2">
        <v>0</v>
      </c>
      <c r="AD517" s="2">
        <v>4.2</v>
      </c>
      <c r="AE517" s="2">
        <v>0</v>
      </c>
      <c r="AF517" s="2">
        <v>116.86</v>
      </c>
      <c r="AG517" s="2">
        <v>20.170000000000002</v>
      </c>
    </row>
    <row r="518" spans="1:33" x14ac:dyDescent="0.2">
      <c r="A518" s="3">
        <v>23681</v>
      </c>
      <c r="B518" s="2">
        <v>-6.18</v>
      </c>
      <c r="C518" s="2">
        <v>9.48</v>
      </c>
      <c r="D518" s="2">
        <v>-13.78</v>
      </c>
      <c r="E518" s="2">
        <v>-30.33</v>
      </c>
      <c r="F518" s="2">
        <v>3.29</v>
      </c>
      <c r="G518" s="2">
        <v>15.33</v>
      </c>
      <c r="H518" s="2">
        <v>14.02</v>
      </c>
      <c r="I518" s="2">
        <v>32.06</v>
      </c>
      <c r="J518" s="2">
        <v>12.5</v>
      </c>
      <c r="K518" s="2">
        <v>23.21</v>
      </c>
      <c r="L518" s="2">
        <v>3.64</v>
      </c>
      <c r="M518" s="2">
        <v>4.3899999999999997</v>
      </c>
      <c r="N518" s="2">
        <v>22.66</v>
      </c>
      <c r="O518" s="2">
        <v>16.329999999999998</v>
      </c>
      <c r="P518" s="2">
        <v>31.88</v>
      </c>
      <c r="Q518" s="2">
        <v>1.02</v>
      </c>
      <c r="R518" s="2">
        <v>3.56</v>
      </c>
      <c r="S518" s="2">
        <v>1.64</v>
      </c>
      <c r="T518" s="2">
        <v>15.19</v>
      </c>
      <c r="U518" s="2">
        <v>0.85</v>
      </c>
      <c r="V518" s="2">
        <v>10.83</v>
      </c>
      <c r="W518" s="2">
        <v>22.19</v>
      </c>
      <c r="X518" s="2">
        <v>14.41</v>
      </c>
      <c r="Y518" s="2">
        <v>14.02</v>
      </c>
      <c r="Z518" s="2">
        <v>5.22</v>
      </c>
      <c r="AA518" s="2">
        <v>1.04</v>
      </c>
      <c r="AB518" s="2">
        <v>0.61</v>
      </c>
      <c r="AC518" s="2">
        <v>0</v>
      </c>
      <c r="AD518" s="2">
        <v>4.3899999999999997</v>
      </c>
      <c r="AE518" s="2">
        <v>8.9499999999999993</v>
      </c>
      <c r="AF518" s="2">
        <v>105.99</v>
      </c>
      <c r="AG518" s="2">
        <v>16.420000000000002</v>
      </c>
    </row>
    <row r="519" spans="1:33" x14ac:dyDescent="0.2">
      <c r="A519" s="3">
        <v>23711</v>
      </c>
      <c r="B519" s="2">
        <v>-3.66</v>
      </c>
      <c r="C519" s="2">
        <v>19.82</v>
      </c>
      <c r="D519" s="2">
        <v>13.16</v>
      </c>
      <c r="E519" s="2">
        <v>31.02</v>
      </c>
      <c r="F519" s="2">
        <v>28.06</v>
      </c>
      <c r="G519" s="2">
        <v>37.83</v>
      </c>
      <c r="H519" s="2">
        <v>20.32</v>
      </c>
      <c r="I519" s="2">
        <v>33.39</v>
      </c>
      <c r="J519" s="2">
        <v>21.52</v>
      </c>
      <c r="K519" s="2">
        <v>11.3</v>
      </c>
      <c r="L519" s="2">
        <v>17.43</v>
      </c>
      <c r="M519" s="2">
        <v>22.13</v>
      </c>
      <c r="N519" s="2">
        <v>21.26</v>
      </c>
      <c r="O519" s="2">
        <v>8.65</v>
      </c>
      <c r="P519" s="2">
        <v>35.54</v>
      </c>
      <c r="Q519" s="2">
        <v>0.03</v>
      </c>
      <c r="R519" s="2">
        <v>1.49</v>
      </c>
      <c r="S519" s="2">
        <v>19.27</v>
      </c>
      <c r="T519" s="2">
        <v>13.84</v>
      </c>
      <c r="U519" s="2">
        <v>2.92</v>
      </c>
      <c r="V519" s="2">
        <v>13.75</v>
      </c>
      <c r="W519" s="2">
        <v>15.43</v>
      </c>
      <c r="X519" s="2">
        <v>9.39</v>
      </c>
      <c r="Y519" s="2">
        <v>8</v>
      </c>
      <c r="Z519" s="2">
        <v>1.1000000000000001</v>
      </c>
      <c r="AA519" s="2">
        <v>13.05</v>
      </c>
      <c r="AB519" s="2">
        <v>1.17</v>
      </c>
      <c r="AC519" s="2">
        <v>8.39</v>
      </c>
      <c r="AD519" s="2">
        <v>3.1</v>
      </c>
      <c r="AE519" s="2">
        <v>25.08</v>
      </c>
      <c r="AF519" s="2">
        <v>69.540000000000006</v>
      </c>
      <c r="AG519" s="2">
        <v>12.92</v>
      </c>
    </row>
    <row r="520" spans="1:33" x14ac:dyDescent="0.2">
      <c r="A520" s="3">
        <v>23742</v>
      </c>
      <c r="B520" s="2">
        <v>7.52</v>
      </c>
      <c r="C520" s="2">
        <v>37.200000000000003</v>
      </c>
      <c r="D520" s="2">
        <v>47.57</v>
      </c>
      <c r="E520" s="2">
        <v>193.93</v>
      </c>
      <c r="F520" s="2">
        <v>294.29000000000002</v>
      </c>
      <c r="G520" s="2">
        <v>297.12</v>
      </c>
      <c r="H520" s="2">
        <v>47.66</v>
      </c>
      <c r="I520" s="2">
        <v>53.71</v>
      </c>
      <c r="J520" s="2">
        <v>115.53</v>
      </c>
      <c r="K520" s="2">
        <v>50.21</v>
      </c>
      <c r="L520" s="2">
        <v>88.03</v>
      </c>
      <c r="M520" s="2">
        <v>38.869999999999997</v>
      </c>
      <c r="N520" s="2">
        <v>74.849999999999994</v>
      </c>
      <c r="O520" s="2">
        <v>8.01</v>
      </c>
      <c r="P520" s="2">
        <v>47.03</v>
      </c>
      <c r="Q520" s="2">
        <v>0.32</v>
      </c>
      <c r="R520" s="2">
        <v>3.68</v>
      </c>
      <c r="S520" s="2">
        <v>33.22</v>
      </c>
      <c r="T520" s="2">
        <v>12.67</v>
      </c>
      <c r="U520" s="2">
        <v>3.02</v>
      </c>
      <c r="V520" s="2">
        <v>12.82</v>
      </c>
      <c r="W520" s="2">
        <v>11.73</v>
      </c>
      <c r="X520" s="2">
        <v>7.4</v>
      </c>
      <c r="Y520" s="2">
        <v>7.22</v>
      </c>
      <c r="Z520" s="2">
        <v>1.24</v>
      </c>
      <c r="AA520" s="2">
        <v>0.52</v>
      </c>
      <c r="AB520" s="2">
        <v>6.88</v>
      </c>
      <c r="AC520" s="2">
        <v>0</v>
      </c>
      <c r="AD520" s="2">
        <v>2.79</v>
      </c>
      <c r="AE520" s="2">
        <v>46.61</v>
      </c>
      <c r="AF520" s="2">
        <v>63.89</v>
      </c>
      <c r="AG520" s="2">
        <v>11.2</v>
      </c>
    </row>
    <row r="521" spans="1:33" x14ac:dyDescent="0.2">
      <c r="A521" s="3">
        <v>23773</v>
      </c>
      <c r="B521" s="2">
        <v>11.73</v>
      </c>
      <c r="C521" s="2">
        <v>32.67</v>
      </c>
      <c r="D521" s="2">
        <v>27.95</v>
      </c>
      <c r="E521" s="2">
        <v>89.52</v>
      </c>
      <c r="F521" s="2">
        <v>36.590000000000003</v>
      </c>
      <c r="G521" s="2">
        <v>153.57</v>
      </c>
      <c r="H521" s="2">
        <v>27.69</v>
      </c>
      <c r="I521" s="2">
        <v>51.08</v>
      </c>
      <c r="J521" s="2">
        <v>61.95</v>
      </c>
      <c r="K521" s="2">
        <v>12.9</v>
      </c>
      <c r="L521" s="2">
        <v>48.91</v>
      </c>
      <c r="M521" s="2">
        <v>25.71</v>
      </c>
      <c r="N521" s="2">
        <v>52.86</v>
      </c>
      <c r="O521" s="2">
        <v>8.57</v>
      </c>
      <c r="P521" s="2">
        <v>14.65</v>
      </c>
      <c r="Q521" s="2">
        <v>-0.79</v>
      </c>
      <c r="R521" s="2">
        <v>5.74</v>
      </c>
      <c r="S521" s="2">
        <v>-0.19</v>
      </c>
      <c r="T521" s="2">
        <v>13.66</v>
      </c>
      <c r="U521" s="2">
        <v>1.98</v>
      </c>
      <c r="V521" s="2">
        <v>15.28</v>
      </c>
      <c r="W521" s="2">
        <v>4.26</v>
      </c>
      <c r="X521" s="2">
        <v>9.32</v>
      </c>
      <c r="Y521" s="2">
        <v>8.1199999999999992</v>
      </c>
      <c r="Z521" s="2">
        <v>0.53</v>
      </c>
      <c r="AA521" s="2">
        <v>0.87</v>
      </c>
      <c r="AB521" s="2">
        <v>2.2200000000000002</v>
      </c>
      <c r="AC521" s="2">
        <v>4.5999999999999996</v>
      </c>
      <c r="AD521" s="2">
        <v>2.5499999999999998</v>
      </c>
      <c r="AE521" s="2">
        <v>19.86</v>
      </c>
      <c r="AF521" s="2">
        <v>71.25</v>
      </c>
      <c r="AG521" s="2">
        <v>9.8800000000000008</v>
      </c>
    </row>
    <row r="522" spans="1:33" x14ac:dyDescent="0.2">
      <c r="A522" s="3">
        <v>23801</v>
      </c>
      <c r="B522" s="2">
        <v>3.73</v>
      </c>
      <c r="C522" s="2">
        <v>16</v>
      </c>
      <c r="D522" s="2">
        <v>-38.840000000000003</v>
      </c>
      <c r="E522" s="2">
        <v>-112.21</v>
      </c>
      <c r="F522" s="2">
        <v>-125.95</v>
      </c>
      <c r="G522" s="2">
        <v>-100.86</v>
      </c>
      <c r="H522" s="2">
        <v>5.0199999999999996</v>
      </c>
      <c r="I522" s="2">
        <v>35.58</v>
      </c>
      <c r="J522" s="2">
        <v>-19.59</v>
      </c>
      <c r="K522" s="2">
        <v>-28.29</v>
      </c>
      <c r="L522" s="2">
        <v>-27.12</v>
      </c>
      <c r="M522" s="2">
        <v>-21.45</v>
      </c>
      <c r="N522" s="2">
        <v>20.27</v>
      </c>
      <c r="O522" s="2">
        <v>10.119999999999999</v>
      </c>
      <c r="P522" s="2">
        <v>13.81</v>
      </c>
      <c r="Q522" s="2">
        <v>-0.47</v>
      </c>
      <c r="R522" s="2">
        <v>5.75</v>
      </c>
      <c r="S522" s="2">
        <v>-4.8899999999999997</v>
      </c>
      <c r="T522" s="2">
        <v>10.07</v>
      </c>
      <c r="U522" s="2">
        <v>6.73</v>
      </c>
      <c r="V522" s="2">
        <v>14.1</v>
      </c>
      <c r="W522" s="2">
        <v>0</v>
      </c>
      <c r="X522" s="2">
        <v>2.91</v>
      </c>
      <c r="Y522" s="2">
        <v>3.14</v>
      </c>
      <c r="Z522" s="2">
        <v>0</v>
      </c>
      <c r="AA522" s="2">
        <v>2.61</v>
      </c>
      <c r="AB522" s="2">
        <v>0</v>
      </c>
      <c r="AC522" s="2">
        <v>0.68</v>
      </c>
      <c r="AD522" s="2">
        <v>2.64</v>
      </c>
      <c r="AE522" s="2">
        <v>4.47</v>
      </c>
      <c r="AF522" s="2">
        <v>59.39</v>
      </c>
      <c r="AG522" s="2">
        <v>10.08</v>
      </c>
    </row>
    <row r="523" spans="1:33" x14ac:dyDescent="0.2">
      <c r="A523" s="3">
        <v>23832</v>
      </c>
      <c r="B523" s="2">
        <v>-1.74</v>
      </c>
      <c r="C523" s="2">
        <v>9.27</v>
      </c>
      <c r="D523" s="2">
        <v>-30.45</v>
      </c>
      <c r="E523" s="2">
        <v>-86.81</v>
      </c>
      <c r="F523" s="2">
        <v>-42.49</v>
      </c>
      <c r="G523" s="2">
        <v>-67.739999999999995</v>
      </c>
      <c r="H523" s="2">
        <v>-1.26</v>
      </c>
      <c r="I523" s="2">
        <v>33.01</v>
      </c>
      <c r="J523" s="2">
        <v>-14.75</v>
      </c>
      <c r="K523" s="2">
        <v>-2.2999999999999998</v>
      </c>
      <c r="L523" s="2">
        <v>-23.77</v>
      </c>
      <c r="M523" s="2">
        <v>-9.42</v>
      </c>
      <c r="N523" s="2">
        <v>45.05</v>
      </c>
      <c r="O523" s="2">
        <v>17.45</v>
      </c>
      <c r="P523" s="2">
        <v>51.92</v>
      </c>
      <c r="Q523" s="2">
        <v>3.85</v>
      </c>
      <c r="R523" s="2">
        <v>-1.82</v>
      </c>
      <c r="S523" s="2">
        <v>6.74</v>
      </c>
      <c r="T523" s="2">
        <v>27.59</v>
      </c>
      <c r="U523" s="2">
        <v>-5.46</v>
      </c>
      <c r="V523" s="2">
        <v>16.12</v>
      </c>
      <c r="W523" s="2">
        <v>0</v>
      </c>
      <c r="X523" s="2">
        <v>3.73</v>
      </c>
      <c r="Y523" s="2">
        <v>2.88</v>
      </c>
      <c r="Z523" s="2">
        <v>1.29</v>
      </c>
      <c r="AA523" s="2">
        <v>6.31</v>
      </c>
      <c r="AB523" s="2">
        <v>0.11</v>
      </c>
      <c r="AC523" s="2">
        <v>7.45</v>
      </c>
      <c r="AD523" s="2">
        <v>4.2699999999999996</v>
      </c>
      <c r="AE523" s="2">
        <v>16.22</v>
      </c>
      <c r="AF523" s="2">
        <v>70.09</v>
      </c>
      <c r="AG523" s="2">
        <v>10.69</v>
      </c>
    </row>
    <row r="524" spans="1:33" x14ac:dyDescent="0.2">
      <c r="A524" s="3">
        <v>23862</v>
      </c>
      <c r="B524" s="2">
        <v>1.97</v>
      </c>
      <c r="C524" s="2">
        <v>23.91</v>
      </c>
      <c r="D524" s="2">
        <v>0.14000000000000001</v>
      </c>
      <c r="E524" s="2">
        <v>28.46</v>
      </c>
      <c r="F524" s="2">
        <v>60.99</v>
      </c>
      <c r="G524" s="2">
        <v>15.67</v>
      </c>
      <c r="H524" s="2">
        <v>27.72</v>
      </c>
      <c r="I524" s="2">
        <v>48.95</v>
      </c>
      <c r="J524" s="2">
        <v>31.51</v>
      </c>
      <c r="K524" s="2">
        <v>14.71</v>
      </c>
      <c r="L524" s="2">
        <v>33.119999999999997</v>
      </c>
      <c r="M524" s="2">
        <v>20.94</v>
      </c>
      <c r="N524" s="2">
        <v>44.17</v>
      </c>
      <c r="O524" s="2">
        <v>5.31</v>
      </c>
      <c r="P524" s="2">
        <v>55.55</v>
      </c>
      <c r="Q524" s="2">
        <v>5.6</v>
      </c>
      <c r="R524" s="2">
        <v>-4.58</v>
      </c>
      <c r="S524" s="2">
        <v>27.14</v>
      </c>
      <c r="T524" s="2">
        <v>23.25</v>
      </c>
      <c r="U524" s="2">
        <v>2.73</v>
      </c>
      <c r="V524" s="2">
        <v>16.48</v>
      </c>
      <c r="W524" s="2">
        <v>0</v>
      </c>
      <c r="X524" s="2">
        <v>4.5199999999999996</v>
      </c>
      <c r="Y524" s="2">
        <v>4</v>
      </c>
      <c r="Z524" s="2">
        <v>7.27</v>
      </c>
      <c r="AA524" s="2">
        <v>12.76</v>
      </c>
      <c r="AB524" s="2">
        <v>6.44</v>
      </c>
      <c r="AC524" s="2">
        <v>13.94</v>
      </c>
      <c r="AD524" s="2">
        <v>4.93</v>
      </c>
      <c r="AE524" s="2">
        <v>17.989999999999998</v>
      </c>
      <c r="AF524" s="2">
        <v>86.72</v>
      </c>
      <c r="AG524" s="2">
        <v>14.64</v>
      </c>
    </row>
    <row r="525" spans="1:33" x14ac:dyDescent="0.2">
      <c r="A525" s="3">
        <v>23893</v>
      </c>
      <c r="B525" s="2">
        <v>0.05</v>
      </c>
      <c r="C525" s="2">
        <v>13.58</v>
      </c>
      <c r="D525" s="2">
        <v>-9.8000000000000007</v>
      </c>
      <c r="E525" s="2">
        <v>-45.96</v>
      </c>
      <c r="F525" s="2">
        <v>-49.19</v>
      </c>
      <c r="G525" s="2">
        <v>-22.82</v>
      </c>
      <c r="H525" s="2">
        <v>2.4500000000000002</v>
      </c>
      <c r="I525" s="2">
        <v>38.07</v>
      </c>
      <c r="J525" s="2">
        <v>-22.29</v>
      </c>
      <c r="K525" s="2">
        <v>-13.45</v>
      </c>
      <c r="L525" s="2">
        <v>-19.96</v>
      </c>
      <c r="M525" s="2">
        <v>-5.38</v>
      </c>
      <c r="N525" s="2">
        <v>28.15</v>
      </c>
      <c r="O525" s="2">
        <v>19.39</v>
      </c>
      <c r="P525" s="2">
        <v>63.9</v>
      </c>
      <c r="Q525" s="2">
        <v>5.82</v>
      </c>
      <c r="R525" s="2">
        <v>8.83</v>
      </c>
      <c r="S525" s="2">
        <v>4.0199999999999996</v>
      </c>
      <c r="T525" s="2">
        <v>30.29</v>
      </c>
      <c r="U525" s="2">
        <v>-7.36</v>
      </c>
      <c r="V525" s="2">
        <v>33.18</v>
      </c>
      <c r="W525" s="2">
        <v>4.88</v>
      </c>
      <c r="X525" s="2">
        <v>7.46</v>
      </c>
      <c r="Y525" s="2">
        <v>6.27</v>
      </c>
      <c r="Z525" s="2">
        <v>0</v>
      </c>
      <c r="AA525" s="2">
        <v>0</v>
      </c>
      <c r="AB525" s="2">
        <v>0</v>
      </c>
      <c r="AC525" s="2">
        <v>1.94</v>
      </c>
      <c r="AD525" s="2">
        <v>6.91</v>
      </c>
      <c r="AE525" s="2">
        <v>0</v>
      </c>
      <c r="AF525" s="2">
        <v>97.94</v>
      </c>
      <c r="AG525" s="2">
        <v>17.690000000000001</v>
      </c>
    </row>
    <row r="526" spans="1:33" x14ac:dyDescent="0.2">
      <c r="A526" s="3">
        <v>23923</v>
      </c>
      <c r="B526" s="2">
        <v>-1.02</v>
      </c>
      <c r="C526" s="2">
        <v>11.84</v>
      </c>
      <c r="D526" s="2">
        <v>-17.73</v>
      </c>
      <c r="E526" s="2">
        <v>-60.04</v>
      </c>
      <c r="F526" s="2">
        <v>-38.44</v>
      </c>
      <c r="G526" s="2">
        <v>-10.83</v>
      </c>
      <c r="H526" s="2">
        <v>0.72</v>
      </c>
      <c r="I526" s="2">
        <v>35.46</v>
      </c>
      <c r="J526" s="2">
        <v>-22.73</v>
      </c>
      <c r="K526" s="2">
        <v>-5.94</v>
      </c>
      <c r="L526" s="2">
        <v>4.05</v>
      </c>
      <c r="M526" s="2">
        <v>7.66</v>
      </c>
      <c r="N526" s="2">
        <v>26.64</v>
      </c>
      <c r="O526" s="2">
        <v>82.09</v>
      </c>
      <c r="P526" s="2">
        <v>123.44</v>
      </c>
      <c r="Q526" s="2">
        <v>12.77</v>
      </c>
      <c r="R526" s="2">
        <v>6.56</v>
      </c>
      <c r="S526" s="2">
        <v>28.86</v>
      </c>
      <c r="T526" s="2">
        <v>58.18</v>
      </c>
      <c r="U526" s="2">
        <v>1.1599999999999999</v>
      </c>
      <c r="V526" s="2">
        <v>64.36</v>
      </c>
      <c r="W526" s="2">
        <v>18.62</v>
      </c>
      <c r="X526" s="2">
        <v>12.74</v>
      </c>
      <c r="Y526" s="2">
        <v>12.3</v>
      </c>
      <c r="Z526" s="2">
        <v>0</v>
      </c>
      <c r="AA526" s="2">
        <v>0</v>
      </c>
      <c r="AB526" s="2">
        <v>0.78</v>
      </c>
      <c r="AC526" s="2">
        <v>0</v>
      </c>
      <c r="AD526" s="2">
        <v>8.7100000000000009</v>
      </c>
      <c r="AE526" s="2">
        <v>0</v>
      </c>
      <c r="AF526" s="2">
        <v>107.19</v>
      </c>
      <c r="AG526" s="2">
        <v>22.83</v>
      </c>
    </row>
    <row r="527" spans="1:33" x14ac:dyDescent="0.2">
      <c r="A527" s="3">
        <v>23954</v>
      </c>
      <c r="B527" s="2">
        <v>0.01</v>
      </c>
      <c r="C527" s="2">
        <v>17.47</v>
      </c>
      <c r="D527" s="2">
        <v>-13.93</v>
      </c>
      <c r="E527" s="2">
        <v>-28.8</v>
      </c>
      <c r="F527" s="2">
        <v>-18.170000000000002</v>
      </c>
      <c r="G527" s="2">
        <v>8.5399999999999991</v>
      </c>
      <c r="H527" s="2">
        <v>5.66</v>
      </c>
      <c r="I527" s="2">
        <v>34.65</v>
      </c>
      <c r="J527" s="2">
        <v>-35.4</v>
      </c>
      <c r="K527" s="2">
        <v>-10.25</v>
      </c>
      <c r="L527" s="2">
        <v>-33.36</v>
      </c>
      <c r="M527" s="2">
        <v>-6.77</v>
      </c>
      <c r="N527" s="2">
        <v>31.69</v>
      </c>
      <c r="O527" s="2">
        <v>116.17</v>
      </c>
      <c r="P527" s="2">
        <v>143.99</v>
      </c>
      <c r="Q527" s="2">
        <v>12.6</v>
      </c>
      <c r="R527" s="2">
        <v>13.09</v>
      </c>
      <c r="S527" s="2">
        <v>32.21</v>
      </c>
      <c r="T527" s="2">
        <v>54.24</v>
      </c>
      <c r="U527" s="2">
        <v>11.37</v>
      </c>
      <c r="V527" s="2">
        <v>54.05</v>
      </c>
      <c r="W527" s="2">
        <v>30.39</v>
      </c>
      <c r="X527" s="2">
        <v>17.91</v>
      </c>
      <c r="Y527" s="2">
        <v>17.82</v>
      </c>
      <c r="Z527" s="2">
        <v>2.34</v>
      </c>
      <c r="AA527" s="2">
        <v>0</v>
      </c>
      <c r="AB527" s="2">
        <v>5.44</v>
      </c>
      <c r="AC527" s="2">
        <v>0</v>
      </c>
      <c r="AD527" s="2">
        <v>7.61</v>
      </c>
      <c r="AE527" s="2">
        <v>0</v>
      </c>
      <c r="AF527" s="2">
        <v>116.73</v>
      </c>
      <c r="AG527" s="2">
        <v>24.8</v>
      </c>
    </row>
    <row r="528" spans="1:33" x14ac:dyDescent="0.2">
      <c r="A528" s="3">
        <v>23985</v>
      </c>
      <c r="B528" s="2">
        <v>0.38</v>
      </c>
      <c r="C528" s="2">
        <v>19.690000000000001</v>
      </c>
      <c r="D528" s="2">
        <v>-10.01</v>
      </c>
      <c r="E528" s="2">
        <v>-26.54</v>
      </c>
      <c r="F528" s="2">
        <v>-2.81</v>
      </c>
      <c r="G528" s="2">
        <v>18.59</v>
      </c>
      <c r="H528" s="2">
        <v>12.22</v>
      </c>
      <c r="I528" s="2">
        <v>33.75</v>
      </c>
      <c r="J528" s="2">
        <v>-13.2</v>
      </c>
      <c r="K528" s="2">
        <v>-7.35</v>
      </c>
      <c r="L528" s="2">
        <v>-26.46</v>
      </c>
      <c r="M528" s="2">
        <v>-2.2400000000000002</v>
      </c>
      <c r="N528" s="2">
        <v>29.71</v>
      </c>
      <c r="O528" s="2">
        <v>93.96</v>
      </c>
      <c r="P528" s="2">
        <v>129.72</v>
      </c>
      <c r="Q528" s="2">
        <v>3.64</v>
      </c>
      <c r="R528" s="2">
        <v>14.36</v>
      </c>
      <c r="S528" s="2">
        <v>21.11</v>
      </c>
      <c r="T528" s="2">
        <v>48.27</v>
      </c>
      <c r="U528" s="2">
        <v>12.37</v>
      </c>
      <c r="V528" s="2">
        <v>47.86</v>
      </c>
      <c r="W528" s="2">
        <v>31.47</v>
      </c>
      <c r="X528" s="2">
        <v>20.21</v>
      </c>
      <c r="Y528" s="2">
        <v>20.27</v>
      </c>
      <c r="Z528" s="2">
        <v>0.62</v>
      </c>
      <c r="AA528" s="2">
        <v>0</v>
      </c>
      <c r="AB528" s="2">
        <v>0.72</v>
      </c>
      <c r="AC528" s="2">
        <v>0</v>
      </c>
      <c r="AD528" s="2">
        <v>6.37</v>
      </c>
      <c r="AE528" s="2">
        <v>1.49</v>
      </c>
      <c r="AF528" s="2">
        <v>118.71</v>
      </c>
      <c r="AG528" s="2">
        <v>23.65</v>
      </c>
    </row>
    <row r="529" spans="1:33" x14ac:dyDescent="0.2">
      <c r="A529" s="3">
        <v>24015</v>
      </c>
      <c r="B529" s="2">
        <v>-2.16</v>
      </c>
      <c r="C529" s="2">
        <v>16.68</v>
      </c>
      <c r="D529" s="2">
        <v>-12.79</v>
      </c>
      <c r="E529" s="2">
        <v>-25.36</v>
      </c>
      <c r="F529" s="2">
        <v>0.46</v>
      </c>
      <c r="G529" s="2">
        <v>15.23</v>
      </c>
      <c r="H529" s="2">
        <v>17.13</v>
      </c>
      <c r="I529" s="2">
        <v>41.39</v>
      </c>
      <c r="J529" s="2">
        <v>7.4</v>
      </c>
      <c r="K529" s="2">
        <v>-7.64</v>
      </c>
      <c r="L529" s="2">
        <v>-10.18</v>
      </c>
      <c r="M529" s="2">
        <v>4.66</v>
      </c>
      <c r="N529" s="2">
        <v>32.159999999999997</v>
      </c>
      <c r="O529" s="2">
        <v>10.62</v>
      </c>
      <c r="P529" s="2">
        <v>59.47</v>
      </c>
      <c r="Q529" s="2">
        <v>9.91</v>
      </c>
      <c r="R529" s="2">
        <v>14.84</v>
      </c>
      <c r="S529" s="2">
        <v>7.21</v>
      </c>
      <c r="T529" s="2">
        <v>14.46</v>
      </c>
      <c r="U529" s="2">
        <v>6.13</v>
      </c>
      <c r="V529" s="2">
        <v>22.27</v>
      </c>
      <c r="W529" s="2">
        <v>26.1</v>
      </c>
      <c r="X529" s="2">
        <v>19.2</v>
      </c>
      <c r="Y529" s="2">
        <v>19.03</v>
      </c>
      <c r="Z529" s="2">
        <v>0.43</v>
      </c>
      <c r="AA529" s="2">
        <v>7.17</v>
      </c>
      <c r="AB529" s="2">
        <v>0</v>
      </c>
      <c r="AC529" s="2">
        <v>0</v>
      </c>
      <c r="AD529" s="2">
        <v>4.29</v>
      </c>
      <c r="AE529" s="2">
        <v>0</v>
      </c>
      <c r="AF529" s="2">
        <v>110.57</v>
      </c>
      <c r="AG529" s="2">
        <v>20.170000000000002</v>
      </c>
    </row>
    <row r="530" spans="1:33" x14ac:dyDescent="0.2">
      <c r="A530" s="3">
        <v>24046</v>
      </c>
      <c r="B530" s="2">
        <v>-3.15</v>
      </c>
      <c r="C530" s="2">
        <v>14.23</v>
      </c>
      <c r="D530" s="2">
        <v>-9.92</v>
      </c>
      <c r="E530" s="2">
        <v>-20.78</v>
      </c>
      <c r="F530" s="2">
        <v>-0.21</v>
      </c>
      <c r="G530" s="2">
        <v>15.57</v>
      </c>
      <c r="H530" s="2">
        <v>16.2</v>
      </c>
      <c r="I530" s="2">
        <v>44.89</v>
      </c>
      <c r="J530" s="2">
        <v>10.5</v>
      </c>
      <c r="K530" s="2">
        <v>-10.52</v>
      </c>
      <c r="L530" s="2">
        <v>14.59</v>
      </c>
      <c r="M530" s="2">
        <v>12.22</v>
      </c>
      <c r="N530" s="2">
        <v>20.74</v>
      </c>
      <c r="O530" s="2">
        <v>14.78</v>
      </c>
      <c r="P530" s="2">
        <v>46.12</v>
      </c>
      <c r="Q530" s="2">
        <v>5.93</v>
      </c>
      <c r="R530" s="2">
        <v>3.72</v>
      </c>
      <c r="S530" s="2">
        <v>-1.89</v>
      </c>
      <c r="T530" s="2">
        <v>21.75</v>
      </c>
      <c r="U530" s="2">
        <v>3.17</v>
      </c>
      <c r="V530" s="2">
        <v>22.57</v>
      </c>
      <c r="W530" s="2">
        <v>22.19</v>
      </c>
      <c r="X530" s="2">
        <v>17.809999999999999</v>
      </c>
      <c r="Y530" s="2">
        <v>17.61</v>
      </c>
      <c r="Z530" s="2">
        <v>26.9</v>
      </c>
      <c r="AA530" s="2">
        <v>0</v>
      </c>
      <c r="AB530" s="2">
        <v>0</v>
      </c>
      <c r="AC530" s="2">
        <v>0</v>
      </c>
      <c r="AD530" s="2">
        <v>2.52</v>
      </c>
      <c r="AE530" s="2">
        <v>2.33</v>
      </c>
      <c r="AF530" s="2">
        <v>100.29</v>
      </c>
      <c r="AG530" s="2">
        <v>16.420000000000002</v>
      </c>
    </row>
    <row r="531" spans="1:33" x14ac:dyDescent="0.2">
      <c r="A531" s="3">
        <v>24076</v>
      </c>
      <c r="B531" s="2">
        <v>1.25</v>
      </c>
      <c r="C531" s="2">
        <v>22.97</v>
      </c>
      <c r="D531" s="2">
        <v>18.64</v>
      </c>
      <c r="E531" s="2">
        <v>42.23</v>
      </c>
      <c r="F531" s="2">
        <v>34.76</v>
      </c>
      <c r="G531" s="2">
        <v>58.29</v>
      </c>
      <c r="H531" s="2">
        <v>26.57</v>
      </c>
      <c r="I531" s="2">
        <v>45.35</v>
      </c>
      <c r="J531" s="2">
        <v>51.89</v>
      </c>
      <c r="K531" s="2">
        <v>81.290000000000006</v>
      </c>
      <c r="L531" s="2">
        <v>30.66</v>
      </c>
      <c r="M531" s="2">
        <v>39.979999999999997</v>
      </c>
      <c r="N531" s="2">
        <v>72.63</v>
      </c>
      <c r="O531" s="2">
        <v>9.19</v>
      </c>
      <c r="P531" s="2">
        <v>73.23</v>
      </c>
      <c r="Q531" s="2">
        <v>3.78</v>
      </c>
      <c r="R531" s="2">
        <v>4.54</v>
      </c>
      <c r="S531" s="2">
        <v>21.73</v>
      </c>
      <c r="T531" s="2">
        <v>25.38</v>
      </c>
      <c r="U531" s="2">
        <v>3.82</v>
      </c>
      <c r="V531" s="2">
        <v>18.97</v>
      </c>
      <c r="W531" s="2">
        <v>15.43</v>
      </c>
      <c r="X531" s="2">
        <v>11.7</v>
      </c>
      <c r="Y531" s="2">
        <v>10.46</v>
      </c>
      <c r="Z531" s="2">
        <v>10.15</v>
      </c>
      <c r="AA531" s="2">
        <v>35.56</v>
      </c>
      <c r="AB531" s="2">
        <v>14.12</v>
      </c>
      <c r="AC531" s="2">
        <v>31</v>
      </c>
      <c r="AD531" s="2">
        <v>1.58</v>
      </c>
      <c r="AE531" s="2">
        <v>37.1</v>
      </c>
      <c r="AF531" s="2">
        <v>65.81</v>
      </c>
      <c r="AG531" s="2">
        <v>12.92</v>
      </c>
    </row>
    <row r="532" spans="1:33" x14ac:dyDescent="0.2">
      <c r="A532" s="3">
        <v>24107</v>
      </c>
      <c r="B532" s="2">
        <v>1.92</v>
      </c>
      <c r="C532" s="2">
        <v>13.33</v>
      </c>
      <c r="D532" s="2">
        <v>-1.1299999999999999</v>
      </c>
      <c r="E532" s="2">
        <v>-4.13</v>
      </c>
      <c r="F532" s="2">
        <v>-1.07</v>
      </c>
      <c r="G532" s="2">
        <v>35.92</v>
      </c>
      <c r="H532" s="2">
        <v>12.93</v>
      </c>
      <c r="I532" s="2">
        <v>37.25</v>
      </c>
      <c r="J532" s="2">
        <v>24.27</v>
      </c>
      <c r="K532" s="2">
        <v>-11.5</v>
      </c>
      <c r="L532" s="2">
        <v>19.66</v>
      </c>
      <c r="M532" s="2">
        <v>5.83</v>
      </c>
      <c r="N532" s="2">
        <v>22.86</v>
      </c>
      <c r="O532" s="2">
        <v>8.52</v>
      </c>
      <c r="P532" s="2">
        <v>45.74</v>
      </c>
      <c r="Q532" s="2">
        <v>2.0299999999999998</v>
      </c>
      <c r="R532" s="2">
        <v>5.71</v>
      </c>
      <c r="S532" s="2">
        <v>24.84</v>
      </c>
      <c r="T532" s="2">
        <v>15.47</v>
      </c>
      <c r="U532" s="2">
        <v>3.64</v>
      </c>
      <c r="V532" s="2">
        <v>16.940000000000001</v>
      </c>
      <c r="W532" s="2">
        <v>11.73</v>
      </c>
      <c r="X532" s="2">
        <v>9.52</v>
      </c>
      <c r="Y532" s="2">
        <v>9.49</v>
      </c>
      <c r="Z532" s="2">
        <v>0</v>
      </c>
      <c r="AA532" s="2">
        <v>22.22</v>
      </c>
      <c r="AB532" s="2">
        <v>3.85</v>
      </c>
      <c r="AC532" s="2">
        <v>23.28</v>
      </c>
      <c r="AD532" s="2">
        <v>1.91</v>
      </c>
      <c r="AE532" s="2">
        <v>29.83</v>
      </c>
      <c r="AF532" s="2">
        <v>60.46</v>
      </c>
      <c r="AG532" s="2">
        <v>11.2</v>
      </c>
    </row>
    <row r="533" spans="1:33" x14ac:dyDescent="0.2">
      <c r="A533" s="3">
        <v>24138</v>
      </c>
      <c r="B533" s="2">
        <v>3.96</v>
      </c>
      <c r="C533" s="2">
        <v>23.44</v>
      </c>
      <c r="D533" s="2">
        <v>13.54</v>
      </c>
      <c r="E533" s="2">
        <v>46.5</v>
      </c>
      <c r="F533" s="2">
        <v>35.26</v>
      </c>
      <c r="G533" s="2">
        <v>121.35</v>
      </c>
      <c r="H533" s="2">
        <v>21.06</v>
      </c>
      <c r="I533" s="2">
        <v>39.14</v>
      </c>
      <c r="J533" s="2">
        <v>15.55</v>
      </c>
      <c r="K533" s="2">
        <v>-24.74</v>
      </c>
      <c r="L533" s="2">
        <v>-7.85</v>
      </c>
      <c r="M533" s="2">
        <v>-20.07</v>
      </c>
      <c r="N533" s="2">
        <v>23.51</v>
      </c>
      <c r="O533" s="2">
        <v>7.93</v>
      </c>
      <c r="P533" s="2">
        <v>16.87</v>
      </c>
      <c r="Q533" s="2">
        <v>3.9</v>
      </c>
      <c r="R533" s="2">
        <v>4.91</v>
      </c>
      <c r="S533" s="2">
        <v>-3.46</v>
      </c>
      <c r="T533" s="2">
        <v>8.3800000000000008</v>
      </c>
      <c r="U533" s="2">
        <v>4.24</v>
      </c>
      <c r="V533" s="2">
        <v>16.32</v>
      </c>
      <c r="W533" s="2">
        <v>4.26</v>
      </c>
      <c r="X533" s="2">
        <v>10.11</v>
      </c>
      <c r="Y533" s="2">
        <v>8.84</v>
      </c>
      <c r="Z533" s="2">
        <v>1.67</v>
      </c>
      <c r="AA533" s="2">
        <v>0.72</v>
      </c>
      <c r="AB533" s="2">
        <v>0</v>
      </c>
      <c r="AC533" s="2">
        <v>1.76</v>
      </c>
      <c r="AD533" s="2">
        <v>1.93</v>
      </c>
      <c r="AE533" s="2">
        <v>11.09</v>
      </c>
      <c r="AF533" s="2">
        <v>71.459999999999994</v>
      </c>
      <c r="AG533" s="2">
        <v>9.8800000000000008</v>
      </c>
    </row>
    <row r="534" spans="1:33" x14ac:dyDescent="0.2">
      <c r="A534" s="3">
        <v>24166</v>
      </c>
      <c r="B534" s="2">
        <v>0.37</v>
      </c>
      <c r="C534" s="2">
        <v>21.06</v>
      </c>
      <c r="D534" s="2">
        <v>-6.65</v>
      </c>
      <c r="E534" s="2">
        <v>-29.95</v>
      </c>
      <c r="F534" s="2">
        <v>-13.23</v>
      </c>
      <c r="G534" s="2">
        <v>40.25</v>
      </c>
      <c r="H534" s="2">
        <v>7.15</v>
      </c>
      <c r="I534" s="2">
        <v>36.44</v>
      </c>
      <c r="J534" s="2">
        <v>-0.55000000000000004</v>
      </c>
      <c r="K534" s="2">
        <v>-4.99</v>
      </c>
      <c r="L534" s="2">
        <v>-13.09</v>
      </c>
      <c r="M534" s="2">
        <v>-11.75</v>
      </c>
      <c r="N534" s="2">
        <v>23.42</v>
      </c>
      <c r="O534" s="2">
        <v>8.26</v>
      </c>
      <c r="P534" s="2">
        <v>14.09</v>
      </c>
      <c r="Q534" s="2">
        <v>1.1200000000000001</v>
      </c>
      <c r="R534" s="2">
        <v>7.04</v>
      </c>
      <c r="S534" s="2">
        <v>-6.24</v>
      </c>
      <c r="T534" s="2">
        <v>9.56</v>
      </c>
      <c r="U534" s="2">
        <v>2.74</v>
      </c>
      <c r="V534" s="2">
        <v>15.86</v>
      </c>
      <c r="W534" s="2">
        <v>0</v>
      </c>
      <c r="X534" s="2">
        <v>3.53</v>
      </c>
      <c r="Y534" s="2">
        <v>3.64</v>
      </c>
      <c r="Z534" s="2">
        <v>4.21</v>
      </c>
      <c r="AA534" s="2">
        <v>3.44</v>
      </c>
      <c r="AB534" s="2">
        <v>0</v>
      </c>
      <c r="AC534" s="2">
        <v>7.04</v>
      </c>
      <c r="AD534" s="2">
        <v>1.92</v>
      </c>
      <c r="AE534" s="2">
        <v>9.14</v>
      </c>
      <c r="AF534" s="2">
        <v>59.57</v>
      </c>
      <c r="AG534" s="2">
        <v>10.08</v>
      </c>
    </row>
    <row r="535" spans="1:33" x14ac:dyDescent="0.2">
      <c r="A535" s="3">
        <v>24197</v>
      </c>
      <c r="B535" s="2">
        <v>1.54</v>
      </c>
      <c r="C535" s="2">
        <v>17.54</v>
      </c>
      <c r="D535" s="2">
        <v>-18.25</v>
      </c>
      <c r="E535" s="2">
        <v>-27.66</v>
      </c>
      <c r="F535" s="2">
        <v>10.220000000000001</v>
      </c>
      <c r="G535" s="2">
        <v>-28.96</v>
      </c>
      <c r="H535" s="2">
        <v>12.12</v>
      </c>
      <c r="I535" s="2">
        <v>35.26</v>
      </c>
      <c r="J535" s="2">
        <v>-3.58</v>
      </c>
      <c r="K535" s="2">
        <v>-3.48</v>
      </c>
      <c r="L535" s="2">
        <v>-25.28</v>
      </c>
      <c r="M535" s="2">
        <v>-2.16</v>
      </c>
      <c r="N535" s="2">
        <v>33.99</v>
      </c>
      <c r="O535" s="2">
        <v>14.96</v>
      </c>
      <c r="P535" s="2">
        <v>61.89</v>
      </c>
      <c r="Q535" s="2">
        <v>4.3099999999999996</v>
      </c>
      <c r="R535" s="2">
        <v>11.14</v>
      </c>
      <c r="S535" s="2">
        <v>-12.51</v>
      </c>
      <c r="T535" s="2">
        <v>31.02</v>
      </c>
      <c r="U535" s="2">
        <v>-2.29</v>
      </c>
      <c r="V535" s="2">
        <v>23.86</v>
      </c>
      <c r="W535" s="2">
        <v>0</v>
      </c>
      <c r="X535" s="2">
        <v>4.46</v>
      </c>
      <c r="Y535" s="2">
        <v>3.55</v>
      </c>
      <c r="Z535" s="2">
        <v>0.56999999999999995</v>
      </c>
      <c r="AA535" s="2">
        <v>1.1499999999999999</v>
      </c>
      <c r="AB535" s="2">
        <v>0</v>
      </c>
      <c r="AC535" s="2">
        <v>5.82</v>
      </c>
      <c r="AD535" s="2">
        <v>3.6</v>
      </c>
      <c r="AE535" s="2">
        <v>3.36</v>
      </c>
      <c r="AF535" s="2">
        <v>70.290000000000006</v>
      </c>
      <c r="AG535" s="2">
        <v>10.69</v>
      </c>
    </row>
    <row r="536" spans="1:33" x14ac:dyDescent="0.2">
      <c r="A536" s="3">
        <v>24227</v>
      </c>
      <c r="B536" s="2">
        <v>0.91</v>
      </c>
      <c r="C536" s="2">
        <v>16.21</v>
      </c>
      <c r="D536" s="2">
        <v>-15.15</v>
      </c>
      <c r="E536" s="2">
        <v>-20.03</v>
      </c>
      <c r="F536" s="2">
        <v>23.91</v>
      </c>
      <c r="G536" s="2">
        <v>-13.74</v>
      </c>
      <c r="H536" s="2">
        <v>10.6</v>
      </c>
      <c r="I536" s="2">
        <v>41.43</v>
      </c>
      <c r="J536" s="2">
        <v>-7.89</v>
      </c>
      <c r="K536" s="2">
        <v>-3.13</v>
      </c>
      <c r="L536" s="2">
        <v>-19.690000000000001</v>
      </c>
      <c r="M536" s="2">
        <v>-4.04</v>
      </c>
      <c r="N536" s="2">
        <v>45.43</v>
      </c>
      <c r="O536" s="2">
        <v>10.7</v>
      </c>
      <c r="P536" s="2">
        <v>45.67</v>
      </c>
      <c r="Q536" s="2">
        <v>-3.51</v>
      </c>
      <c r="R536" s="2">
        <v>-1.4</v>
      </c>
      <c r="S536" s="2">
        <v>5.3</v>
      </c>
      <c r="T536" s="2">
        <v>22.46</v>
      </c>
      <c r="U536" s="2">
        <v>-6.44</v>
      </c>
      <c r="V536" s="2">
        <v>22.01</v>
      </c>
      <c r="W536" s="2">
        <v>0</v>
      </c>
      <c r="X536" s="2">
        <v>5.45</v>
      </c>
      <c r="Y536" s="2">
        <v>4.83</v>
      </c>
      <c r="Z536" s="2">
        <v>0</v>
      </c>
      <c r="AA536" s="2">
        <v>0</v>
      </c>
      <c r="AB536" s="2">
        <v>0</v>
      </c>
      <c r="AC536" s="2">
        <v>0</v>
      </c>
      <c r="AD536" s="2">
        <v>4.3899999999999997</v>
      </c>
      <c r="AE536" s="2">
        <v>3.45</v>
      </c>
      <c r="AF536" s="2">
        <v>86.98</v>
      </c>
      <c r="AG536" s="2">
        <v>14.64</v>
      </c>
    </row>
    <row r="537" spans="1:33" x14ac:dyDescent="0.2">
      <c r="A537" s="3">
        <v>24258</v>
      </c>
      <c r="B537" s="2">
        <v>-0.37</v>
      </c>
      <c r="C537" s="2">
        <v>12.03</v>
      </c>
      <c r="D537" s="2">
        <v>-8.4</v>
      </c>
      <c r="E537" s="2">
        <v>-33.159999999999997</v>
      </c>
      <c r="F537" s="2">
        <v>-31.81</v>
      </c>
      <c r="G537" s="2">
        <v>-8.77</v>
      </c>
      <c r="H537" s="2">
        <v>2.92</v>
      </c>
      <c r="I537" s="2">
        <v>30.28</v>
      </c>
      <c r="J537" s="2">
        <v>-14.69</v>
      </c>
      <c r="K537" s="2">
        <v>-12.29</v>
      </c>
      <c r="L537" s="2">
        <v>-9.82</v>
      </c>
      <c r="M537" s="2">
        <v>0.23</v>
      </c>
      <c r="N537" s="2">
        <v>29.18</v>
      </c>
      <c r="O537" s="2">
        <v>21.53</v>
      </c>
      <c r="P537" s="2">
        <v>78.64</v>
      </c>
      <c r="Q537" s="2">
        <v>0.49</v>
      </c>
      <c r="R537" s="2">
        <v>4.38</v>
      </c>
      <c r="S537" s="2">
        <v>26.04</v>
      </c>
      <c r="T537" s="2">
        <v>35.44</v>
      </c>
      <c r="U537" s="2">
        <v>-1.04</v>
      </c>
      <c r="V537" s="2">
        <v>32.15</v>
      </c>
      <c r="W537" s="2">
        <v>4.88</v>
      </c>
      <c r="X537" s="2">
        <v>8.48</v>
      </c>
      <c r="Y537" s="2">
        <v>7.22</v>
      </c>
      <c r="Z537" s="2">
        <v>0</v>
      </c>
      <c r="AA537" s="2">
        <v>0</v>
      </c>
      <c r="AB537" s="2">
        <v>1.32</v>
      </c>
      <c r="AC537" s="2">
        <v>0</v>
      </c>
      <c r="AD537" s="2">
        <v>6.4</v>
      </c>
      <c r="AE537" s="2">
        <v>0.56000000000000005</v>
      </c>
      <c r="AF537" s="2">
        <v>98.23</v>
      </c>
      <c r="AG537" s="2">
        <v>17.690000000000001</v>
      </c>
    </row>
    <row r="538" spans="1:33" x14ac:dyDescent="0.2">
      <c r="A538" s="3">
        <v>24288</v>
      </c>
      <c r="B538" s="2">
        <v>0.16</v>
      </c>
      <c r="C538" s="2">
        <v>17.260000000000002</v>
      </c>
      <c r="D538" s="2">
        <v>-12.97</v>
      </c>
      <c r="E538" s="2">
        <v>-34.47</v>
      </c>
      <c r="F538" s="2">
        <v>-22.87</v>
      </c>
      <c r="G538" s="2">
        <v>2.35</v>
      </c>
      <c r="H538" s="2">
        <v>5.01</v>
      </c>
      <c r="I538" s="2">
        <v>30.91</v>
      </c>
      <c r="J538" s="2">
        <v>-14.65</v>
      </c>
      <c r="K538" s="2">
        <v>-8.93</v>
      </c>
      <c r="L538" s="2">
        <v>-0.66</v>
      </c>
      <c r="M538" s="2">
        <v>4.5999999999999996</v>
      </c>
      <c r="N538" s="2">
        <v>32.590000000000003</v>
      </c>
      <c r="O538" s="2">
        <v>81.96</v>
      </c>
      <c r="P538" s="2">
        <v>112.24</v>
      </c>
      <c r="Q538" s="2">
        <v>6.68</v>
      </c>
      <c r="R538" s="2">
        <v>5.71</v>
      </c>
      <c r="S538" s="2">
        <v>61.51</v>
      </c>
      <c r="T538" s="2">
        <v>76.33</v>
      </c>
      <c r="U538" s="2">
        <v>11.64</v>
      </c>
      <c r="V538" s="2">
        <v>45.57</v>
      </c>
      <c r="W538" s="2">
        <v>18.62</v>
      </c>
      <c r="X538" s="2">
        <v>13.87</v>
      </c>
      <c r="Y538" s="2">
        <v>13.3</v>
      </c>
      <c r="Z538" s="2">
        <v>0</v>
      </c>
      <c r="AA538" s="2">
        <v>0</v>
      </c>
      <c r="AB538" s="2">
        <v>0</v>
      </c>
      <c r="AC538" s="2">
        <v>0</v>
      </c>
      <c r="AD538" s="2">
        <v>9.35</v>
      </c>
      <c r="AE538" s="2">
        <v>0.19</v>
      </c>
      <c r="AF538" s="2">
        <v>107.5</v>
      </c>
      <c r="AG538" s="2">
        <v>22.83</v>
      </c>
    </row>
    <row r="539" spans="1:33" x14ac:dyDescent="0.2">
      <c r="A539" s="3">
        <v>24319</v>
      </c>
      <c r="B539" s="2">
        <v>0.9</v>
      </c>
      <c r="C539" s="2">
        <v>20</v>
      </c>
      <c r="D539" s="2">
        <v>-11.81</v>
      </c>
      <c r="E539" s="2">
        <v>-14.14</v>
      </c>
      <c r="F539" s="2">
        <v>9.4</v>
      </c>
      <c r="G539" s="2">
        <v>20.85</v>
      </c>
      <c r="H539" s="2">
        <v>13.47</v>
      </c>
      <c r="I539" s="2">
        <v>34.380000000000003</v>
      </c>
      <c r="J539" s="2">
        <v>-11.58</v>
      </c>
      <c r="K539" s="2">
        <v>-9.01</v>
      </c>
      <c r="L539" s="2">
        <v>5.25</v>
      </c>
      <c r="M539" s="2">
        <v>7.25</v>
      </c>
      <c r="N539" s="2">
        <v>31.92</v>
      </c>
      <c r="O539" s="2">
        <v>113.94</v>
      </c>
      <c r="P539" s="2">
        <v>156.44</v>
      </c>
      <c r="Q539" s="2">
        <v>5.23</v>
      </c>
      <c r="R539" s="2">
        <v>6.12</v>
      </c>
      <c r="S539" s="2">
        <v>79.58</v>
      </c>
      <c r="T539" s="2">
        <v>63.34</v>
      </c>
      <c r="U539" s="2">
        <v>21.38</v>
      </c>
      <c r="V539" s="2">
        <v>54.94</v>
      </c>
      <c r="W539" s="2">
        <v>30.39</v>
      </c>
      <c r="X539" s="2">
        <v>19.14</v>
      </c>
      <c r="Y539" s="2">
        <v>18.96</v>
      </c>
      <c r="Z539" s="2">
        <v>0</v>
      </c>
      <c r="AA539" s="2">
        <v>2.44</v>
      </c>
      <c r="AB539" s="2">
        <v>0.16</v>
      </c>
      <c r="AC539" s="2">
        <v>0.68</v>
      </c>
      <c r="AD539" s="2">
        <v>10.4</v>
      </c>
      <c r="AE539" s="2">
        <v>1.96</v>
      </c>
      <c r="AF539" s="2">
        <v>117.07</v>
      </c>
      <c r="AG539" s="2">
        <v>24.8</v>
      </c>
    </row>
    <row r="540" spans="1:33" x14ac:dyDescent="0.2">
      <c r="A540" s="3">
        <v>24350</v>
      </c>
      <c r="B540" s="2">
        <v>-0.44</v>
      </c>
      <c r="C540" s="2">
        <v>18.2</v>
      </c>
      <c r="D540" s="2">
        <v>-11.97</v>
      </c>
      <c r="E540" s="2">
        <v>-19.38</v>
      </c>
      <c r="F540" s="2">
        <v>7.81</v>
      </c>
      <c r="G540" s="2">
        <v>22.84</v>
      </c>
      <c r="H540" s="2">
        <v>11.47</v>
      </c>
      <c r="I540" s="2">
        <v>33</v>
      </c>
      <c r="J540" s="2">
        <v>-4.62</v>
      </c>
      <c r="K540" s="2">
        <v>-10.86</v>
      </c>
      <c r="L540" s="2">
        <v>5.46</v>
      </c>
      <c r="M540" s="2">
        <v>4.3600000000000003</v>
      </c>
      <c r="N540" s="2">
        <v>33.78</v>
      </c>
      <c r="O540" s="2">
        <v>95.77</v>
      </c>
      <c r="P540" s="2">
        <v>151.44</v>
      </c>
      <c r="Q540" s="2">
        <v>4.4400000000000004</v>
      </c>
      <c r="R540" s="2">
        <v>0.57999999999999996</v>
      </c>
      <c r="S540" s="2">
        <v>65.05</v>
      </c>
      <c r="T540" s="2">
        <v>55.64</v>
      </c>
      <c r="U540" s="2">
        <v>15.84</v>
      </c>
      <c r="V540" s="2">
        <v>46.15</v>
      </c>
      <c r="W540" s="2">
        <v>31.47</v>
      </c>
      <c r="X540" s="2">
        <v>21.48</v>
      </c>
      <c r="Y540" s="2">
        <v>21.42</v>
      </c>
      <c r="Z540" s="2">
        <v>0</v>
      </c>
      <c r="AA540" s="2">
        <v>1.43</v>
      </c>
      <c r="AB540" s="2">
        <v>0.38</v>
      </c>
      <c r="AC540" s="2">
        <v>0</v>
      </c>
      <c r="AD540" s="2">
        <v>8.33</v>
      </c>
      <c r="AE540" s="2">
        <v>0</v>
      </c>
      <c r="AF540" s="2">
        <v>119.06</v>
      </c>
      <c r="AG540" s="2">
        <v>23.65</v>
      </c>
    </row>
    <row r="541" spans="1:33" x14ac:dyDescent="0.2">
      <c r="A541" s="3">
        <v>24380</v>
      </c>
      <c r="B541" s="2">
        <v>-3.96</v>
      </c>
      <c r="C541" s="2">
        <v>14.96</v>
      </c>
      <c r="D541" s="2">
        <v>-13.29</v>
      </c>
      <c r="E541" s="2">
        <v>-29.66</v>
      </c>
      <c r="F541" s="2">
        <v>8.86</v>
      </c>
      <c r="G541" s="2">
        <v>16.3</v>
      </c>
      <c r="H541" s="2">
        <v>15.66</v>
      </c>
      <c r="I541" s="2">
        <v>38.81</v>
      </c>
      <c r="J541" s="2">
        <v>8.41</v>
      </c>
      <c r="K541" s="2">
        <v>-7.8</v>
      </c>
      <c r="L541" s="2">
        <v>1.79</v>
      </c>
      <c r="M541" s="2">
        <v>1.54</v>
      </c>
      <c r="N541" s="2">
        <v>34.729999999999997</v>
      </c>
      <c r="O541" s="2">
        <v>13.29</v>
      </c>
      <c r="P541" s="2">
        <v>76.08</v>
      </c>
      <c r="Q541" s="2">
        <v>6.39</v>
      </c>
      <c r="R541" s="2">
        <v>11.12</v>
      </c>
      <c r="S541" s="2">
        <v>12.71</v>
      </c>
      <c r="T541" s="2">
        <v>15.37</v>
      </c>
      <c r="U541" s="2">
        <v>4.6100000000000003</v>
      </c>
      <c r="V541" s="2">
        <v>15.54</v>
      </c>
      <c r="W541" s="2">
        <v>26.1</v>
      </c>
      <c r="X541" s="2">
        <v>20.39</v>
      </c>
      <c r="Y541" s="2">
        <v>20.12</v>
      </c>
      <c r="Z541" s="2">
        <v>1.91</v>
      </c>
      <c r="AA541" s="2">
        <v>2.0099999999999998</v>
      </c>
      <c r="AB541" s="2">
        <v>0.71</v>
      </c>
      <c r="AC541" s="2">
        <v>1.35</v>
      </c>
      <c r="AD541" s="2">
        <v>4.58</v>
      </c>
      <c r="AE541" s="2">
        <v>1.77</v>
      </c>
      <c r="AF541" s="2">
        <v>110.9</v>
      </c>
      <c r="AG541" s="2">
        <v>20.170000000000002</v>
      </c>
    </row>
    <row r="542" spans="1:33" x14ac:dyDescent="0.2">
      <c r="A542" s="3">
        <v>24411</v>
      </c>
      <c r="B542" s="2">
        <v>-4.33</v>
      </c>
      <c r="C542" s="2">
        <v>16.440000000000001</v>
      </c>
      <c r="D542" s="2">
        <v>-10.17</v>
      </c>
      <c r="E542" s="2">
        <v>-19.04</v>
      </c>
      <c r="F542" s="2">
        <v>-1.36</v>
      </c>
      <c r="G542" s="2">
        <v>15.69</v>
      </c>
      <c r="H542" s="2">
        <v>13.96</v>
      </c>
      <c r="I542" s="2">
        <v>36.26</v>
      </c>
      <c r="J542" s="2">
        <v>3.91</v>
      </c>
      <c r="K542" s="2">
        <v>-11.57</v>
      </c>
      <c r="L542" s="2">
        <v>9.1</v>
      </c>
      <c r="M542" s="2">
        <v>2.74</v>
      </c>
      <c r="N542" s="2">
        <v>26.72</v>
      </c>
      <c r="O542" s="2">
        <v>20.29</v>
      </c>
      <c r="P542" s="2">
        <v>44.6</v>
      </c>
      <c r="Q542" s="2">
        <v>3.75</v>
      </c>
      <c r="R542" s="2">
        <v>5.62</v>
      </c>
      <c r="S542" s="2">
        <v>7.46</v>
      </c>
      <c r="T542" s="2">
        <v>19.649999999999999</v>
      </c>
      <c r="U542" s="2">
        <v>2.48</v>
      </c>
      <c r="V542" s="2">
        <v>15.06</v>
      </c>
      <c r="W542" s="2">
        <v>22.19</v>
      </c>
      <c r="X542" s="2">
        <v>18.899999999999999</v>
      </c>
      <c r="Y542" s="2">
        <v>18.600000000000001</v>
      </c>
      <c r="Z542" s="2">
        <v>8.7100000000000009</v>
      </c>
      <c r="AA542" s="2">
        <v>10.47</v>
      </c>
      <c r="AB542" s="2">
        <v>0</v>
      </c>
      <c r="AC542" s="2">
        <v>1.76</v>
      </c>
      <c r="AD542" s="2">
        <v>5.1100000000000003</v>
      </c>
      <c r="AE542" s="2">
        <v>0</v>
      </c>
      <c r="AF542" s="2">
        <v>100.59</v>
      </c>
      <c r="AG542" s="2">
        <v>16.420000000000002</v>
      </c>
    </row>
    <row r="543" spans="1:33" x14ac:dyDescent="0.2">
      <c r="A543" s="3">
        <v>24441</v>
      </c>
      <c r="B543" s="2">
        <v>1.69</v>
      </c>
      <c r="C543" s="2">
        <v>25</v>
      </c>
      <c r="D543" s="2">
        <v>25.83</v>
      </c>
      <c r="E543" s="2">
        <v>65.44</v>
      </c>
      <c r="F543" s="2">
        <v>57.9</v>
      </c>
      <c r="G543" s="2">
        <v>73.56</v>
      </c>
      <c r="H543" s="2">
        <v>32.42</v>
      </c>
      <c r="I543" s="2">
        <v>42.85</v>
      </c>
      <c r="J543" s="2">
        <v>30.09</v>
      </c>
      <c r="K543" s="2">
        <v>10.24</v>
      </c>
      <c r="L543" s="2">
        <v>14.51</v>
      </c>
      <c r="M543" s="2">
        <v>13.4</v>
      </c>
      <c r="N543" s="2">
        <v>25.75</v>
      </c>
      <c r="O543" s="2">
        <v>10.14</v>
      </c>
      <c r="P543" s="2">
        <v>37.450000000000003</v>
      </c>
      <c r="Q543" s="2">
        <v>1.32</v>
      </c>
      <c r="R543" s="2">
        <v>2.81</v>
      </c>
      <c r="S543" s="2">
        <v>11.04</v>
      </c>
      <c r="T543" s="2">
        <v>14.59</v>
      </c>
      <c r="U543" s="2">
        <v>3.15</v>
      </c>
      <c r="V543" s="2">
        <v>16.32</v>
      </c>
      <c r="W543" s="2">
        <v>15.43</v>
      </c>
      <c r="X543" s="2">
        <v>12.33</v>
      </c>
      <c r="Y543" s="2">
        <v>11.01</v>
      </c>
      <c r="Z543" s="2">
        <v>7.56</v>
      </c>
      <c r="AA543" s="2">
        <v>5.88</v>
      </c>
      <c r="AB543" s="2">
        <v>2.19</v>
      </c>
      <c r="AC543" s="2">
        <v>4.47</v>
      </c>
      <c r="AD543" s="2">
        <v>4.0999999999999996</v>
      </c>
      <c r="AE543" s="2">
        <v>28.43</v>
      </c>
      <c r="AF543" s="2">
        <v>66</v>
      </c>
      <c r="AG543" s="2">
        <v>12.92</v>
      </c>
    </row>
    <row r="544" spans="1:33" x14ac:dyDescent="0.2">
      <c r="A544" s="3">
        <v>24472</v>
      </c>
      <c r="B544" s="2">
        <v>7.23</v>
      </c>
      <c r="C544" s="2">
        <v>24.48</v>
      </c>
      <c r="D544" s="2">
        <v>17.559999999999999</v>
      </c>
      <c r="E544" s="2">
        <v>72.56</v>
      </c>
      <c r="F544" s="2">
        <v>71.819999999999993</v>
      </c>
      <c r="G544" s="2">
        <v>134.38</v>
      </c>
      <c r="H544" s="2">
        <v>26.71</v>
      </c>
      <c r="I544" s="2">
        <v>41.03</v>
      </c>
      <c r="J544" s="2">
        <v>56.65</v>
      </c>
      <c r="K544" s="2">
        <v>41.95</v>
      </c>
      <c r="L544" s="2">
        <v>55.37</v>
      </c>
      <c r="M544" s="2">
        <v>36.28</v>
      </c>
      <c r="N544" s="2">
        <v>65.650000000000006</v>
      </c>
      <c r="O544" s="2">
        <v>9.82</v>
      </c>
      <c r="P544" s="2">
        <v>137.44999999999999</v>
      </c>
      <c r="Q544" s="2">
        <v>1.92</v>
      </c>
      <c r="R544" s="2">
        <v>8.9499999999999993</v>
      </c>
      <c r="S544" s="2">
        <v>140.43</v>
      </c>
      <c r="T544" s="2">
        <v>62.65</v>
      </c>
      <c r="U544" s="2">
        <v>5.34</v>
      </c>
      <c r="V544" s="2">
        <v>40.1</v>
      </c>
      <c r="W544" s="2">
        <v>11.73</v>
      </c>
      <c r="X544" s="2">
        <v>10.1</v>
      </c>
      <c r="Y544" s="2">
        <v>9.99</v>
      </c>
      <c r="Z544" s="2">
        <v>0</v>
      </c>
      <c r="AA544" s="2">
        <v>2.29</v>
      </c>
      <c r="AB544" s="2">
        <v>56.98</v>
      </c>
      <c r="AC544" s="2">
        <v>6.5</v>
      </c>
      <c r="AD544" s="2">
        <v>3.95</v>
      </c>
      <c r="AE544" s="2">
        <v>20.23</v>
      </c>
      <c r="AF544" s="2">
        <v>60.63</v>
      </c>
      <c r="AG544" s="2">
        <v>11.2</v>
      </c>
    </row>
    <row r="545" spans="1:33" x14ac:dyDescent="0.2">
      <c r="A545" s="3">
        <v>24503</v>
      </c>
      <c r="B545" s="2">
        <v>2.54</v>
      </c>
      <c r="C545" s="2">
        <v>36.270000000000003</v>
      </c>
      <c r="D545" s="2">
        <v>45.23</v>
      </c>
      <c r="E545" s="2">
        <v>93.42</v>
      </c>
      <c r="F545" s="2">
        <v>123.95</v>
      </c>
      <c r="G545" s="2">
        <v>169.04</v>
      </c>
      <c r="H545" s="2">
        <v>35.07</v>
      </c>
      <c r="I545" s="2">
        <v>48.7</v>
      </c>
      <c r="J545" s="2">
        <v>71.2</v>
      </c>
      <c r="K545" s="2">
        <v>20.73</v>
      </c>
      <c r="L545" s="2">
        <v>15.58</v>
      </c>
      <c r="M545" s="2">
        <v>4.42</v>
      </c>
      <c r="N545" s="2">
        <v>54.57</v>
      </c>
      <c r="O545" s="2">
        <v>8.65</v>
      </c>
      <c r="P545" s="2">
        <v>43.53</v>
      </c>
      <c r="Q545" s="2">
        <v>0.88</v>
      </c>
      <c r="R545" s="2">
        <v>11.41</v>
      </c>
      <c r="S545" s="2">
        <v>25.16</v>
      </c>
      <c r="T545" s="2">
        <v>74.709999999999994</v>
      </c>
      <c r="U545" s="2">
        <v>4.49</v>
      </c>
      <c r="V545" s="2">
        <v>33.44</v>
      </c>
      <c r="W545" s="2">
        <v>4.26</v>
      </c>
      <c r="X545" s="2">
        <v>9.19</v>
      </c>
      <c r="Y545" s="2">
        <v>7.94</v>
      </c>
      <c r="Z545" s="2">
        <v>6.13</v>
      </c>
      <c r="AA545" s="2">
        <v>4.7300000000000004</v>
      </c>
      <c r="AB545" s="2">
        <v>9.9600000000000009</v>
      </c>
      <c r="AC545" s="2">
        <v>8.93</v>
      </c>
      <c r="AD545" s="2">
        <v>3.74</v>
      </c>
      <c r="AE545" s="2">
        <v>45.4</v>
      </c>
      <c r="AF545" s="2">
        <v>71.25</v>
      </c>
      <c r="AG545" s="2">
        <v>9.8800000000000008</v>
      </c>
    </row>
    <row r="546" spans="1:33" x14ac:dyDescent="0.2">
      <c r="A546" s="3">
        <v>24531</v>
      </c>
      <c r="B546" s="2">
        <v>8.35</v>
      </c>
      <c r="C546" s="2">
        <v>30.21</v>
      </c>
      <c r="D546" s="2">
        <v>-20.28</v>
      </c>
      <c r="E546" s="2">
        <v>-24.39</v>
      </c>
      <c r="F546" s="2">
        <v>-11.93</v>
      </c>
      <c r="G546" s="2">
        <v>15.61</v>
      </c>
      <c r="H546" s="2">
        <v>0.87</v>
      </c>
      <c r="I546" s="2">
        <v>35.369999999999997</v>
      </c>
      <c r="J546" s="2">
        <v>-3.96</v>
      </c>
      <c r="K546" s="2">
        <v>-13.87</v>
      </c>
      <c r="L546" s="2">
        <v>14.24</v>
      </c>
      <c r="M546" s="2">
        <v>-2.25</v>
      </c>
      <c r="N546" s="2">
        <v>41.92</v>
      </c>
      <c r="O546" s="2">
        <v>8.75</v>
      </c>
      <c r="P546" s="2">
        <v>18.98</v>
      </c>
      <c r="Q546" s="2">
        <v>5.94</v>
      </c>
      <c r="R546" s="2">
        <v>11.6</v>
      </c>
      <c r="S546" s="2">
        <v>-7.72</v>
      </c>
      <c r="T546" s="2">
        <v>17.11</v>
      </c>
      <c r="U546" s="2">
        <v>3.17</v>
      </c>
      <c r="V546" s="2">
        <v>14.55</v>
      </c>
      <c r="W546" s="2">
        <v>0</v>
      </c>
      <c r="X546" s="2">
        <v>2.79</v>
      </c>
      <c r="Y546" s="2">
        <v>2.95</v>
      </c>
      <c r="Z546" s="2">
        <v>0</v>
      </c>
      <c r="AA546" s="2">
        <v>0</v>
      </c>
      <c r="AB546" s="2">
        <v>0</v>
      </c>
      <c r="AC546" s="2">
        <v>0</v>
      </c>
      <c r="AD546" s="2">
        <v>3.48</v>
      </c>
      <c r="AE546" s="2">
        <v>1.31</v>
      </c>
      <c r="AF546" s="2">
        <v>59.39</v>
      </c>
      <c r="AG546" s="2">
        <v>10.08</v>
      </c>
    </row>
    <row r="547" spans="1:33" x14ac:dyDescent="0.2">
      <c r="A547" s="3">
        <v>24562</v>
      </c>
      <c r="B547" s="2">
        <v>2.95</v>
      </c>
      <c r="C547" s="2">
        <v>25.25</v>
      </c>
      <c r="D547" s="2">
        <v>-8.9</v>
      </c>
      <c r="E547" s="2">
        <v>-39.14</v>
      </c>
      <c r="F547" s="2">
        <v>19.72</v>
      </c>
      <c r="G547" s="2">
        <v>23.54</v>
      </c>
      <c r="H547" s="2">
        <v>27.19</v>
      </c>
      <c r="I547" s="2">
        <v>47.8</v>
      </c>
      <c r="J547" s="2">
        <v>30.08</v>
      </c>
      <c r="K547" s="2">
        <v>9.83</v>
      </c>
      <c r="L547" s="2">
        <v>26.3</v>
      </c>
      <c r="M547" s="2">
        <v>18.22</v>
      </c>
      <c r="N547" s="2">
        <v>59.35</v>
      </c>
      <c r="O547" s="2">
        <v>18.309999999999999</v>
      </c>
      <c r="P547" s="2">
        <v>52.72</v>
      </c>
      <c r="Q547" s="2">
        <v>7.72</v>
      </c>
      <c r="R547" s="2">
        <v>8.7899999999999991</v>
      </c>
      <c r="S547" s="2">
        <v>18.940000000000001</v>
      </c>
      <c r="T547" s="2">
        <v>28.94</v>
      </c>
      <c r="U547" s="2">
        <v>0.85</v>
      </c>
      <c r="V547" s="2">
        <v>24.6</v>
      </c>
      <c r="W547" s="2">
        <v>0</v>
      </c>
      <c r="X547" s="2">
        <v>3.59</v>
      </c>
      <c r="Y547" s="2">
        <v>2.69</v>
      </c>
      <c r="Z547" s="2">
        <v>1.29</v>
      </c>
      <c r="AA547" s="2">
        <v>2.61</v>
      </c>
      <c r="AB547" s="2">
        <v>0.17</v>
      </c>
      <c r="AC547" s="2">
        <v>0.81</v>
      </c>
      <c r="AD547" s="2">
        <v>5.49</v>
      </c>
      <c r="AE547" s="2">
        <v>47.92</v>
      </c>
      <c r="AF547" s="2">
        <v>70.09</v>
      </c>
      <c r="AG547" s="2">
        <v>10.69</v>
      </c>
    </row>
    <row r="548" spans="1:33" x14ac:dyDescent="0.2">
      <c r="A548" s="3">
        <v>24592</v>
      </c>
      <c r="B548" s="2">
        <v>7.92</v>
      </c>
      <c r="C548" s="2">
        <v>27.23</v>
      </c>
      <c r="D548" s="2">
        <v>9.82</v>
      </c>
      <c r="E548" s="2">
        <v>24.64</v>
      </c>
      <c r="F548" s="2">
        <v>-9.5</v>
      </c>
      <c r="G548" s="2">
        <v>-14.24</v>
      </c>
      <c r="H548" s="2">
        <v>22.46</v>
      </c>
      <c r="I548" s="2">
        <v>54.44</v>
      </c>
      <c r="J548" s="2">
        <v>57.72</v>
      </c>
      <c r="K548" s="2">
        <v>90.59</v>
      </c>
      <c r="L548" s="2">
        <v>53.94</v>
      </c>
      <c r="M548" s="2">
        <v>55.37</v>
      </c>
      <c r="N548" s="2">
        <v>152.31</v>
      </c>
      <c r="O548" s="2">
        <v>13.84</v>
      </c>
      <c r="P548" s="2">
        <v>146.75</v>
      </c>
      <c r="Q548" s="2">
        <v>17.170000000000002</v>
      </c>
      <c r="R548" s="2">
        <v>6.28</v>
      </c>
      <c r="S548" s="2">
        <v>86.34</v>
      </c>
      <c r="T548" s="2">
        <v>49.62</v>
      </c>
      <c r="U548" s="2">
        <v>6.09</v>
      </c>
      <c r="V548" s="2">
        <v>29.54</v>
      </c>
      <c r="W548" s="2">
        <v>0</v>
      </c>
      <c r="X548" s="2">
        <v>4.3499999999999996</v>
      </c>
      <c r="Y548" s="2">
        <v>3.77</v>
      </c>
      <c r="Z548" s="2">
        <v>8.61</v>
      </c>
      <c r="AA548" s="2">
        <v>0</v>
      </c>
      <c r="AB548" s="2">
        <v>1.73</v>
      </c>
      <c r="AC548" s="2">
        <v>7.31</v>
      </c>
      <c r="AD548" s="2">
        <v>7.48</v>
      </c>
      <c r="AE548" s="2">
        <v>36.26</v>
      </c>
      <c r="AF548" s="2">
        <v>86.72</v>
      </c>
      <c r="AG548" s="2">
        <v>14.64</v>
      </c>
    </row>
    <row r="549" spans="1:33" x14ac:dyDescent="0.2">
      <c r="A549" s="3">
        <v>24623</v>
      </c>
      <c r="B549" s="2">
        <v>6.83</v>
      </c>
      <c r="C549" s="2">
        <v>21.65</v>
      </c>
      <c r="D549" s="2">
        <v>-12.62</v>
      </c>
      <c r="E549" s="2">
        <v>-10.119999999999999</v>
      </c>
      <c r="F549" s="2">
        <v>40.799999999999997</v>
      </c>
      <c r="G549" s="2">
        <v>-7.61</v>
      </c>
      <c r="H549" s="2">
        <v>18.850000000000001</v>
      </c>
      <c r="I549" s="2">
        <v>43.9</v>
      </c>
      <c r="J549" s="2">
        <v>14.34</v>
      </c>
      <c r="K549" s="2">
        <v>22.04</v>
      </c>
      <c r="L549" s="2">
        <v>22.35</v>
      </c>
      <c r="M549" s="2">
        <v>12.66</v>
      </c>
      <c r="N549" s="2">
        <v>64.52</v>
      </c>
      <c r="O549" s="2">
        <v>26.67</v>
      </c>
      <c r="P549" s="2">
        <v>163.19</v>
      </c>
      <c r="Q549" s="2">
        <v>25.01</v>
      </c>
      <c r="R549" s="2">
        <v>20.440000000000001</v>
      </c>
      <c r="S549" s="2">
        <v>34.630000000000003</v>
      </c>
      <c r="T549" s="2">
        <v>53.71</v>
      </c>
      <c r="U549" s="2">
        <v>-0.77</v>
      </c>
      <c r="V549" s="2">
        <v>42.46</v>
      </c>
      <c r="W549" s="2">
        <v>4.88</v>
      </c>
      <c r="X549" s="2">
        <v>7.26</v>
      </c>
      <c r="Y549" s="2">
        <v>6.01</v>
      </c>
      <c r="Z549" s="2">
        <v>0</v>
      </c>
      <c r="AA549" s="2">
        <v>0</v>
      </c>
      <c r="AB549" s="2">
        <v>0.69</v>
      </c>
      <c r="AC549" s="2">
        <v>0</v>
      </c>
      <c r="AD549" s="2">
        <v>12</v>
      </c>
      <c r="AE549" s="2">
        <v>0.28000000000000003</v>
      </c>
      <c r="AF549" s="2">
        <v>97.94</v>
      </c>
      <c r="AG549" s="2">
        <v>17.690000000000001</v>
      </c>
    </row>
    <row r="550" spans="1:33" x14ac:dyDescent="0.2">
      <c r="A550" s="3">
        <v>24653</v>
      </c>
      <c r="B550" s="2">
        <v>2.65</v>
      </c>
      <c r="C550" s="2">
        <v>22.3</v>
      </c>
      <c r="D550" s="2">
        <v>-20.12</v>
      </c>
      <c r="E550" s="2">
        <v>-50.58</v>
      </c>
      <c r="F550" s="2">
        <v>-31.67</v>
      </c>
      <c r="G550" s="2">
        <v>-12.64</v>
      </c>
      <c r="H550" s="2">
        <v>7.99</v>
      </c>
      <c r="I550" s="2">
        <v>37.79</v>
      </c>
      <c r="J550" s="2">
        <v>-6.31</v>
      </c>
      <c r="K550" s="2">
        <v>-18.579999999999998</v>
      </c>
      <c r="L550" s="2">
        <v>32.71</v>
      </c>
      <c r="M550" s="2">
        <v>22</v>
      </c>
      <c r="N550" s="2">
        <v>34.409999999999997</v>
      </c>
      <c r="O550" s="2">
        <v>70.760000000000005</v>
      </c>
      <c r="P550" s="2">
        <v>144.93</v>
      </c>
      <c r="Q550" s="2">
        <v>21.94</v>
      </c>
      <c r="R550" s="2">
        <v>20.92</v>
      </c>
      <c r="S550" s="2">
        <v>31.94</v>
      </c>
      <c r="T550" s="2">
        <v>118.76</v>
      </c>
      <c r="U550" s="2">
        <v>-2.5099999999999998</v>
      </c>
      <c r="V550" s="2">
        <v>50.41</v>
      </c>
      <c r="W550" s="2">
        <v>18.62</v>
      </c>
      <c r="X550" s="2">
        <v>12.53</v>
      </c>
      <c r="Y550" s="2">
        <v>12</v>
      </c>
      <c r="Z550" s="2">
        <v>0.1</v>
      </c>
      <c r="AA550" s="2">
        <v>0</v>
      </c>
      <c r="AB550" s="2">
        <v>0.4</v>
      </c>
      <c r="AC550" s="2">
        <v>0</v>
      </c>
      <c r="AD550" s="2">
        <v>11.95</v>
      </c>
      <c r="AE550" s="2">
        <v>2.89</v>
      </c>
      <c r="AF550" s="2">
        <v>107.19</v>
      </c>
      <c r="AG550" s="2">
        <v>22.83</v>
      </c>
    </row>
    <row r="551" spans="1:33" x14ac:dyDescent="0.2">
      <c r="A551" s="3">
        <v>24684</v>
      </c>
      <c r="B551" s="2">
        <v>0.28999999999999998</v>
      </c>
      <c r="C551" s="2">
        <v>20.02</v>
      </c>
      <c r="D551" s="2">
        <v>-20.23</v>
      </c>
      <c r="E551" s="2">
        <v>-53.82</v>
      </c>
      <c r="F551" s="2">
        <v>-55.1</v>
      </c>
      <c r="G551" s="2">
        <v>-17.86</v>
      </c>
      <c r="H551" s="2">
        <v>-7.04</v>
      </c>
      <c r="I551" s="2">
        <v>35.619999999999997</v>
      </c>
      <c r="J551" s="2">
        <v>-46.91</v>
      </c>
      <c r="K551" s="2">
        <v>-59.95</v>
      </c>
      <c r="L551" s="2">
        <v>-44.14</v>
      </c>
      <c r="M551" s="2">
        <v>-11.34</v>
      </c>
      <c r="N551" s="2">
        <v>0.1</v>
      </c>
      <c r="O551" s="2">
        <v>120.77</v>
      </c>
      <c r="P551" s="2">
        <v>127.63</v>
      </c>
      <c r="Q551" s="2">
        <v>17.86</v>
      </c>
      <c r="R551" s="2">
        <v>23.56</v>
      </c>
      <c r="S551" s="2">
        <v>32.36</v>
      </c>
      <c r="T551" s="2">
        <v>71.56</v>
      </c>
      <c r="U551" s="2">
        <v>5.35</v>
      </c>
      <c r="V551" s="2">
        <v>52.57</v>
      </c>
      <c r="W551" s="2">
        <v>30.39</v>
      </c>
      <c r="X551" s="2">
        <v>17.690000000000001</v>
      </c>
      <c r="Y551" s="2">
        <v>17.510000000000002</v>
      </c>
      <c r="Z551" s="2">
        <v>0</v>
      </c>
      <c r="AA551" s="2">
        <v>0</v>
      </c>
      <c r="AB551" s="2">
        <v>0.06</v>
      </c>
      <c r="AC551" s="2">
        <v>5.55</v>
      </c>
      <c r="AD551" s="2">
        <v>9.75</v>
      </c>
      <c r="AE551" s="2">
        <v>0</v>
      </c>
      <c r="AF551" s="2">
        <v>116.73</v>
      </c>
      <c r="AG551" s="2">
        <v>24.8</v>
      </c>
    </row>
    <row r="552" spans="1:33" x14ac:dyDescent="0.2">
      <c r="A552" s="3">
        <v>24715</v>
      </c>
      <c r="B552" s="2">
        <v>-0.64</v>
      </c>
      <c r="C552" s="2">
        <v>20.16</v>
      </c>
      <c r="D552" s="2">
        <v>-12.52</v>
      </c>
      <c r="E552" s="2">
        <v>-37.26</v>
      </c>
      <c r="F552" s="2">
        <v>-17.79</v>
      </c>
      <c r="G552" s="2">
        <v>3.67</v>
      </c>
      <c r="H552" s="2">
        <v>3.27</v>
      </c>
      <c r="I552" s="2">
        <v>35.590000000000003</v>
      </c>
      <c r="J552" s="2">
        <v>-50.37</v>
      </c>
      <c r="K552" s="2">
        <v>-58.04</v>
      </c>
      <c r="L552" s="2">
        <v>-67.95</v>
      </c>
      <c r="M552" s="2">
        <v>-37.1</v>
      </c>
      <c r="N552" s="2">
        <v>8.7899999999999991</v>
      </c>
      <c r="O552" s="2">
        <v>97.97</v>
      </c>
      <c r="P552" s="2">
        <v>85.45</v>
      </c>
      <c r="Q552" s="2">
        <v>14.06</v>
      </c>
      <c r="R552" s="2">
        <v>10.6</v>
      </c>
      <c r="S552" s="2">
        <v>25.72</v>
      </c>
      <c r="T552" s="2">
        <v>100.14</v>
      </c>
      <c r="U552" s="2">
        <v>9.68</v>
      </c>
      <c r="V552" s="2">
        <v>59.09</v>
      </c>
      <c r="W552" s="2">
        <v>31.47</v>
      </c>
      <c r="X552" s="2">
        <v>19.98</v>
      </c>
      <c r="Y552" s="2">
        <v>19.95</v>
      </c>
      <c r="Z552" s="2">
        <v>1.34</v>
      </c>
      <c r="AA552" s="2">
        <v>18.21</v>
      </c>
      <c r="AB552" s="2">
        <v>1.04</v>
      </c>
      <c r="AC552" s="2">
        <v>0.54</v>
      </c>
      <c r="AD552" s="2">
        <v>8.0500000000000007</v>
      </c>
      <c r="AE552" s="2">
        <v>0</v>
      </c>
      <c r="AF552" s="2">
        <v>118.71</v>
      </c>
      <c r="AG552" s="2">
        <v>23.65</v>
      </c>
    </row>
    <row r="553" spans="1:33" x14ac:dyDescent="0.2">
      <c r="A553" s="3">
        <v>24745</v>
      </c>
      <c r="B553" s="2">
        <v>-1.83</v>
      </c>
      <c r="C553" s="2">
        <v>19.97</v>
      </c>
      <c r="D553" s="2">
        <v>-12.77</v>
      </c>
      <c r="E553" s="2">
        <v>-17.829999999999998</v>
      </c>
      <c r="F553" s="2">
        <v>-0.12</v>
      </c>
      <c r="G553" s="2">
        <v>11.3</v>
      </c>
      <c r="H553" s="2">
        <v>15.79</v>
      </c>
      <c r="I553" s="2">
        <v>48.81</v>
      </c>
      <c r="J553" s="2">
        <v>-12.8</v>
      </c>
      <c r="K553" s="2">
        <v>-19.64</v>
      </c>
      <c r="L553" s="2">
        <v>-30.66</v>
      </c>
      <c r="M553" s="2">
        <v>-9.93</v>
      </c>
      <c r="N553" s="2">
        <v>34.69</v>
      </c>
      <c r="O553" s="2">
        <v>14.15</v>
      </c>
      <c r="P553" s="2">
        <v>24.61</v>
      </c>
      <c r="Q553" s="2">
        <v>13.73</v>
      </c>
      <c r="R553" s="2">
        <v>3.33</v>
      </c>
      <c r="S553" s="2">
        <v>18.75</v>
      </c>
      <c r="T553" s="2">
        <v>24.69</v>
      </c>
      <c r="U553" s="2">
        <v>13.64</v>
      </c>
      <c r="V553" s="2">
        <v>29.88</v>
      </c>
      <c r="W553" s="2">
        <v>26.1</v>
      </c>
      <c r="X553" s="2">
        <v>18.989999999999998</v>
      </c>
      <c r="Y553" s="2">
        <v>18.739999999999998</v>
      </c>
      <c r="Z553" s="2">
        <v>2.0099999999999998</v>
      </c>
      <c r="AA553" s="2">
        <v>11.76</v>
      </c>
      <c r="AB553" s="2">
        <v>1.9</v>
      </c>
      <c r="AC553" s="2">
        <v>17.190000000000001</v>
      </c>
      <c r="AD553" s="2">
        <v>5.4</v>
      </c>
      <c r="AE553" s="2">
        <v>0.19</v>
      </c>
      <c r="AF553" s="2">
        <v>110.57</v>
      </c>
      <c r="AG553" s="2">
        <v>20.170000000000002</v>
      </c>
    </row>
    <row r="554" spans="1:33" x14ac:dyDescent="0.2">
      <c r="A554" s="3">
        <v>24776</v>
      </c>
      <c r="B554" s="2">
        <v>-1.59</v>
      </c>
      <c r="C554" s="2">
        <v>19.510000000000002</v>
      </c>
      <c r="D554" s="2">
        <v>-8.18</v>
      </c>
      <c r="E554" s="2">
        <v>-19.88</v>
      </c>
      <c r="F554" s="2">
        <v>-1.1599999999999999</v>
      </c>
      <c r="G554" s="2">
        <v>11.54</v>
      </c>
      <c r="H554" s="2">
        <v>15.25</v>
      </c>
      <c r="I554" s="2">
        <v>46.7</v>
      </c>
      <c r="J554" s="2">
        <v>-1.89</v>
      </c>
      <c r="K554" s="2">
        <v>-11.09</v>
      </c>
      <c r="L554" s="2">
        <v>-6.22</v>
      </c>
      <c r="M554" s="2">
        <v>4.58</v>
      </c>
      <c r="N554" s="2">
        <v>23.9</v>
      </c>
      <c r="O554" s="2">
        <v>21.02</v>
      </c>
      <c r="P554" s="2">
        <v>29.31</v>
      </c>
      <c r="Q554" s="2">
        <v>4.13</v>
      </c>
      <c r="R554" s="2">
        <v>13.9</v>
      </c>
      <c r="S554" s="2">
        <v>-5.34</v>
      </c>
      <c r="T554" s="2">
        <v>18.100000000000001</v>
      </c>
      <c r="U554" s="2">
        <v>12.44</v>
      </c>
      <c r="V554" s="2">
        <v>25</v>
      </c>
      <c r="W554" s="2">
        <v>22.19</v>
      </c>
      <c r="X554" s="2">
        <v>17.62</v>
      </c>
      <c r="Y554" s="2">
        <v>17.350000000000001</v>
      </c>
      <c r="Z554" s="2">
        <v>16.8</v>
      </c>
      <c r="AA554" s="2">
        <v>0</v>
      </c>
      <c r="AB554" s="2">
        <v>0</v>
      </c>
      <c r="AC554" s="2">
        <v>0</v>
      </c>
      <c r="AD554" s="2">
        <v>2.04</v>
      </c>
      <c r="AE554" s="2">
        <v>1.77</v>
      </c>
      <c r="AF554" s="2">
        <v>100.29</v>
      </c>
      <c r="AG554" s="2">
        <v>16.420000000000002</v>
      </c>
    </row>
    <row r="555" spans="1:33" x14ac:dyDescent="0.2">
      <c r="A555" s="3">
        <v>24806</v>
      </c>
      <c r="B555" s="2">
        <v>-1.9</v>
      </c>
      <c r="C555" s="2">
        <v>13.9</v>
      </c>
      <c r="D555" s="2">
        <v>-7.76</v>
      </c>
      <c r="E555" s="2">
        <v>-17.87</v>
      </c>
      <c r="F555" s="2">
        <v>-6.48</v>
      </c>
      <c r="G555" s="2">
        <v>7.41</v>
      </c>
      <c r="H555" s="2">
        <v>10.57</v>
      </c>
      <c r="I555" s="2">
        <v>36.49</v>
      </c>
      <c r="J555" s="2">
        <v>6.97</v>
      </c>
      <c r="K555" s="2">
        <v>-2.0099999999999998</v>
      </c>
      <c r="L555" s="2">
        <v>16.23</v>
      </c>
      <c r="M555" s="2">
        <v>10.9</v>
      </c>
      <c r="N555" s="2">
        <v>20.46</v>
      </c>
      <c r="O555" s="2">
        <v>13.1</v>
      </c>
      <c r="P555" s="2">
        <v>41.04</v>
      </c>
      <c r="Q555" s="2">
        <v>2.42</v>
      </c>
      <c r="R555" s="2">
        <v>11.99</v>
      </c>
      <c r="S555" s="2">
        <v>18.2</v>
      </c>
      <c r="T555" s="2">
        <v>23.11</v>
      </c>
      <c r="U555" s="2">
        <v>9.01</v>
      </c>
      <c r="V555" s="2">
        <v>18.91</v>
      </c>
      <c r="W555" s="2">
        <v>15.43</v>
      </c>
      <c r="X555" s="2">
        <v>11.55</v>
      </c>
      <c r="Y555" s="2">
        <v>10.24</v>
      </c>
      <c r="Z555" s="2">
        <v>3.25</v>
      </c>
      <c r="AA555" s="2">
        <v>5.45</v>
      </c>
      <c r="AB555" s="2">
        <v>4.5999999999999996</v>
      </c>
      <c r="AC555" s="2">
        <v>15.3</v>
      </c>
      <c r="AD555" s="2">
        <v>1.02</v>
      </c>
      <c r="AE555" s="2">
        <v>11.84</v>
      </c>
      <c r="AF555" s="2">
        <v>65.81</v>
      </c>
      <c r="AG555" s="2">
        <v>12.92</v>
      </c>
    </row>
    <row r="556" spans="1:33" x14ac:dyDescent="0.2">
      <c r="A556" s="3">
        <v>24837</v>
      </c>
      <c r="B556" s="2">
        <v>-0.22</v>
      </c>
      <c r="C556" s="2">
        <v>16.43</v>
      </c>
      <c r="D556" s="2">
        <v>-1.6</v>
      </c>
      <c r="E556" s="2">
        <v>1.34</v>
      </c>
      <c r="F556" s="2">
        <v>-2.54</v>
      </c>
      <c r="G556" s="2">
        <v>13.76</v>
      </c>
      <c r="H556" s="2">
        <v>12.01</v>
      </c>
      <c r="I556" s="2">
        <v>36.42</v>
      </c>
      <c r="J556" s="2">
        <v>10.14</v>
      </c>
      <c r="K556" s="2">
        <v>-1.39</v>
      </c>
      <c r="L556" s="2">
        <v>6.66</v>
      </c>
      <c r="M556" s="2">
        <v>0.45</v>
      </c>
      <c r="N556" s="2">
        <v>15.01</v>
      </c>
      <c r="O556" s="2">
        <v>12.57</v>
      </c>
      <c r="P556" s="2">
        <v>29.45</v>
      </c>
      <c r="Q556" s="2">
        <v>3.13</v>
      </c>
      <c r="R556" s="2">
        <v>9.4600000000000009</v>
      </c>
      <c r="S556" s="2">
        <v>7.05</v>
      </c>
      <c r="T556" s="2">
        <v>14.9</v>
      </c>
      <c r="U556" s="2">
        <v>5.55</v>
      </c>
      <c r="V556" s="2">
        <v>10.119999999999999</v>
      </c>
      <c r="W556" s="2">
        <v>11.73</v>
      </c>
      <c r="X556" s="2">
        <v>9.3800000000000008</v>
      </c>
      <c r="Y556" s="2">
        <v>9.2899999999999991</v>
      </c>
      <c r="Z556" s="2">
        <v>0</v>
      </c>
      <c r="AA556" s="2">
        <v>7.74</v>
      </c>
      <c r="AB556" s="2">
        <v>0.47</v>
      </c>
      <c r="AC556" s="2">
        <v>13.54</v>
      </c>
      <c r="AD556" s="2">
        <v>1.53</v>
      </c>
      <c r="AE556" s="2">
        <v>20.04</v>
      </c>
      <c r="AF556" s="2">
        <v>60.46</v>
      </c>
      <c r="AG556" s="2">
        <v>11.2</v>
      </c>
    </row>
    <row r="557" spans="1:33" x14ac:dyDescent="0.2">
      <c r="A557" s="3">
        <v>24868</v>
      </c>
      <c r="B557" s="2">
        <v>-0.7</v>
      </c>
      <c r="C557" s="2">
        <v>23.53</v>
      </c>
      <c r="D557" s="2">
        <v>25.09</v>
      </c>
      <c r="E557" s="2">
        <v>52.26</v>
      </c>
      <c r="F557" s="2">
        <v>35.79</v>
      </c>
      <c r="G557" s="2">
        <v>91.05</v>
      </c>
      <c r="H557" s="2">
        <v>22.99</v>
      </c>
      <c r="I557" s="2">
        <v>40.369999999999997</v>
      </c>
      <c r="J557" s="2">
        <v>21.69</v>
      </c>
      <c r="K557" s="2">
        <v>2.52</v>
      </c>
      <c r="L557" s="2">
        <v>-6.19</v>
      </c>
      <c r="M557" s="2">
        <v>-6.33</v>
      </c>
      <c r="N557" s="2">
        <v>17.149999999999999</v>
      </c>
      <c r="O557" s="2">
        <v>14.06</v>
      </c>
      <c r="P557" s="2">
        <v>21.1</v>
      </c>
      <c r="Q557" s="2">
        <v>1.2</v>
      </c>
      <c r="R557" s="2">
        <v>12.93</v>
      </c>
      <c r="S557" s="2">
        <v>-5.52</v>
      </c>
      <c r="T557" s="2">
        <v>12.86</v>
      </c>
      <c r="U557" s="2">
        <v>5.1100000000000003</v>
      </c>
      <c r="V557" s="2">
        <v>13.96</v>
      </c>
      <c r="W557" s="2">
        <v>4.26</v>
      </c>
      <c r="X557" s="2">
        <v>6.75</v>
      </c>
      <c r="Y557" s="2">
        <v>5.37</v>
      </c>
      <c r="Z557" s="2">
        <v>1.39</v>
      </c>
      <c r="AA557" s="2">
        <v>0</v>
      </c>
      <c r="AB557" s="2">
        <v>0.1</v>
      </c>
      <c r="AC557" s="2">
        <v>0</v>
      </c>
      <c r="AD557" s="2">
        <v>1.18</v>
      </c>
      <c r="AE557" s="2">
        <v>50.06</v>
      </c>
      <c r="AF557" s="2">
        <v>75.3</v>
      </c>
      <c r="AG557" s="2">
        <v>9.8800000000000008</v>
      </c>
    </row>
    <row r="558" spans="1:33" x14ac:dyDescent="0.2">
      <c r="A558" s="3">
        <v>24897</v>
      </c>
      <c r="B558" s="2">
        <v>7.76</v>
      </c>
      <c r="C558" s="2">
        <v>32.68</v>
      </c>
      <c r="D558" s="2">
        <v>20.9</v>
      </c>
      <c r="E558" s="2">
        <v>75.58</v>
      </c>
      <c r="F558" s="2">
        <v>57.23</v>
      </c>
      <c r="G558" s="2">
        <v>106.01</v>
      </c>
      <c r="H558" s="2">
        <v>28.07</v>
      </c>
      <c r="I558" s="2">
        <v>43.3</v>
      </c>
      <c r="J558" s="2">
        <v>18.920000000000002</v>
      </c>
      <c r="K558" s="2">
        <v>-2.13</v>
      </c>
      <c r="L558" s="2">
        <v>-16.53</v>
      </c>
      <c r="M558" s="2">
        <v>-4.25</v>
      </c>
      <c r="N558" s="2">
        <v>24.21</v>
      </c>
      <c r="O558" s="2">
        <v>12.07</v>
      </c>
      <c r="P558" s="2">
        <v>7.56</v>
      </c>
      <c r="Q558" s="2">
        <v>0.94</v>
      </c>
      <c r="R558" s="2">
        <v>9.73</v>
      </c>
      <c r="S558" s="2">
        <v>-7.68</v>
      </c>
      <c r="T558" s="2">
        <v>10.6</v>
      </c>
      <c r="U558" s="2">
        <v>4.26</v>
      </c>
      <c r="V558" s="2">
        <v>18.350000000000001</v>
      </c>
      <c r="W558" s="2">
        <v>0</v>
      </c>
      <c r="X558" s="2">
        <v>0.72</v>
      </c>
      <c r="Y558" s="2">
        <v>0.68</v>
      </c>
      <c r="Z558" s="2">
        <v>1.96</v>
      </c>
      <c r="AA558" s="2">
        <v>0.14000000000000001</v>
      </c>
      <c r="AB558" s="2">
        <v>2.2200000000000002</v>
      </c>
      <c r="AC558" s="2">
        <v>0.68</v>
      </c>
      <c r="AD558" s="2">
        <v>1.54</v>
      </c>
      <c r="AE558" s="2">
        <v>7.18</v>
      </c>
      <c r="AF558" s="2">
        <v>62.77</v>
      </c>
      <c r="AG558" s="2">
        <v>10.08</v>
      </c>
    </row>
    <row r="559" spans="1:33" x14ac:dyDescent="0.2">
      <c r="A559" s="3">
        <v>24928</v>
      </c>
      <c r="B559" s="2">
        <v>5.6</v>
      </c>
      <c r="C559" s="2">
        <v>17.93</v>
      </c>
      <c r="D559" s="2">
        <v>-21.45</v>
      </c>
      <c r="E559" s="2">
        <v>-45.04</v>
      </c>
      <c r="F559" s="2">
        <v>-17.12</v>
      </c>
      <c r="G559" s="2">
        <v>-19.829999999999998</v>
      </c>
      <c r="H559" s="2">
        <v>6.93</v>
      </c>
      <c r="I559" s="2">
        <v>38.82</v>
      </c>
      <c r="J559" s="2">
        <v>8.48</v>
      </c>
      <c r="K559" s="2">
        <v>5.57</v>
      </c>
      <c r="L559" s="2">
        <v>1.88</v>
      </c>
      <c r="M559" s="2">
        <v>4.03</v>
      </c>
      <c r="N559" s="2">
        <v>33.72</v>
      </c>
      <c r="O559" s="2">
        <v>21.56</v>
      </c>
      <c r="P559" s="2">
        <v>65.459999999999994</v>
      </c>
      <c r="Q559" s="2">
        <v>0.89</v>
      </c>
      <c r="R559" s="2">
        <v>3.5</v>
      </c>
      <c r="S559" s="2">
        <v>4.6100000000000003</v>
      </c>
      <c r="T559" s="2">
        <v>28.59</v>
      </c>
      <c r="U559" s="2">
        <v>-1.1399999999999999</v>
      </c>
      <c r="V559" s="2">
        <v>19.29</v>
      </c>
      <c r="W559" s="2">
        <v>0</v>
      </c>
      <c r="X559" s="2">
        <v>1.1399999999999999</v>
      </c>
      <c r="Y559" s="2">
        <v>0.12</v>
      </c>
      <c r="Z559" s="2">
        <v>3.64</v>
      </c>
      <c r="AA559" s="2">
        <v>7.74</v>
      </c>
      <c r="AB559" s="2">
        <v>0.72</v>
      </c>
      <c r="AC559" s="2">
        <v>9.8800000000000008</v>
      </c>
      <c r="AD559" s="2">
        <v>3.26</v>
      </c>
      <c r="AE559" s="2">
        <v>24.42</v>
      </c>
      <c r="AF559" s="2">
        <v>74.069999999999993</v>
      </c>
      <c r="AG559" s="2">
        <v>10.69</v>
      </c>
    </row>
    <row r="560" spans="1:33" x14ac:dyDescent="0.2">
      <c r="A560" s="3">
        <v>24958</v>
      </c>
      <c r="B560" s="2">
        <v>0.92</v>
      </c>
      <c r="C560" s="2">
        <v>18.579999999999998</v>
      </c>
      <c r="D560" s="2">
        <v>-25.57</v>
      </c>
      <c r="E560" s="2">
        <v>-49.81</v>
      </c>
      <c r="F560" s="2">
        <v>-18.100000000000001</v>
      </c>
      <c r="G560" s="2">
        <v>-34.729999999999997</v>
      </c>
      <c r="H560" s="2">
        <v>-1.22</v>
      </c>
      <c r="I560" s="2">
        <v>36.72</v>
      </c>
      <c r="J560" s="2">
        <v>-12.47</v>
      </c>
      <c r="K560" s="2">
        <v>-1.38</v>
      </c>
      <c r="L560" s="2">
        <v>-13.78</v>
      </c>
      <c r="M560" s="2">
        <v>-8.76</v>
      </c>
      <c r="N560" s="2">
        <v>26.04</v>
      </c>
      <c r="O560" s="2">
        <v>11.99</v>
      </c>
      <c r="P560" s="2">
        <v>44.38</v>
      </c>
      <c r="Q560" s="2">
        <v>-4.34</v>
      </c>
      <c r="R560" s="2">
        <v>0.78</v>
      </c>
      <c r="S560" s="2">
        <v>-2.25</v>
      </c>
      <c r="T560" s="2">
        <v>22.23</v>
      </c>
      <c r="U560" s="2">
        <v>-6.6</v>
      </c>
      <c r="V560" s="2">
        <v>17.61</v>
      </c>
      <c r="W560" s="2">
        <v>0</v>
      </c>
      <c r="X560" s="2">
        <v>1.35</v>
      </c>
      <c r="Y560" s="2">
        <v>0.57999999999999996</v>
      </c>
      <c r="Z560" s="2">
        <v>2.11</v>
      </c>
      <c r="AA560" s="2">
        <v>1.1499999999999999</v>
      </c>
      <c r="AB560" s="2">
        <v>0.05</v>
      </c>
      <c r="AC560" s="2">
        <v>0.95</v>
      </c>
      <c r="AD560" s="2">
        <v>3.57</v>
      </c>
      <c r="AE560" s="2">
        <v>5.31</v>
      </c>
      <c r="AF560" s="2">
        <v>91.65</v>
      </c>
      <c r="AG560" s="2">
        <v>14.64</v>
      </c>
    </row>
    <row r="561" spans="1:33" x14ac:dyDescent="0.2">
      <c r="A561" s="3">
        <v>24989</v>
      </c>
      <c r="B561" s="2">
        <v>1.41</v>
      </c>
      <c r="C561" s="2">
        <v>15.2</v>
      </c>
      <c r="D561" s="2">
        <v>-9.4499999999999993</v>
      </c>
      <c r="E561" s="2">
        <v>-28.22</v>
      </c>
      <c r="F561" s="2">
        <v>-1.57</v>
      </c>
      <c r="G561" s="2">
        <v>-11.22</v>
      </c>
      <c r="H561" s="2">
        <v>4.75</v>
      </c>
      <c r="I561" s="2">
        <v>31.14</v>
      </c>
      <c r="J561" s="2">
        <v>-17.600000000000001</v>
      </c>
      <c r="K561" s="2">
        <v>-7.15</v>
      </c>
      <c r="L561" s="2">
        <v>-11.92</v>
      </c>
      <c r="M561" s="2">
        <v>-1.31</v>
      </c>
      <c r="N561" s="2">
        <v>26.51</v>
      </c>
      <c r="O561" s="2">
        <v>21.53</v>
      </c>
      <c r="P561" s="2">
        <v>45.28</v>
      </c>
      <c r="Q561" s="2">
        <v>-5.19</v>
      </c>
      <c r="R561" s="2">
        <v>1.2</v>
      </c>
      <c r="S561" s="2">
        <v>25.75</v>
      </c>
      <c r="T561" s="2">
        <v>32.24</v>
      </c>
      <c r="U561" s="2">
        <v>-1.04</v>
      </c>
      <c r="V561" s="2">
        <v>29.26</v>
      </c>
      <c r="W561" s="2">
        <v>4.88</v>
      </c>
      <c r="X561" s="2">
        <v>3.83</v>
      </c>
      <c r="Y561" s="2">
        <v>2.42</v>
      </c>
      <c r="Z561" s="2">
        <v>0</v>
      </c>
      <c r="AA561" s="2">
        <v>0</v>
      </c>
      <c r="AB561" s="2">
        <v>0.41</v>
      </c>
      <c r="AC561" s="2">
        <v>0</v>
      </c>
      <c r="AD561" s="2">
        <v>5.62</v>
      </c>
      <c r="AE561" s="2">
        <v>1.68</v>
      </c>
      <c r="AF561" s="2">
        <v>103.51</v>
      </c>
      <c r="AG561" s="2">
        <v>17.690000000000001</v>
      </c>
    </row>
    <row r="562" spans="1:33" x14ac:dyDescent="0.2">
      <c r="A562" s="3">
        <v>25019</v>
      </c>
      <c r="B562" s="2">
        <v>1.62</v>
      </c>
      <c r="C562" s="2">
        <v>17.78</v>
      </c>
      <c r="D562" s="2">
        <v>-13.77</v>
      </c>
      <c r="E562" s="2">
        <v>-26.06</v>
      </c>
      <c r="F562" s="2">
        <v>-6.84</v>
      </c>
      <c r="G562" s="2">
        <v>4.97</v>
      </c>
      <c r="H562" s="2">
        <v>7.01</v>
      </c>
      <c r="I562" s="2">
        <v>32.090000000000003</v>
      </c>
      <c r="J562" s="2">
        <v>-13.83</v>
      </c>
      <c r="K562" s="2">
        <v>-1.34</v>
      </c>
      <c r="L562" s="2">
        <v>-1.19</v>
      </c>
      <c r="M562" s="2">
        <v>4.59</v>
      </c>
      <c r="N562" s="2">
        <v>28.58</v>
      </c>
      <c r="O562" s="2">
        <v>66.709999999999994</v>
      </c>
      <c r="P562" s="2">
        <v>116.49</v>
      </c>
      <c r="Q562" s="2">
        <v>5.19</v>
      </c>
      <c r="R562" s="2">
        <v>3.49</v>
      </c>
      <c r="S562" s="2">
        <v>64.239999999999995</v>
      </c>
      <c r="T562" s="2">
        <v>73.44</v>
      </c>
      <c r="U562" s="2">
        <v>8.9</v>
      </c>
      <c r="V562" s="2">
        <v>51.2</v>
      </c>
      <c r="W562" s="2">
        <v>18.62</v>
      </c>
      <c r="X562" s="2">
        <v>8.7899999999999991</v>
      </c>
      <c r="Y562" s="2">
        <v>8.0299999999999994</v>
      </c>
      <c r="Z562" s="2">
        <v>0</v>
      </c>
      <c r="AA562" s="2">
        <v>0</v>
      </c>
      <c r="AB562" s="2">
        <v>0.05</v>
      </c>
      <c r="AC562" s="2">
        <v>0.41</v>
      </c>
      <c r="AD562" s="2">
        <v>9.19</v>
      </c>
      <c r="AE562" s="2">
        <v>0</v>
      </c>
      <c r="AF562" s="2">
        <v>113.28</v>
      </c>
      <c r="AG562" s="2">
        <v>22.83</v>
      </c>
    </row>
    <row r="563" spans="1:33" x14ac:dyDescent="0.2">
      <c r="A563" s="3">
        <v>25050</v>
      </c>
      <c r="B563" s="2">
        <v>2.33</v>
      </c>
      <c r="C563" s="2">
        <v>21.2</v>
      </c>
      <c r="D563" s="2">
        <v>-11.22</v>
      </c>
      <c r="E563" s="2">
        <v>-10.65</v>
      </c>
      <c r="F563" s="2">
        <v>-10.65</v>
      </c>
      <c r="G563" s="2">
        <v>20.28</v>
      </c>
      <c r="H563" s="2">
        <v>11.73</v>
      </c>
      <c r="I563" s="2">
        <v>35.94</v>
      </c>
      <c r="J563" s="2">
        <v>-10.93</v>
      </c>
      <c r="K563" s="2">
        <v>3.86</v>
      </c>
      <c r="L563" s="2">
        <v>6.63</v>
      </c>
      <c r="M563" s="2">
        <v>8.81</v>
      </c>
      <c r="N563" s="2">
        <v>38.25</v>
      </c>
      <c r="O563" s="2">
        <v>107.18</v>
      </c>
      <c r="P563" s="2">
        <v>155.16999999999999</v>
      </c>
      <c r="Q563" s="2">
        <v>1.63</v>
      </c>
      <c r="R563" s="2">
        <v>4.5199999999999996</v>
      </c>
      <c r="S563" s="2">
        <v>84.94</v>
      </c>
      <c r="T563" s="2">
        <v>58.76</v>
      </c>
      <c r="U563" s="2">
        <v>24.25</v>
      </c>
      <c r="V563" s="2">
        <v>54</v>
      </c>
      <c r="W563" s="2">
        <v>30.39</v>
      </c>
      <c r="X563" s="2">
        <v>13.62</v>
      </c>
      <c r="Y563" s="2">
        <v>13.25</v>
      </c>
      <c r="Z563" s="2">
        <v>0</v>
      </c>
      <c r="AA563" s="2">
        <v>17.78</v>
      </c>
      <c r="AB563" s="2">
        <v>1.66</v>
      </c>
      <c r="AC563" s="2">
        <v>9.07</v>
      </c>
      <c r="AD563" s="2">
        <v>11.76</v>
      </c>
      <c r="AE563" s="2">
        <v>0</v>
      </c>
      <c r="AF563" s="2">
        <v>123.36</v>
      </c>
      <c r="AG563" s="2">
        <v>24.8</v>
      </c>
    </row>
    <row r="564" spans="1:33" x14ac:dyDescent="0.2">
      <c r="A564" s="3">
        <v>25081</v>
      </c>
      <c r="B564" s="2">
        <v>1.78</v>
      </c>
      <c r="C564" s="2">
        <v>21.54</v>
      </c>
      <c r="D564" s="2">
        <v>-10.76</v>
      </c>
      <c r="E564" s="2">
        <v>-13.38</v>
      </c>
      <c r="F564" s="2">
        <v>6.86</v>
      </c>
      <c r="G564" s="2">
        <v>21.84</v>
      </c>
      <c r="H564" s="2">
        <v>11.94</v>
      </c>
      <c r="I564" s="2">
        <v>34.61</v>
      </c>
      <c r="J564" s="2">
        <v>-2.75</v>
      </c>
      <c r="K564" s="2">
        <v>-0.92</v>
      </c>
      <c r="L564" s="2">
        <v>4.32</v>
      </c>
      <c r="M564" s="2">
        <v>7.6</v>
      </c>
      <c r="N564" s="2">
        <v>30.85</v>
      </c>
      <c r="O564" s="2">
        <v>83.54</v>
      </c>
      <c r="P564" s="2">
        <v>136.16</v>
      </c>
      <c r="Q564" s="2">
        <v>2.61</v>
      </c>
      <c r="R564" s="2">
        <v>1.96</v>
      </c>
      <c r="S564" s="2">
        <v>66.92</v>
      </c>
      <c r="T564" s="2">
        <v>51.67</v>
      </c>
      <c r="U564" s="2">
        <v>19.32</v>
      </c>
      <c r="V564" s="2">
        <v>45.47</v>
      </c>
      <c r="W564" s="2">
        <v>31.47</v>
      </c>
      <c r="X564" s="2">
        <v>15.86</v>
      </c>
      <c r="Y564" s="2">
        <v>15.6</v>
      </c>
      <c r="Z564" s="2">
        <v>6.99</v>
      </c>
      <c r="AA564" s="2">
        <v>0</v>
      </c>
      <c r="AB564" s="2">
        <v>0</v>
      </c>
      <c r="AC564" s="2">
        <v>6.5</v>
      </c>
      <c r="AD564" s="2">
        <v>7.04</v>
      </c>
      <c r="AE564" s="2">
        <v>18.27</v>
      </c>
      <c r="AF564" s="2">
        <v>125.46</v>
      </c>
      <c r="AG564" s="2">
        <v>23.65</v>
      </c>
    </row>
    <row r="565" spans="1:33" x14ac:dyDescent="0.2">
      <c r="A565" s="3">
        <v>25111</v>
      </c>
      <c r="B565" s="2">
        <v>-1.1399999999999999</v>
      </c>
      <c r="C565" s="2">
        <v>16.96</v>
      </c>
      <c r="D565" s="2">
        <v>-11.41</v>
      </c>
      <c r="E565" s="2">
        <v>-14.77</v>
      </c>
      <c r="F565" s="2">
        <v>14.44</v>
      </c>
      <c r="G565" s="2">
        <v>17.920000000000002</v>
      </c>
      <c r="H565" s="2">
        <v>17.53</v>
      </c>
      <c r="I565" s="2">
        <v>40.33</v>
      </c>
      <c r="J565" s="2">
        <v>8.42</v>
      </c>
      <c r="K565" s="2">
        <v>-9.8000000000000007</v>
      </c>
      <c r="L565" s="2">
        <v>2.52</v>
      </c>
      <c r="M565" s="2">
        <v>3.39</v>
      </c>
      <c r="N565" s="2">
        <v>37.21</v>
      </c>
      <c r="O565" s="2">
        <v>15.27</v>
      </c>
      <c r="P565" s="2">
        <v>71.77</v>
      </c>
      <c r="Q565" s="2">
        <v>5.52</v>
      </c>
      <c r="R565" s="2">
        <v>11.33</v>
      </c>
      <c r="S565" s="2">
        <v>10.95</v>
      </c>
      <c r="T565" s="2">
        <v>15.38</v>
      </c>
      <c r="U565" s="2">
        <v>4.57</v>
      </c>
      <c r="V565" s="2">
        <v>13.37</v>
      </c>
      <c r="W565" s="2">
        <v>26.1</v>
      </c>
      <c r="X565" s="2">
        <v>15.17</v>
      </c>
      <c r="Y565" s="2">
        <v>14.72</v>
      </c>
      <c r="Z565" s="2">
        <v>0</v>
      </c>
      <c r="AA565" s="2">
        <v>0</v>
      </c>
      <c r="AB565" s="2">
        <v>0</v>
      </c>
      <c r="AC565" s="2">
        <v>0</v>
      </c>
      <c r="AD565" s="2">
        <v>4.71</v>
      </c>
      <c r="AE565" s="2">
        <v>0</v>
      </c>
      <c r="AF565" s="2">
        <v>116.86</v>
      </c>
      <c r="AG565" s="2">
        <v>20.170000000000002</v>
      </c>
    </row>
    <row r="566" spans="1:33" x14ac:dyDescent="0.2">
      <c r="A566" s="3">
        <v>25142</v>
      </c>
      <c r="B566" s="2">
        <v>-1.47</v>
      </c>
      <c r="C566" s="2">
        <v>15.78</v>
      </c>
      <c r="D566" s="2">
        <v>-9.2200000000000006</v>
      </c>
      <c r="E566" s="2">
        <v>-15.69</v>
      </c>
      <c r="F566" s="2">
        <v>5.72</v>
      </c>
      <c r="G566" s="2">
        <v>13.9</v>
      </c>
      <c r="H566" s="2">
        <v>14.65</v>
      </c>
      <c r="I566" s="2">
        <v>37.64</v>
      </c>
      <c r="J566" s="2">
        <v>8.1300000000000008</v>
      </c>
      <c r="K566" s="2">
        <v>-2.1800000000000002</v>
      </c>
      <c r="L566" s="2">
        <v>4.37</v>
      </c>
      <c r="M566" s="2">
        <v>5.34</v>
      </c>
      <c r="N566" s="2">
        <v>24.85</v>
      </c>
      <c r="O566" s="2">
        <v>13.46</v>
      </c>
      <c r="P566" s="2">
        <v>38.4</v>
      </c>
      <c r="Q566" s="2">
        <v>0.87</v>
      </c>
      <c r="R566" s="2">
        <v>3.98</v>
      </c>
      <c r="S566" s="2">
        <v>8.08</v>
      </c>
      <c r="T566" s="2">
        <v>15.96</v>
      </c>
      <c r="U566" s="2">
        <v>3.07</v>
      </c>
      <c r="V566" s="2">
        <v>10.81</v>
      </c>
      <c r="W566" s="2">
        <v>22.19</v>
      </c>
      <c r="X566" s="2">
        <v>14.16</v>
      </c>
      <c r="Y566" s="2">
        <v>13.7</v>
      </c>
      <c r="Z566" s="2">
        <v>0.28999999999999998</v>
      </c>
      <c r="AA566" s="2">
        <v>1.43</v>
      </c>
      <c r="AB566" s="2">
        <v>0.52</v>
      </c>
      <c r="AC566" s="2">
        <v>2.84</v>
      </c>
      <c r="AD566" s="2">
        <v>7.02</v>
      </c>
      <c r="AE566" s="2">
        <v>2.8</v>
      </c>
      <c r="AF566" s="2">
        <v>105.99</v>
      </c>
      <c r="AG566" s="2">
        <v>16.420000000000002</v>
      </c>
    </row>
    <row r="567" spans="1:33" x14ac:dyDescent="0.2">
      <c r="A567" s="3">
        <v>25172</v>
      </c>
      <c r="B567" s="2">
        <v>-0.59</v>
      </c>
      <c r="C567" s="2">
        <v>16.71</v>
      </c>
      <c r="D567" s="2">
        <v>3.04</v>
      </c>
      <c r="E567" s="2">
        <v>6.57</v>
      </c>
      <c r="F567" s="2">
        <v>17.98</v>
      </c>
      <c r="G567" s="2">
        <v>22.85</v>
      </c>
      <c r="H567" s="2">
        <v>15.33</v>
      </c>
      <c r="I567" s="2">
        <v>37.28</v>
      </c>
      <c r="J567" s="2">
        <v>17.64</v>
      </c>
      <c r="K567" s="2">
        <v>10.56</v>
      </c>
      <c r="L567" s="2">
        <v>11.91</v>
      </c>
      <c r="M567" s="2">
        <v>13.11</v>
      </c>
      <c r="N567" s="2">
        <v>27.16</v>
      </c>
      <c r="O567" s="2">
        <v>12.28</v>
      </c>
      <c r="P567" s="2">
        <v>34.76</v>
      </c>
      <c r="Q567" s="2">
        <v>-0.22</v>
      </c>
      <c r="R567" s="2">
        <v>3.69</v>
      </c>
      <c r="S567" s="2">
        <v>5.3</v>
      </c>
      <c r="T567" s="2">
        <v>15.65</v>
      </c>
      <c r="U567" s="2">
        <v>3.24</v>
      </c>
      <c r="V567" s="2">
        <v>11.05</v>
      </c>
      <c r="W567" s="2">
        <v>15.43</v>
      </c>
      <c r="X567" s="2">
        <v>9.18</v>
      </c>
      <c r="Y567" s="2">
        <v>7.73</v>
      </c>
      <c r="Z567" s="2">
        <v>2.4900000000000002</v>
      </c>
      <c r="AA567" s="2">
        <v>0</v>
      </c>
      <c r="AB567" s="2">
        <v>0.81</v>
      </c>
      <c r="AC567" s="2">
        <v>4.5999999999999996</v>
      </c>
      <c r="AD567" s="2">
        <v>4.58</v>
      </c>
      <c r="AE567" s="2">
        <v>18.829999999999998</v>
      </c>
      <c r="AF567" s="2">
        <v>69.540000000000006</v>
      </c>
      <c r="AG567" s="2">
        <v>12.92</v>
      </c>
    </row>
    <row r="568" spans="1:33" x14ac:dyDescent="0.2">
      <c r="A568" s="3">
        <v>25203</v>
      </c>
      <c r="B568" s="2">
        <v>2.2599999999999998</v>
      </c>
      <c r="C568" s="2">
        <v>25.5</v>
      </c>
      <c r="D568" s="2">
        <v>24.87</v>
      </c>
      <c r="E568" s="2">
        <v>53.71</v>
      </c>
      <c r="F568" s="2">
        <v>39.090000000000003</v>
      </c>
      <c r="G568" s="2">
        <v>89.8</v>
      </c>
      <c r="H568" s="2">
        <v>23.64</v>
      </c>
      <c r="I568" s="2">
        <v>41.06</v>
      </c>
      <c r="J568" s="2">
        <v>35.75</v>
      </c>
      <c r="K568" s="2">
        <v>22.96</v>
      </c>
      <c r="L568" s="2">
        <v>25.17</v>
      </c>
      <c r="M568" s="2">
        <v>28.75</v>
      </c>
      <c r="N568" s="2">
        <v>44.55</v>
      </c>
      <c r="O568" s="2">
        <v>11.84</v>
      </c>
      <c r="P568" s="2">
        <v>37.76</v>
      </c>
      <c r="Q568" s="2">
        <v>-0.16</v>
      </c>
      <c r="R568" s="2">
        <v>6.11</v>
      </c>
      <c r="S568" s="2">
        <v>24.31</v>
      </c>
      <c r="T568" s="2">
        <v>14.06</v>
      </c>
      <c r="U568" s="2">
        <v>3.84</v>
      </c>
      <c r="V568" s="2">
        <v>11.48</v>
      </c>
      <c r="W568" s="2">
        <v>11.73</v>
      </c>
      <c r="X568" s="2">
        <v>7.21</v>
      </c>
      <c r="Y568" s="2">
        <v>6.98</v>
      </c>
      <c r="Z568" s="2">
        <v>1.05</v>
      </c>
      <c r="AA568" s="2">
        <v>3.15</v>
      </c>
      <c r="AB568" s="2">
        <v>1.85</v>
      </c>
      <c r="AC568" s="2">
        <v>1.76</v>
      </c>
      <c r="AD568" s="2">
        <v>4.43</v>
      </c>
      <c r="AE568" s="2">
        <v>17.25</v>
      </c>
      <c r="AF568" s="2">
        <v>63.89</v>
      </c>
      <c r="AG568" s="2">
        <v>11.2</v>
      </c>
    </row>
    <row r="569" spans="1:33" x14ac:dyDescent="0.2">
      <c r="A569" s="3">
        <v>25234</v>
      </c>
      <c r="B569" s="2">
        <v>11.76</v>
      </c>
      <c r="C569" s="2">
        <v>51.96</v>
      </c>
      <c r="D569" s="2">
        <v>71.02</v>
      </c>
      <c r="E569" s="2">
        <v>247.06</v>
      </c>
      <c r="F569" s="2">
        <v>270.55</v>
      </c>
      <c r="G569" s="2">
        <v>275.77999999999997</v>
      </c>
      <c r="H569" s="2">
        <v>43.15</v>
      </c>
      <c r="I569" s="2">
        <v>62.06</v>
      </c>
      <c r="J569" s="2">
        <v>154.52000000000001</v>
      </c>
      <c r="K569" s="2">
        <v>173.63</v>
      </c>
      <c r="L569" s="2">
        <v>137.77000000000001</v>
      </c>
      <c r="M569" s="2">
        <v>101.79</v>
      </c>
      <c r="N569" s="2">
        <v>242.53</v>
      </c>
      <c r="O569" s="2">
        <v>19.41</v>
      </c>
      <c r="P569" s="2">
        <v>374.01</v>
      </c>
      <c r="Q569" s="2">
        <v>3.21</v>
      </c>
      <c r="R569" s="2">
        <v>21.4</v>
      </c>
      <c r="S569" s="2">
        <v>240.89</v>
      </c>
      <c r="T569" s="2">
        <v>153.91999999999999</v>
      </c>
      <c r="U569" s="2">
        <v>6.86</v>
      </c>
      <c r="V569" s="2">
        <v>51.7</v>
      </c>
      <c r="W569" s="2">
        <v>4.26</v>
      </c>
      <c r="X569" s="2">
        <v>9.3000000000000007</v>
      </c>
      <c r="Y569" s="2">
        <v>8.11</v>
      </c>
      <c r="Z569" s="2">
        <v>16.32</v>
      </c>
      <c r="AA569" s="2">
        <v>10.18</v>
      </c>
      <c r="AB569" s="2">
        <v>61.85</v>
      </c>
      <c r="AC569" s="2">
        <v>13.54</v>
      </c>
      <c r="AD569" s="2">
        <v>4.05</v>
      </c>
      <c r="AE569" s="2">
        <v>51.83</v>
      </c>
      <c r="AF569" s="2">
        <v>71.25</v>
      </c>
      <c r="AG569" s="2">
        <v>9.8800000000000008</v>
      </c>
    </row>
    <row r="570" spans="1:33" x14ac:dyDescent="0.2">
      <c r="A570" s="3">
        <v>25262</v>
      </c>
      <c r="B570" s="2">
        <v>18.36</v>
      </c>
      <c r="C570" s="2">
        <v>61.69</v>
      </c>
      <c r="D570" s="2">
        <v>49.9</v>
      </c>
      <c r="E570" s="2">
        <v>93.7</v>
      </c>
      <c r="F570" s="2">
        <v>82.92</v>
      </c>
      <c r="G570" s="2">
        <v>153.41999999999999</v>
      </c>
      <c r="H570" s="2">
        <v>38.840000000000003</v>
      </c>
      <c r="I570" s="2">
        <v>64.739999999999995</v>
      </c>
      <c r="J570" s="2">
        <v>81.19</v>
      </c>
      <c r="K570" s="2">
        <v>89.84</v>
      </c>
      <c r="L570" s="2">
        <v>49.55</v>
      </c>
      <c r="M570" s="2">
        <v>66.5</v>
      </c>
      <c r="N570" s="2">
        <v>208.47</v>
      </c>
      <c r="O570" s="2">
        <v>18.07</v>
      </c>
      <c r="P570" s="2">
        <v>300.17</v>
      </c>
      <c r="Q570" s="2">
        <v>26.09</v>
      </c>
      <c r="R570" s="2">
        <v>46.28</v>
      </c>
      <c r="S570" s="2">
        <v>214.39</v>
      </c>
      <c r="T570" s="2">
        <v>171.94</v>
      </c>
      <c r="U570" s="2">
        <v>10.08</v>
      </c>
      <c r="V570" s="2">
        <v>44.24</v>
      </c>
      <c r="W570" s="2">
        <v>0</v>
      </c>
      <c r="X570" s="2">
        <v>2.89</v>
      </c>
      <c r="Y570" s="2">
        <v>3.13</v>
      </c>
      <c r="Z570" s="2">
        <v>20.2</v>
      </c>
      <c r="AA570" s="2">
        <v>3.3</v>
      </c>
      <c r="AB570" s="2">
        <v>21.25</v>
      </c>
      <c r="AC570" s="2">
        <v>29.78</v>
      </c>
      <c r="AD570" s="2">
        <v>4.3</v>
      </c>
      <c r="AE570" s="2">
        <v>61.81</v>
      </c>
      <c r="AF570" s="2">
        <v>59.39</v>
      </c>
      <c r="AG570" s="2">
        <v>10.08</v>
      </c>
    </row>
    <row r="571" spans="1:33" x14ac:dyDescent="0.2">
      <c r="A571" s="3">
        <v>25293</v>
      </c>
      <c r="B571" s="2">
        <v>10.75</v>
      </c>
      <c r="C571" s="2">
        <v>41.52</v>
      </c>
      <c r="D571" s="2">
        <v>-43.85</v>
      </c>
      <c r="E571" s="2">
        <v>-123.38</v>
      </c>
      <c r="F571" s="2">
        <v>-81.22</v>
      </c>
      <c r="G571" s="2">
        <v>-113.73</v>
      </c>
      <c r="H571" s="2">
        <v>10</v>
      </c>
      <c r="I571" s="2">
        <v>57.6</v>
      </c>
      <c r="J571" s="2">
        <v>-4.0199999999999996</v>
      </c>
      <c r="K571" s="2">
        <v>-38.78</v>
      </c>
      <c r="L571" s="2">
        <v>-15.24</v>
      </c>
      <c r="M571" s="2">
        <v>-21.59</v>
      </c>
      <c r="N571" s="2">
        <v>90.47</v>
      </c>
      <c r="O571" s="2">
        <v>17.489999999999998</v>
      </c>
      <c r="P571" s="2">
        <v>93.44</v>
      </c>
      <c r="Q571" s="2">
        <v>31.44</v>
      </c>
      <c r="R571" s="2">
        <v>39.75</v>
      </c>
      <c r="S571" s="2">
        <v>44.99</v>
      </c>
      <c r="T571" s="2">
        <v>140.96</v>
      </c>
      <c r="U571" s="2">
        <v>10.06</v>
      </c>
      <c r="V571" s="2">
        <v>51.01</v>
      </c>
      <c r="W571" s="2">
        <v>0</v>
      </c>
      <c r="X571" s="2">
        <v>3.7</v>
      </c>
      <c r="Y571" s="2">
        <v>2.87</v>
      </c>
      <c r="Z571" s="2">
        <v>1.24</v>
      </c>
      <c r="AA571" s="2">
        <v>0.14000000000000001</v>
      </c>
      <c r="AB571" s="2">
        <v>2.14</v>
      </c>
      <c r="AC571" s="2">
        <v>3.25</v>
      </c>
      <c r="AD571" s="2">
        <v>6.59</v>
      </c>
      <c r="AE571" s="2">
        <v>9.9700000000000006</v>
      </c>
      <c r="AF571" s="2">
        <v>70.09</v>
      </c>
      <c r="AG571" s="2">
        <v>10.69</v>
      </c>
    </row>
    <row r="572" spans="1:33" x14ac:dyDescent="0.2">
      <c r="A572" s="3">
        <v>25323</v>
      </c>
      <c r="B572" s="2">
        <v>9.16</v>
      </c>
      <c r="C572" s="2">
        <v>37.71</v>
      </c>
      <c r="D572" s="2">
        <v>-17.75</v>
      </c>
      <c r="E572" s="2">
        <v>-49.9</v>
      </c>
      <c r="F572" s="2">
        <v>33.72</v>
      </c>
      <c r="G572" s="2">
        <v>-41.22</v>
      </c>
      <c r="H572" s="2">
        <v>21.77</v>
      </c>
      <c r="I572" s="2">
        <v>61.46</v>
      </c>
      <c r="J572" s="2">
        <v>-7.22</v>
      </c>
      <c r="K572" s="2">
        <v>-41.97</v>
      </c>
      <c r="L572" s="2">
        <v>-1.46</v>
      </c>
      <c r="M572" s="2">
        <v>-5.63</v>
      </c>
      <c r="N572" s="2">
        <v>51.44</v>
      </c>
      <c r="O572" s="2">
        <v>20.74</v>
      </c>
      <c r="P572" s="2">
        <v>88.99</v>
      </c>
      <c r="Q572" s="2">
        <v>26.84</v>
      </c>
      <c r="R572" s="2">
        <v>26.57</v>
      </c>
      <c r="S572" s="2">
        <v>53.71</v>
      </c>
      <c r="T572" s="2">
        <v>250.31</v>
      </c>
      <c r="U572" s="2">
        <v>6.7</v>
      </c>
      <c r="V572" s="2">
        <v>61.7</v>
      </c>
      <c r="W572" s="2">
        <v>0</v>
      </c>
      <c r="X572" s="2">
        <v>4.49</v>
      </c>
      <c r="Y572" s="2">
        <v>3.99</v>
      </c>
      <c r="Z572" s="2">
        <v>3.21</v>
      </c>
      <c r="AA572" s="2">
        <v>0.14000000000000001</v>
      </c>
      <c r="AB572" s="2">
        <v>0.4</v>
      </c>
      <c r="AC572" s="2">
        <v>4.87</v>
      </c>
      <c r="AD572" s="2">
        <v>7.56</v>
      </c>
      <c r="AE572" s="2">
        <v>15.85</v>
      </c>
      <c r="AF572" s="2">
        <v>86.72</v>
      </c>
      <c r="AG572" s="2">
        <v>14.64</v>
      </c>
    </row>
    <row r="573" spans="1:33" x14ac:dyDescent="0.2">
      <c r="A573" s="3">
        <v>25354</v>
      </c>
      <c r="B573" s="2">
        <v>10.41</v>
      </c>
      <c r="C573" s="2">
        <v>29.01</v>
      </c>
      <c r="D573" s="2">
        <v>-9.6</v>
      </c>
      <c r="E573" s="2">
        <v>-28.58</v>
      </c>
      <c r="F573" s="2">
        <v>-40.51</v>
      </c>
      <c r="G573" s="2">
        <v>-11.48</v>
      </c>
      <c r="H573" s="2">
        <v>13.71</v>
      </c>
      <c r="I573" s="2">
        <v>42.82</v>
      </c>
      <c r="J573" s="2">
        <v>12.82</v>
      </c>
      <c r="K573" s="2">
        <v>16.940000000000001</v>
      </c>
      <c r="L573" s="2">
        <v>60.69</v>
      </c>
      <c r="M573" s="2">
        <v>31.55</v>
      </c>
      <c r="N573" s="2">
        <v>62.78</v>
      </c>
      <c r="O573" s="2">
        <v>39.07</v>
      </c>
      <c r="P573" s="2">
        <v>111.77</v>
      </c>
      <c r="Q573" s="2">
        <v>30.28</v>
      </c>
      <c r="R573" s="2">
        <v>21.57</v>
      </c>
      <c r="S573" s="2">
        <v>53.31</v>
      </c>
      <c r="T573" s="2">
        <v>231.93</v>
      </c>
      <c r="U573" s="2">
        <v>1.33</v>
      </c>
      <c r="V573" s="2">
        <v>53.87</v>
      </c>
      <c r="W573" s="2">
        <v>4.88</v>
      </c>
      <c r="X573" s="2">
        <v>7.42</v>
      </c>
      <c r="Y573" s="2">
        <v>6.26</v>
      </c>
      <c r="Z573" s="2">
        <v>1.2</v>
      </c>
      <c r="AA573" s="2">
        <v>7.31</v>
      </c>
      <c r="AB573" s="2">
        <v>1.5</v>
      </c>
      <c r="AC573" s="2">
        <v>6.36</v>
      </c>
      <c r="AD573" s="2">
        <v>10.25</v>
      </c>
      <c r="AE573" s="2">
        <v>0.28000000000000003</v>
      </c>
      <c r="AF573" s="2">
        <v>97.94</v>
      </c>
      <c r="AG573" s="2">
        <v>17.690000000000001</v>
      </c>
    </row>
    <row r="574" spans="1:33" x14ac:dyDescent="0.2">
      <c r="A574" s="3">
        <v>25384</v>
      </c>
      <c r="B574" s="2">
        <v>8.34</v>
      </c>
      <c r="C574" s="2">
        <v>30.53</v>
      </c>
      <c r="D574" s="2">
        <v>-16.190000000000001</v>
      </c>
      <c r="E574" s="2">
        <v>-57.83</v>
      </c>
      <c r="F574" s="2">
        <v>-67.680000000000007</v>
      </c>
      <c r="G574" s="2">
        <v>-26.39</v>
      </c>
      <c r="H574" s="2">
        <v>-1.93</v>
      </c>
      <c r="I574" s="2">
        <v>35.24</v>
      </c>
      <c r="J574" s="2">
        <v>-21.48</v>
      </c>
      <c r="K574" s="2">
        <v>0.26</v>
      </c>
      <c r="L574" s="2">
        <v>-1.64</v>
      </c>
      <c r="M574" s="2">
        <v>19.43</v>
      </c>
      <c r="N574" s="2">
        <v>54.23</v>
      </c>
      <c r="O574" s="2">
        <v>73.599999999999994</v>
      </c>
      <c r="P574" s="2">
        <v>260.19</v>
      </c>
      <c r="Q574" s="2">
        <v>28.88</v>
      </c>
      <c r="R574" s="2">
        <v>34.81</v>
      </c>
      <c r="S574" s="2">
        <v>73.67</v>
      </c>
      <c r="T574" s="2">
        <v>309.33999999999997</v>
      </c>
      <c r="U574" s="2">
        <v>1.4</v>
      </c>
      <c r="V574" s="2">
        <v>68.849999999999994</v>
      </c>
      <c r="W574" s="2">
        <v>18.62</v>
      </c>
      <c r="X574" s="2">
        <v>12.7</v>
      </c>
      <c r="Y574" s="2">
        <v>12.29</v>
      </c>
      <c r="Z574" s="2">
        <v>1.91</v>
      </c>
      <c r="AA574" s="2">
        <v>0</v>
      </c>
      <c r="AB574" s="2">
        <v>0.92</v>
      </c>
      <c r="AC574" s="2">
        <v>0.95</v>
      </c>
      <c r="AD574" s="2">
        <v>12.5</v>
      </c>
      <c r="AE574" s="2">
        <v>0</v>
      </c>
      <c r="AF574" s="2">
        <v>107.19</v>
      </c>
      <c r="AG574" s="2">
        <v>22.83</v>
      </c>
    </row>
    <row r="575" spans="1:33" x14ac:dyDescent="0.2">
      <c r="A575" s="3">
        <v>25415</v>
      </c>
      <c r="B575" s="2">
        <v>5.83</v>
      </c>
      <c r="C575" s="2">
        <v>27.85</v>
      </c>
      <c r="D575" s="2">
        <v>-17.32</v>
      </c>
      <c r="E575" s="2">
        <v>-44.17</v>
      </c>
      <c r="F575" s="2">
        <v>-4.93</v>
      </c>
      <c r="G575" s="2">
        <v>2.48</v>
      </c>
      <c r="H575" s="2">
        <v>4.63</v>
      </c>
      <c r="I575" s="2">
        <v>39.42</v>
      </c>
      <c r="J575" s="2">
        <v>-60.34</v>
      </c>
      <c r="K575" s="2">
        <v>-88.68</v>
      </c>
      <c r="L575" s="2">
        <v>-81.23</v>
      </c>
      <c r="M575" s="2">
        <v>-49.05</v>
      </c>
      <c r="N575" s="2">
        <v>-6.9</v>
      </c>
      <c r="O575" s="2">
        <v>65.540000000000006</v>
      </c>
      <c r="P575" s="2">
        <v>78.459999999999994</v>
      </c>
      <c r="Q575" s="2">
        <v>21.08</v>
      </c>
      <c r="R575" s="2">
        <v>34.6</v>
      </c>
      <c r="S575" s="2">
        <v>33.25</v>
      </c>
      <c r="T575" s="2">
        <v>194.47</v>
      </c>
      <c r="U575" s="2">
        <v>10.5</v>
      </c>
      <c r="V575" s="2">
        <v>55.01</v>
      </c>
      <c r="W575" s="2">
        <v>30.39</v>
      </c>
      <c r="X575" s="2">
        <v>17.87</v>
      </c>
      <c r="Y575" s="2">
        <v>17.8</v>
      </c>
      <c r="Z575" s="2">
        <v>0.81</v>
      </c>
      <c r="AA575" s="2">
        <v>6.31</v>
      </c>
      <c r="AB575" s="2">
        <v>1.21</v>
      </c>
      <c r="AC575" s="2">
        <v>11.37</v>
      </c>
      <c r="AD575" s="2">
        <v>11.37</v>
      </c>
      <c r="AE575" s="2">
        <v>0</v>
      </c>
      <c r="AF575" s="2">
        <v>116.73</v>
      </c>
      <c r="AG575" s="2">
        <v>24.8</v>
      </c>
    </row>
    <row r="576" spans="1:33" x14ac:dyDescent="0.2">
      <c r="A576" s="3">
        <v>25446</v>
      </c>
      <c r="B576" s="2">
        <v>4.08</v>
      </c>
      <c r="C576" s="2">
        <v>27.41</v>
      </c>
      <c r="D576" s="2">
        <v>-14.42</v>
      </c>
      <c r="E576" s="2">
        <v>-25.77</v>
      </c>
      <c r="F576" s="2">
        <v>20.48</v>
      </c>
      <c r="G576" s="2">
        <v>20.5</v>
      </c>
      <c r="H576" s="2">
        <v>15.72</v>
      </c>
      <c r="I576" s="2">
        <v>43.34</v>
      </c>
      <c r="J576" s="2">
        <v>-37.92</v>
      </c>
      <c r="K576" s="2">
        <v>-38.67</v>
      </c>
      <c r="L576" s="2">
        <v>-48.9</v>
      </c>
      <c r="M576" s="2">
        <v>-20.27</v>
      </c>
      <c r="N576" s="2">
        <v>19.489999999999998</v>
      </c>
      <c r="O576" s="2">
        <v>68.040000000000006</v>
      </c>
      <c r="P576" s="2">
        <v>60.36</v>
      </c>
      <c r="Q576" s="2">
        <v>13.72</v>
      </c>
      <c r="R576" s="2">
        <v>28.19</v>
      </c>
      <c r="S576" s="2">
        <v>20.239999999999998</v>
      </c>
      <c r="T576" s="2">
        <v>158.94999999999999</v>
      </c>
      <c r="U576" s="2">
        <v>13.54</v>
      </c>
      <c r="V576" s="2">
        <v>54.03</v>
      </c>
      <c r="W576" s="2">
        <v>31.47</v>
      </c>
      <c r="X576" s="2">
        <v>20.170000000000002</v>
      </c>
      <c r="Y576" s="2">
        <v>20.260000000000002</v>
      </c>
      <c r="Z576" s="2">
        <v>0</v>
      </c>
      <c r="AA576" s="2">
        <v>0</v>
      </c>
      <c r="AB576" s="2">
        <v>0.35</v>
      </c>
      <c r="AC576" s="2">
        <v>0.68</v>
      </c>
      <c r="AD576" s="2">
        <v>9</v>
      </c>
      <c r="AE576" s="2">
        <v>0</v>
      </c>
      <c r="AF576" s="2">
        <v>118.71</v>
      </c>
      <c r="AG576" s="2">
        <v>23.65</v>
      </c>
    </row>
    <row r="577" spans="1:33" x14ac:dyDescent="0.2">
      <c r="A577" s="3">
        <v>25476</v>
      </c>
      <c r="B577" s="2">
        <v>1.78</v>
      </c>
      <c r="C577" s="2">
        <v>24.67</v>
      </c>
      <c r="D577" s="2">
        <v>-8.34</v>
      </c>
      <c r="E577" s="2">
        <v>-26.15</v>
      </c>
      <c r="F577" s="2">
        <v>3.75</v>
      </c>
      <c r="G577" s="2">
        <v>17.75</v>
      </c>
      <c r="H577" s="2">
        <v>19.91</v>
      </c>
      <c r="I577" s="2">
        <v>54.1</v>
      </c>
      <c r="J577" s="2">
        <v>-4.29</v>
      </c>
      <c r="K577" s="2">
        <v>-16.100000000000001</v>
      </c>
      <c r="L577" s="2">
        <v>-10.56</v>
      </c>
      <c r="M577" s="2">
        <v>2</v>
      </c>
      <c r="N577" s="2">
        <v>39.51</v>
      </c>
      <c r="O577" s="2">
        <v>21.07</v>
      </c>
      <c r="P577" s="2">
        <v>20.149999999999999</v>
      </c>
      <c r="Q577" s="2">
        <v>15.8</v>
      </c>
      <c r="R577" s="2">
        <v>25</v>
      </c>
      <c r="S577" s="2">
        <v>15.43</v>
      </c>
      <c r="T577" s="2">
        <v>61.21</v>
      </c>
      <c r="U577" s="2">
        <v>13.26</v>
      </c>
      <c r="V577" s="2">
        <v>31.34</v>
      </c>
      <c r="W577" s="2">
        <v>26.1</v>
      </c>
      <c r="X577" s="2">
        <v>19.16</v>
      </c>
      <c r="Y577" s="2">
        <v>19.02</v>
      </c>
      <c r="Z577" s="2">
        <v>0</v>
      </c>
      <c r="AA577" s="2">
        <v>18.100000000000001</v>
      </c>
      <c r="AB577" s="2">
        <v>0.17</v>
      </c>
      <c r="AC577" s="2">
        <v>9.07</v>
      </c>
      <c r="AD577" s="2">
        <v>6.22</v>
      </c>
      <c r="AE577" s="2">
        <v>1.31</v>
      </c>
      <c r="AF577" s="2">
        <v>110.57</v>
      </c>
      <c r="AG577" s="2">
        <v>20.170000000000002</v>
      </c>
    </row>
    <row r="578" spans="1:33" x14ac:dyDescent="0.2">
      <c r="A578" s="3">
        <v>25507</v>
      </c>
      <c r="B578" s="2">
        <v>2.29</v>
      </c>
      <c r="C578" s="2">
        <v>22.42</v>
      </c>
      <c r="D578" s="2">
        <v>-8.36</v>
      </c>
      <c r="E578" s="2">
        <v>-22.34</v>
      </c>
      <c r="F578" s="2">
        <v>-23.56</v>
      </c>
      <c r="G578" s="2">
        <v>13.08</v>
      </c>
      <c r="H578" s="2">
        <v>13.53</v>
      </c>
      <c r="I578" s="2">
        <v>51.5</v>
      </c>
      <c r="J578" s="2">
        <v>8.25</v>
      </c>
      <c r="K578" s="2">
        <v>-6.31</v>
      </c>
      <c r="L578" s="2">
        <v>12.06</v>
      </c>
      <c r="M578" s="2">
        <v>11.4</v>
      </c>
      <c r="N578" s="2">
        <v>28.24</v>
      </c>
      <c r="O578" s="2">
        <v>22.4</v>
      </c>
      <c r="P578" s="2">
        <v>23.33</v>
      </c>
      <c r="Q578" s="2">
        <v>6.24</v>
      </c>
      <c r="R578" s="2">
        <v>10.34</v>
      </c>
      <c r="S578" s="2">
        <v>11.03</v>
      </c>
      <c r="T578" s="2">
        <v>36.97</v>
      </c>
      <c r="U578" s="2">
        <v>12.56</v>
      </c>
      <c r="V578" s="2">
        <v>29.58</v>
      </c>
      <c r="W578" s="2">
        <v>22.19</v>
      </c>
      <c r="X578" s="2">
        <v>17.77</v>
      </c>
      <c r="Y578" s="2">
        <v>17.600000000000001</v>
      </c>
      <c r="Z578" s="2">
        <v>3.35</v>
      </c>
      <c r="AA578" s="2">
        <v>0</v>
      </c>
      <c r="AB578" s="2">
        <v>0</v>
      </c>
      <c r="AC578" s="2">
        <v>0</v>
      </c>
      <c r="AD578" s="2">
        <v>1.88</v>
      </c>
      <c r="AE578" s="2">
        <v>5.78</v>
      </c>
      <c r="AF578" s="2">
        <v>100.29</v>
      </c>
      <c r="AG578" s="2">
        <v>16.420000000000002</v>
      </c>
    </row>
    <row r="579" spans="1:33" x14ac:dyDescent="0.2">
      <c r="A579" s="3">
        <v>25537</v>
      </c>
      <c r="B579" s="2">
        <v>2.1</v>
      </c>
      <c r="C579" s="2">
        <v>18.989999999999998</v>
      </c>
      <c r="D579" s="2">
        <v>-5.34</v>
      </c>
      <c r="E579" s="2">
        <v>-14.16</v>
      </c>
      <c r="F579" s="2">
        <v>-6.71</v>
      </c>
      <c r="G579" s="2">
        <v>10.46</v>
      </c>
      <c r="H579" s="2">
        <v>13.58</v>
      </c>
      <c r="I579" s="2">
        <v>42.85</v>
      </c>
      <c r="J579" s="2">
        <v>8.5</v>
      </c>
      <c r="K579" s="2">
        <v>-5.39</v>
      </c>
      <c r="L579" s="2">
        <v>-2.9</v>
      </c>
      <c r="M579" s="2">
        <v>6.14</v>
      </c>
      <c r="N579" s="2">
        <v>21.03</v>
      </c>
      <c r="O579" s="2">
        <v>17.53</v>
      </c>
      <c r="P579" s="2">
        <v>15.41</v>
      </c>
      <c r="Q579" s="2">
        <v>3.16</v>
      </c>
      <c r="R579" s="2">
        <v>2.0299999999999998</v>
      </c>
      <c r="S579" s="2">
        <v>1.34</v>
      </c>
      <c r="T579" s="2">
        <v>21.59</v>
      </c>
      <c r="U579" s="2">
        <v>13.09</v>
      </c>
      <c r="V579" s="2">
        <v>25.31</v>
      </c>
      <c r="W579" s="2">
        <v>15.43</v>
      </c>
      <c r="X579" s="2">
        <v>11.67</v>
      </c>
      <c r="Y579" s="2">
        <v>10.45</v>
      </c>
      <c r="Z579" s="2">
        <v>0</v>
      </c>
      <c r="AA579" s="2">
        <v>10.32</v>
      </c>
      <c r="AB579" s="2">
        <v>0.03</v>
      </c>
      <c r="AC579" s="2">
        <v>4.5999999999999996</v>
      </c>
      <c r="AD579" s="2">
        <v>0.95</v>
      </c>
      <c r="AE579" s="2">
        <v>8.67</v>
      </c>
      <c r="AF579" s="2">
        <v>65.81</v>
      </c>
      <c r="AG579" s="2">
        <v>12.92</v>
      </c>
    </row>
    <row r="580" spans="1:33" x14ac:dyDescent="0.2">
      <c r="A580" s="3">
        <v>25568</v>
      </c>
      <c r="B580" s="2">
        <v>11.01</v>
      </c>
      <c r="C580" s="2">
        <v>34.56</v>
      </c>
      <c r="D580" s="2">
        <v>46.71</v>
      </c>
      <c r="E580" s="2">
        <v>144.97</v>
      </c>
      <c r="F580" s="2">
        <v>119.14</v>
      </c>
      <c r="G580" s="2">
        <v>153.63</v>
      </c>
      <c r="H580" s="2">
        <v>43.07</v>
      </c>
      <c r="I580" s="2">
        <v>52.67</v>
      </c>
      <c r="J580" s="2">
        <v>38.159999999999997</v>
      </c>
      <c r="K580" s="2">
        <v>-1.91</v>
      </c>
      <c r="L580" s="2">
        <v>9.2100000000000009</v>
      </c>
      <c r="M580" s="2">
        <v>0.03</v>
      </c>
      <c r="N580" s="2">
        <v>20.76</v>
      </c>
      <c r="O580" s="2">
        <v>17.18</v>
      </c>
      <c r="P580" s="2">
        <v>21.13</v>
      </c>
      <c r="Q580" s="2">
        <v>3.65</v>
      </c>
      <c r="R580" s="2">
        <v>2.06</v>
      </c>
      <c r="S580" s="2">
        <v>7.21</v>
      </c>
      <c r="T580" s="2">
        <v>11.44</v>
      </c>
      <c r="U580" s="2">
        <v>8.86</v>
      </c>
      <c r="V580" s="2">
        <v>16.88</v>
      </c>
      <c r="W580" s="2">
        <v>11.73</v>
      </c>
      <c r="X580" s="2">
        <v>9.49</v>
      </c>
      <c r="Y580" s="2">
        <v>9.49</v>
      </c>
      <c r="Z580" s="2">
        <v>0</v>
      </c>
      <c r="AA580" s="2">
        <v>1.74</v>
      </c>
      <c r="AB580" s="2">
        <v>0.7</v>
      </c>
      <c r="AC580" s="2">
        <v>0</v>
      </c>
      <c r="AD580" s="2">
        <v>0.98</v>
      </c>
      <c r="AE580" s="2">
        <v>14.64</v>
      </c>
      <c r="AF580" s="2">
        <v>60.46</v>
      </c>
      <c r="AG580" s="2">
        <v>11.2</v>
      </c>
    </row>
    <row r="581" spans="1:33" x14ac:dyDescent="0.2">
      <c r="A581" s="3">
        <v>25599</v>
      </c>
      <c r="B581" s="2">
        <v>23.72</v>
      </c>
      <c r="C581" s="2">
        <v>68.739999999999995</v>
      </c>
      <c r="D581" s="2">
        <v>102.82</v>
      </c>
      <c r="E581" s="2">
        <v>359.33</v>
      </c>
      <c r="F581" s="2">
        <v>395.78</v>
      </c>
      <c r="G581" s="2">
        <v>304.81</v>
      </c>
      <c r="H581" s="2">
        <v>47.89</v>
      </c>
      <c r="I581" s="2">
        <v>67.55</v>
      </c>
      <c r="J581" s="2">
        <v>109.41</v>
      </c>
      <c r="K581" s="2">
        <v>73.89</v>
      </c>
      <c r="L581" s="2">
        <v>82.37</v>
      </c>
      <c r="M581" s="2">
        <v>44</v>
      </c>
      <c r="N581" s="2">
        <v>72.8</v>
      </c>
      <c r="O581" s="2">
        <v>21.1</v>
      </c>
      <c r="P581" s="2">
        <v>44.45</v>
      </c>
      <c r="Q581" s="2">
        <v>3.61</v>
      </c>
      <c r="R581" s="2">
        <v>9.8000000000000007</v>
      </c>
      <c r="S581" s="2">
        <v>37.49</v>
      </c>
      <c r="T581" s="2">
        <v>4.51</v>
      </c>
      <c r="U581" s="2">
        <v>7.27</v>
      </c>
      <c r="V581" s="2">
        <v>23.06</v>
      </c>
      <c r="W581" s="2">
        <v>4.26</v>
      </c>
      <c r="X581" s="2">
        <v>9.74</v>
      </c>
      <c r="Y581" s="2">
        <v>8.4</v>
      </c>
      <c r="Z581" s="2">
        <v>1.24</v>
      </c>
      <c r="AA581" s="2">
        <v>12.62</v>
      </c>
      <c r="AB581" s="2">
        <v>5.51</v>
      </c>
      <c r="AC581" s="2">
        <v>4.47</v>
      </c>
      <c r="AD581" s="2">
        <v>1.1399999999999999</v>
      </c>
      <c r="AE581" s="2">
        <v>37.47</v>
      </c>
      <c r="AF581" s="2">
        <v>69.56</v>
      </c>
      <c r="AG581" s="2">
        <v>9.8800000000000008</v>
      </c>
    </row>
    <row r="582" spans="1:33" x14ac:dyDescent="0.2">
      <c r="A582" s="3">
        <v>25627</v>
      </c>
      <c r="B582" s="2">
        <v>17.37</v>
      </c>
      <c r="C582" s="2">
        <v>34.880000000000003</v>
      </c>
      <c r="D582" s="2">
        <v>-35.479999999999997</v>
      </c>
      <c r="E582" s="2">
        <v>-116.17</v>
      </c>
      <c r="F582" s="2">
        <v>-151.02000000000001</v>
      </c>
      <c r="G582" s="2">
        <v>-9.32</v>
      </c>
      <c r="H582" s="2">
        <v>2</v>
      </c>
      <c r="I582" s="2">
        <v>51.55</v>
      </c>
      <c r="J582" s="2">
        <v>-6.71</v>
      </c>
      <c r="K582" s="2">
        <v>-19.940000000000001</v>
      </c>
      <c r="L582" s="2">
        <v>-24.46</v>
      </c>
      <c r="M582" s="2">
        <v>-14.81</v>
      </c>
      <c r="N582" s="2">
        <v>27.08</v>
      </c>
      <c r="O582" s="2">
        <v>16.71</v>
      </c>
      <c r="P582" s="2">
        <v>-2.16</v>
      </c>
      <c r="Q582" s="2">
        <v>5.82</v>
      </c>
      <c r="R582" s="2">
        <v>6.97</v>
      </c>
      <c r="S582" s="2">
        <v>-6.05</v>
      </c>
      <c r="T582" s="2">
        <v>3.61</v>
      </c>
      <c r="U582" s="2">
        <v>11.64</v>
      </c>
      <c r="V582" s="2">
        <v>20.39</v>
      </c>
      <c r="W582" s="2">
        <v>0</v>
      </c>
      <c r="X582" s="2">
        <v>3.23</v>
      </c>
      <c r="Y582" s="2">
        <v>3.24</v>
      </c>
      <c r="Z582" s="2">
        <v>3.68</v>
      </c>
      <c r="AA582" s="2">
        <v>6.45</v>
      </c>
      <c r="AB582" s="2">
        <v>2.34</v>
      </c>
      <c r="AC582" s="2">
        <v>3.79</v>
      </c>
      <c r="AD582" s="2">
        <v>1.4</v>
      </c>
      <c r="AE582" s="2">
        <v>13.52</v>
      </c>
      <c r="AF582" s="2">
        <v>57.98</v>
      </c>
      <c r="AG582" s="2">
        <v>10.08</v>
      </c>
    </row>
    <row r="583" spans="1:33" x14ac:dyDescent="0.2">
      <c r="A583" s="3">
        <v>25658</v>
      </c>
      <c r="B583" s="2">
        <v>7.25</v>
      </c>
      <c r="C583" s="2">
        <v>27.16</v>
      </c>
      <c r="D583" s="2">
        <v>-39.04</v>
      </c>
      <c r="E583" s="2">
        <v>-123.74</v>
      </c>
      <c r="F583" s="2">
        <v>-69.709999999999994</v>
      </c>
      <c r="G583" s="2">
        <v>-112.96</v>
      </c>
      <c r="H583" s="2">
        <v>13.97</v>
      </c>
      <c r="I583" s="2">
        <v>50.37</v>
      </c>
      <c r="J583" s="2">
        <v>-9.8800000000000008</v>
      </c>
      <c r="K583" s="2">
        <v>-1.91</v>
      </c>
      <c r="L583" s="2">
        <v>-10.33</v>
      </c>
      <c r="M583" s="2">
        <v>-2.27</v>
      </c>
      <c r="N583" s="2">
        <v>50.89</v>
      </c>
      <c r="O583" s="2">
        <v>18.52</v>
      </c>
      <c r="P583" s="2">
        <v>72.13</v>
      </c>
      <c r="Q583" s="2">
        <v>3.26</v>
      </c>
      <c r="R583" s="2">
        <v>1.45</v>
      </c>
      <c r="S583" s="2">
        <v>-2.63</v>
      </c>
      <c r="T583" s="2">
        <v>30.54</v>
      </c>
      <c r="U583" s="2">
        <v>1.73</v>
      </c>
      <c r="V583" s="2">
        <v>25.63</v>
      </c>
      <c r="W583" s="2">
        <v>0</v>
      </c>
      <c r="X583" s="2">
        <v>4.0999999999999996</v>
      </c>
      <c r="Y583" s="2">
        <v>3.11</v>
      </c>
      <c r="Z583" s="2">
        <v>3.06</v>
      </c>
      <c r="AA583" s="2">
        <v>12.9</v>
      </c>
      <c r="AB583" s="2">
        <v>0.52</v>
      </c>
      <c r="AC583" s="2">
        <v>6.36</v>
      </c>
      <c r="AD583" s="2">
        <v>2.93</v>
      </c>
      <c r="AE583" s="2">
        <v>21.07</v>
      </c>
      <c r="AF583" s="2">
        <v>68.42</v>
      </c>
      <c r="AG583" s="2">
        <v>10.69</v>
      </c>
    </row>
    <row r="584" spans="1:33" x14ac:dyDescent="0.2">
      <c r="A584" s="3">
        <v>25688</v>
      </c>
      <c r="B584" s="2">
        <v>3.5</v>
      </c>
      <c r="C584" s="2">
        <v>24.07</v>
      </c>
      <c r="D584" s="2">
        <v>-27.52</v>
      </c>
      <c r="E584" s="2">
        <v>-97.14</v>
      </c>
      <c r="F584" s="2">
        <v>-91.9</v>
      </c>
      <c r="G584" s="2">
        <v>-69.72</v>
      </c>
      <c r="H584" s="2">
        <v>-8.2100000000000009</v>
      </c>
      <c r="I584" s="2">
        <v>43.52</v>
      </c>
      <c r="J584" s="2">
        <v>-35.770000000000003</v>
      </c>
      <c r="K584" s="2">
        <v>-28.98</v>
      </c>
      <c r="L584" s="2">
        <v>-46.59</v>
      </c>
      <c r="M584" s="2">
        <v>-18.34</v>
      </c>
      <c r="N584" s="2">
        <v>16.86</v>
      </c>
      <c r="O584" s="2">
        <v>14.31</v>
      </c>
      <c r="P584" s="2">
        <v>43.31</v>
      </c>
      <c r="Q584" s="2">
        <v>0.08</v>
      </c>
      <c r="R584" s="2">
        <v>6.41</v>
      </c>
      <c r="S584" s="2">
        <v>-8.25</v>
      </c>
      <c r="T584" s="2">
        <v>22.62</v>
      </c>
      <c r="U584" s="2">
        <v>6.3</v>
      </c>
      <c r="V584" s="2">
        <v>25.09</v>
      </c>
      <c r="W584" s="2">
        <v>0</v>
      </c>
      <c r="X584" s="2">
        <v>5</v>
      </c>
      <c r="Y584" s="2">
        <v>4.29</v>
      </c>
      <c r="Z584" s="2">
        <v>0.24</v>
      </c>
      <c r="AA584" s="2">
        <v>0</v>
      </c>
      <c r="AB584" s="2">
        <v>0</v>
      </c>
      <c r="AC584" s="2">
        <v>0.27</v>
      </c>
      <c r="AD584" s="2">
        <v>4.0199999999999996</v>
      </c>
      <c r="AE584" s="2">
        <v>1.96</v>
      </c>
      <c r="AF584" s="2">
        <v>84.67</v>
      </c>
      <c r="AG584" s="2">
        <v>14.64</v>
      </c>
    </row>
    <row r="585" spans="1:33" x14ac:dyDescent="0.2">
      <c r="A585" s="3">
        <v>25719</v>
      </c>
      <c r="B585" s="2">
        <v>3.17</v>
      </c>
      <c r="C585" s="2">
        <v>18.87</v>
      </c>
      <c r="D585" s="2">
        <v>-15.09</v>
      </c>
      <c r="E585" s="2">
        <v>-59.12</v>
      </c>
      <c r="F585" s="2">
        <v>-31.46</v>
      </c>
      <c r="G585" s="2">
        <v>-29.51</v>
      </c>
      <c r="H585" s="2">
        <v>2.42</v>
      </c>
      <c r="I585" s="2">
        <v>32.18</v>
      </c>
      <c r="J585" s="2">
        <v>-20.21</v>
      </c>
      <c r="K585" s="2">
        <v>-11.47</v>
      </c>
      <c r="L585" s="2">
        <v>5.9</v>
      </c>
      <c r="M585" s="2">
        <v>1.07</v>
      </c>
      <c r="N585" s="2">
        <v>23.3</v>
      </c>
      <c r="O585" s="2">
        <v>20.079999999999998</v>
      </c>
      <c r="P585" s="2">
        <v>47.63</v>
      </c>
      <c r="Q585" s="2">
        <v>-0.26</v>
      </c>
      <c r="R585" s="2">
        <v>4.0199999999999996</v>
      </c>
      <c r="S585" s="2">
        <v>14.96</v>
      </c>
      <c r="T585" s="2">
        <v>50.4</v>
      </c>
      <c r="U585" s="2">
        <v>2.9</v>
      </c>
      <c r="V585" s="2">
        <v>37.06</v>
      </c>
      <c r="W585" s="2">
        <v>4.88</v>
      </c>
      <c r="X585" s="2">
        <v>7.97</v>
      </c>
      <c r="Y585" s="2">
        <v>6.61</v>
      </c>
      <c r="Z585" s="2">
        <v>0</v>
      </c>
      <c r="AA585" s="2">
        <v>0</v>
      </c>
      <c r="AB585" s="2">
        <v>0.09</v>
      </c>
      <c r="AC585" s="2">
        <v>0</v>
      </c>
      <c r="AD585" s="2">
        <v>8.67</v>
      </c>
      <c r="AE585" s="2">
        <v>0.19</v>
      </c>
      <c r="AF585" s="2">
        <v>95.62</v>
      </c>
      <c r="AG585" s="2">
        <v>17.690000000000001</v>
      </c>
    </row>
    <row r="586" spans="1:33" x14ac:dyDescent="0.2">
      <c r="A586" s="3">
        <v>25749</v>
      </c>
      <c r="B586" s="2">
        <v>3.97</v>
      </c>
      <c r="C586" s="2">
        <v>25.74</v>
      </c>
      <c r="D586" s="2">
        <v>-13.98</v>
      </c>
      <c r="E586" s="2">
        <v>-48.9</v>
      </c>
      <c r="F586" s="2">
        <v>-13.87</v>
      </c>
      <c r="G586" s="2">
        <v>-5.91</v>
      </c>
      <c r="H586" s="2">
        <v>8.57</v>
      </c>
      <c r="I586" s="2">
        <v>34.04</v>
      </c>
      <c r="J586" s="2">
        <v>-14.99</v>
      </c>
      <c r="K586" s="2">
        <v>1.67</v>
      </c>
      <c r="L586" s="2">
        <v>15.77</v>
      </c>
      <c r="M586" s="2">
        <v>17.61</v>
      </c>
      <c r="N586" s="2">
        <v>33.450000000000003</v>
      </c>
      <c r="O586" s="2">
        <v>41.54</v>
      </c>
      <c r="P586" s="2">
        <v>110.79</v>
      </c>
      <c r="Q586" s="2">
        <v>7.23</v>
      </c>
      <c r="R586" s="2">
        <v>4.7300000000000004</v>
      </c>
      <c r="S586" s="2">
        <v>36.32</v>
      </c>
      <c r="T586" s="2">
        <v>104.58</v>
      </c>
      <c r="U586" s="2">
        <v>7.3</v>
      </c>
      <c r="V586" s="2">
        <v>48.4</v>
      </c>
      <c r="W586" s="2">
        <v>18.62</v>
      </c>
      <c r="X586" s="2">
        <v>13.31</v>
      </c>
      <c r="Y586" s="2">
        <v>12.62</v>
      </c>
      <c r="Z586" s="2">
        <v>0</v>
      </c>
      <c r="AA586" s="2">
        <v>0</v>
      </c>
      <c r="AB586" s="2">
        <v>0</v>
      </c>
      <c r="AC586" s="2">
        <v>0</v>
      </c>
      <c r="AD586" s="2">
        <v>11.84</v>
      </c>
      <c r="AE586" s="2">
        <v>0.93</v>
      </c>
      <c r="AF586" s="2">
        <v>104.64</v>
      </c>
      <c r="AG586" s="2">
        <v>22.83</v>
      </c>
    </row>
    <row r="587" spans="1:33" x14ac:dyDescent="0.2">
      <c r="A587" s="3">
        <v>25780</v>
      </c>
      <c r="B587" s="2">
        <v>3.29</v>
      </c>
      <c r="C587" s="2">
        <v>24.2</v>
      </c>
      <c r="D587" s="2">
        <v>-11.91</v>
      </c>
      <c r="E587" s="2">
        <v>-31.38</v>
      </c>
      <c r="F587" s="2">
        <v>-0.61</v>
      </c>
      <c r="G587" s="2">
        <v>16.34</v>
      </c>
      <c r="H587" s="2">
        <v>12.61</v>
      </c>
      <c r="I587" s="2">
        <v>38.9</v>
      </c>
      <c r="J587" s="2">
        <v>-16.989999999999998</v>
      </c>
      <c r="K587" s="2">
        <v>-7.99</v>
      </c>
      <c r="L587" s="2">
        <v>-21.36</v>
      </c>
      <c r="M587" s="2">
        <v>3.49</v>
      </c>
      <c r="N587" s="2">
        <v>35.75</v>
      </c>
      <c r="O587" s="2">
        <v>60.48</v>
      </c>
      <c r="P587" s="2">
        <v>90.63</v>
      </c>
      <c r="Q587" s="2">
        <v>7.61</v>
      </c>
      <c r="R587" s="2">
        <v>6.09</v>
      </c>
      <c r="S587" s="2">
        <v>49.31</v>
      </c>
      <c r="T587" s="2">
        <v>87.93</v>
      </c>
      <c r="U587" s="2">
        <v>19.079999999999998</v>
      </c>
      <c r="V587" s="2">
        <v>55.37</v>
      </c>
      <c r="W587" s="2">
        <v>30.39</v>
      </c>
      <c r="X587" s="2">
        <v>18.54</v>
      </c>
      <c r="Y587" s="2">
        <v>18.239999999999998</v>
      </c>
      <c r="Z587" s="2">
        <v>0.14000000000000001</v>
      </c>
      <c r="AA587" s="2">
        <v>10.75</v>
      </c>
      <c r="AB587" s="2">
        <v>0.55000000000000004</v>
      </c>
      <c r="AC587" s="2">
        <v>1.49</v>
      </c>
      <c r="AD587" s="2">
        <v>10.67</v>
      </c>
      <c r="AE587" s="2">
        <v>0</v>
      </c>
      <c r="AF587" s="2">
        <v>113.96</v>
      </c>
      <c r="AG587" s="2">
        <v>24.8</v>
      </c>
    </row>
    <row r="588" spans="1:33" x14ac:dyDescent="0.2">
      <c r="A588" s="3">
        <v>25811</v>
      </c>
      <c r="B588" s="2">
        <v>1.59</v>
      </c>
      <c r="C588" s="2">
        <v>21.61</v>
      </c>
      <c r="D588" s="2">
        <v>-13.55</v>
      </c>
      <c r="E588" s="2">
        <v>-35.64</v>
      </c>
      <c r="F588" s="2">
        <v>16.54</v>
      </c>
      <c r="G588" s="2">
        <v>25.5</v>
      </c>
      <c r="H588" s="2">
        <v>15.82</v>
      </c>
      <c r="I588" s="2">
        <v>38.659999999999997</v>
      </c>
      <c r="J588" s="2">
        <v>-6.33</v>
      </c>
      <c r="K588" s="2">
        <v>-8.0399999999999991</v>
      </c>
      <c r="L588" s="2">
        <v>-9.07</v>
      </c>
      <c r="M588" s="2">
        <v>5.28</v>
      </c>
      <c r="N588" s="2">
        <v>34.85</v>
      </c>
      <c r="O588" s="2">
        <v>64.260000000000005</v>
      </c>
      <c r="P588" s="2">
        <v>88.02</v>
      </c>
      <c r="Q588" s="2">
        <v>0.38</v>
      </c>
      <c r="R588" s="2">
        <v>8.18</v>
      </c>
      <c r="S588" s="2">
        <v>33.93</v>
      </c>
      <c r="T588" s="2">
        <v>69.569999999999993</v>
      </c>
      <c r="U588" s="2">
        <v>16.79</v>
      </c>
      <c r="V588" s="2">
        <v>51.31</v>
      </c>
      <c r="W588" s="2">
        <v>31.47</v>
      </c>
      <c r="X588" s="2">
        <v>20.86</v>
      </c>
      <c r="Y588" s="2">
        <v>20.68</v>
      </c>
      <c r="Z588" s="2">
        <v>0</v>
      </c>
      <c r="AA588" s="2">
        <v>12.04</v>
      </c>
      <c r="AB588" s="2">
        <v>0.27</v>
      </c>
      <c r="AC588" s="2">
        <v>1.08</v>
      </c>
      <c r="AD588" s="2">
        <v>6.97</v>
      </c>
      <c r="AE588" s="2">
        <v>0</v>
      </c>
      <c r="AF588" s="2">
        <v>115.89</v>
      </c>
      <c r="AG588" s="2">
        <v>23.65</v>
      </c>
    </row>
    <row r="589" spans="1:33" x14ac:dyDescent="0.2">
      <c r="A589" s="3">
        <v>25841</v>
      </c>
      <c r="B589" s="2">
        <v>-0.86</v>
      </c>
      <c r="C589" s="2">
        <v>22.9</v>
      </c>
      <c r="D589" s="2">
        <v>-9.5</v>
      </c>
      <c r="E589" s="2">
        <v>-24.73</v>
      </c>
      <c r="F589" s="2">
        <v>3.64</v>
      </c>
      <c r="G589" s="2">
        <v>20.16</v>
      </c>
      <c r="H589" s="2">
        <v>21.22</v>
      </c>
      <c r="I589" s="2">
        <v>48.54</v>
      </c>
      <c r="J589" s="2">
        <v>8.11</v>
      </c>
      <c r="K589" s="2">
        <v>-6.55</v>
      </c>
      <c r="L589" s="2">
        <v>-6.01</v>
      </c>
      <c r="M589" s="2">
        <v>1.39</v>
      </c>
      <c r="N589" s="2">
        <v>40.840000000000003</v>
      </c>
      <c r="O589" s="2">
        <v>16.63</v>
      </c>
      <c r="P589" s="2">
        <v>47.69</v>
      </c>
      <c r="Q589" s="2">
        <v>5.09</v>
      </c>
      <c r="R589" s="2">
        <v>9.8800000000000008</v>
      </c>
      <c r="S589" s="2">
        <v>5.62</v>
      </c>
      <c r="T589" s="2">
        <v>16.02</v>
      </c>
      <c r="U589" s="2">
        <v>9.82</v>
      </c>
      <c r="V589" s="2">
        <v>19.28</v>
      </c>
      <c r="W589" s="2">
        <v>26.1</v>
      </c>
      <c r="X589" s="2">
        <v>19.829999999999998</v>
      </c>
      <c r="Y589" s="2">
        <v>19.440000000000001</v>
      </c>
      <c r="Z589" s="2">
        <v>0</v>
      </c>
      <c r="AA589" s="2">
        <v>5.22</v>
      </c>
      <c r="AB589" s="2">
        <v>0</v>
      </c>
      <c r="AC589" s="2">
        <v>0</v>
      </c>
      <c r="AD589" s="2">
        <v>4.07</v>
      </c>
      <c r="AE589" s="2">
        <v>0</v>
      </c>
      <c r="AF589" s="2">
        <v>107.95</v>
      </c>
      <c r="AG589" s="2">
        <v>20.170000000000002</v>
      </c>
    </row>
    <row r="590" spans="1:33" x14ac:dyDescent="0.2">
      <c r="A590" s="3">
        <v>25872</v>
      </c>
      <c r="B590" s="2">
        <v>1.38</v>
      </c>
      <c r="C590" s="2">
        <v>21.21</v>
      </c>
      <c r="D590" s="2">
        <v>-3.24</v>
      </c>
      <c r="E590" s="2">
        <v>-14.81</v>
      </c>
      <c r="F590" s="2">
        <v>-12.9</v>
      </c>
      <c r="G590" s="2">
        <v>16</v>
      </c>
      <c r="H590" s="2">
        <v>16.27</v>
      </c>
      <c r="I590" s="2">
        <v>47.25</v>
      </c>
      <c r="J590" s="2">
        <v>5.65</v>
      </c>
      <c r="K590" s="2">
        <v>-3.89</v>
      </c>
      <c r="L590" s="2">
        <v>-4.91</v>
      </c>
      <c r="M590" s="2">
        <v>-3.44</v>
      </c>
      <c r="N590" s="2">
        <v>27.59</v>
      </c>
      <c r="O590" s="2">
        <v>17.84</v>
      </c>
      <c r="P590" s="2">
        <v>39.22</v>
      </c>
      <c r="Q590" s="2">
        <v>2.65</v>
      </c>
      <c r="R590" s="2">
        <v>4.29</v>
      </c>
      <c r="S590" s="2">
        <v>4.22</v>
      </c>
      <c r="T590" s="2">
        <v>19.87</v>
      </c>
      <c r="U590" s="2">
        <v>5.79</v>
      </c>
      <c r="V590" s="2">
        <v>15.89</v>
      </c>
      <c r="W590" s="2">
        <v>22.19</v>
      </c>
      <c r="X590" s="2">
        <v>18.38</v>
      </c>
      <c r="Y590" s="2">
        <v>17.98</v>
      </c>
      <c r="Z590" s="2">
        <v>13.69</v>
      </c>
      <c r="AA590" s="2">
        <v>0.72</v>
      </c>
      <c r="AB590" s="2">
        <v>0</v>
      </c>
      <c r="AC590" s="2">
        <v>0</v>
      </c>
      <c r="AD590" s="2">
        <v>3.69</v>
      </c>
      <c r="AE590" s="2">
        <v>3.26</v>
      </c>
      <c r="AF590" s="2">
        <v>97.91</v>
      </c>
      <c r="AG590" s="2">
        <v>16.420000000000002</v>
      </c>
    </row>
    <row r="591" spans="1:33" x14ac:dyDescent="0.2">
      <c r="A591" s="3">
        <v>25902</v>
      </c>
      <c r="B591" s="2">
        <v>6.97</v>
      </c>
      <c r="C591" s="2">
        <v>31.74</v>
      </c>
      <c r="D591" s="2">
        <v>38.6</v>
      </c>
      <c r="E591" s="2">
        <v>95.56</v>
      </c>
      <c r="F591" s="2">
        <v>54.7</v>
      </c>
      <c r="G591" s="2">
        <v>108.37</v>
      </c>
      <c r="H591" s="2">
        <v>35.89</v>
      </c>
      <c r="I591" s="2">
        <v>53.86</v>
      </c>
      <c r="J591" s="2">
        <v>54.26</v>
      </c>
      <c r="K591" s="2">
        <v>48.26</v>
      </c>
      <c r="L591" s="2">
        <v>22.74</v>
      </c>
      <c r="M591" s="2">
        <v>27.98</v>
      </c>
      <c r="N591" s="2">
        <v>46.7</v>
      </c>
      <c r="O591" s="2">
        <v>15.58</v>
      </c>
      <c r="P591" s="2">
        <v>69.209999999999994</v>
      </c>
      <c r="Q591" s="2">
        <v>0.5</v>
      </c>
      <c r="R591" s="2">
        <v>3.76</v>
      </c>
      <c r="S591" s="2">
        <v>43.74</v>
      </c>
      <c r="T591" s="2">
        <v>17.260000000000002</v>
      </c>
      <c r="U591" s="2">
        <v>6.52</v>
      </c>
      <c r="V591" s="2">
        <v>17.190000000000001</v>
      </c>
      <c r="W591" s="2">
        <v>15.43</v>
      </c>
      <c r="X591" s="2">
        <v>11.97</v>
      </c>
      <c r="Y591" s="2">
        <v>10.57</v>
      </c>
      <c r="Z591" s="2">
        <v>9.57</v>
      </c>
      <c r="AA591" s="2">
        <v>1.72</v>
      </c>
      <c r="AB591" s="2">
        <v>3.97</v>
      </c>
      <c r="AC591" s="2">
        <v>6.5</v>
      </c>
      <c r="AD591" s="2">
        <v>2.3199999999999998</v>
      </c>
      <c r="AE591" s="2">
        <v>57.61</v>
      </c>
      <c r="AF591" s="2">
        <v>64.239999999999995</v>
      </c>
      <c r="AG591" s="2">
        <v>12.92</v>
      </c>
    </row>
    <row r="592" spans="1:33" x14ac:dyDescent="0.2">
      <c r="A592" s="3">
        <v>25933</v>
      </c>
      <c r="B592" s="2">
        <v>14.03</v>
      </c>
      <c r="C592" s="2">
        <v>35.549999999999997</v>
      </c>
      <c r="D592" s="2">
        <v>34.659999999999997</v>
      </c>
      <c r="E592" s="2">
        <v>112.87</v>
      </c>
      <c r="F592" s="2">
        <v>95.19</v>
      </c>
      <c r="G592" s="2">
        <v>150.4</v>
      </c>
      <c r="H592" s="2">
        <v>34.340000000000003</v>
      </c>
      <c r="I592" s="2">
        <v>57.43</v>
      </c>
      <c r="J592" s="2">
        <v>56.78</v>
      </c>
      <c r="K592" s="2">
        <v>19.04</v>
      </c>
      <c r="L592" s="2">
        <v>44.65</v>
      </c>
      <c r="M592" s="2">
        <v>24.94</v>
      </c>
      <c r="N592" s="2">
        <v>37.630000000000003</v>
      </c>
      <c r="O592" s="2">
        <v>13.81</v>
      </c>
      <c r="P592" s="2">
        <v>44.6</v>
      </c>
      <c r="Q592" s="2">
        <v>0.18</v>
      </c>
      <c r="R592" s="2">
        <v>6.03</v>
      </c>
      <c r="S592" s="2">
        <v>25.28</v>
      </c>
      <c r="T592" s="2">
        <v>-0.7</v>
      </c>
      <c r="U592" s="2">
        <v>7.34</v>
      </c>
      <c r="V592" s="2">
        <v>20.149999999999999</v>
      </c>
      <c r="W592" s="2">
        <v>11.73</v>
      </c>
      <c r="X592" s="2">
        <v>9.77</v>
      </c>
      <c r="Y592" s="2">
        <v>9.59</v>
      </c>
      <c r="Z592" s="2">
        <v>0.1</v>
      </c>
      <c r="AA592" s="2">
        <v>10.32</v>
      </c>
      <c r="AB592" s="2">
        <v>0.89</v>
      </c>
      <c r="AC592" s="2">
        <v>4.33</v>
      </c>
      <c r="AD592" s="2">
        <v>2.16</v>
      </c>
      <c r="AE592" s="2">
        <v>36.64</v>
      </c>
      <c r="AF592" s="2">
        <v>59.02</v>
      </c>
      <c r="AG592" s="2">
        <v>11.2</v>
      </c>
    </row>
    <row r="593" spans="1:33" x14ac:dyDescent="0.2">
      <c r="A593" s="3">
        <v>25964</v>
      </c>
      <c r="B593" s="2">
        <v>10.72</v>
      </c>
      <c r="C593" s="2">
        <v>33.950000000000003</v>
      </c>
      <c r="D593" s="2">
        <v>0.03</v>
      </c>
      <c r="E593" s="2">
        <v>3.13</v>
      </c>
      <c r="F593" s="2">
        <v>18.32</v>
      </c>
      <c r="G593" s="2">
        <v>53.77</v>
      </c>
      <c r="H593" s="2">
        <v>17.25</v>
      </c>
      <c r="I593" s="2">
        <v>47.42</v>
      </c>
      <c r="J593" s="2">
        <v>5.47</v>
      </c>
      <c r="K593" s="2">
        <v>-15.16</v>
      </c>
      <c r="L593" s="2">
        <v>9.4700000000000006</v>
      </c>
      <c r="M593" s="2">
        <v>-5.2</v>
      </c>
      <c r="N593" s="2">
        <v>18.47</v>
      </c>
      <c r="O593" s="2">
        <v>14.89</v>
      </c>
      <c r="P593" s="2">
        <v>26.36</v>
      </c>
      <c r="Q593" s="2">
        <v>1.82</v>
      </c>
      <c r="R593" s="2">
        <v>7.23</v>
      </c>
      <c r="S593" s="2">
        <v>3.21</v>
      </c>
      <c r="T593" s="2">
        <v>2.96</v>
      </c>
      <c r="U593" s="2">
        <v>6.77</v>
      </c>
      <c r="V593" s="2">
        <v>18.59</v>
      </c>
      <c r="W593" s="2">
        <v>4.26</v>
      </c>
      <c r="X593" s="2">
        <v>10.1</v>
      </c>
      <c r="Y593" s="2">
        <v>8.73</v>
      </c>
      <c r="Z593" s="2">
        <v>0.14000000000000001</v>
      </c>
      <c r="AA593" s="2">
        <v>1.43</v>
      </c>
      <c r="AB593" s="2">
        <v>0</v>
      </c>
      <c r="AC593" s="2">
        <v>0</v>
      </c>
      <c r="AD593" s="2">
        <v>2.21</v>
      </c>
      <c r="AE593" s="2">
        <v>8.48</v>
      </c>
      <c r="AF593" s="2">
        <v>71.459999999999994</v>
      </c>
      <c r="AG593" s="2">
        <v>9.8800000000000008</v>
      </c>
    </row>
    <row r="594" spans="1:33" x14ac:dyDescent="0.2">
      <c r="A594" s="3">
        <v>25992</v>
      </c>
      <c r="B594" s="2">
        <v>6.82</v>
      </c>
      <c r="C594" s="2">
        <v>19.11</v>
      </c>
      <c r="D594" s="2">
        <v>-26.36</v>
      </c>
      <c r="E594" s="2">
        <v>-80.319999999999993</v>
      </c>
      <c r="F594" s="2">
        <v>-65.989999999999995</v>
      </c>
      <c r="G594" s="2">
        <v>-47.51</v>
      </c>
      <c r="H594" s="2">
        <v>-1.64</v>
      </c>
      <c r="I594" s="2">
        <v>39.65</v>
      </c>
      <c r="J594" s="2">
        <v>-7.32</v>
      </c>
      <c r="K594" s="2">
        <v>-2.41</v>
      </c>
      <c r="L594" s="2">
        <v>-5.1100000000000003</v>
      </c>
      <c r="M594" s="2">
        <v>-4.33</v>
      </c>
      <c r="N594" s="2">
        <v>23.17</v>
      </c>
      <c r="O594" s="2">
        <v>16.93</v>
      </c>
      <c r="P594" s="2">
        <v>7.22</v>
      </c>
      <c r="Q594" s="2">
        <v>2.4500000000000002</v>
      </c>
      <c r="R594" s="2">
        <v>10.199999999999999</v>
      </c>
      <c r="S594" s="2">
        <v>-0.57999999999999996</v>
      </c>
      <c r="T594" s="2">
        <v>1.65</v>
      </c>
      <c r="U594" s="2">
        <v>9.02</v>
      </c>
      <c r="V594" s="2">
        <v>31.06</v>
      </c>
      <c r="W594" s="2">
        <v>0</v>
      </c>
      <c r="X594" s="2">
        <v>3.53</v>
      </c>
      <c r="Y594" s="2">
        <v>3.52</v>
      </c>
      <c r="Z594" s="2">
        <v>0.91</v>
      </c>
      <c r="AA594" s="2">
        <v>0.52</v>
      </c>
      <c r="AB594" s="2">
        <v>0.03</v>
      </c>
      <c r="AC594" s="2">
        <v>0.68</v>
      </c>
      <c r="AD594" s="2">
        <v>2.2200000000000002</v>
      </c>
      <c r="AE594" s="2">
        <v>5.03</v>
      </c>
      <c r="AF594" s="2">
        <v>59.57</v>
      </c>
      <c r="AG594" s="2">
        <v>10.08</v>
      </c>
    </row>
    <row r="595" spans="1:33" x14ac:dyDescent="0.2">
      <c r="A595" s="3">
        <v>26023</v>
      </c>
      <c r="B595" s="2">
        <v>6.5</v>
      </c>
      <c r="C595" s="2">
        <v>29.17</v>
      </c>
      <c r="D595" s="2">
        <v>-9.41</v>
      </c>
      <c r="E595" s="2">
        <v>-8</v>
      </c>
      <c r="F595" s="2">
        <v>56.96</v>
      </c>
      <c r="G595" s="2">
        <v>-10.55</v>
      </c>
      <c r="H595" s="2">
        <v>20.52</v>
      </c>
      <c r="I595" s="2">
        <v>47.45</v>
      </c>
      <c r="J595" s="2">
        <v>4.71</v>
      </c>
      <c r="K595" s="2">
        <v>7.16</v>
      </c>
      <c r="L595" s="2">
        <v>-18.559999999999999</v>
      </c>
      <c r="M595" s="2">
        <v>-0.4</v>
      </c>
      <c r="N595" s="2">
        <v>46.6</v>
      </c>
      <c r="O595" s="2">
        <v>16.84</v>
      </c>
      <c r="P595" s="2">
        <v>84.2</v>
      </c>
      <c r="Q595" s="2">
        <v>0.03</v>
      </c>
      <c r="R595" s="2">
        <v>0.27</v>
      </c>
      <c r="S595" s="2">
        <v>-11.33</v>
      </c>
      <c r="T595" s="2">
        <v>30.75</v>
      </c>
      <c r="U595" s="2">
        <v>2.35</v>
      </c>
      <c r="V595" s="2">
        <v>27.18</v>
      </c>
      <c r="W595" s="2">
        <v>0</v>
      </c>
      <c r="X595" s="2">
        <v>4.46</v>
      </c>
      <c r="Y595" s="2">
        <v>3.44</v>
      </c>
      <c r="Z595" s="2">
        <v>1.39</v>
      </c>
      <c r="AA595" s="2">
        <v>0.14000000000000001</v>
      </c>
      <c r="AB595" s="2">
        <v>7.0000000000000007E-2</v>
      </c>
      <c r="AC595" s="2">
        <v>1.9</v>
      </c>
      <c r="AD595" s="2">
        <v>3.76</v>
      </c>
      <c r="AE595" s="2">
        <v>14.54</v>
      </c>
      <c r="AF595" s="2">
        <v>70.290000000000006</v>
      </c>
      <c r="AG595" s="2">
        <v>10.69</v>
      </c>
    </row>
    <row r="596" spans="1:33" x14ac:dyDescent="0.2">
      <c r="A596" s="3">
        <v>26053</v>
      </c>
      <c r="B596" s="2">
        <v>6.98</v>
      </c>
      <c r="C596" s="2">
        <v>24.76</v>
      </c>
      <c r="D596" s="2">
        <v>-5.86</v>
      </c>
      <c r="E596" s="2">
        <v>-15.23</v>
      </c>
      <c r="F596" s="2">
        <v>-5.51</v>
      </c>
      <c r="G596" s="2">
        <v>-7.03</v>
      </c>
      <c r="H596" s="2">
        <v>12.83</v>
      </c>
      <c r="I596" s="2">
        <v>49.78</v>
      </c>
      <c r="J596" s="2">
        <v>-4.7300000000000004</v>
      </c>
      <c r="K596" s="2">
        <v>-8.99</v>
      </c>
      <c r="L596" s="2">
        <v>-21.15</v>
      </c>
      <c r="M596" s="2">
        <v>-4.99</v>
      </c>
      <c r="N596" s="2">
        <v>45.55</v>
      </c>
      <c r="O596" s="2">
        <v>11.43</v>
      </c>
      <c r="P596" s="2">
        <v>35.42</v>
      </c>
      <c r="Q596" s="2">
        <v>-5.66</v>
      </c>
      <c r="R596" s="2">
        <v>11.93</v>
      </c>
      <c r="S596" s="2">
        <v>5.97</v>
      </c>
      <c r="T596" s="2">
        <v>20.56</v>
      </c>
      <c r="U596" s="2">
        <v>-0.28999999999999998</v>
      </c>
      <c r="V596" s="2">
        <v>19.809999999999999</v>
      </c>
      <c r="W596" s="2">
        <v>0</v>
      </c>
      <c r="X596" s="2">
        <v>5.44</v>
      </c>
      <c r="Y596" s="2">
        <v>4.6900000000000004</v>
      </c>
      <c r="Z596" s="2">
        <v>1.2</v>
      </c>
      <c r="AA596" s="2">
        <v>0.14000000000000001</v>
      </c>
      <c r="AB596" s="2">
        <v>0</v>
      </c>
      <c r="AC596" s="2">
        <v>2.84</v>
      </c>
      <c r="AD596" s="2">
        <v>4.3499999999999996</v>
      </c>
      <c r="AE596" s="2">
        <v>11.56</v>
      </c>
      <c r="AF596" s="2">
        <v>86.98</v>
      </c>
      <c r="AG596" s="2">
        <v>14.64</v>
      </c>
    </row>
    <row r="597" spans="1:33" x14ac:dyDescent="0.2">
      <c r="A597" s="3">
        <v>26084</v>
      </c>
      <c r="B597" s="2">
        <v>6.76</v>
      </c>
      <c r="C597" s="2">
        <v>23.22</v>
      </c>
      <c r="D597" s="2">
        <v>-2.85</v>
      </c>
      <c r="E597" s="2">
        <v>-16.68</v>
      </c>
      <c r="F597" s="2">
        <v>-27.05</v>
      </c>
      <c r="G597" s="2">
        <v>-0.35</v>
      </c>
      <c r="H597" s="2">
        <v>9.26</v>
      </c>
      <c r="I597" s="2">
        <v>33.659999999999997</v>
      </c>
      <c r="J597" s="2">
        <v>-7.21</v>
      </c>
      <c r="K597" s="2">
        <v>-10.09</v>
      </c>
      <c r="L597" s="2">
        <v>-7.05</v>
      </c>
      <c r="M597" s="2">
        <v>-0.91</v>
      </c>
      <c r="N597" s="2">
        <v>24.06</v>
      </c>
      <c r="O597" s="2">
        <v>15.99</v>
      </c>
      <c r="P597" s="2">
        <v>59.45</v>
      </c>
      <c r="Q597" s="2">
        <v>-4.1399999999999997</v>
      </c>
      <c r="R597" s="2">
        <v>1.29</v>
      </c>
      <c r="S597" s="2">
        <v>21.68</v>
      </c>
      <c r="T597" s="2">
        <v>26.24</v>
      </c>
      <c r="U597" s="2">
        <v>-1.17</v>
      </c>
      <c r="V597" s="2">
        <v>27.69</v>
      </c>
      <c r="W597" s="2">
        <v>4.88</v>
      </c>
      <c r="X597" s="2">
        <v>8.4700000000000006</v>
      </c>
      <c r="Y597" s="2">
        <v>7.06</v>
      </c>
      <c r="Z597" s="2">
        <v>0.81</v>
      </c>
      <c r="AA597" s="2">
        <v>0.86</v>
      </c>
      <c r="AB597" s="2">
        <v>1.65</v>
      </c>
      <c r="AC597" s="2">
        <v>4.5999999999999996</v>
      </c>
      <c r="AD597" s="2">
        <v>6.06</v>
      </c>
      <c r="AE597" s="2">
        <v>0.75</v>
      </c>
      <c r="AF597" s="2">
        <v>98.23</v>
      </c>
      <c r="AG597" s="2">
        <v>17.690000000000001</v>
      </c>
    </row>
    <row r="598" spans="1:33" x14ac:dyDescent="0.2">
      <c r="A598" s="3">
        <v>26114</v>
      </c>
      <c r="B598" s="2">
        <v>4.29</v>
      </c>
      <c r="C598" s="2">
        <v>24.69</v>
      </c>
      <c r="D598" s="2">
        <v>-10.220000000000001</v>
      </c>
      <c r="E598" s="2">
        <v>-44.41</v>
      </c>
      <c r="F598" s="2">
        <v>4.72</v>
      </c>
      <c r="G598" s="2">
        <v>2.29</v>
      </c>
      <c r="H598" s="2">
        <v>10.050000000000001</v>
      </c>
      <c r="I598" s="2">
        <v>36.93</v>
      </c>
      <c r="J598" s="2">
        <v>-10.06</v>
      </c>
      <c r="K598" s="2">
        <v>3.48</v>
      </c>
      <c r="L598" s="2">
        <v>22.74</v>
      </c>
      <c r="M598" s="2">
        <v>6.18</v>
      </c>
      <c r="N598" s="2">
        <v>36.299999999999997</v>
      </c>
      <c r="O598" s="2">
        <v>33.729999999999997</v>
      </c>
      <c r="P598" s="2">
        <v>113.05</v>
      </c>
      <c r="Q598" s="2">
        <v>3.31</v>
      </c>
      <c r="R598" s="2">
        <v>4.8899999999999997</v>
      </c>
      <c r="S598" s="2">
        <v>47.17</v>
      </c>
      <c r="T598" s="2">
        <v>92.97</v>
      </c>
      <c r="U598" s="2">
        <v>11.54</v>
      </c>
      <c r="V598" s="2">
        <v>49.97</v>
      </c>
      <c r="W598" s="2">
        <v>18.62</v>
      </c>
      <c r="X598" s="2">
        <v>13.86</v>
      </c>
      <c r="Y598" s="2">
        <v>13.12</v>
      </c>
      <c r="Z598" s="2">
        <v>0</v>
      </c>
      <c r="AA598" s="2">
        <v>0</v>
      </c>
      <c r="AB598" s="2">
        <v>0</v>
      </c>
      <c r="AC598" s="2">
        <v>0</v>
      </c>
      <c r="AD598" s="2">
        <v>7.95</v>
      </c>
      <c r="AE598" s="2">
        <v>0</v>
      </c>
      <c r="AF598" s="2">
        <v>107.5</v>
      </c>
      <c r="AG598" s="2">
        <v>22.83</v>
      </c>
    </row>
    <row r="599" spans="1:33" x14ac:dyDescent="0.2">
      <c r="A599" s="3">
        <v>26145</v>
      </c>
      <c r="B599" s="2">
        <v>2.33</v>
      </c>
      <c r="C599" s="2">
        <v>23.22</v>
      </c>
      <c r="D599" s="2">
        <v>-9.9499999999999993</v>
      </c>
      <c r="E599" s="2">
        <v>-46.56</v>
      </c>
      <c r="F599" s="2">
        <v>-6.29</v>
      </c>
      <c r="G599" s="2">
        <v>7.77</v>
      </c>
      <c r="H599" s="2">
        <v>6.67</v>
      </c>
      <c r="I599" s="2">
        <v>39.29</v>
      </c>
      <c r="J599" s="2">
        <v>-16.3</v>
      </c>
      <c r="K599" s="2">
        <v>-5.7</v>
      </c>
      <c r="L599" s="2">
        <v>-9.0399999999999991</v>
      </c>
      <c r="M599" s="2">
        <v>12.3</v>
      </c>
      <c r="N599" s="2">
        <v>34.770000000000003</v>
      </c>
      <c r="O599" s="2">
        <v>46.77</v>
      </c>
      <c r="P599" s="2">
        <v>114.29</v>
      </c>
      <c r="Q599" s="2">
        <v>6.35</v>
      </c>
      <c r="R599" s="2">
        <v>7.05</v>
      </c>
      <c r="S599" s="2">
        <v>39.75</v>
      </c>
      <c r="T599" s="2">
        <v>82.57</v>
      </c>
      <c r="U599" s="2">
        <v>23.8</v>
      </c>
      <c r="V599" s="2">
        <v>53.11</v>
      </c>
      <c r="W599" s="2">
        <v>30.39</v>
      </c>
      <c r="X599" s="2">
        <v>19.13</v>
      </c>
      <c r="Y599" s="2">
        <v>18.77</v>
      </c>
      <c r="Z599" s="2">
        <v>0.14000000000000001</v>
      </c>
      <c r="AA599" s="2">
        <v>0</v>
      </c>
      <c r="AB599" s="2">
        <v>0.18</v>
      </c>
      <c r="AC599" s="2">
        <v>0</v>
      </c>
      <c r="AD599" s="2">
        <v>7.4</v>
      </c>
      <c r="AE599" s="2">
        <v>0</v>
      </c>
      <c r="AF599" s="2">
        <v>117.07</v>
      </c>
      <c r="AG599" s="2">
        <v>24.8</v>
      </c>
    </row>
    <row r="600" spans="1:33" x14ac:dyDescent="0.2">
      <c r="A600" s="3">
        <v>26176</v>
      </c>
      <c r="B600" s="2">
        <v>1.76</v>
      </c>
      <c r="C600" s="2">
        <v>22.75</v>
      </c>
      <c r="D600" s="2">
        <v>-9.5</v>
      </c>
      <c r="E600" s="2">
        <v>-34.06</v>
      </c>
      <c r="F600" s="2">
        <v>15.5</v>
      </c>
      <c r="G600" s="2">
        <v>23.36</v>
      </c>
      <c r="H600" s="2">
        <v>13.94</v>
      </c>
      <c r="I600" s="2">
        <v>37.31</v>
      </c>
      <c r="J600" s="2">
        <v>-6.47</v>
      </c>
      <c r="K600" s="2">
        <v>-5.76</v>
      </c>
      <c r="L600" s="2">
        <v>-3.51</v>
      </c>
      <c r="M600" s="2">
        <v>10.94</v>
      </c>
      <c r="N600" s="2">
        <v>32.82</v>
      </c>
      <c r="O600" s="2">
        <v>49.73</v>
      </c>
      <c r="P600" s="2">
        <v>101.09</v>
      </c>
      <c r="Q600" s="2">
        <v>2.31</v>
      </c>
      <c r="R600" s="2">
        <v>11.62</v>
      </c>
      <c r="S600" s="2">
        <v>31.62</v>
      </c>
      <c r="T600" s="2">
        <v>65.760000000000005</v>
      </c>
      <c r="U600" s="2">
        <v>19.43</v>
      </c>
      <c r="V600" s="2">
        <v>46.54</v>
      </c>
      <c r="W600" s="2">
        <v>31.47</v>
      </c>
      <c r="X600" s="2">
        <v>21.47</v>
      </c>
      <c r="Y600" s="2">
        <v>21.23</v>
      </c>
      <c r="Z600" s="2">
        <v>0</v>
      </c>
      <c r="AA600" s="2">
        <v>1.1499999999999999</v>
      </c>
      <c r="AB600" s="2">
        <v>0</v>
      </c>
      <c r="AC600" s="2">
        <v>1.22</v>
      </c>
      <c r="AD600" s="2">
        <v>5.27</v>
      </c>
      <c r="AE600" s="2">
        <v>0.09</v>
      </c>
      <c r="AF600" s="2">
        <v>119.06</v>
      </c>
      <c r="AG600" s="2">
        <v>23.65</v>
      </c>
    </row>
    <row r="601" spans="1:33" x14ac:dyDescent="0.2">
      <c r="A601" s="3">
        <v>26206</v>
      </c>
      <c r="B601" s="2">
        <v>0</v>
      </c>
      <c r="C601" s="2">
        <v>23.16</v>
      </c>
      <c r="D601" s="2">
        <v>-10</v>
      </c>
      <c r="E601" s="2">
        <v>-18.73</v>
      </c>
      <c r="F601" s="2">
        <v>6.89</v>
      </c>
      <c r="G601" s="2">
        <v>16.02</v>
      </c>
      <c r="H601" s="2">
        <v>18.59</v>
      </c>
      <c r="I601" s="2">
        <v>48.23</v>
      </c>
      <c r="J601" s="2">
        <v>8.7899999999999991</v>
      </c>
      <c r="K601" s="2">
        <v>-5.19</v>
      </c>
      <c r="L601" s="2">
        <v>-4.3099999999999996</v>
      </c>
      <c r="M601" s="2">
        <v>4.99</v>
      </c>
      <c r="N601" s="2">
        <v>36.51</v>
      </c>
      <c r="O601" s="2">
        <v>19.16</v>
      </c>
      <c r="P601" s="2">
        <v>47.48</v>
      </c>
      <c r="Q601" s="2">
        <v>5.22</v>
      </c>
      <c r="R601" s="2">
        <v>12.74</v>
      </c>
      <c r="S601" s="2">
        <v>4.62</v>
      </c>
      <c r="T601" s="2">
        <v>15.92</v>
      </c>
      <c r="U601" s="2">
        <v>8.65</v>
      </c>
      <c r="V601" s="2">
        <v>15.86</v>
      </c>
      <c r="W601" s="2">
        <v>26.1</v>
      </c>
      <c r="X601" s="2">
        <v>20.38</v>
      </c>
      <c r="Y601" s="2">
        <v>19.95</v>
      </c>
      <c r="Z601" s="2">
        <v>0</v>
      </c>
      <c r="AA601" s="2">
        <v>3.83</v>
      </c>
      <c r="AB601" s="2">
        <v>0</v>
      </c>
      <c r="AC601" s="2">
        <v>0</v>
      </c>
      <c r="AD601" s="2">
        <v>3.76</v>
      </c>
      <c r="AE601" s="2">
        <v>1.1200000000000001</v>
      </c>
      <c r="AF601" s="2">
        <v>110.9</v>
      </c>
      <c r="AG601" s="2">
        <v>20.170000000000002</v>
      </c>
    </row>
    <row r="602" spans="1:33" x14ac:dyDescent="0.2">
      <c r="A602" s="3">
        <v>26237</v>
      </c>
      <c r="B602" s="2">
        <v>0.03</v>
      </c>
      <c r="C602" s="2">
        <v>22.62</v>
      </c>
      <c r="D602" s="2">
        <v>-8.4499999999999993</v>
      </c>
      <c r="E602" s="2">
        <v>-31.59</v>
      </c>
      <c r="F602" s="2">
        <v>-28.22</v>
      </c>
      <c r="G602" s="2">
        <v>9.85</v>
      </c>
      <c r="H602" s="2">
        <v>4.84</v>
      </c>
      <c r="I602" s="2">
        <v>44.43</v>
      </c>
      <c r="J602" s="2">
        <v>3.02</v>
      </c>
      <c r="K602" s="2">
        <v>-4.55</v>
      </c>
      <c r="L602" s="2">
        <v>10.48</v>
      </c>
      <c r="M602" s="2">
        <v>8.8699999999999992</v>
      </c>
      <c r="N602" s="2">
        <v>29.25</v>
      </c>
      <c r="O602" s="2">
        <v>18.71</v>
      </c>
      <c r="P602" s="2">
        <v>36.11</v>
      </c>
      <c r="Q602" s="2">
        <v>1.8</v>
      </c>
      <c r="R602" s="2">
        <v>5.28</v>
      </c>
      <c r="S602" s="2">
        <v>1.81</v>
      </c>
      <c r="T602" s="2">
        <v>19.66</v>
      </c>
      <c r="U602" s="2">
        <v>5.17</v>
      </c>
      <c r="V602" s="2">
        <v>14.35</v>
      </c>
      <c r="W602" s="2">
        <v>22.19</v>
      </c>
      <c r="X602" s="2">
        <v>18.89</v>
      </c>
      <c r="Y602" s="2">
        <v>18.440000000000001</v>
      </c>
      <c r="Z602" s="2">
        <v>0</v>
      </c>
      <c r="AA602" s="2">
        <v>4</v>
      </c>
      <c r="AB602" s="2">
        <v>0.24</v>
      </c>
      <c r="AC602" s="2">
        <v>2.44</v>
      </c>
      <c r="AD602" s="2">
        <v>2.88</v>
      </c>
      <c r="AE602" s="2">
        <v>0</v>
      </c>
      <c r="AF602" s="2">
        <v>100.59</v>
      </c>
      <c r="AG602" s="2">
        <v>16.420000000000002</v>
      </c>
    </row>
    <row r="603" spans="1:33" x14ac:dyDescent="0.2">
      <c r="A603" s="3">
        <v>26267</v>
      </c>
      <c r="B603" s="2">
        <v>-0.77</v>
      </c>
      <c r="C603" s="2">
        <v>15.82</v>
      </c>
      <c r="D603" s="2">
        <v>-5.46</v>
      </c>
      <c r="E603" s="2">
        <v>-14.52</v>
      </c>
      <c r="F603" s="2">
        <v>1.85</v>
      </c>
      <c r="G603" s="2">
        <v>13.02</v>
      </c>
      <c r="H603" s="2">
        <v>11.84</v>
      </c>
      <c r="I603" s="2">
        <v>39.1</v>
      </c>
      <c r="J603" s="2">
        <v>8.41</v>
      </c>
      <c r="K603" s="2">
        <v>-3.94</v>
      </c>
      <c r="L603" s="2">
        <v>4.88</v>
      </c>
      <c r="M603" s="2">
        <v>1.77</v>
      </c>
      <c r="N603" s="2">
        <v>20.34</v>
      </c>
      <c r="O603" s="2">
        <v>15.35</v>
      </c>
      <c r="P603" s="2">
        <v>34.270000000000003</v>
      </c>
      <c r="Q603" s="2">
        <v>-0.36</v>
      </c>
      <c r="R603" s="2">
        <v>3.86</v>
      </c>
      <c r="S603" s="2">
        <v>-2.99</v>
      </c>
      <c r="T603" s="2">
        <v>11.36</v>
      </c>
      <c r="U603" s="2">
        <v>4.97</v>
      </c>
      <c r="V603" s="2">
        <v>15.99</v>
      </c>
      <c r="W603" s="2">
        <v>15.43</v>
      </c>
      <c r="X603" s="2">
        <v>12.32</v>
      </c>
      <c r="Y603" s="2">
        <v>10.88</v>
      </c>
      <c r="Z603" s="2">
        <v>20.34</v>
      </c>
      <c r="AA603" s="2">
        <v>0</v>
      </c>
      <c r="AB603" s="2">
        <v>0</v>
      </c>
      <c r="AC603" s="2">
        <v>0</v>
      </c>
      <c r="AD603" s="2">
        <v>1.91</v>
      </c>
      <c r="AE603" s="2">
        <v>6.53</v>
      </c>
      <c r="AF603" s="2">
        <v>66</v>
      </c>
      <c r="AG603" s="2">
        <v>12.92</v>
      </c>
    </row>
    <row r="604" spans="1:33" x14ac:dyDescent="0.2">
      <c r="A604" s="3">
        <v>26298</v>
      </c>
      <c r="B604" s="2">
        <v>0.39</v>
      </c>
      <c r="C604" s="2">
        <v>20.73</v>
      </c>
      <c r="D604" s="2">
        <v>11.98</v>
      </c>
      <c r="E604" s="2">
        <v>21.1</v>
      </c>
      <c r="F604" s="2">
        <v>35.07</v>
      </c>
      <c r="G604" s="2">
        <v>55.26</v>
      </c>
      <c r="H604" s="2">
        <v>19.649999999999999</v>
      </c>
      <c r="I604" s="2">
        <v>45.38</v>
      </c>
      <c r="J604" s="2">
        <v>34.590000000000003</v>
      </c>
      <c r="K604" s="2">
        <v>31.96</v>
      </c>
      <c r="L604" s="2">
        <v>30.51</v>
      </c>
      <c r="M604" s="2">
        <v>26.52</v>
      </c>
      <c r="N604" s="2">
        <v>36.67</v>
      </c>
      <c r="O604" s="2">
        <v>15.02</v>
      </c>
      <c r="P604" s="2">
        <v>61.51</v>
      </c>
      <c r="Q604" s="2">
        <v>-1.5</v>
      </c>
      <c r="R604" s="2">
        <v>6.04</v>
      </c>
      <c r="S604" s="2">
        <v>37.299999999999997</v>
      </c>
      <c r="T604" s="2">
        <v>13.04</v>
      </c>
      <c r="U604" s="2">
        <v>5.93</v>
      </c>
      <c r="V604" s="2">
        <v>23.84</v>
      </c>
      <c r="W604" s="2">
        <v>11.73</v>
      </c>
      <c r="X604" s="2">
        <v>10.09</v>
      </c>
      <c r="Y604" s="2">
        <v>9.8699999999999992</v>
      </c>
      <c r="Z604" s="2">
        <v>0.1</v>
      </c>
      <c r="AA604" s="2">
        <v>2.0099999999999998</v>
      </c>
      <c r="AB604" s="2">
        <v>1.66</v>
      </c>
      <c r="AC604" s="2">
        <v>15.43</v>
      </c>
      <c r="AD604" s="2">
        <v>2</v>
      </c>
      <c r="AE604" s="2">
        <v>30.67</v>
      </c>
      <c r="AF604" s="2">
        <v>60.63</v>
      </c>
      <c r="AG604" s="2">
        <v>11.2</v>
      </c>
    </row>
    <row r="605" spans="1:33" x14ac:dyDescent="0.2">
      <c r="A605" s="3">
        <v>26329</v>
      </c>
      <c r="B605" s="2">
        <v>-1.25</v>
      </c>
      <c r="C605" s="2">
        <v>15.69</v>
      </c>
      <c r="D605" s="2">
        <v>-6.7</v>
      </c>
      <c r="E605" s="2">
        <v>-12.22</v>
      </c>
      <c r="F605" s="2">
        <v>-15.93</v>
      </c>
      <c r="G605" s="2">
        <v>8.99</v>
      </c>
      <c r="H605" s="2">
        <v>7.47</v>
      </c>
      <c r="I605" s="2">
        <v>38.81</v>
      </c>
      <c r="J605" s="2">
        <v>1.92</v>
      </c>
      <c r="K605" s="2">
        <v>-6.34</v>
      </c>
      <c r="L605" s="2">
        <v>1.41</v>
      </c>
      <c r="M605" s="2">
        <v>-5.68</v>
      </c>
      <c r="N605" s="2">
        <v>12.49</v>
      </c>
      <c r="O605" s="2">
        <v>16.25</v>
      </c>
      <c r="P605" s="2">
        <v>28.57</v>
      </c>
      <c r="Q605" s="2">
        <v>-0.52</v>
      </c>
      <c r="R605" s="2">
        <v>5.7</v>
      </c>
      <c r="S605" s="2">
        <v>-4.5</v>
      </c>
      <c r="T605" s="2">
        <v>12.99</v>
      </c>
      <c r="U605" s="2">
        <v>2.33</v>
      </c>
      <c r="V605" s="2">
        <v>16.77</v>
      </c>
      <c r="W605" s="2">
        <v>4.26</v>
      </c>
      <c r="X605" s="2">
        <v>6.72</v>
      </c>
      <c r="Y605" s="2">
        <v>5.31</v>
      </c>
      <c r="Z605" s="2">
        <v>0</v>
      </c>
      <c r="AA605" s="2">
        <v>0</v>
      </c>
      <c r="AB605" s="2">
        <v>0</v>
      </c>
      <c r="AC605" s="2">
        <v>0</v>
      </c>
      <c r="AD605" s="2">
        <v>1.85</v>
      </c>
      <c r="AE605" s="2">
        <v>11.28</v>
      </c>
      <c r="AF605" s="2">
        <v>75.3</v>
      </c>
      <c r="AG605" s="2">
        <v>9.8800000000000008</v>
      </c>
    </row>
    <row r="606" spans="1:33" x14ac:dyDescent="0.2">
      <c r="A606" s="3">
        <v>26358</v>
      </c>
      <c r="B606" s="2">
        <v>0.42</v>
      </c>
      <c r="C606" s="2">
        <v>14.91</v>
      </c>
      <c r="D606" s="2">
        <v>-6.07</v>
      </c>
      <c r="E606" s="2">
        <v>-7.03</v>
      </c>
      <c r="F606" s="2">
        <v>4.46</v>
      </c>
      <c r="G606" s="2">
        <v>20.65</v>
      </c>
      <c r="H606" s="2">
        <v>11.51</v>
      </c>
      <c r="I606" s="2">
        <v>38.42</v>
      </c>
      <c r="J606" s="2">
        <v>3.71</v>
      </c>
      <c r="K606" s="2">
        <v>-5.09</v>
      </c>
      <c r="L606" s="2">
        <v>-11.95</v>
      </c>
      <c r="M606" s="2">
        <v>-2.81</v>
      </c>
      <c r="N606" s="2">
        <v>20.75</v>
      </c>
      <c r="O606" s="2">
        <v>19.2</v>
      </c>
      <c r="P606" s="2">
        <v>32.93</v>
      </c>
      <c r="Q606" s="2">
        <v>-1.45</v>
      </c>
      <c r="R606" s="2">
        <v>7.31</v>
      </c>
      <c r="S606" s="2">
        <v>-0.61</v>
      </c>
      <c r="T606" s="2">
        <v>19.12</v>
      </c>
      <c r="U606" s="2">
        <v>3.22</v>
      </c>
      <c r="V606" s="2">
        <v>12.01</v>
      </c>
      <c r="W606" s="2">
        <v>0</v>
      </c>
      <c r="X606" s="2">
        <v>0.69</v>
      </c>
      <c r="Y606" s="2">
        <v>0.62</v>
      </c>
      <c r="Z606" s="2">
        <v>0</v>
      </c>
      <c r="AA606" s="2">
        <v>0</v>
      </c>
      <c r="AB606" s="2">
        <v>0</v>
      </c>
      <c r="AC606" s="2">
        <v>0</v>
      </c>
      <c r="AD606" s="2">
        <v>1.96</v>
      </c>
      <c r="AE606" s="2">
        <v>3.08</v>
      </c>
      <c r="AF606" s="2">
        <v>62.77</v>
      </c>
      <c r="AG606" s="2">
        <v>10.08</v>
      </c>
    </row>
    <row r="607" spans="1:33" x14ac:dyDescent="0.2">
      <c r="A607" s="3">
        <v>26389</v>
      </c>
      <c r="B607" s="2">
        <v>4.6399999999999997</v>
      </c>
      <c r="C607" s="2">
        <v>18.75</v>
      </c>
      <c r="D607" s="2">
        <v>4.09</v>
      </c>
      <c r="E607" s="2">
        <v>14.06</v>
      </c>
      <c r="F607" s="2">
        <v>-8.9600000000000009</v>
      </c>
      <c r="G607" s="2">
        <v>6.24</v>
      </c>
      <c r="H607" s="2">
        <v>14.18</v>
      </c>
      <c r="I607" s="2">
        <v>42.4</v>
      </c>
      <c r="J607" s="2">
        <v>4.47</v>
      </c>
      <c r="K607" s="2">
        <v>20.75</v>
      </c>
      <c r="L607" s="2">
        <v>-10.67</v>
      </c>
      <c r="M607" s="2">
        <v>6.61</v>
      </c>
      <c r="N607" s="2">
        <v>49.29</v>
      </c>
      <c r="O607" s="2">
        <v>14.8</v>
      </c>
      <c r="P607" s="2">
        <v>74.55</v>
      </c>
      <c r="Q607" s="2">
        <v>-3.94</v>
      </c>
      <c r="R607" s="2">
        <v>5.3</v>
      </c>
      <c r="S607" s="2">
        <v>10.31</v>
      </c>
      <c r="T607" s="2">
        <v>32.270000000000003</v>
      </c>
      <c r="U607" s="2">
        <v>-0.95</v>
      </c>
      <c r="V607" s="2">
        <v>19.8</v>
      </c>
      <c r="W607" s="2">
        <v>0</v>
      </c>
      <c r="X607" s="2">
        <v>1.1100000000000001</v>
      </c>
      <c r="Y607" s="2">
        <v>0.06</v>
      </c>
      <c r="Z607" s="2">
        <v>0</v>
      </c>
      <c r="AA607" s="2">
        <v>0</v>
      </c>
      <c r="AB607" s="2">
        <v>0</v>
      </c>
      <c r="AC607" s="2">
        <v>0</v>
      </c>
      <c r="AD607" s="2">
        <v>3.56</v>
      </c>
      <c r="AE607" s="2">
        <v>0.65</v>
      </c>
      <c r="AF607" s="2">
        <v>74.069999999999993</v>
      </c>
      <c r="AG607" s="2">
        <v>10.69</v>
      </c>
    </row>
    <row r="608" spans="1:33" x14ac:dyDescent="0.2">
      <c r="A608" s="3">
        <v>26419</v>
      </c>
      <c r="B608" s="2">
        <v>-0.01</v>
      </c>
      <c r="C608" s="2">
        <v>14.85</v>
      </c>
      <c r="D608" s="2">
        <v>-11.62</v>
      </c>
      <c r="E608" s="2">
        <v>-6.82</v>
      </c>
      <c r="F608" s="2">
        <v>7.46</v>
      </c>
      <c r="G608" s="2">
        <v>-1.04</v>
      </c>
      <c r="H608" s="2">
        <v>2.91</v>
      </c>
      <c r="I608" s="2">
        <v>42.39</v>
      </c>
      <c r="J608" s="2">
        <v>-5.09</v>
      </c>
      <c r="K608" s="2">
        <v>-16.670000000000002</v>
      </c>
      <c r="L608" s="2">
        <v>-10.83</v>
      </c>
      <c r="M608" s="2">
        <v>-0.4</v>
      </c>
      <c r="N608" s="2">
        <v>17.46</v>
      </c>
      <c r="O608" s="2">
        <v>11.41</v>
      </c>
      <c r="P608" s="2">
        <v>43.5</v>
      </c>
      <c r="Q608" s="2">
        <v>-5.58</v>
      </c>
      <c r="R608" s="2">
        <v>1</v>
      </c>
      <c r="S608" s="2">
        <v>10.5</v>
      </c>
      <c r="T608" s="2">
        <v>23.22</v>
      </c>
      <c r="U608" s="2">
        <v>7.19</v>
      </c>
      <c r="V608" s="2">
        <v>18.97</v>
      </c>
      <c r="W608" s="2">
        <v>0</v>
      </c>
      <c r="X608" s="2">
        <v>1.31</v>
      </c>
      <c r="Y608" s="2">
        <v>0.51</v>
      </c>
      <c r="Z608" s="2">
        <v>0.14000000000000001</v>
      </c>
      <c r="AA608" s="2">
        <v>0</v>
      </c>
      <c r="AB608" s="2">
        <v>0</v>
      </c>
      <c r="AC608" s="2">
        <v>0</v>
      </c>
      <c r="AD608" s="2">
        <v>4.1100000000000003</v>
      </c>
      <c r="AE608" s="2">
        <v>4.75</v>
      </c>
      <c r="AF608" s="2">
        <v>91.65</v>
      </c>
      <c r="AG608" s="2">
        <v>14.64</v>
      </c>
    </row>
    <row r="609" spans="1:33" x14ac:dyDescent="0.2">
      <c r="A609" s="3">
        <v>26450</v>
      </c>
      <c r="B609" s="2">
        <v>-0.75</v>
      </c>
      <c r="C609" s="2">
        <v>15.33</v>
      </c>
      <c r="D609" s="2">
        <v>-5.43</v>
      </c>
      <c r="E609" s="2">
        <v>-14.46</v>
      </c>
      <c r="F609" s="2">
        <v>-4.0199999999999996</v>
      </c>
      <c r="G609" s="2">
        <v>9.0500000000000007</v>
      </c>
      <c r="H609" s="2">
        <v>3.9</v>
      </c>
      <c r="I609" s="2">
        <v>31.28</v>
      </c>
      <c r="J609" s="2">
        <v>-15.09</v>
      </c>
      <c r="K609" s="2">
        <v>-3.14</v>
      </c>
      <c r="L609" s="2">
        <v>-2.34</v>
      </c>
      <c r="M609" s="2">
        <v>1.79</v>
      </c>
      <c r="N609" s="2">
        <v>37.46</v>
      </c>
      <c r="O609" s="2">
        <v>13.99</v>
      </c>
      <c r="P609" s="2">
        <v>46.13</v>
      </c>
      <c r="Q609" s="2">
        <v>-9.74</v>
      </c>
      <c r="R609" s="2">
        <v>2.04</v>
      </c>
      <c r="S609" s="2">
        <v>32.549999999999997</v>
      </c>
      <c r="T609" s="2">
        <v>38.07</v>
      </c>
      <c r="U609" s="2">
        <v>9.85</v>
      </c>
      <c r="V609" s="2">
        <v>32.32</v>
      </c>
      <c r="W609" s="2">
        <v>4.88</v>
      </c>
      <c r="X609" s="2">
        <v>3.79</v>
      </c>
      <c r="Y609" s="2">
        <v>2.33</v>
      </c>
      <c r="Z609" s="2">
        <v>0</v>
      </c>
      <c r="AA609" s="2">
        <v>0</v>
      </c>
      <c r="AB609" s="2">
        <v>0</v>
      </c>
      <c r="AC609" s="2">
        <v>0</v>
      </c>
      <c r="AD609" s="2">
        <v>5.26</v>
      </c>
      <c r="AE609" s="2">
        <v>0</v>
      </c>
      <c r="AF609" s="2">
        <v>103.51</v>
      </c>
      <c r="AG609" s="2">
        <v>17.690000000000001</v>
      </c>
    </row>
    <row r="610" spans="1:33" x14ac:dyDescent="0.2">
      <c r="A610" s="3">
        <v>26480</v>
      </c>
      <c r="B610" s="2">
        <v>-0.97</v>
      </c>
      <c r="C610" s="2">
        <v>15.45</v>
      </c>
      <c r="D610" s="2">
        <v>-11.19</v>
      </c>
      <c r="E610" s="2">
        <v>-19.190000000000001</v>
      </c>
      <c r="F610" s="2">
        <v>13.9</v>
      </c>
      <c r="G610" s="2">
        <v>18.79</v>
      </c>
      <c r="H610" s="2">
        <v>9.59</v>
      </c>
      <c r="I610" s="2">
        <v>34.130000000000003</v>
      </c>
      <c r="J610" s="2">
        <v>-10.39</v>
      </c>
      <c r="K610" s="2">
        <v>7.47</v>
      </c>
      <c r="L610" s="2">
        <v>5.4</v>
      </c>
      <c r="M610" s="2">
        <v>9.77</v>
      </c>
      <c r="N610" s="2">
        <v>48.11</v>
      </c>
      <c r="O610" s="2">
        <v>32.450000000000003</v>
      </c>
      <c r="P610" s="2">
        <v>126.14</v>
      </c>
      <c r="Q610" s="2">
        <v>-2.87</v>
      </c>
      <c r="R610" s="2">
        <v>4.0999999999999996</v>
      </c>
      <c r="S610" s="2">
        <v>78.63</v>
      </c>
      <c r="T610" s="2">
        <v>76.13</v>
      </c>
      <c r="U610" s="2">
        <v>14.22</v>
      </c>
      <c r="V610" s="2">
        <v>61.44</v>
      </c>
      <c r="W610" s="2">
        <v>18.62</v>
      </c>
      <c r="X610" s="2">
        <v>8.74</v>
      </c>
      <c r="Y610" s="2">
        <v>7.93</v>
      </c>
      <c r="Z610" s="2">
        <v>1.34</v>
      </c>
      <c r="AA610" s="2">
        <v>2.2599999999999998</v>
      </c>
      <c r="AB610" s="2">
        <v>0.05</v>
      </c>
      <c r="AC610" s="2">
        <v>22.88</v>
      </c>
      <c r="AD610" s="2">
        <v>8.08</v>
      </c>
      <c r="AE610" s="2">
        <v>1.31</v>
      </c>
      <c r="AF610" s="2">
        <v>113.28</v>
      </c>
      <c r="AG610" s="2">
        <v>22.83</v>
      </c>
    </row>
    <row r="611" spans="1:33" x14ac:dyDescent="0.2">
      <c r="A611" s="3">
        <v>26511</v>
      </c>
      <c r="B611" s="2">
        <v>-1.57</v>
      </c>
      <c r="C611" s="2">
        <v>18.059999999999999</v>
      </c>
      <c r="D611" s="2">
        <v>-10.199999999999999</v>
      </c>
      <c r="E611" s="2">
        <v>-11.67</v>
      </c>
      <c r="F611" s="2">
        <v>12.11</v>
      </c>
      <c r="G611" s="2">
        <v>27.9</v>
      </c>
      <c r="H611" s="2">
        <v>11.55</v>
      </c>
      <c r="I611" s="2">
        <v>38.44</v>
      </c>
      <c r="J611" s="2">
        <v>-10.69</v>
      </c>
      <c r="K611" s="2">
        <v>-5.19</v>
      </c>
      <c r="L611" s="2">
        <v>8.69</v>
      </c>
      <c r="M611" s="2">
        <v>13.51</v>
      </c>
      <c r="N611" s="2">
        <v>45.46</v>
      </c>
      <c r="O611" s="2">
        <v>41.43</v>
      </c>
      <c r="P611" s="2">
        <v>143.22</v>
      </c>
      <c r="Q611" s="2">
        <v>3.14</v>
      </c>
      <c r="R611" s="2">
        <v>7.21</v>
      </c>
      <c r="S611" s="2">
        <v>86.33</v>
      </c>
      <c r="T611" s="2">
        <v>68.739999999999995</v>
      </c>
      <c r="U611" s="2">
        <v>24.38</v>
      </c>
      <c r="V611" s="2">
        <v>52.8</v>
      </c>
      <c r="W611" s="2">
        <v>30.39</v>
      </c>
      <c r="X611" s="2">
        <v>13.56</v>
      </c>
      <c r="Y611" s="2">
        <v>13.15</v>
      </c>
      <c r="Z611" s="2">
        <v>0</v>
      </c>
      <c r="AA611" s="2">
        <v>0</v>
      </c>
      <c r="AB611" s="2">
        <v>0.16</v>
      </c>
      <c r="AC611" s="2">
        <v>0</v>
      </c>
      <c r="AD611" s="2">
        <v>7.59</v>
      </c>
      <c r="AE611" s="2">
        <v>0</v>
      </c>
      <c r="AF611" s="2">
        <v>123.36</v>
      </c>
      <c r="AG611" s="2">
        <v>24.8</v>
      </c>
    </row>
    <row r="612" spans="1:33" x14ac:dyDescent="0.2">
      <c r="A612" s="3">
        <v>26542</v>
      </c>
      <c r="B612" s="2">
        <v>-3.16</v>
      </c>
      <c r="C612" s="2">
        <v>16.690000000000001</v>
      </c>
      <c r="D612" s="2">
        <v>-13.92</v>
      </c>
      <c r="E612" s="2">
        <v>-20.329999999999998</v>
      </c>
      <c r="F612" s="2">
        <v>15.64</v>
      </c>
      <c r="G612" s="2">
        <v>33.06</v>
      </c>
      <c r="H612" s="2">
        <v>10.18</v>
      </c>
      <c r="I612" s="2">
        <v>35.979999999999997</v>
      </c>
      <c r="J612" s="2">
        <v>-5.59</v>
      </c>
      <c r="K612" s="2">
        <v>-6.36</v>
      </c>
      <c r="L612" s="2">
        <v>8.6300000000000008</v>
      </c>
      <c r="M612" s="2">
        <v>11.55</v>
      </c>
      <c r="N612" s="2">
        <v>38.840000000000003</v>
      </c>
      <c r="O612" s="2">
        <v>41.62</v>
      </c>
      <c r="P612" s="2">
        <v>120.13</v>
      </c>
      <c r="Q612" s="2">
        <v>1.5</v>
      </c>
      <c r="R612" s="2">
        <v>3.36</v>
      </c>
      <c r="S612" s="2">
        <v>71.06</v>
      </c>
      <c r="T612" s="2">
        <v>53.22</v>
      </c>
      <c r="U612" s="2">
        <v>19.97</v>
      </c>
      <c r="V612" s="2">
        <v>45.67</v>
      </c>
      <c r="W612" s="2">
        <v>31.47</v>
      </c>
      <c r="X612" s="2">
        <v>15.81</v>
      </c>
      <c r="Y612" s="2">
        <v>15.5</v>
      </c>
      <c r="Z612" s="2">
        <v>0.62</v>
      </c>
      <c r="AA612" s="2">
        <v>0.52</v>
      </c>
      <c r="AB612" s="2">
        <v>0.04</v>
      </c>
      <c r="AC612" s="2">
        <v>14.89</v>
      </c>
      <c r="AD612" s="2">
        <v>5.53</v>
      </c>
      <c r="AE612" s="2">
        <v>0</v>
      </c>
      <c r="AF612" s="2">
        <v>125.46</v>
      </c>
      <c r="AG612" s="2">
        <v>23.65</v>
      </c>
    </row>
    <row r="613" spans="1:33" x14ac:dyDescent="0.2">
      <c r="A613" s="3">
        <v>26572</v>
      </c>
      <c r="B613" s="2">
        <v>-4.7</v>
      </c>
      <c r="C613" s="2">
        <v>17.149999999999999</v>
      </c>
      <c r="D613" s="2">
        <v>-11.42</v>
      </c>
      <c r="E613" s="2">
        <v>-19.96</v>
      </c>
      <c r="F613" s="2">
        <v>4.03</v>
      </c>
      <c r="G613" s="2">
        <v>16.64</v>
      </c>
      <c r="H613" s="2">
        <v>13.79</v>
      </c>
      <c r="I613" s="2">
        <v>46.38</v>
      </c>
      <c r="J613" s="2">
        <v>13.07</v>
      </c>
      <c r="K613" s="2">
        <v>2.16</v>
      </c>
      <c r="L613" s="2">
        <v>6.49</v>
      </c>
      <c r="M613" s="2">
        <v>14.38</v>
      </c>
      <c r="N613" s="2">
        <v>41.43</v>
      </c>
      <c r="O613" s="2">
        <v>18.57</v>
      </c>
      <c r="P613" s="2">
        <v>39.97</v>
      </c>
      <c r="Q613" s="2">
        <v>3.24</v>
      </c>
      <c r="R613" s="2">
        <v>11.57</v>
      </c>
      <c r="S613" s="2">
        <v>10.11</v>
      </c>
      <c r="T613" s="2">
        <v>15.77</v>
      </c>
      <c r="U613" s="2">
        <v>5.96</v>
      </c>
      <c r="V613" s="2">
        <v>15.95</v>
      </c>
      <c r="W613" s="2">
        <v>26.1</v>
      </c>
      <c r="X613" s="2">
        <v>15.12</v>
      </c>
      <c r="Y613" s="2">
        <v>14.63</v>
      </c>
      <c r="Z613" s="2">
        <v>0</v>
      </c>
      <c r="AA613" s="2">
        <v>0</v>
      </c>
      <c r="AB613" s="2">
        <v>0</v>
      </c>
      <c r="AC613" s="2">
        <v>0.81</v>
      </c>
      <c r="AD613" s="2">
        <v>3.99</v>
      </c>
      <c r="AE613" s="2">
        <v>5.59</v>
      </c>
      <c r="AF613" s="2">
        <v>116.86</v>
      </c>
      <c r="AG613" s="2">
        <v>20.170000000000002</v>
      </c>
    </row>
    <row r="614" spans="1:33" x14ac:dyDescent="0.2">
      <c r="A614" s="3">
        <v>26603</v>
      </c>
      <c r="B614" s="2">
        <v>-3.36</v>
      </c>
      <c r="C614" s="2">
        <v>19.55</v>
      </c>
      <c r="D614" s="2">
        <v>-2.06</v>
      </c>
      <c r="E614" s="2">
        <v>-3.24</v>
      </c>
      <c r="F614" s="2">
        <v>2.64</v>
      </c>
      <c r="G614" s="2">
        <v>22.4</v>
      </c>
      <c r="H614" s="2">
        <v>14.2</v>
      </c>
      <c r="I614" s="2">
        <v>39.229999999999997</v>
      </c>
      <c r="J614" s="2">
        <v>9.35</v>
      </c>
      <c r="K614" s="2">
        <v>-11.79</v>
      </c>
      <c r="L614" s="2">
        <v>14.44</v>
      </c>
      <c r="M614" s="2">
        <v>4.2699999999999996</v>
      </c>
      <c r="N614" s="2">
        <v>25.8</v>
      </c>
      <c r="O614" s="2">
        <v>20.28</v>
      </c>
      <c r="P614" s="2">
        <v>37.700000000000003</v>
      </c>
      <c r="Q614" s="2">
        <v>0.63</v>
      </c>
      <c r="R614" s="2">
        <v>7.73</v>
      </c>
      <c r="S614" s="2">
        <v>-1.86</v>
      </c>
      <c r="T614" s="2">
        <v>19.5</v>
      </c>
      <c r="U614" s="2">
        <v>1.68</v>
      </c>
      <c r="V614" s="2">
        <v>14.51</v>
      </c>
      <c r="W614" s="2">
        <v>22.19</v>
      </c>
      <c r="X614" s="2">
        <v>14.12</v>
      </c>
      <c r="Y614" s="2">
        <v>13.61</v>
      </c>
      <c r="Z614" s="2">
        <v>6.03</v>
      </c>
      <c r="AA614" s="2">
        <v>6.6</v>
      </c>
      <c r="AB614" s="2">
        <v>0.42</v>
      </c>
      <c r="AC614" s="2">
        <v>3.66</v>
      </c>
      <c r="AD614" s="2">
        <v>3.5</v>
      </c>
      <c r="AE614" s="2">
        <v>20.420000000000002</v>
      </c>
      <c r="AF614" s="2">
        <v>105.99</v>
      </c>
      <c r="AG614" s="2">
        <v>16.420000000000002</v>
      </c>
    </row>
    <row r="615" spans="1:33" x14ac:dyDescent="0.2">
      <c r="A615" s="3">
        <v>26633</v>
      </c>
      <c r="B615" s="2">
        <v>1.05</v>
      </c>
      <c r="C615" s="2">
        <v>24.63</v>
      </c>
      <c r="D615" s="2">
        <v>26.09</v>
      </c>
      <c r="E615" s="2">
        <v>59.41</v>
      </c>
      <c r="F615" s="2">
        <v>30.07</v>
      </c>
      <c r="G615" s="2">
        <v>87.35</v>
      </c>
      <c r="H615" s="2">
        <v>24.84</v>
      </c>
      <c r="I615" s="2">
        <v>43.7</v>
      </c>
      <c r="J615" s="2">
        <v>49.41</v>
      </c>
      <c r="K615" s="2">
        <v>63.47</v>
      </c>
      <c r="L615" s="2">
        <v>28.84</v>
      </c>
      <c r="M615" s="2">
        <v>35.869999999999997</v>
      </c>
      <c r="N615" s="2">
        <v>60.33</v>
      </c>
      <c r="O615" s="2">
        <v>14.77</v>
      </c>
      <c r="P615" s="2">
        <v>73.010000000000005</v>
      </c>
      <c r="Q615" s="2">
        <v>-2.78</v>
      </c>
      <c r="R615" s="2">
        <v>6.03</v>
      </c>
      <c r="S615" s="2">
        <v>35</v>
      </c>
      <c r="T615" s="2">
        <v>14.02</v>
      </c>
      <c r="U615" s="2">
        <v>3.67</v>
      </c>
      <c r="V615" s="2">
        <v>19.64</v>
      </c>
      <c r="W615" s="2">
        <v>15.43</v>
      </c>
      <c r="X615" s="2">
        <v>9.15</v>
      </c>
      <c r="Y615" s="2">
        <v>7.66</v>
      </c>
      <c r="Z615" s="2">
        <v>2.39</v>
      </c>
      <c r="AA615" s="2">
        <v>9.4600000000000009</v>
      </c>
      <c r="AB615" s="2">
        <v>2.46</v>
      </c>
      <c r="AC615" s="2">
        <v>9.34</v>
      </c>
      <c r="AD615" s="2">
        <v>2.4700000000000002</v>
      </c>
      <c r="AE615" s="2">
        <v>51.09</v>
      </c>
      <c r="AF615" s="2">
        <v>69.540000000000006</v>
      </c>
      <c r="AG615" s="2">
        <v>12.92</v>
      </c>
    </row>
    <row r="616" spans="1:33" x14ac:dyDescent="0.2">
      <c r="A616" s="3">
        <v>26664</v>
      </c>
      <c r="B616" s="2">
        <v>1.01</v>
      </c>
      <c r="C616" s="2">
        <v>22.17</v>
      </c>
      <c r="D616" s="2">
        <v>7.16</v>
      </c>
      <c r="E616" s="2">
        <v>16.600000000000001</v>
      </c>
      <c r="F616" s="2">
        <v>13.41</v>
      </c>
      <c r="G616" s="2">
        <v>35.32</v>
      </c>
      <c r="H616" s="2">
        <v>12.95</v>
      </c>
      <c r="I616" s="2">
        <v>38.590000000000003</v>
      </c>
      <c r="J616" s="2">
        <v>10.52</v>
      </c>
      <c r="K616" s="2">
        <v>-26.86</v>
      </c>
      <c r="L616" s="2">
        <v>13.16</v>
      </c>
      <c r="M616" s="2">
        <v>-3.75</v>
      </c>
      <c r="N616" s="2">
        <v>12.07</v>
      </c>
      <c r="O616" s="2">
        <v>13.44</v>
      </c>
      <c r="P616" s="2">
        <v>35.18</v>
      </c>
      <c r="Q616" s="2">
        <v>-1.4</v>
      </c>
      <c r="R616" s="2">
        <v>7.49</v>
      </c>
      <c r="S616" s="2">
        <v>11</v>
      </c>
      <c r="T616" s="2">
        <v>6.65</v>
      </c>
      <c r="U616" s="2">
        <v>4.5599999999999996</v>
      </c>
      <c r="V616" s="2">
        <v>20.55</v>
      </c>
      <c r="W616" s="2">
        <v>11.73</v>
      </c>
      <c r="X616" s="2">
        <v>7.18</v>
      </c>
      <c r="Y616" s="2">
        <v>6.91</v>
      </c>
      <c r="Z616" s="2">
        <v>0.43</v>
      </c>
      <c r="AA616" s="2">
        <v>0</v>
      </c>
      <c r="AB616" s="2">
        <v>0.88</v>
      </c>
      <c r="AC616" s="2">
        <v>6.09</v>
      </c>
      <c r="AD616" s="2">
        <v>2.5099999999999998</v>
      </c>
      <c r="AE616" s="2">
        <v>11</v>
      </c>
      <c r="AF616" s="2">
        <v>63.89</v>
      </c>
      <c r="AG616" s="2">
        <v>11.2</v>
      </c>
    </row>
    <row r="617" spans="1:33" x14ac:dyDescent="0.2">
      <c r="A617" s="3">
        <v>26695</v>
      </c>
      <c r="B617" s="2">
        <v>6.68</v>
      </c>
      <c r="C617" s="2">
        <v>42.24</v>
      </c>
      <c r="D617" s="2">
        <v>78.63</v>
      </c>
      <c r="E617" s="2">
        <v>204.99</v>
      </c>
      <c r="F617" s="2">
        <v>204.23</v>
      </c>
      <c r="G617" s="2">
        <v>255.27</v>
      </c>
      <c r="H617" s="2">
        <v>41.26</v>
      </c>
      <c r="I617" s="2">
        <v>56.21</v>
      </c>
      <c r="J617" s="2">
        <v>113.72</v>
      </c>
      <c r="K617" s="2">
        <v>58.08</v>
      </c>
      <c r="L617" s="2">
        <v>36.119999999999997</v>
      </c>
      <c r="M617" s="2">
        <v>20.12</v>
      </c>
      <c r="N617" s="2">
        <v>62.55</v>
      </c>
      <c r="O617" s="2">
        <v>13.93</v>
      </c>
      <c r="P617" s="2">
        <v>121.11</v>
      </c>
      <c r="Q617" s="2">
        <v>-1.48</v>
      </c>
      <c r="R617" s="2">
        <v>13.4</v>
      </c>
      <c r="S617" s="2">
        <v>86.93</v>
      </c>
      <c r="T617" s="2">
        <v>20.73</v>
      </c>
      <c r="U617" s="2">
        <v>6.13</v>
      </c>
      <c r="V617" s="2">
        <v>36.619999999999997</v>
      </c>
      <c r="W617" s="2">
        <v>4.26</v>
      </c>
      <c r="X617" s="2">
        <v>9.99</v>
      </c>
      <c r="Y617" s="2">
        <v>8.73</v>
      </c>
      <c r="Z617" s="2">
        <v>7.99</v>
      </c>
      <c r="AA617" s="2">
        <v>1</v>
      </c>
      <c r="AB617" s="2">
        <v>5.71</v>
      </c>
      <c r="AC617" s="2">
        <v>3.66</v>
      </c>
      <c r="AD617" s="2">
        <v>2.39</v>
      </c>
      <c r="AE617" s="2">
        <v>47.73</v>
      </c>
      <c r="AF617" s="2">
        <v>69.56</v>
      </c>
      <c r="AG617" s="2">
        <v>9.8800000000000008</v>
      </c>
    </row>
    <row r="618" spans="1:33" x14ac:dyDescent="0.2">
      <c r="A618" s="3">
        <v>26723</v>
      </c>
      <c r="B618" s="2">
        <v>8.69</v>
      </c>
      <c r="C618" s="2">
        <v>48.94</v>
      </c>
      <c r="D618" s="2">
        <v>42.75</v>
      </c>
      <c r="E618" s="2">
        <v>58.4</v>
      </c>
      <c r="F618" s="2">
        <v>40.64</v>
      </c>
      <c r="G618" s="2">
        <v>110.18</v>
      </c>
      <c r="H618" s="2">
        <v>33.200000000000003</v>
      </c>
      <c r="I618" s="2">
        <v>58.09</v>
      </c>
      <c r="J618" s="2">
        <v>76.84</v>
      </c>
      <c r="K618" s="2">
        <v>72.47</v>
      </c>
      <c r="L618" s="2">
        <v>26.55</v>
      </c>
      <c r="M618" s="2">
        <v>31.57</v>
      </c>
      <c r="N618" s="2">
        <v>103.12</v>
      </c>
      <c r="O618" s="2">
        <v>12.46</v>
      </c>
      <c r="P618" s="2">
        <v>94.63</v>
      </c>
      <c r="Q618" s="2">
        <v>2.4</v>
      </c>
      <c r="R618" s="2">
        <v>18.41</v>
      </c>
      <c r="S618" s="2">
        <v>68.3</v>
      </c>
      <c r="T618" s="2">
        <v>22.9</v>
      </c>
      <c r="U618" s="2">
        <v>6.41</v>
      </c>
      <c r="V618" s="2">
        <v>21.45</v>
      </c>
      <c r="W618" s="2">
        <v>0</v>
      </c>
      <c r="X618" s="2">
        <v>3.45</v>
      </c>
      <c r="Y618" s="2">
        <v>3.59</v>
      </c>
      <c r="Z618" s="2">
        <v>14.26</v>
      </c>
      <c r="AA618" s="2">
        <v>8.32</v>
      </c>
      <c r="AB618" s="2">
        <v>3.24</v>
      </c>
      <c r="AC618" s="2">
        <v>13.13</v>
      </c>
      <c r="AD618" s="2">
        <v>2.5099999999999998</v>
      </c>
      <c r="AE618" s="2">
        <v>55.65</v>
      </c>
      <c r="AF618" s="2">
        <v>57.98</v>
      </c>
      <c r="AG618" s="2">
        <v>10.08</v>
      </c>
    </row>
    <row r="619" spans="1:33" x14ac:dyDescent="0.2">
      <c r="A619" s="3">
        <v>26754</v>
      </c>
      <c r="B619" s="2">
        <v>8.2899999999999991</v>
      </c>
      <c r="C619" s="2">
        <v>40.11</v>
      </c>
      <c r="D619" s="2">
        <v>-17.63</v>
      </c>
      <c r="E619" s="2">
        <v>-59.26</v>
      </c>
      <c r="F619" s="2">
        <v>-15.74</v>
      </c>
      <c r="G619" s="2">
        <v>2.69</v>
      </c>
      <c r="H619" s="2">
        <v>8.8000000000000007</v>
      </c>
      <c r="I619" s="2">
        <v>52.95</v>
      </c>
      <c r="J619" s="2">
        <v>11.83</v>
      </c>
      <c r="K619" s="2">
        <v>-17.760000000000002</v>
      </c>
      <c r="L619" s="2">
        <v>12.24</v>
      </c>
      <c r="M619" s="2">
        <v>-2.4900000000000002</v>
      </c>
      <c r="N619" s="2">
        <v>41.62</v>
      </c>
      <c r="O619" s="2">
        <v>14.13</v>
      </c>
      <c r="P619" s="2">
        <v>80.7</v>
      </c>
      <c r="Q619" s="2">
        <v>9.98</v>
      </c>
      <c r="R619" s="2">
        <v>20.59</v>
      </c>
      <c r="S619" s="2">
        <v>74.98</v>
      </c>
      <c r="T619" s="2">
        <v>27.62</v>
      </c>
      <c r="U619" s="2">
        <v>6.59</v>
      </c>
      <c r="V619" s="2">
        <v>36.880000000000003</v>
      </c>
      <c r="W619" s="2">
        <v>0</v>
      </c>
      <c r="X619" s="2">
        <v>4.3600000000000003</v>
      </c>
      <c r="Y619" s="2">
        <v>3.46</v>
      </c>
      <c r="Z619" s="2">
        <v>7.18</v>
      </c>
      <c r="AA619" s="2">
        <v>5.16</v>
      </c>
      <c r="AB619" s="2">
        <v>0.88</v>
      </c>
      <c r="AC619" s="2">
        <v>16.11</v>
      </c>
      <c r="AD619" s="2">
        <v>4.3600000000000003</v>
      </c>
      <c r="AE619" s="2">
        <v>25.64</v>
      </c>
      <c r="AF619" s="2">
        <v>68.42</v>
      </c>
      <c r="AG619" s="2">
        <v>10.69</v>
      </c>
    </row>
    <row r="620" spans="1:33" x14ac:dyDescent="0.2">
      <c r="A620" s="3">
        <v>26784</v>
      </c>
      <c r="B620" s="2">
        <v>0.62</v>
      </c>
      <c r="C620" s="2">
        <v>31.68</v>
      </c>
      <c r="D620" s="2">
        <v>-22.08</v>
      </c>
      <c r="E620" s="2">
        <v>-81.3</v>
      </c>
      <c r="F620" s="2">
        <v>-49.56</v>
      </c>
      <c r="G620" s="2">
        <v>-85.14</v>
      </c>
      <c r="H620" s="2">
        <v>-5.52</v>
      </c>
      <c r="I620" s="2">
        <v>46.36</v>
      </c>
      <c r="J620" s="2">
        <v>-25.38</v>
      </c>
      <c r="K620" s="2">
        <v>-14.84</v>
      </c>
      <c r="L620" s="2">
        <v>-14.46</v>
      </c>
      <c r="M620" s="2">
        <v>-5.63</v>
      </c>
      <c r="N620" s="2">
        <v>61.74</v>
      </c>
      <c r="O620" s="2">
        <v>20.07</v>
      </c>
      <c r="P620" s="2">
        <v>27.63</v>
      </c>
      <c r="Q620" s="2">
        <v>16.62</v>
      </c>
      <c r="R620" s="2">
        <v>18.41</v>
      </c>
      <c r="S620" s="2">
        <v>20.6</v>
      </c>
      <c r="T620" s="2">
        <v>24.21</v>
      </c>
      <c r="U620" s="2">
        <v>3.79</v>
      </c>
      <c r="V620" s="2">
        <v>29.92</v>
      </c>
      <c r="W620" s="2">
        <v>0</v>
      </c>
      <c r="X620" s="2">
        <v>5.32</v>
      </c>
      <c r="Y620" s="2">
        <v>4.72</v>
      </c>
      <c r="Z620" s="2">
        <v>0</v>
      </c>
      <c r="AA620" s="2">
        <v>0</v>
      </c>
      <c r="AB620" s="2">
        <v>0</v>
      </c>
      <c r="AC620" s="2">
        <v>0.95</v>
      </c>
      <c r="AD620" s="2">
        <v>4.88</v>
      </c>
      <c r="AE620" s="2">
        <v>0.47</v>
      </c>
      <c r="AF620" s="2">
        <v>84.67</v>
      </c>
      <c r="AG620" s="2">
        <v>14.64</v>
      </c>
    </row>
    <row r="621" spans="1:33" x14ac:dyDescent="0.2">
      <c r="A621" s="3">
        <v>26815</v>
      </c>
      <c r="B621" s="2">
        <v>3.27</v>
      </c>
      <c r="C621" s="2">
        <v>30.67</v>
      </c>
      <c r="D621" s="2">
        <v>-13.62</v>
      </c>
      <c r="E621" s="2">
        <v>-41.29</v>
      </c>
      <c r="F621" s="2">
        <v>-17.18</v>
      </c>
      <c r="G621" s="2">
        <v>-27.09</v>
      </c>
      <c r="H621" s="2">
        <v>2.68</v>
      </c>
      <c r="I621" s="2">
        <v>34.6</v>
      </c>
      <c r="J621" s="2">
        <v>-17.21</v>
      </c>
      <c r="K621" s="2">
        <v>-29.17</v>
      </c>
      <c r="L621" s="2">
        <v>2.2000000000000002</v>
      </c>
      <c r="M621" s="2">
        <v>1.61</v>
      </c>
      <c r="N621" s="2">
        <v>16.25</v>
      </c>
      <c r="O621" s="2">
        <v>15.91</v>
      </c>
      <c r="P621" s="2">
        <v>61.45</v>
      </c>
      <c r="Q621" s="2">
        <v>8.6999999999999993</v>
      </c>
      <c r="R621" s="2">
        <v>14.34</v>
      </c>
      <c r="S621" s="2">
        <v>17.2</v>
      </c>
      <c r="T621" s="2">
        <v>54.02</v>
      </c>
      <c r="U621" s="2">
        <v>5.15</v>
      </c>
      <c r="V621" s="2">
        <v>39.1</v>
      </c>
      <c r="W621" s="2">
        <v>4.88</v>
      </c>
      <c r="X621" s="2">
        <v>8.34</v>
      </c>
      <c r="Y621" s="2">
        <v>7.08</v>
      </c>
      <c r="Z621" s="2">
        <v>0</v>
      </c>
      <c r="AA621" s="2">
        <v>0</v>
      </c>
      <c r="AB621" s="2">
        <v>0.6</v>
      </c>
      <c r="AC621" s="2">
        <v>0.68</v>
      </c>
      <c r="AD621" s="2">
        <v>6.74</v>
      </c>
      <c r="AE621" s="2">
        <v>0.09</v>
      </c>
      <c r="AF621" s="2">
        <v>95.62</v>
      </c>
      <c r="AG621" s="2">
        <v>17.690000000000001</v>
      </c>
    </row>
    <row r="622" spans="1:33" x14ac:dyDescent="0.2">
      <c r="A622" s="3">
        <v>26845</v>
      </c>
      <c r="B622" s="2">
        <v>2.59</v>
      </c>
      <c r="C622" s="2">
        <v>29.03</v>
      </c>
      <c r="D622" s="2">
        <v>-13.97</v>
      </c>
      <c r="E622" s="2">
        <v>-41.52</v>
      </c>
      <c r="F622" s="2">
        <v>-9.4</v>
      </c>
      <c r="G622" s="2">
        <v>-15.97</v>
      </c>
      <c r="H622" s="2">
        <v>6.47</v>
      </c>
      <c r="I622" s="2">
        <v>37.119999999999997</v>
      </c>
      <c r="J622" s="2">
        <v>-23.24</v>
      </c>
      <c r="K622" s="2">
        <v>1.79</v>
      </c>
      <c r="L622" s="2">
        <v>2.98</v>
      </c>
      <c r="M622" s="2">
        <v>11.91</v>
      </c>
      <c r="N622" s="2">
        <v>35.92</v>
      </c>
      <c r="O622" s="2">
        <v>28.59</v>
      </c>
      <c r="P622" s="2">
        <v>123.15</v>
      </c>
      <c r="Q622" s="2">
        <v>14.03</v>
      </c>
      <c r="R622" s="2">
        <v>17.47</v>
      </c>
      <c r="S622" s="2">
        <v>33.53</v>
      </c>
      <c r="T622" s="2">
        <v>105.09</v>
      </c>
      <c r="U622" s="2">
        <v>5.73</v>
      </c>
      <c r="V622" s="2">
        <v>51.26</v>
      </c>
      <c r="W622" s="2">
        <v>18.62</v>
      </c>
      <c r="X622" s="2">
        <v>13.72</v>
      </c>
      <c r="Y622" s="2">
        <v>13.17</v>
      </c>
      <c r="Z622" s="2">
        <v>0</v>
      </c>
      <c r="AA622" s="2">
        <v>0</v>
      </c>
      <c r="AB622" s="2">
        <v>0</v>
      </c>
      <c r="AC622" s="2">
        <v>0</v>
      </c>
      <c r="AD622" s="2">
        <v>10.06</v>
      </c>
      <c r="AE622" s="2">
        <v>0</v>
      </c>
      <c r="AF622" s="2">
        <v>104.64</v>
      </c>
      <c r="AG622" s="2">
        <v>22.83</v>
      </c>
    </row>
    <row r="623" spans="1:33" x14ac:dyDescent="0.2">
      <c r="A623" s="3">
        <v>26876</v>
      </c>
      <c r="B623" s="2">
        <v>2.59</v>
      </c>
      <c r="C623" s="2">
        <v>26.98</v>
      </c>
      <c r="D623" s="2">
        <v>-5.94</v>
      </c>
      <c r="E623" s="2">
        <v>-18.36</v>
      </c>
      <c r="F623" s="2">
        <v>7.59</v>
      </c>
      <c r="G623" s="2">
        <v>15.76</v>
      </c>
      <c r="H623" s="2">
        <v>13.51</v>
      </c>
      <c r="I623" s="2">
        <v>40.770000000000003</v>
      </c>
      <c r="J623" s="2">
        <v>-21.49</v>
      </c>
      <c r="K623" s="2">
        <v>-5.37</v>
      </c>
      <c r="L623" s="2">
        <v>-13.42</v>
      </c>
      <c r="M623" s="2">
        <v>13.44</v>
      </c>
      <c r="N623" s="2">
        <v>33.49</v>
      </c>
      <c r="O623" s="2">
        <v>35.04</v>
      </c>
      <c r="P623" s="2">
        <v>132.32</v>
      </c>
      <c r="Q623" s="2">
        <v>13.91</v>
      </c>
      <c r="R623" s="2">
        <v>25.03</v>
      </c>
      <c r="S623" s="2">
        <v>49.98</v>
      </c>
      <c r="T623" s="2">
        <v>86.76</v>
      </c>
      <c r="U623" s="2">
        <v>14.75</v>
      </c>
      <c r="V623" s="2">
        <v>57.07</v>
      </c>
      <c r="W623" s="2">
        <v>30.39</v>
      </c>
      <c r="X623" s="2">
        <v>18.98</v>
      </c>
      <c r="Y623" s="2">
        <v>18.79</v>
      </c>
      <c r="Z623" s="2">
        <v>0</v>
      </c>
      <c r="AA623" s="2">
        <v>0</v>
      </c>
      <c r="AB623" s="2">
        <v>0.08</v>
      </c>
      <c r="AC623" s="2">
        <v>0</v>
      </c>
      <c r="AD623" s="2">
        <v>7.25</v>
      </c>
      <c r="AE623" s="2">
        <v>0</v>
      </c>
      <c r="AF623" s="2">
        <v>113.96</v>
      </c>
      <c r="AG623" s="2">
        <v>24.8</v>
      </c>
    </row>
    <row r="624" spans="1:33" x14ac:dyDescent="0.2">
      <c r="A624" s="3">
        <v>26907</v>
      </c>
      <c r="B624" s="2">
        <v>1.36</v>
      </c>
      <c r="C624" s="2">
        <v>26.4</v>
      </c>
      <c r="D624" s="2">
        <v>-10.26</v>
      </c>
      <c r="E624" s="2">
        <v>-15.41</v>
      </c>
      <c r="F624" s="2">
        <v>11.44</v>
      </c>
      <c r="G624" s="2">
        <v>24.86</v>
      </c>
      <c r="H624" s="2">
        <v>15.21</v>
      </c>
      <c r="I624" s="2">
        <v>43.71</v>
      </c>
      <c r="J624" s="2">
        <v>-6.27</v>
      </c>
      <c r="K624" s="2">
        <v>-3.07</v>
      </c>
      <c r="L624" s="2">
        <v>-3.46</v>
      </c>
      <c r="M624" s="2">
        <v>11.98</v>
      </c>
      <c r="N624" s="2">
        <v>33.78</v>
      </c>
      <c r="O624" s="2">
        <v>33.18</v>
      </c>
      <c r="P624" s="2">
        <v>87.56</v>
      </c>
      <c r="Q624" s="2">
        <v>9.4700000000000006</v>
      </c>
      <c r="R624" s="2">
        <v>25.36</v>
      </c>
      <c r="S624" s="2">
        <v>34.75</v>
      </c>
      <c r="T624" s="2">
        <v>74.59</v>
      </c>
      <c r="U624" s="2">
        <v>16.350000000000001</v>
      </c>
      <c r="V624" s="2">
        <v>48.25</v>
      </c>
      <c r="W624" s="2">
        <v>31.47</v>
      </c>
      <c r="X624" s="2">
        <v>21.3</v>
      </c>
      <c r="Y624" s="2">
        <v>21.25</v>
      </c>
      <c r="Z624" s="2">
        <v>0.38</v>
      </c>
      <c r="AA624" s="2">
        <v>4.53</v>
      </c>
      <c r="AB624" s="2">
        <v>0.76</v>
      </c>
      <c r="AC624" s="2">
        <v>2.17</v>
      </c>
      <c r="AD624" s="2">
        <v>5.56</v>
      </c>
      <c r="AE624" s="2">
        <v>0</v>
      </c>
      <c r="AF624" s="2">
        <v>115.89</v>
      </c>
      <c r="AG624" s="2">
        <v>23.65</v>
      </c>
    </row>
    <row r="625" spans="1:33" x14ac:dyDescent="0.2">
      <c r="A625" s="3">
        <v>26937</v>
      </c>
      <c r="B625" s="2">
        <v>-0.11</v>
      </c>
      <c r="C625" s="2">
        <v>25.55</v>
      </c>
      <c r="D625" s="2">
        <v>-6.86</v>
      </c>
      <c r="E625" s="2">
        <v>-17.399999999999999</v>
      </c>
      <c r="F625" s="2">
        <v>1.05</v>
      </c>
      <c r="G625" s="2">
        <v>14.54</v>
      </c>
      <c r="H625" s="2">
        <v>18.89</v>
      </c>
      <c r="I625" s="2">
        <v>54.39</v>
      </c>
      <c r="J625" s="2">
        <v>7.31</v>
      </c>
      <c r="K625" s="2">
        <v>-5.39</v>
      </c>
      <c r="L625" s="2">
        <v>-2.36</v>
      </c>
      <c r="M625" s="2">
        <v>7.96</v>
      </c>
      <c r="N625" s="2">
        <v>41.67</v>
      </c>
      <c r="O625" s="2">
        <v>17.260000000000002</v>
      </c>
      <c r="P625" s="2">
        <v>31.07</v>
      </c>
      <c r="Q625" s="2">
        <v>9.16</v>
      </c>
      <c r="R625" s="2">
        <v>22.74</v>
      </c>
      <c r="S625" s="2">
        <v>9.56</v>
      </c>
      <c r="T625" s="2">
        <v>17.760000000000002</v>
      </c>
      <c r="U625" s="2">
        <v>11.43</v>
      </c>
      <c r="V625" s="2">
        <v>24.88</v>
      </c>
      <c r="W625" s="2">
        <v>26.1</v>
      </c>
      <c r="X625" s="2">
        <v>20.22</v>
      </c>
      <c r="Y625" s="2">
        <v>19.96</v>
      </c>
      <c r="Z625" s="2">
        <v>0</v>
      </c>
      <c r="AA625" s="2">
        <v>0</v>
      </c>
      <c r="AB625" s="2">
        <v>0</v>
      </c>
      <c r="AC625" s="2">
        <v>0</v>
      </c>
      <c r="AD625" s="2">
        <v>5.51</v>
      </c>
      <c r="AE625" s="2">
        <v>0.37</v>
      </c>
      <c r="AF625" s="2">
        <v>107.95</v>
      </c>
      <c r="AG625" s="2">
        <v>20.170000000000002</v>
      </c>
    </row>
    <row r="626" spans="1:33" x14ac:dyDescent="0.2">
      <c r="A626" s="3">
        <v>26968</v>
      </c>
      <c r="B626" s="2">
        <v>0.76</v>
      </c>
      <c r="C626" s="2">
        <v>21.91</v>
      </c>
      <c r="D626" s="2">
        <v>0.85</v>
      </c>
      <c r="E626" s="2">
        <v>-17.79</v>
      </c>
      <c r="F626" s="2">
        <v>0.31</v>
      </c>
      <c r="G626" s="2">
        <v>14.67</v>
      </c>
      <c r="H626" s="2">
        <v>15.73</v>
      </c>
      <c r="I626" s="2">
        <v>49.07</v>
      </c>
      <c r="J626" s="2">
        <v>14.98</v>
      </c>
      <c r="K626" s="2">
        <v>5.25</v>
      </c>
      <c r="L626" s="2">
        <v>12.44</v>
      </c>
      <c r="M626" s="2">
        <v>20.14</v>
      </c>
      <c r="N626" s="2">
        <v>31.14</v>
      </c>
      <c r="O626" s="2">
        <v>19.989999999999998</v>
      </c>
      <c r="P626" s="2">
        <v>34.409999999999997</v>
      </c>
      <c r="Q626" s="2">
        <v>2.94</v>
      </c>
      <c r="R626" s="2">
        <v>11.91</v>
      </c>
      <c r="S626" s="2">
        <v>3.39</v>
      </c>
      <c r="T626" s="2">
        <v>19.559999999999999</v>
      </c>
      <c r="U626" s="2">
        <v>7.2</v>
      </c>
      <c r="V626" s="2">
        <v>20.54</v>
      </c>
      <c r="W626" s="2">
        <v>22.19</v>
      </c>
      <c r="X626" s="2">
        <v>18.739999999999998</v>
      </c>
      <c r="Y626" s="2">
        <v>18.45</v>
      </c>
      <c r="Z626" s="2">
        <v>2.87</v>
      </c>
      <c r="AA626" s="2">
        <v>0</v>
      </c>
      <c r="AB626" s="2">
        <v>0</v>
      </c>
      <c r="AC626" s="2">
        <v>0</v>
      </c>
      <c r="AD626" s="2">
        <v>2.71</v>
      </c>
      <c r="AE626" s="2">
        <v>20.7</v>
      </c>
      <c r="AF626" s="2">
        <v>97.91</v>
      </c>
      <c r="AG626" s="2">
        <v>16.420000000000002</v>
      </c>
    </row>
    <row r="627" spans="1:33" x14ac:dyDescent="0.2">
      <c r="A627" s="3">
        <v>26998</v>
      </c>
      <c r="B627" s="2">
        <v>12.51</v>
      </c>
      <c r="C627" s="2">
        <v>38.659999999999997</v>
      </c>
      <c r="D627" s="2">
        <v>54.88</v>
      </c>
      <c r="E627" s="2">
        <v>186.38</v>
      </c>
      <c r="F627" s="2">
        <v>165.97</v>
      </c>
      <c r="G627" s="2">
        <v>167.29</v>
      </c>
      <c r="H627" s="2">
        <v>55.17</v>
      </c>
      <c r="I627" s="2">
        <v>64.58</v>
      </c>
      <c r="J627" s="2">
        <v>54.64</v>
      </c>
      <c r="K627" s="2">
        <v>9.17</v>
      </c>
      <c r="L627" s="2">
        <v>6.81</v>
      </c>
      <c r="M627" s="2">
        <v>6.47</v>
      </c>
      <c r="N627" s="2">
        <v>29.66</v>
      </c>
      <c r="O627" s="2">
        <v>15.99</v>
      </c>
      <c r="P627" s="2">
        <v>38.450000000000003</v>
      </c>
      <c r="Q627" s="2">
        <v>1.72</v>
      </c>
      <c r="R627" s="2">
        <v>9.7899999999999991</v>
      </c>
      <c r="S627" s="2">
        <v>16.86</v>
      </c>
      <c r="T627" s="2">
        <v>15.38</v>
      </c>
      <c r="U627" s="2">
        <v>7</v>
      </c>
      <c r="V627" s="2">
        <v>20.03</v>
      </c>
      <c r="W627" s="2">
        <v>15.43</v>
      </c>
      <c r="X627" s="2">
        <v>12.27</v>
      </c>
      <c r="Y627" s="2">
        <v>10.96</v>
      </c>
      <c r="Z627" s="2">
        <v>0.28999999999999998</v>
      </c>
      <c r="AA627" s="2">
        <v>1.43</v>
      </c>
      <c r="AB627" s="2">
        <v>2.41</v>
      </c>
      <c r="AC627" s="2">
        <v>7.58</v>
      </c>
      <c r="AD627" s="2">
        <v>1.61</v>
      </c>
      <c r="AE627" s="2">
        <v>26.01</v>
      </c>
      <c r="AF627" s="2">
        <v>64.239999999999995</v>
      </c>
      <c r="AG627" s="2">
        <v>12.92</v>
      </c>
    </row>
    <row r="628" spans="1:33" x14ac:dyDescent="0.2">
      <c r="A628" s="3">
        <v>27029</v>
      </c>
      <c r="B628" s="2">
        <v>14.01</v>
      </c>
      <c r="C628" s="2">
        <v>36.619999999999997</v>
      </c>
      <c r="D628" s="2">
        <v>26.02</v>
      </c>
      <c r="E628" s="2">
        <v>85.6</v>
      </c>
      <c r="F628" s="2">
        <v>50.24</v>
      </c>
      <c r="G628" s="2">
        <v>84.18</v>
      </c>
      <c r="H628" s="2">
        <v>29.92</v>
      </c>
      <c r="I628" s="2">
        <v>57.33</v>
      </c>
      <c r="J628" s="2">
        <v>49.93</v>
      </c>
      <c r="K628" s="2">
        <v>32.549999999999997</v>
      </c>
      <c r="L628" s="2">
        <v>38.18</v>
      </c>
      <c r="M628" s="2">
        <v>19.7</v>
      </c>
      <c r="N628" s="2">
        <v>39.99</v>
      </c>
      <c r="O628" s="2">
        <v>18.3</v>
      </c>
      <c r="P628" s="2">
        <v>36.270000000000003</v>
      </c>
      <c r="Q628" s="2">
        <v>0.27</v>
      </c>
      <c r="R628" s="2">
        <v>10.75</v>
      </c>
      <c r="S628" s="2">
        <v>17.73</v>
      </c>
      <c r="T628" s="2">
        <v>5.35</v>
      </c>
      <c r="U628" s="2">
        <v>7.35</v>
      </c>
      <c r="V628" s="2">
        <v>21.57</v>
      </c>
      <c r="W628" s="2">
        <v>11.73</v>
      </c>
      <c r="X628" s="2">
        <v>5</v>
      </c>
      <c r="Y628" s="2">
        <v>9.9499999999999993</v>
      </c>
      <c r="Z628" s="2">
        <v>0</v>
      </c>
      <c r="AA628" s="2">
        <v>0</v>
      </c>
      <c r="AB628" s="2">
        <v>0.17</v>
      </c>
      <c r="AC628" s="2">
        <v>1.08</v>
      </c>
      <c r="AD628" s="2">
        <v>1.61</v>
      </c>
      <c r="AE628" s="2">
        <v>24.89</v>
      </c>
      <c r="AF628" s="2">
        <v>59.02</v>
      </c>
      <c r="AG628" s="2">
        <v>11.2</v>
      </c>
    </row>
    <row r="629" spans="1:33" x14ac:dyDescent="0.2">
      <c r="A629" s="3">
        <v>27060</v>
      </c>
      <c r="B629" s="2">
        <v>19.46</v>
      </c>
      <c r="C629" s="2">
        <v>52.65</v>
      </c>
      <c r="D629" s="2">
        <v>39.630000000000003</v>
      </c>
      <c r="E629" s="2">
        <v>171.65</v>
      </c>
      <c r="F629" s="2">
        <v>203.6</v>
      </c>
      <c r="G629" s="2">
        <v>170.18</v>
      </c>
      <c r="H629" s="2">
        <v>27.35</v>
      </c>
      <c r="I629" s="2">
        <v>56.97</v>
      </c>
      <c r="J629" s="2">
        <v>51.37</v>
      </c>
      <c r="K629" s="2">
        <v>34.76</v>
      </c>
      <c r="L629" s="2">
        <v>35.19</v>
      </c>
      <c r="M629" s="2">
        <v>17.93</v>
      </c>
      <c r="N629" s="2">
        <v>61.86</v>
      </c>
      <c r="O629" s="2">
        <v>14.29</v>
      </c>
      <c r="P629" s="2">
        <v>79.47</v>
      </c>
      <c r="Q629" s="2">
        <v>3.38</v>
      </c>
      <c r="R629" s="2">
        <v>8.0500000000000007</v>
      </c>
      <c r="S629" s="2">
        <v>55.33</v>
      </c>
      <c r="T629" s="2">
        <v>25.01</v>
      </c>
      <c r="U629" s="2">
        <v>7.17</v>
      </c>
      <c r="V629" s="2">
        <v>22.02</v>
      </c>
      <c r="W629" s="2">
        <v>4.26</v>
      </c>
      <c r="X629" s="2">
        <v>0</v>
      </c>
      <c r="Y629" s="2">
        <v>0</v>
      </c>
      <c r="Z629" s="2">
        <v>15.12</v>
      </c>
      <c r="AA629" s="2">
        <v>34.119999999999997</v>
      </c>
      <c r="AB629" s="2">
        <v>4.45</v>
      </c>
      <c r="AC629" s="2">
        <v>16.649999999999999</v>
      </c>
      <c r="AD629" s="2">
        <v>1.64</v>
      </c>
      <c r="AE629" s="2">
        <v>23.4</v>
      </c>
      <c r="AF629" s="2">
        <v>37.49</v>
      </c>
      <c r="AG629" s="2">
        <v>9.8800000000000008</v>
      </c>
    </row>
    <row r="630" spans="1:33" x14ac:dyDescent="0.2">
      <c r="A630" s="3">
        <v>27088</v>
      </c>
      <c r="B630" s="2">
        <v>9.36</v>
      </c>
      <c r="C630" s="2">
        <v>25.02</v>
      </c>
      <c r="D630" s="2">
        <v>-38.39</v>
      </c>
      <c r="E630" s="2">
        <v>-144.13999999999999</v>
      </c>
      <c r="F630" s="2">
        <v>-137.63999999999999</v>
      </c>
      <c r="G630" s="2">
        <v>-85.06</v>
      </c>
      <c r="H630" s="2">
        <v>4.46</v>
      </c>
      <c r="I630" s="2">
        <v>43.45</v>
      </c>
      <c r="J630" s="2">
        <v>-20.82</v>
      </c>
      <c r="K630" s="2">
        <v>-22.05</v>
      </c>
      <c r="L630" s="2">
        <v>-10.27</v>
      </c>
      <c r="M630" s="2">
        <v>-11.15</v>
      </c>
      <c r="N630" s="2">
        <v>23.55</v>
      </c>
      <c r="O630" s="2">
        <v>17.829999999999998</v>
      </c>
      <c r="P630" s="2">
        <v>12.69</v>
      </c>
      <c r="Q630" s="2">
        <v>7.15</v>
      </c>
      <c r="R630" s="2">
        <v>15.21</v>
      </c>
      <c r="S630" s="2">
        <v>0.9</v>
      </c>
      <c r="T630" s="2">
        <v>14.73</v>
      </c>
      <c r="U630" s="2">
        <v>11.19</v>
      </c>
      <c r="V630" s="2">
        <v>24.85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1.9</v>
      </c>
      <c r="AE630" s="2">
        <v>7.64</v>
      </c>
      <c r="AF630" s="2">
        <v>31.25</v>
      </c>
      <c r="AG630" s="2">
        <v>10.08</v>
      </c>
    </row>
    <row r="631" spans="1:33" x14ac:dyDescent="0.2">
      <c r="A631" s="3">
        <v>27119</v>
      </c>
      <c r="B631" s="2">
        <v>16.73</v>
      </c>
      <c r="C631" s="2">
        <v>41.79</v>
      </c>
      <c r="D631" s="2">
        <v>25.98</v>
      </c>
      <c r="E631" s="2">
        <v>64.66</v>
      </c>
      <c r="F631" s="2">
        <v>85.83</v>
      </c>
      <c r="G631" s="2">
        <v>104.62</v>
      </c>
      <c r="H631" s="2">
        <v>42.73</v>
      </c>
      <c r="I631" s="2">
        <v>64.819999999999993</v>
      </c>
      <c r="J631" s="2">
        <v>34.479999999999997</v>
      </c>
      <c r="K631" s="2">
        <v>25.29</v>
      </c>
      <c r="L631" s="2">
        <v>7.79</v>
      </c>
      <c r="M631" s="2">
        <v>13.18</v>
      </c>
      <c r="N631" s="2">
        <v>63.79</v>
      </c>
      <c r="O631" s="2">
        <v>14.24</v>
      </c>
      <c r="P631" s="2">
        <v>83.19</v>
      </c>
      <c r="Q631" s="2">
        <v>6.4</v>
      </c>
      <c r="R631" s="2">
        <v>10.52</v>
      </c>
      <c r="S631" s="2">
        <v>20.45</v>
      </c>
      <c r="T631" s="2">
        <v>31.38</v>
      </c>
      <c r="U631" s="2">
        <v>5.6</v>
      </c>
      <c r="V631" s="2">
        <v>27.32</v>
      </c>
      <c r="W631" s="2">
        <v>0</v>
      </c>
      <c r="X631" s="2">
        <v>0</v>
      </c>
      <c r="Y631" s="2">
        <v>0</v>
      </c>
      <c r="Z631" s="2">
        <v>6.13</v>
      </c>
      <c r="AA631" s="2">
        <v>3.87</v>
      </c>
      <c r="AB631" s="2">
        <v>2.85</v>
      </c>
      <c r="AC631" s="2">
        <v>6.5</v>
      </c>
      <c r="AD631" s="2">
        <v>3.39</v>
      </c>
      <c r="AE631" s="2">
        <v>30.76</v>
      </c>
      <c r="AF631" s="2">
        <v>36.880000000000003</v>
      </c>
      <c r="AG631" s="2">
        <v>10.69</v>
      </c>
    </row>
    <row r="632" spans="1:33" x14ac:dyDescent="0.2">
      <c r="A632" s="3">
        <v>27149</v>
      </c>
      <c r="B632" s="2">
        <v>17.579999999999998</v>
      </c>
      <c r="C632" s="2">
        <v>35.31</v>
      </c>
      <c r="D632" s="2">
        <v>-16.8</v>
      </c>
      <c r="E632" s="2">
        <v>-5.37</v>
      </c>
      <c r="F632" s="2">
        <v>71.55</v>
      </c>
      <c r="G632" s="2">
        <v>-37.799999999999997</v>
      </c>
      <c r="H632" s="2">
        <v>-1.39</v>
      </c>
      <c r="I632" s="2">
        <v>48.46</v>
      </c>
      <c r="J632" s="2">
        <v>10.62</v>
      </c>
      <c r="K632" s="2">
        <v>-4.38</v>
      </c>
      <c r="L632" s="2">
        <v>7.36</v>
      </c>
      <c r="M632" s="2">
        <v>-4.8899999999999997</v>
      </c>
      <c r="N632" s="2">
        <v>32.200000000000003</v>
      </c>
      <c r="O632" s="2">
        <v>16.600000000000001</v>
      </c>
      <c r="P632" s="2">
        <v>39.24</v>
      </c>
      <c r="Q632" s="2">
        <v>10.08</v>
      </c>
      <c r="R632" s="2">
        <v>6.32</v>
      </c>
      <c r="S632" s="2">
        <v>8.32</v>
      </c>
      <c r="T632" s="2">
        <v>19.09</v>
      </c>
      <c r="U632" s="2">
        <v>12.53</v>
      </c>
      <c r="V632" s="2">
        <v>29.15</v>
      </c>
      <c r="W632" s="2">
        <v>0</v>
      </c>
      <c r="X632" s="2">
        <v>0</v>
      </c>
      <c r="Y632" s="2">
        <v>0</v>
      </c>
      <c r="Z632" s="2">
        <v>0.67</v>
      </c>
      <c r="AA632" s="2">
        <v>0</v>
      </c>
      <c r="AB632" s="2">
        <v>0.81</v>
      </c>
      <c r="AC632" s="2">
        <v>0</v>
      </c>
      <c r="AD632" s="2">
        <v>4.1399999999999997</v>
      </c>
      <c r="AE632" s="2">
        <v>16.13</v>
      </c>
      <c r="AF632" s="2">
        <v>45.63</v>
      </c>
      <c r="AG632" s="2">
        <v>14.64</v>
      </c>
    </row>
    <row r="633" spans="1:33" x14ac:dyDescent="0.2">
      <c r="A633" s="3">
        <v>27180</v>
      </c>
      <c r="B633" s="2">
        <v>5.15</v>
      </c>
      <c r="C633" s="2">
        <v>24.27</v>
      </c>
      <c r="D633" s="2">
        <v>-25.2</v>
      </c>
      <c r="E633" s="2">
        <v>-118.54</v>
      </c>
      <c r="F633" s="2">
        <v>-140.84</v>
      </c>
      <c r="G633" s="2">
        <v>-80.2</v>
      </c>
      <c r="H633" s="2">
        <v>-2.5499999999999998</v>
      </c>
      <c r="I633" s="2">
        <v>42.89</v>
      </c>
      <c r="J633" s="2">
        <v>-21.76</v>
      </c>
      <c r="K633" s="2">
        <v>-13.92</v>
      </c>
      <c r="L633" s="2">
        <v>0.01</v>
      </c>
      <c r="M633" s="2">
        <v>3.22</v>
      </c>
      <c r="N633" s="2">
        <v>24.88</v>
      </c>
      <c r="O633" s="2">
        <v>24.41</v>
      </c>
      <c r="P633" s="2">
        <v>77.39</v>
      </c>
      <c r="Q633" s="2">
        <v>7.2</v>
      </c>
      <c r="R633" s="2">
        <v>14.85</v>
      </c>
      <c r="S633" s="2">
        <v>12.25</v>
      </c>
      <c r="T633" s="2">
        <v>27.08</v>
      </c>
      <c r="U633" s="2">
        <v>10.29</v>
      </c>
      <c r="V633" s="2">
        <v>35.5</v>
      </c>
      <c r="W633" s="2">
        <v>4.88</v>
      </c>
      <c r="X633" s="2">
        <v>0</v>
      </c>
      <c r="Y633" s="2">
        <v>0</v>
      </c>
      <c r="Z633" s="2">
        <v>0.38</v>
      </c>
      <c r="AA633" s="2">
        <v>0</v>
      </c>
      <c r="AB633" s="2">
        <v>0.34</v>
      </c>
      <c r="AC633" s="2">
        <v>2.17</v>
      </c>
      <c r="AD633" s="2">
        <v>9.73</v>
      </c>
      <c r="AE633" s="2">
        <v>0</v>
      </c>
      <c r="AF633" s="2">
        <v>51.53</v>
      </c>
      <c r="AG633" s="2">
        <v>17.690000000000001</v>
      </c>
    </row>
    <row r="634" spans="1:33" x14ac:dyDescent="0.2">
      <c r="A634" s="3">
        <v>27210</v>
      </c>
      <c r="B634" s="2">
        <v>4.1500000000000004</v>
      </c>
      <c r="C634" s="2">
        <v>25.02</v>
      </c>
      <c r="D634" s="2">
        <v>-14.94</v>
      </c>
      <c r="E634" s="2">
        <v>-68.45</v>
      </c>
      <c r="F634" s="2">
        <v>-42.12</v>
      </c>
      <c r="G634" s="2">
        <v>-30.99</v>
      </c>
      <c r="H634" s="2">
        <v>2.98</v>
      </c>
      <c r="I634" s="2">
        <v>37.840000000000003</v>
      </c>
      <c r="J634" s="2">
        <v>-26.2</v>
      </c>
      <c r="K634" s="2">
        <v>2.13</v>
      </c>
      <c r="L634" s="2">
        <v>-3.25</v>
      </c>
      <c r="M634" s="2">
        <v>10.66</v>
      </c>
      <c r="N634" s="2">
        <v>31.32</v>
      </c>
      <c r="O634" s="2">
        <v>31.16</v>
      </c>
      <c r="P634" s="2">
        <v>138.75</v>
      </c>
      <c r="Q634" s="2">
        <v>14.02</v>
      </c>
      <c r="R634" s="2">
        <v>15.26</v>
      </c>
      <c r="S634" s="2">
        <v>40.24</v>
      </c>
      <c r="T634" s="2">
        <v>95.62</v>
      </c>
      <c r="U634" s="2">
        <v>10.199999999999999</v>
      </c>
      <c r="V634" s="2">
        <v>48.67</v>
      </c>
      <c r="W634" s="2">
        <v>18.62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12.35</v>
      </c>
      <c r="AE634" s="2">
        <v>0.75</v>
      </c>
      <c r="AF634" s="2">
        <v>56.4</v>
      </c>
      <c r="AG634" s="2">
        <v>22.83</v>
      </c>
    </row>
    <row r="635" spans="1:33" x14ac:dyDescent="0.2">
      <c r="A635" s="3">
        <v>27241</v>
      </c>
      <c r="B635" s="2">
        <v>3.96</v>
      </c>
      <c r="C635" s="2">
        <v>27.36</v>
      </c>
      <c r="D635" s="2">
        <v>-9.8000000000000007</v>
      </c>
      <c r="E635" s="2">
        <v>-40.46</v>
      </c>
      <c r="F635" s="2">
        <v>-0.25</v>
      </c>
      <c r="G635" s="2">
        <v>4.42</v>
      </c>
      <c r="H635" s="2">
        <v>12.25</v>
      </c>
      <c r="I635" s="2">
        <v>47.19</v>
      </c>
      <c r="J635" s="2">
        <v>-27.18</v>
      </c>
      <c r="K635" s="2">
        <v>-2.46</v>
      </c>
      <c r="L635" s="2">
        <v>-22.37</v>
      </c>
      <c r="M635" s="2">
        <v>10.33</v>
      </c>
      <c r="N635" s="2">
        <v>37.85</v>
      </c>
      <c r="O635" s="2">
        <v>36</v>
      </c>
      <c r="P635" s="2">
        <v>106.82</v>
      </c>
      <c r="Q635" s="2">
        <v>13.59</v>
      </c>
      <c r="R635" s="2">
        <v>19.920000000000002</v>
      </c>
      <c r="S635" s="2">
        <v>49.46</v>
      </c>
      <c r="T635" s="2">
        <v>88.19</v>
      </c>
      <c r="U635" s="2">
        <v>24.13</v>
      </c>
      <c r="V635" s="2">
        <v>48.88</v>
      </c>
      <c r="W635" s="2">
        <v>30.39</v>
      </c>
      <c r="X635" s="2">
        <v>0</v>
      </c>
      <c r="Y635" s="2">
        <v>1.48</v>
      </c>
      <c r="Z635" s="2">
        <v>1.2</v>
      </c>
      <c r="AA635" s="2">
        <v>0.52</v>
      </c>
      <c r="AB635" s="2">
        <v>0.32</v>
      </c>
      <c r="AC635" s="2">
        <v>2.57</v>
      </c>
      <c r="AD635" s="2">
        <v>8.83</v>
      </c>
      <c r="AE635" s="2">
        <v>1.68</v>
      </c>
      <c r="AF635" s="2">
        <v>61.42</v>
      </c>
      <c r="AG635" s="2">
        <v>24.8</v>
      </c>
    </row>
    <row r="636" spans="1:33" x14ac:dyDescent="0.2">
      <c r="A636" s="3">
        <v>27272</v>
      </c>
      <c r="B636" s="2">
        <v>2.25</v>
      </c>
      <c r="C636" s="2">
        <v>24.47</v>
      </c>
      <c r="D636" s="2">
        <v>-9.1</v>
      </c>
      <c r="E636" s="2">
        <v>-26.33</v>
      </c>
      <c r="F636" s="2">
        <v>-0.56000000000000005</v>
      </c>
      <c r="G636" s="2">
        <v>18.739999999999998</v>
      </c>
      <c r="H636" s="2">
        <v>14.88</v>
      </c>
      <c r="I636" s="2">
        <v>43.46</v>
      </c>
      <c r="J636" s="2">
        <v>-8.76</v>
      </c>
      <c r="K636" s="2">
        <v>-1.83</v>
      </c>
      <c r="L636" s="2">
        <v>-3.12</v>
      </c>
      <c r="M636" s="2">
        <v>14.49</v>
      </c>
      <c r="N636" s="2">
        <v>35.11</v>
      </c>
      <c r="O636" s="2">
        <v>34.479999999999997</v>
      </c>
      <c r="P636" s="2">
        <v>80.58</v>
      </c>
      <c r="Q636" s="2">
        <v>7.93</v>
      </c>
      <c r="R636" s="2">
        <v>22.61</v>
      </c>
      <c r="S636" s="2">
        <v>29.26</v>
      </c>
      <c r="T636" s="2">
        <v>73.709999999999994</v>
      </c>
      <c r="U636" s="2">
        <v>22.92</v>
      </c>
      <c r="V636" s="2">
        <v>49.29</v>
      </c>
      <c r="W636" s="2">
        <v>31.47</v>
      </c>
      <c r="X636" s="2">
        <v>0</v>
      </c>
      <c r="Y636" s="2">
        <v>3.64</v>
      </c>
      <c r="Z636" s="2">
        <v>1.1499999999999999</v>
      </c>
      <c r="AA636" s="2">
        <v>0</v>
      </c>
      <c r="AB636" s="2">
        <v>7.0000000000000007E-2</v>
      </c>
      <c r="AC636" s="2">
        <v>0</v>
      </c>
      <c r="AD636" s="2">
        <v>6.08</v>
      </c>
      <c r="AE636" s="2">
        <v>0</v>
      </c>
      <c r="AF636" s="2">
        <v>62.46</v>
      </c>
      <c r="AG636" s="2">
        <v>23.65</v>
      </c>
    </row>
    <row r="637" spans="1:33" x14ac:dyDescent="0.2">
      <c r="A637" s="3">
        <v>27302</v>
      </c>
      <c r="B637" s="2">
        <v>0.53</v>
      </c>
      <c r="C637" s="2">
        <v>21</v>
      </c>
      <c r="D637" s="2">
        <v>-3.69</v>
      </c>
      <c r="E637" s="2">
        <v>-27.27</v>
      </c>
      <c r="F637" s="2">
        <v>-10.3</v>
      </c>
      <c r="G637" s="2">
        <v>8.4499999999999993</v>
      </c>
      <c r="H637" s="2">
        <v>16.239999999999998</v>
      </c>
      <c r="I637" s="2">
        <v>54.61</v>
      </c>
      <c r="J637" s="2">
        <v>8.26</v>
      </c>
      <c r="K637" s="2">
        <v>-2.02</v>
      </c>
      <c r="L637" s="2">
        <v>8.48</v>
      </c>
      <c r="M637" s="2">
        <v>19.27</v>
      </c>
      <c r="N637" s="2">
        <v>40.42</v>
      </c>
      <c r="O637" s="2">
        <v>20.2</v>
      </c>
      <c r="P637" s="2">
        <v>39.479999999999997</v>
      </c>
      <c r="Q637" s="2">
        <v>8.49</v>
      </c>
      <c r="R637" s="2">
        <v>20.52</v>
      </c>
      <c r="S637" s="2">
        <v>9.66</v>
      </c>
      <c r="T637" s="2">
        <v>15.64</v>
      </c>
      <c r="U637" s="2">
        <v>12.8</v>
      </c>
      <c r="V637" s="2">
        <v>26.35</v>
      </c>
      <c r="W637" s="2">
        <v>26.1</v>
      </c>
      <c r="X637" s="2">
        <v>0</v>
      </c>
      <c r="Y637" s="2">
        <v>3.56</v>
      </c>
      <c r="Z637" s="2">
        <v>0</v>
      </c>
      <c r="AA637" s="2">
        <v>6.96</v>
      </c>
      <c r="AB637" s="2">
        <v>0</v>
      </c>
      <c r="AC637" s="2">
        <v>0</v>
      </c>
      <c r="AD637" s="2">
        <v>3.99</v>
      </c>
      <c r="AE637" s="2">
        <v>0</v>
      </c>
      <c r="AF637" s="2">
        <v>58.18</v>
      </c>
      <c r="AG637" s="2">
        <v>20.170000000000002</v>
      </c>
    </row>
    <row r="638" spans="1:33" x14ac:dyDescent="0.2">
      <c r="A638" s="3">
        <v>27333</v>
      </c>
      <c r="B638" s="2">
        <v>0.73</v>
      </c>
      <c r="C638" s="2">
        <v>19.29</v>
      </c>
      <c r="D638" s="2">
        <v>-1.93</v>
      </c>
      <c r="E638" s="2">
        <v>-18.86</v>
      </c>
      <c r="F638" s="2">
        <v>-15.39</v>
      </c>
      <c r="G638" s="2">
        <v>6.77</v>
      </c>
      <c r="H638" s="2">
        <v>14.02</v>
      </c>
      <c r="I638" s="2">
        <v>48.2</v>
      </c>
      <c r="J638" s="2">
        <v>13.64</v>
      </c>
      <c r="K638" s="2">
        <v>-5.45</v>
      </c>
      <c r="L638" s="2">
        <v>3.94</v>
      </c>
      <c r="M638" s="2">
        <v>8.77</v>
      </c>
      <c r="N638" s="2">
        <v>28.04</v>
      </c>
      <c r="O638" s="2">
        <v>21.02</v>
      </c>
      <c r="P638" s="2">
        <v>35.119999999999997</v>
      </c>
      <c r="Q638" s="2">
        <v>1.34</v>
      </c>
      <c r="R638" s="2">
        <v>9.3699999999999992</v>
      </c>
      <c r="S638" s="2">
        <v>13.25</v>
      </c>
      <c r="T638" s="2">
        <v>12.91</v>
      </c>
      <c r="U638" s="2">
        <v>5.49</v>
      </c>
      <c r="V638" s="2">
        <v>20.77</v>
      </c>
      <c r="W638" s="2">
        <v>22.19</v>
      </c>
      <c r="X638" s="2">
        <v>0</v>
      </c>
      <c r="Y638" s="2">
        <v>3.57</v>
      </c>
      <c r="Z638" s="2">
        <v>0</v>
      </c>
      <c r="AA638" s="2">
        <v>4.87</v>
      </c>
      <c r="AB638" s="2">
        <v>1.47</v>
      </c>
      <c r="AC638" s="2">
        <v>1.62</v>
      </c>
      <c r="AD638" s="2">
        <v>2.58</v>
      </c>
      <c r="AE638" s="2">
        <v>10.35</v>
      </c>
      <c r="AF638" s="2">
        <v>52.77</v>
      </c>
      <c r="AG638" s="2">
        <v>16.420000000000002</v>
      </c>
    </row>
    <row r="639" spans="1:33" x14ac:dyDescent="0.2">
      <c r="A639" s="3">
        <v>27363</v>
      </c>
      <c r="B639" s="2">
        <v>2.4300000000000002</v>
      </c>
      <c r="C639" s="2">
        <v>16.170000000000002</v>
      </c>
      <c r="D639" s="2">
        <v>-1.19</v>
      </c>
      <c r="E639" s="2">
        <v>-10.93</v>
      </c>
      <c r="F639" s="2">
        <v>-4.8099999999999996</v>
      </c>
      <c r="G639" s="2">
        <v>8.3800000000000008</v>
      </c>
      <c r="H639" s="2">
        <v>14.66</v>
      </c>
      <c r="I639" s="2">
        <v>44.53</v>
      </c>
      <c r="J639" s="2">
        <v>11.62</v>
      </c>
      <c r="K639" s="2">
        <v>-1.87</v>
      </c>
      <c r="L639" s="2">
        <v>2.67</v>
      </c>
      <c r="M639" s="2">
        <v>-1</v>
      </c>
      <c r="N639" s="2">
        <v>20.43</v>
      </c>
      <c r="O639" s="2">
        <v>17.52</v>
      </c>
      <c r="P639" s="2">
        <v>33.119999999999997</v>
      </c>
      <c r="Q639" s="2">
        <v>2.15</v>
      </c>
      <c r="R639" s="2">
        <v>7.8</v>
      </c>
      <c r="S639" s="2">
        <v>-2.4700000000000002</v>
      </c>
      <c r="T639" s="2">
        <v>9.9700000000000006</v>
      </c>
      <c r="U639" s="2">
        <v>7.17</v>
      </c>
      <c r="V639" s="2">
        <v>18.64</v>
      </c>
      <c r="W639" s="2">
        <v>15.43</v>
      </c>
      <c r="X639" s="2">
        <v>0</v>
      </c>
      <c r="Y639" s="2">
        <v>1.1499999999999999</v>
      </c>
      <c r="Z639" s="2">
        <v>6.46</v>
      </c>
      <c r="AA639" s="2">
        <v>0</v>
      </c>
      <c r="AB639" s="2">
        <v>0.34</v>
      </c>
      <c r="AC639" s="2">
        <v>0</v>
      </c>
      <c r="AD639" s="2">
        <v>1.74</v>
      </c>
      <c r="AE639" s="2">
        <v>3.64</v>
      </c>
      <c r="AF639" s="2">
        <v>34.630000000000003</v>
      </c>
      <c r="AG639" s="2">
        <v>12.92</v>
      </c>
    </row>
    <row r="640" spans="1:33" x14ac:dyDescent="0.2">
      <c r="A640" s="3">
        <v>27394</v>
      </c>
      <c r="B640" s="2">
        <v>2.2999999999999998</v>
      </c>
      <c r="C640" s="2">
        <v>23.98</v>
      </c>
      <c r="D640" s="2">
        <v>13.2</v>
      </c>
      <c r="E640" s="2">
        <v>15.31</v>
      </c>
      <c r="F640" s="2">
        <v>15.98</v>
      </c>
      <c r="G640" s="2">
        <v>29.99</v>
      </c>
      <c r="H640" s="2">
        <v>20.14</v>
      </c>
      <c r="I640" s="2">
        <v>44.99</v>
      </c>
      <c r="J640" s="2">
        <v>20.18</v>
      </c>
      <c r="K640" s="2">
        <v>22.3</v>
      </c>
      <c r="L640" s="2">
        <v>21.95</v>
      </c>
      <c r="M640" s="2">
        <v>17.329999999999998</v>
      </c>
      <c r="N640" s="2">
        <v>30.45</v>
      </c>
      <c r="O640" s="2">
        <v>18.46</v>
      </c>
      <c r="P640" s="2">
        <v>35.99</v>
      </c>
      <c r="Q640" s="2">
        <v>-0.26</v>
      </c>
      <c r="R640" s="2">
        <v>7.13</v>
      </c>
      <c r="S640" s="2">
        <v>5.58</v>
      </c>
      <c r="T640" s="2">
        <v>6.24</v>
      </c>
      <c r="U640" s="2">
        <v>7.35</v>
      </c>
      <c r="V640" s="2">
        <v>20.03</v>
      </c>
      <c r="W640" s="2">
        <v>11.73</v>
      </c>
      <c r="X640" s="2">
        <v>0</v>
      </c>
      <c r="Y640" s="2">
        <v>0.93</v>
      </c>
      <c r="Z640" s="2">
        <v>5.74</v>
      </c>
      <c r="AA640" s="2">
        <v>9.0299999999999994</v>
      </c>
      <c r="AB640" s="2">
        <v>1.35</v>
      </c>
      <c r="AC640" s="2">
        <v>8.5299999999999994</v>
      </c>
      <c r="AD640" s="2">
        <v>1.65</v>
      </c>
      <c r="AE640" s="2">
        <v>18.829999999999998</v>
      </c>
      <c r="AF640" s="2">
        <v>31.81</v>
      </c>
      <c r="AG640" s="2">
        <v>11.2</v>
      </c>
    </row>
    <row r="641" spans="1:33" x14ac:dyDescent="0.2">
      <c r="A641" s="3">
        <v>27425</v>
      </c>
      <c r="B641" s="2">
        <v>-1.65</v>
      </c>
      <c r="C641" s="2">
        <v>14.54</v>
      </c>
      <c r="D641" s="2">
        <v>-9.6300000000000008</v>
      </c>
      <c r="E641" s="2">
        <v>-29.08</v>
      </c>
      <c r="F641" s="2">
        <v>-22.64</v>
      </c>
      <c r="G641" s="2">
        <v>-4.47</v>
      </c>
      <c r="H641" s="2">
        <v>3.45</v>
      </c>
      <c r="I641" s="2">
        <v>37.869999999999997</v>
      </c>
      <c r="J641" s="2">
        <v>3.97</v>
      </c>
      <c r="K641" s="2">
        <v>5.93</v>
      </c>
      <c r="L641" s="2">
        <v>-5.5</v>
      </c>
      <c r="M641" s="2">
        <v>5.95</v>
      </c>
      <c r="N641" s="2">
        <v>20.62</v>
      </c>
      <c r="O641" s="2">
        <v>19.59</v>
      </c>
      <c r="P641" s="2">
        <v>38.270000000000003</v>
      </c>
      <c r="Q641" s="2">
        <v>-0.14000000000000001</v>
      </c>
      <c r="R641" s="2">
        <v>9.11</v>
      </c>
      <c r="S641" s="2">
        <v>-1.1200000000000001</v>
      </c>
      <c r="T641" s="2">
        <v>12.46</v>
      </c>
      <c r="U641" s="2">
        <v>3.9</v>
      </c>
      <c r="V641" s="2">
        <v>16.68</v>
      </c>
      <c r="W641" s="2">
        <v>4.26</v>
      </c>
      <c r="X641" s="2">
        <v>0</v>
      </c>
      <c r="Y641" s="2">
        <v>0</v>
      </c>
      <c r="Z641" s="2">
        <v>0.56999999999999995</v>
      </c>
      <c r="AA641" s="2">
        <v>0.7</v>
      </c>
      <c r="AB641" s="2">
        <v>0.05</v>
      </c>
      <c r="AC641" s="2">
        <v>0</v>
      </c>
      <c r="AD641" s="2">
        <v>1.71</v>
      </c>
      <c r="AE641" s="2">
        <v>7.83</v>
      </c>
      <c r="AF641" s="2">
        <v>37.49</v>
      </c>
      <c r="AG641" s="2">
        <v>9.8800000000000008</v>
      </c>
    </row>
    <row r="642" spans="1:33" x14ac:dyDescent="0.2">
      <c r="A642" s="3">
        <v>27453</v>
      </c>
      <c r="B642" s="2">
        <v>5.14</v>
      </c>
      <c r="C642" s="2">
        <v>30.74</v>
      </c>
      <c r="D642" s="2">
        <v>43.62</v>
      </c>
      <c r="E642" s="2">
        <v>110.98</v>
      </c>
      <c r="F642" s="2">
        <v>60.63</v>
      </c>
      <c r="G642" s="2">
        <v>132.88</v>
      </c>
      <c r="H642" s="2">
        <v>32.090000000000003</v>
      </c>
      <c r="I642" s="2">
        <v>49.53</v>
      </c>
      <c r="J642" s="2">
        <v>52.86</v>
      </c>
      <c r="K642" s="2">
        <v>49.9</v>
      </c>
      <c r="L642" s="2">
        <v>24.55</v>
      </c>
      <c r="M642" s="2">
        <v>10.56</v>
      </c>
      <c r="N642" s="2">
        <v>55.29</v>
      </c>
      <c r="O642" s="2">
        <v>18.47</v>
      </c>
      <c r="P642" s="2">
        <v>56.82</v>
      </c>
      <c r="Q642" s="2">
        <v>-1.1000000000000001</v>
      </c>
      <c r="R642" s="2">
        <v>8.74</v>
      </c>
      <c r="S642" s="2">
        <v>21.21</v>
      </c>
      <c r="T642" s="2">
        <v>16.47</v>
      </c>
      <c r="U642" s="2">
        <v>7.46</v>
      </c>
      <c r="V642" s="2">
        <v>16.649999999999999</v>
      </c>
      <c r="W642" s="2">
        <v>0</v>
      </c>
      <c r="X642" s="2">
        <v>0</v>
      </c>
      <c r="Y642" s="2">
        <v>0</v>
      </c>
      <c r="Z642" s="2">
        <v>3.4</v>
      </c>
      <c r="AA642" s="2">
        <v>0.14000000000000001</v>
      </c>
      <c r="AB642" s="2">
        <v>0.31</v>
      </c>
      <c r="AC642" s="2">
        <v>1.9</v>
      </c>
      <c r="AD642" s="2">
        <v>1.76</v>
      </c>
      <c r="AE642" s="2">
        <v>28.71</v>
      </c>
      <c r="AF642" s="2">
        <v>31.25</v>
      </c>
      <c r="AG642" s="2">
        <v>10.08</v>
      </c>
    </row>
    <row r="643" spans="1:33" x14ac:dyDescent="0.2">
      <c r="A643" s="3">
        <v>27484</v>
      </c>
      <c r="B643" s="2">
        <v>14.29</v>
      </c>
      <c r="C643" s="2">
        <v>40.93</v>
      </c>
      <c r="D643" s="2">
        <v>33.130000000000003</v>
      </c>
      <c r="E643" s="2">
        <v>105.21</v>
      </c>
      <c r="F643" s="2">
        <v>54.31</v>
      </c>
      <c r="G643" s="2">
        <v>126.86</v>
      </c>
      <c r="H643" s="2">
        <v>28.64</v>
      </c>
      <c r="I643" s="2">
        <v>54.03</v>
      </c>
      <c r="J643" s="2">
        <v>39.67</v>
      </c>
      <c r="K643" s="2">
        <v>26.15</v>
      </c>
      <c r="L643" s="2">
        <v>12.38</v>
      </c>
      <c r="M643" s="2">
        <v>14.06</v>
      </c>
      <c r="N643" s="2">
        <v>45.62</v>
      </c>
      <c r="O643" s="2">
        <v>15</v>
      </c>
      <c r="P643" s="2">
        <v>89.51</v>
      </c>
      <c r="Q643" s="2">
        <v>1.79</v>
      </c>
      <c r="R643" s="2">
        <v>4.21</v>
      </c>
      <c r="S643" s="2">
        <v>17.62</v>
      </c>
      <c r="T643" s="2">
        <v>29.81</v>
      </c>
      <c r="U643" s="2">
        <v>5.53</v>
      </c>
      <c r="V643" s="2">
        <v>25.27</v>
      </c>
      <c r="W643" s="2">
        <v>0</v>
      </c>
      <c r="X643" s="2">
        <v>0</v>
      </c>
      <c r="Y643" s="2">
        <v>0</v>
      </c>
      <c r="Z643" s="2">
        <v>5.55</v>
      </c>
      <c r="AA643" s="2">
        <v>2.72</v>
      </c>
      <c r="AB643" s="2">
        <v>1.26</v>
      </c>
      <c r="AC643" s="2">
        <v>2.44</v>
      </c>
      <c r="AD643" s="2">
        <v>3.54</v>
      </c>
      <c r="AE643" s="2">
        <v>42.04</v>
      </c>
      <c r="AF643" s="2">
        <v>36.880000000000003</v>
      </c>
      <c r="AG643" s="2">
        <v>10.69</v>
      </c>
    </row>
    <row r="644" spans="1:33" x14ac:dyDescent="0.2">
      <c r="A644" s="3">
        <v>27514</v>
      </c>
      <c r="B644" s="2">
        <v>6.49</v>
      </c>
      <c r="C644" s="2">
        <v>21.98</v>
      </c>
      <c r="D644" s="2">
        <v>-31.08</v>
      </c>
      <c r="E644" s="2">
        <v>-90.09</v>
      </c>
      <c r="F644" s="2">
        <v>-17.25</v>
      </c>
      <c r="G644" s="2">
        <v>-68.41</v>
      </c>
      <c r="H644" s="2">
        <v>2.11</v>
      </c>
      <c r="I644" s="2">
        <v>42.44</v>
      </c>
      <c r="J644" s="2">
        <v>-16.54</v>
      </c>
      <c r="K644" s="2">
        <v>-28.67</v>
      </c>
      <c r="L644" s="2">
        <v>-20.03</v>
      </c>
      <c r="M644" s="2">
        <v>-12.89</v>
      </c>
      <c r="N644" s="2">
        <v>20.8</v>
      </c>
      <c r="O644" s="2">
        <v>18.39</v>
      </c>
      <c r="P644" s="2">
        <v>39.28</v>
      </c>
      <c r="Q644" s="2">
        <v>1.67</v>
      </c>
      <c r="R644" s="2">
        <v>13.84</v>
      </c>
      <c r="S644" s="2">
        <v>6.59</v>
      </c>
      <c r="T644" s="2">
        <v>17.2</v>
      </c>
      <c r="U644" s="2">
        <v>12.14</v>
      </c>
      <c r="V644" s="2">
        <v>17.79</v>
      </c>
      <c r="W644" s="2">
        <v>0</v>
      </c>
      <c r="X644" s="2">
        <v>0</v>
      </c>
      <c r="Y644" s="2">
        <v>0</v>
      </c>
      <c r="Z644" s="2">
        <v>3.68</v>
      </c>
      <c r="AA644" s="2">
        <v>8.6</v>
      </c>
      <c r="AB644" s="2">
        <v>0.11</v>
      </c>
      <c r="AC644" s="2">
        <v>4.33</v>
      </c>
      <c r="AD644" s="2">
        <v>4.1500000000000004</v>
      </c>
      <c r="AE644" s="2">
        <v>12.31</v>
      </c>
      <c r="AF644" s="2">
        <v>45.63</v>
      </c>
      <c r="AG644" s="2">
        <v>14.64</v>
      </c>
    </row>
    <row r="645" spans="1:33" x14ac:dyDescent="0.2">
      <c r="A645" s="3">
        <v>27545</v>
      </c>
      <c r="B645" s="2">
        <v>6.26</v>
      </c>
      <c r="C645" s="2">
        <v>26.14</v>
      </c>
      <c r="D645" s="2">
        <v>-13.18</v>
      </c>
      <c r="E645" s="2">
        <v>-20.66</v>
      </c>
      <c r="F645" s="2">
        <v>18.53</v>
      </c>
      <c r="G645" s="2">
        <v>-20.399999999999999</v>
      </c>
      <c r="H645" s="2">
        <v>10.53</v>
      </c>
      <c r="I645" s="2">
        <v>39.94</v>
      </c>
      <c r="J645" s="2">
        <v>-8.4</v>
      </c>
      <c r="K645" s="2">
        <v>-12.58</v>
      </c>
      <c r="L645" s="2">
        <v>16.100000000000001</v>
      </c>
      <c r="M645" s="2">
        <v>-0.18</v>
      </c>
      <c r="N645" s="2">
        <v>31.24</v>
      </c>
      <c r="O645" s="2">
        <v>18.02</v>
      </c>
      <c r="P645" s="2">
        <v>58.91</v>
      </c>
      <c r="Q645" s="2">
        <v>-0.78</v>
      </c>
      <c r="R645" s="2">
        <v>14.29</v>
      </c>
      <c r="S645" s="2">
        <v>10.07</v>
      </c>
      <c r="T645" s="2">
        <v>29.62</v>
      </c>
      <c r="U645" s="2">
        <v>8.52</v>
      </c>
      <c r="V645" s="2">
        <v>32.82</v>
      </c>
      <c r="W645" s="2">
        <v>4.88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7.49</v>
      </c>
      <c r="AE645" s="2">
        <v>0.09</v>
      </c>
      <c r="AF645" s="2">
        <v>51.53</v>
      </c>
      <c r="AG645" s="2">
        <v>17.690000000000001</v>
      </c>
    </row>
    <row r="646" spans="1:33" x14ac:dyDescent="0.2">
      <c r="A646" s="3">
        <v>27575</v>
      </c>
      <c r="B646" s="2">
        <v>4.0599999999999996</v>
      </c>
      <c r="C646" s="2">
        <v>23.51</v>
      </c>
      <c r="D646" s="2">
        <v>-10.36</v>
      </c>
      <c r="E646" s="2">
        <v>-40.770000000000003</v>
      </c>
      <c r="F646" s="2">
        <v>-4.92</v>
      </c>
      <c r="G646" s="2">
        <v>-10.26</v>
      </c>
      <c r="H646" s="2">
        <v>9.0299999999999994</v>
      </c>
      <c r="I646" s="2">
        <v>38.479999999999997</v>
      </c>
      <c r="J646" s="2">
        <v>-10.37</v>
      </c>
      <c r="K646" s="2">
        <v>7.64</v>
      </c>
      <c r="L646" s="2">
        <v>17.55</v>
      </c>
      <c r="M646" s="2">
        <v>12.2</v>
      </c>
      <c r="N646" s="2">
        <v>31.47</v>
      </c>
      <c r="O646" s="2">
        <v>29.44</v>
      </c>
      <c r="P646" s="2">
        <v>119.31</v>
      </c>
      <c r="Q646" s="2">
        <v>9.24</v>
      </c>
      <c r="R646" s="2">
        <v>14.32</v>
      </c>
      <c r="S646" s="2">
        <v>30.28</v>
      </c>
      <c r="T646" s="2">
        <v>87.46</v>
      </c>
      <c r="U646" s="2">
        <v>10.76</v>
      </c>
      <c r="V646" s="2">
        <v>58.16</v>
      </c>
      <c r="W646" s="2">
        <v>18.62</v>
      </c>
      <c r="X646" s="2">
        <v>0</v>
      </c>
      <c r="Y646" s="2">
        <v>0</v>
      </c>
      <c r="Z646" s="2">
        <v>0</v>
      </c>
      <c r="AA646" s="2">
        <v>0</v>
      </c>
      <c r="AB646" s="2">
        <v>0.27</v>
      </c>
      <c r="AC646" s="2">
        <v>0</v>
      </c>
      <c r="AD646" s="2">
        <v>10.83</v>
      </c>
      <c r="AE646" s="2">
        <v>0.37</v>
      </c>
      <c r="AF646" s="2">
        <v>56.4</v>
      </c>
      <c r="AG646" s="2">
        <v>22.83</v>
      </c>
    </row>
    <row r="647" spans="1:33" x14ac:dyDescent="0.2">
      <c r="A647" s="3">
        <v>27606</v>
      </c>
      <c r="B647" s="2">
        <v>2.4</v>
      </c>
      <c r="C647" s="2">
        <v>24.06</v>
      </c>
      <c r="D647" s="2">
        <v>-9.3800000000000008</v>
      </c>
      <c r="E647" s="2">
        <v>-33.29</v>
      </c>
      <c r="F647" s="2">
        <v>6.71</v>
      </c>
      <c r="G647" s="2">
        <v>7.99</v>
      </c>
      <c r="H647" s="2">
        <v>9.74</v>
      </c>
      <c r="I647" s="2">
        <v>40.22</v>
      </c>
      <c r="J647" s="2">
        <v>-33.21</v>
      </c>
      <c r="K647" s="2">
        <v>-10.78</v>
      </c>
      <c r="L647" s="2">
        <v>-26.38</v>
      </c>
      <c r="M647" s="2">
        <v>4.45</v>
      </c>
      <c r="N647" s="2">
        <v>27.38</v>
      </c>
      <c r="O647" s="2">
        <v>36.33</v>
      </c>
      <c r="P647" s="2">
        <v>95.82</v>
      </c>
      <c r="Q647" s="2">
        <v>8.23</v>
      </c>
      <c r="R647" s="2">
        <v>13.93</v>
      </c>
      <c r="S647" s="2">
        <v>43.7</v>
      </c>
      <c r="T647" s="2">
        <v>84.34</v>
      </c>
      <c r="U647" s="2">
        <v>25.19</v>
      </c>
      <c r="V647" s="2">
        <v>53.28</v>
      </c>
      <c r="W647" s="2">
        <v>30.39</v>
      </c>
      <c r="X647" s="2">
        <v>0</v>
      </c>
      <c r="Y647" s="2">
        <v>1.84</v>
      </c>
      <c r="Z647" s="2">
        <v>0</v>
      </c>
      <c r="AA647" s="2">
        <v>0.52</v>
      </c>
      <c r="AB647" s="2">
        <v>0.14000000000000001</v>
      </c>
      <c r="AC647" s="2">
        <v>0</v>
      </c>
      <c r="AD647" s="2">
        <v>8.1</v>
      </c>
      <c r="AE647" s="2">
        <v>1.4</v>
      </c>
      <c r="AF647" s="2">
        <v>61.42</v>
      </c>
      <c r="AG647" s="2">
        <v>24.8</v>
      </c>
    </row>
    <row r="648" spans="1:33" x14ac:dyDescent="0.2">
      <c r="A648" s="3">
        <v>27637</v>
      </c>
      <c r="B648" s="2">
        <v>1.6</v>
      </c>
      <c r="C648" s="2">
        <v>25.31</v>
      </c>
      <c r="D648" s="2">
        <v>-8.7200000000000006</v>
      </c>
      <c r="E648" s="2">
        <v>-18.829999999999998</v>
      </c>
      <c r="F648" s="2">
        <v>11.86</v>
      </c>
      <c r="G648" s="2">
        <v>25.58</v>
      </c>
      <c r="H648" s="2">
        <v>14.33</v>
      </c>
      <c r="I648" s="2">
        <v>46.92</v>
      </c>
      <c r="J648" s="2">
        <v>-8.06</v>
      </c>
      <c r="K648" s="2">
        <v>-3.37</v>
      </c>
      <c r="L648" s="2">
        <v>-13.88</v>
      </c>
      <c r="M648" s="2">
        <v>9.19</v>
      </c>
      <c r="N648" s="2">
        <v>30.53</v>
      </c>
      <c r="O648" s="2">
        <v>37.9</v>
      </c>
      <c r="P648" s="2">
        <v>91.9</v>
      </c>
      <c r="Q648" s="2">
        <v>3.48</v>
      </c>
      <c r="R648" s="2">
        <v>17.82</v>
      </c>
      <c r="S648" s="2">
        <v>34.86</v>
      </c>
      <c r="T648" s="2">
        <v>60.94</v>
      </c>
      <c r="U648" s="2">
        <v>24.77</v>
      </c>
      <c r="V648" s="2">
        <v>47.78</v>
      </c>
      <c r="W648" s="2">
        <v>31.47</v>
      </c>
      <c r="X648" s="2">
        <v>0</v>
      </c>
      <c r="Y648" s="2">
        <v>4.0199999999999996</v>
      </c>
      <c r="Z648" s="2">
        <v>0</v>
      </c>
      <c r="AA648" s="2">
        <v>0</v>
      </c>
      <c r="AB648" s="2">
        <v>0</v>
      </c>
      <c r="AC648" s="2">
        <v>0</v>
      </c>
      <c r="AD648" s="2">
        <v>5.84</v>
      </c>
      <c r="AE648" s="2">
        <v>6.34</v>
      </c>
      <c r="AF648" s="2">
        <v>62.46</v>
      </c>
      <c r="AG648" s="2">
        <v>23.65</v>
      </c>
    </row>
    <row r="649" spans="1:33" x14ac:dyDescent="0.2">
      <c r="A649" s="3">
        <v>27667</v>
      </c>
      <c r="B649" s="2">
        <v>-1.47</v>
      </c>
      <c r="C649" s="2">
        <v>19.899999999999999</v>
      </c>
      <c r="D649" s="2">
        <v>-6.44</v>
      </c>
      <c r="E649" s="2">
        <v>-25.81</v>
      </c>
      <c r="F649" s="2">
        <v>-1.46</v>
      </c>
      <c r="G649" s="2">
        <v>11.82</v>
      </c>
      <c r="H649" s="2">
        <v>16</v>
      </c>
      <c r="I649" s="2">
        <v>51.6</v>
      </c>
      <c r="J649" s="2">
        <v>8.99</v>
      </c>
      <c r="K649" s="2">
        <v>4.91</v>
      </c>
      <c r="L649" s="2">
        <v>1.9</v>
      </c>
      <c r="M649" s="2">
        <v>18.100000000000001</v>
      </c>
      <c r="N649" s="2">
        <v>36.909999999999997</v>
      </c>
      <c r="O649" s="2">
        <v>23.77</v>
      </c>
      <c r="P649" s="2">
        <v>46.98</v>
      </c>
      <c r="Q649" s="2">
        <v>6.16</v>
      </c>
      <c r="R649" s="2">
        <v>17.510000000000002</v>
      </c>
      <c r="S649" s="2">
        <v>6.27</v>
      </c>
      <c r="T649" s="2">
        <v>14.5</v>
      </c>
      <c r="U649" s="2">
        <v>10.58</v>
      </c>
      <c r="V649" s="2">
        <v>17</v>
      </c>
      <c r="W649" s="2">
        <v>26.1</v>
      </c>
      <c r="X649" s="2">
        <v>0</v>
      </c>
      <c r="Y649" s="2">
        <v>3.9</v>
      </c>
      <c r="Z649" s="2">
        <v>1.1499999999999999</v>
      </c>
      <c r="AA649" s="2">
        <v>0.14000000000000001</v>
      </c>
      <c r="AB649" s="2">
        <v>1.44</v>
      </c>
      <c r="AC649" s="2">
        <v>5.42</v>
      </c>
      <c r="AD649" s="2">
        <v>3.95</v>
      </c>
      <c r="AE649" s="2">
        <v>0.09</v>
      </c>
      <c r="AF649" s="2">
        <v>58.18</v>
      </c>
      <c r="AG649" s="2">
        <v>20.170000000000002</v>
      </c>
    </row>
    <row r="650" spans="1:33" x14ac:dyDescent="0.2">
      <c r="A650" s="3">
        <v>27698</v>
      </c>
      <c r="B650" s="2">
        <v>1.7</v>
      </c>
      <c r="C650" s="2">
        <v>19.63</v>
      </c>
      <c r="D650" s="2">
        <v>1.1200000000000001</v>
      </c>
      <c r="E650" s="2">
        <v>0.77</v>
      </c>
      <c r="F650" s="2">
        <v>-4.2</v>
      </c>
      <c r="G650" s="2">
        <v>20.239999999999998</v>
      </c>
      <c r="H650" s="2">
        <v>16.04</v>
      </c>
      <c r="I650" s="2">
        <v>45.64</v>
      </c>
      <c r="J650" s="2">
        <v>21.19</v>
      </c>
      <c r="K650" s="2">
        <v>7.26</v>
      </c>
      <c r="L650" s="2">
        <v>27.43</v>
      </c>
      <c r="M650" s="2">
        <v>15.93</v>
      </c>
      <c r="N650" s="2">
        <v>26.71</v>
      </c>
      <c r="O650" s="2">
        <v>19.03</v>
      </c>
      <c r="P650" s="2">
        <v>35.76</v>
      </c>
      <c r="Q650" s="2">
        <v>0.42</v>
      </c>
      <c r="R650" s="2">
        <v>6.8</v>
      </c>
      <c r="S650" s="2">
        <v>0.47</v>
      </c>
      <c r="T650" s="2">
        <v>24.25</v>
      </c>
      <c r="U650" s="2">
        <v>3.92</v>
      </c>
      <c r="V650" s="2">
        <v>12.89</v>
      </c>
      <c r="W650" s="2">
        <v>22.19</v>
      </c>
      <c r="X650" s="2">
        <v>0</v>
      </c>
      <c r="Y650" s="2">
        <v>3.89</v>
      </c>
      <c r="Z650" s="2">
        <v>0</v>
      </c>
      <c r="AA650" s="2">
        <v>0</v>
      </c>
      <c r="AB650" s="2">
        <v>0</v>
      </c>
      <c r="AC650" s="2">
        <v>0</v>
      </c>
      <c r="AD650" s="2">
        <v>2.76</v>
      </c>
      <c r="AE650" s="2">
        <v>12.12</v>
      </c>
      <c r="AF650" s="2">
        <v>52.77</v>
      </c>
      <c r="AG650" s="2">
        <v>16.420000000000002</v>
      </c>
    </row>
    <row r="651" spans="1:33" x14ac:dyDescent="0.2">
      <c r="A651" s="3">
        <v>27728</v>
      </c>
      <c r="B651" s="2">
        <v>2.33</v>
      </c>
      <c r="C651" s="2">
        <v>16.48</v>
      </c>
      <c r="D651" s="2">
        <v>-3.12</v>
      </c>
      <c r="E651" s="2">
        <v>-3.96</v>
      </c>
      <c r="F651" s="2">
        <v>4.87</v>
      </c>
      <c r="G651" s="2">
        <v>9.1999999999999993</v>
      </c>
      <c r="H651" s="2">
        <v>15.53</v>
      </c>
      <c r="I651" s="2">
        <v>41.12</v>
      </c>
      <c r="J651" s="2">
        <v>7.46</v>
      </c>
      <c r="K651" s="2">
        <v>-6.78</v>
      </c>
      <c r="L651" s="2">
        <v>-3.26</v>
      </c>
      <c r="M651" s="2">
        <v>-4.6500000000000004</v>
      </c>
      <c r="N651" s="2">
        <v>18.54</v>
      </c>
      <c r="O651" s="2">
        <v>18.77</v>
      </c>
      <c r="P651" s="2">
        <v>31.96</v>
      </c>
      <c r="Q651" s="2">
        <v>1.73</v>
      </c>
      <c r="R651" s="2">
        <v>6.46</v>
      </c>
      <c r="S651" s="2">
        <v>-1.22</v>
      </c>
      <c r="T651" s="2">
        <v>13.39</v>
      </c>
      <c r="U651" s="2">
        <v>5.71</v>
      </c>
      <c r="V651" s="2">
        <v>13.67</v>
      </c>
      <c r="W651" s="2">
        <v>15.43</v>
      </c>
      <c r="X651" s="2">
        <v>0</v>
      </c>
      <c r="Y651" s="2">
        <v>1.4</v>
      </c>
      <c r="Z651" s="2">
        <v>0.56999999999999995</v>
      </c>
      <c r="AA651" s="2">
        <v>1.29</v>
      </c>
      <c r="AB651" s="2">
        <v>0</v>
      </c>
      <c r="AC651" s="2">
        <v>0</v>
      </c>
      <c r="AD651" s="2">
        <v>1.63</v>
      </c>
      <c r="AE651" s="2">
        <v>1.4</v>
      </c>
      <c r="AF651" s="2">
        <v>34.630000000000003</v>
      </c>
      <c r="AG651" s="2">
        <v>12.92</v>
      </c>
    </row>
    <row r="652" spans="1:33" x14ac:dyDescent="0.2">
      <c r="A652" s="3">
        <v>27759</v>
      </c>
      <c r="B652" s="2">
        <v>2.17</v>
      </c>
      <c r="C652" s="2">
        <v>15.69</v>
      </c>
      <c r="D652" s="2">
        <v>-2.8</v>
      </c>
      <c r="E652" s="2">
        <v>-0.26</v>
      </c>
      <c r="F652" s="2">
        <v>12.45</v>
      </c>
      <c r="G652" s="2">
        <v>11.2</v>
      </c>
      <c r="H652" s="2">
        <v>13.91</v>
      </c>
      <c r="I652" s="2">
        <v>38.61</v>
      </c>
      <c r="J652" s="2">
        <v>8</v>
      </c>
      <c r="K652" s="2">
        <v>-0.84</v>
      </c>
      <c r="L652" s="2">
        <v>-0.4</v>
      </c>
      <c r="M652" s="2">
        <v>1.59</v>
      </c>
      <c r="N652" s="2">
        <v>18.54</v>
      </c>
      <c r="O652" s="2">
        <v>23.36</v>
      </c>
      <c r="P652" s="2">
        <v>29.35</v>
      </c>
      <c r="Q652" s="2">
        <v>0.62</v>
      </c>
      <c r="R652" s="2">
        <v>7.33</v>
      </c>
      <c r="S652" s="2">
        <v>-4.2</v>
      </c>
      <c r="T652" s="2">
        <v>14.52</v>
      </c>
      <c r="U652" s="2">
        <v>5.38</v>
      </c>
      <c r="V652" s="2">
        <v>14.63</v>
      </c>
      <c r="W652" s="2">
        <v>11.73</v>
      </c>
      <c r="X652" s="2">
        <v>0</v>
      </c>
      <c r="Y652" s="2">
        <v>1.17</v>
      </c>
      <c r="Z652" s="2">
        <v>0</v>
      </c>
      <c r="AA652" s="2">
        <v>0.43</v>
      </c>
      <c r="AB652" s="2">
        <v>0.41</v>
      </c>
      <c r="AC652" s="2">
        <v>2.17</v>
      </c>
      <c r="AD652" s="2">
        <v>1.63</v>
      </c>
      <c r="AE652" s="2">
        <v>2.42</v>
      </c>
      <c r="AF652" s="2">
        <v>31.81</v>
      </c>
      <c r="AG652" s="2">
        <v>11.2</v>
      </c>
    </row>
    <row r="653" spans="1:33" x14ac:dyDescent="0.2">
      <c r="A653" s="3">
        <v>27790</v>
      </c>
      <c r="B653" s="2">
        <v>-1.81</v>
      </c>
      <c r="C653" s="2">
        <v>11.19</v>
      </c>
      <c r="D653" s="2">
        <v>-10.64</v>
      </c>
      <c r="E653" s="2">
        <v>-34.97</v>
      </c>
      <c r="F653" s="2">
        <v>-31.15</v>
      </c>
      <c r="G653" s="2">
        <v>-3.4</v>
      </c>
      <c r="H653" s="2">
        <v>0.13</v>
      </c>
      <c r="I653" s="2">
        <v>33.54</v>
      </c>
      <c r="J653" s="2">
        <v>1.4</v>
      </c>
      <c r="K653" s="2">
        <v>2.63</v>
      </c>
      <c r="L653" s="2">
        <v>-7.44</v>
      </c>
      <c r="M653" s="2">
        <v>0.32</v>
      </c>
      <c r="N653" s="2">
        <v>21.67</v>
      </c>
      <c r="O653" s="2">
        <v>16.68</v>
      </c>
      <c r="P653" s="2">
        <v>48.17</v>
      </c>
      <c r="Q653" s="2">
        <v>0.36</v>
      </c>
      <c r="R653" s="2">
        <v>6.64</v>
      </c>
      <c r="S653" s="2">
        <v>2.72</v>
      </c>
      <c r="T653" s="2">
        <v>27.68</v>
      </c>
      <c r="U653" s="2">
        <v>4.1500000000000004</v>
      </c>
      <c r="V653" s="2">
        <v>20.239999999999998</v>
      </c>
      <c r="W653" s="2">
        <v>4.26</v>
      </c>
      <c r="X653" s="2">
        <v>0</v>
      </c>
      <c r="Y653" s="2">
        <v>0</v>
      </c>
      <c r="Z653" s="2">
        <v>0</v>
      </c>
      <c r="AA653" s="2">
        <v>0.17</v>
      </c>
      <c r="AB653" s="2">
        <v>0</v>
      </c>
      <c r="AC653" s="2">
        <v>0</v>
      </c>
      <c r="AD653" s="2">
        <v>1.55</v>
      </c>
      <c r="AE653" s="2">
        <v>2.98</v>
      </c>
      <c r="AF653" s="2">
        <v>67.83</v>
      </c>
      <c r="AG653" s="2">
        <v>9.8800000000000008</v>
      </c>
    </row>
    <row r="654" spans="1:33" x14ac:dyDescent="0.2">
      <c r="A654" s="3">
        <v>27819</v>
      </c>
      <c r="B654" s="2">
        <v>-0.72</v>
      </c>
      <c r="C654" s="2">
        <v>13.81</v>
      </c>
      <c r="D654" s="2">
        <v>-2.27</v>
      </c>
      <c r="E654" s="2">
        <v>-0.62</v>
      </c>
      <c r="F654" s="2">
        <v>-3.72</v>
      </c>
      <c r="G654" s="2">
        <v>6.27</v>
      </c>
      <c r="H654" s="2">
        <v>7.64</v>
      </c>
      <c r="I654" s="2">
        <v>36.67</v>
      </c>
      <c r="J654" s="2">
        <v>6.88</v>
      </c>
      <c r="K654" s="2">
        <v>20.260000000000002</v>
      </c>
      <c r="L654" s="2">
        <v>-14.96</v>
      </c>
      <c r="M654" s="2">
        <v>1.98</v>
      </c>
      <c r="N654" s="2">
        <v>42.06</v>
      </c>
      <c r="O654" s="2">
        <v>18.170000000000002</v>
      </c>
      <c r="P654" s="2">
        <v>100.8</v>
      </c>
      <c r="Q654" s="2">
        <v>-3.9</v>
      </c>
      <c r="R654" s="2">
        <v>6.32</v>
      </c>
      <c r="S654" s="2">
        <v>29.45</v>
      </c>
      <c r="T654" s="2">
        <v>30.4</v>
      </c>
      <c r="U654" s="2">
        <v>5.6</v>
      </c>
      <c r="V654" s="2">
        <v>7.91</v>
      </c>
      <c r="W654" s="2">
        <v>0</v>
      </c>
      <c r="X654" s="2">
        <v>0</v>
      </c>
      <c r="Y654" s="2">
        <v>0</v>
      </c>
      <c r="Z654" s="2">
        <v>8.52</v>
      </c>
      <c r="AA654" s="2">
        <v>29.11</v>
      </c>
      <c r="AB654" s="2">
        <v>9.1999999999999993</v>
      </c>
      <c r="AC654" s="2">
        <v>17.73</v>
      </c>
      <c r="AD654" s="2">
        <v>1.8</v>
      </c>
      <c r="AE654" s="2">
        <v>11.75</v>
      </c>
      <c r="AF654" s="2">
        <v>56.54</v>
      </c>
      <c r="AG654" s="2">
        <v>10.08</v>
      </c>
    </row>
    <row r="655" spans="1:33" x14ac:dyDescent="0.2">
      <c r="A655" s="3">
        <v>27850</v>
      </c>
      <c r="B655" s="2">
        <v>-1.03</v>
      </c>
      <c r="C655" s="2">
        <v>10.57</v>
      </c>
      <c r="D655" s="2">
        <v>-0.2</v>
      </c>
      <c r="E655" s="2">
        <v>18.43</v>
      </c>
      <c r="F655" s="2">
        <v>-1.98</v>
      </c>
      <c r="G655" s="2">
        <v>20</v>
      </c>
      <c r="H655" s="2">
        <v>2.42</v>
      </c>
      <c r="I655" s="2">
        <v>24.39</v>
      </c>
      <c r="J655" s="2">
        <v>11.56</v>
      </c>
      <c r="K655" s="2">
        <v>5.82</v>
      </c>
      <c r="L655" s="2">
        <v>-3.93</v>
      </c>
      <c r="M655" s="2">
        <v>4.46</v>
      </c>
      <c r="N655" s="2">
        <v>21.27</v>
      </c>
      <c r="O655" s="2">
        <v>15.49</v>
      </c>
      <c r="P655" s="2">
        <v>50.15</v>
      </c>
      <c r="Q655" s="2">
        <v>-4.1100000000000003</v>
      </c>
      <c r="R655" s="2">
        <v>2.69</v>
      </c>
      <c r="S655" s="2">
        <v>1.66</v>
      </c>
      <c r="T655" s="2">
        <v>27.93</v>
      </c>
      <c r="U655" s="2">
        <v>1.3</v>
      </c>
      <c r="V655" s="2">
        <v>18.600000000000001</v>
      </c>
      <c r="W655" s="2">
        <v>0</v>
      </c>
      <c r="X655" s="2">
        <v>0</v>
      </c>
      <c r="Y655" s="2">
        <v>0</v>
      </c>
      <c r="Z655" s="2">
        <v>2.87</v>
      </c>
      <c r="AA655" s="2">
        <v>0</v>
      </c>
      <c r="AB655" s="2">
        <v>1.69</v>
      </c>
      <c r="AC655" s="2">
        <v>3.79</v>
      </c>
      <c r="AD655" s="2">
        <v>3.38</v>
      </c>
      <c r="AE655" s="2">
        <v>8.86</v>
      </c>
      <c r="AF655" s="2">
        <v>66.73</v>
      </c>
      <c r="AG655" s="2">
        <v>10.69</v>
      </c>
    </row>
    <row r="656" spans="1:33" x14ac:dyDescent="0.2">
      <c r="A656" s="3">
        <v>27880</v>
      </c>
      <c r="B656" s="2">
        <v>-0.43</v>
      </c>
      <c r="C656" s="2">
        <v>9.8800000000000008</v>
      </c>
      <c r="D656" s="2">
        <v>3.76</v>
      </c>
      <c r="E656" s="2">
        <v>12.09</v>
      </c>
      <c r="F656" s="2">
        <v>25.85</v>
      </c>
      <c r="G656" s="2">
        <v>9.24</v>
      </c>
      <c r="H656" s="2">
        <v>11.73</v>
      </c>
      <c r="I656" s="2">
        <v>28.74</v>
      </c>
      <c r="J656" s="2">
        <v>-2.48</v>
      </c>
      <c r="K656" s="2">
        <v>-19.38</v>
      </c>
      <c r="L656" s="2">
        <v>-10.27</v>
      </c>
      <c r="M656" s="2">
        <v>-6.13</v>
      </c>
      <c r="N656" s="2">
        <v>9.64</v>
      </c>
      <c r="O656" s="2">
        <v>18.95</v>
      </c>
      <c r="P656" s="2">
        <v>29.96</v>
      </c>
      <c r="Q656" s="2">
        <v>2.21</v>
      </c>
      <c r="R656" s="2">
        <v>7.11</v>
      </c>
      <c r="S656" s="2">
        <v>9.6999999999999993</v>
      </c>
      <c r="T656" s="2">
        <v>14.65</v>
      </c>
      <c r="U656" s="2">
        <v>9.1199999999999992</v>
      </c>
      <c r="V656" s="2">
        <v>15.13</v>
      </c>
      <c r="W656" s="2">
        <v>0</v>
      </c>
      <c r="X656" s="2">
        <v>0</v>
      </c>
      <c r="Y656" s="2">
        <v>0</v>
      </c>
      <c r="Z656" s="2">
        <v>0.28999999999999998</v>
      </c>
      <c r="AA656" s="2">
        <v>1.43</v>
      </c>
      <c r="AB656" s="2">
        <v>1.32</v>
      </c>
      <c r="AC656" s="2">
        <v>1.76</v>
      </c>
      <c r="AD656" s="2">
        <v>3.71</v>
      </c>
      <c r="AE656" s="2">
        <v>5.78</v>
      </c>
      <c r="AF656" s="2">
        <v>82.57</v>
      </c>
      <c r="AG656" s="2">
        <v>14.64</v>
      </c>
    </row>
    <row r="657" spans="1:33" x14ac:dyDescent="0.2">
      <c r="A657" s="3">
        <v>27911</v>
      </c>
      <c r="B657" s="2">
        <v>-2.23</v>
      </c>
      <c r="C657" s="2">
        <v>12.52</v>
      </c>
      <c r="D657" s="2">
        <v>-1.33</v>
      </c>
      <c r="E657" s="2">
        <v>7.83</v>
      </c>
      <c r="F657" s="2">
        <v>-7.08</v>
      </c>
      <c r="G657" s="2">
        <v>15.32</v>
      </c>
      <c r="H657" s="2">
        <v>10.119999999999999</v>
      </c>
      <c r="I657" s="2">
        <v>32.71</v>
      </c>
      <c r="J657" s="2">
        <v>-12.13</v>
      </c>
      <c r="K657" s="2">
        <v>-9.69</v>
      </c>
      <c r="L657" s="2">
        <v>-1.75</v>
      </c>
      <c r="M657" s="2">
        <v>-1.24</v>
      </c>
      <c r="N657" s="2">
        <v>31.56</v>
      </c>
      <c r="O657" s="2">
        <v>20.88</v>
      </c>
      <c r="P657" s="2">
        <v>30.05</v>
      </c>
      <c r="Q657" s="2">
        <v>-9.2100000000000009</v>
      </c>
      <c r="R657" s="2">
        <v>8.73</v>
      </c>
      <c r="S657" s="2">
        <v>28.67</v>
      </c>
      <c r="T657" s="2">
        <v>27.45</v>
      </c>
      <c r="U657" s="2">
        <v>8.25</v>
      </c>
      <c r="V657" s="2">
        <v>20.11</v>
      </c>
      <c r="W657" s="2">
        <v>4.88</v>
      </c>
      <c r="X657" s="2">
        <v>0</v>
      </c>
      <c r="Y657" s="2">
        <v>0</v>
      </c>
      <c r="Z657" s="2">
        <v>0.56999999999999995</v>
      </c>
      <c r="AA657" s="2">
        <v>7.17</v>
      </c>
      <c r="AB657" s="2">
        <v>2.81</v>
      </c>
      <c r="AC657" s="2">
        <v>0</v>
      </c>
      <c r="AD657" s="2">
        <v>5.89</v>
      </c>
      <c r="AE657" s="2">
        <v>0</v>
      </c>
      <c r="AF657" s="2">
        <v>93.24</v>
      </c>
      <c r="AG657" s="2">
        <v>17.690000000000001</v>
      </c>
    </row>
    <row r="658" spans="1:33" x14ac:dyDescent="0.2">
      <c r="A658" s="3">
        <v>27941</v>
      </c>
      <c r="B658" s="2">
        <v>-2.68</v>
      </c>
      <c r="C658" s="2">
        <v>15.52</v>
      </c>
      <c r="D658" s="2">
        <v>-7.83</v>
      </c>
      <c r="E658" s="2">
        <v>2.0099999999999998</v>
      </c>
      <c r="F658" s="2">
        <v>17.760000000000002</v>
      </c>
      <c r="G658" s="2">
        <v>20.010000000000002</v>
      </c>
      <c r="H658" s="2">
        <v>14.48</v>
      </c>
      <c r="I658" s="2">
        <v>32.06</v>
      </c>
      <c r="J658" s="2">
        <v>-10.23</v>
      </c>
      <c r="K658" s="2">
        <v>4.12</v>
      </c>
      <c r="L658" s="2">
        <v>7.99</v>
      </c>
      <c r="M658" s="2">
        <v>8.09</v>
      </c>
      <c r="N658" s="2">
        <v>42.32</v>
      </c>
      <c r="O658" s="2">
        <v>26.23</v>
      </c>
      <c r="P658" s="2">
        <v>107.14</v>
      </c>
      <c r="Q658" s="2">
        <v>-6.14</v>
      </c>
      <c r="R658" s="2">
        <v>7.71</v>
      </c>
      <c r="S658" s="2">
        <v>60.11</v>
      </c>
      <c r="T658" s="2">
        <v>63.29</v>
      </c>
      <c r="U658" s="2">
        <v>18.22</v>
      </c>
      <c r="V658" s="2">
        <v>54.3</v>
      </c>
      <c r="W658" s="2">
        <v>18.62</v>
      </c>
      <c r="X658" s="2">
        <v>0</v>
      </c>
      <c r="Y658" s="2">
        <v>0</v>
      </c>
      <c r="Z658" s="2">
        <v>0</v>
      </c>
      <c r="AA658" s="2">
        <v>0</v>
      </c>
      <c r="AB658" s="2">
        <v>0.54</v>
      </c>
      <c r="AC658" s="2">
        <v>0</v>
      </c>
      <c r="AD658" s="2">
        <v>9.2100000000000009</v>
      </c>
      <c r="AE658" s="2">
        <v>0.65</v>
      </c>
      <c r="AF658" s="2">
        <v>102.05</v>
      </c>
      <c r="AG658" s="2">
        <v>22.83</v>
      </c>
    </row>
    <row r="659" spans="1:33" x14ac:dyDescent="0.2">
      <c r="A659" s="3">
        <v>27972</v>
      </c>
      <c r="B659" s="2">
        <v>-3.01</v>
      </c>
      <c r="C659" s="2">
        <v>17.420000000000002</v>
      </c>
      <c r="D659" s="2">
        <v>-10.33</v>
      </c>
      <c r="E659" s="2">
        <v>10.71</v>
      </c>
      <c r="F659" s="2">
        <v>25.28</v>
      </c>
      <c r="G659" s="2">
        <v>26.13</v>
      </c>
      <c r="H659" s="2">
        <v>17.12</v>
      </c>
      <c r="I659" s="2">
        <v>34.85</v>
      </c>
      <c r="J659" s="2">
        <v>-10.49</v>
      </c>
      <c r="K659" s="2">
        <v>0.98</v>
      </c>
      <c r="L659" s="2">
        <v>14.89</v>
      </c>
      <c r="M659" s="2">
        <v>11.9</v>
      </c>
      <c r="N659" s="2">
        <v>39.69</v>
      </c>
      <c r="O659" s="2">
        <v>34.950000000000003</v>
      </c>
      <c r="P659" s="2">
        <v>120.32</v>
      </c>
      <c r="Q659" s="2">
        <v>-1.34</v>
      </c>
      <c r="R659" s="2">
        <v>4.45</v>
      </c>
      <c r="S659" s="2">
        <v>74.97</v>
      </c>
      <c r="T659" s="2">
        <v>57.11</v>
      </c>
      <c r="U659" s="2">
        <v>28.25</v>
      </c>
      <c r="V659" s="2">
        <v>49.62</v>
      </c>
      <c r="W659" s="2">
        <v>30.39</v>
      </c>
      <c r="X659" s="2">
        <v>0</v>
      </c>
      <c r="Y659" s="2">
        <v>2.08</v>
      </c>
      <c r="Z659" s="2">
        <v>0</v>
      </c>
      <c r="AA659" s="2">
        <v>6.44</v>
      </c>
      <c r="AB659" s="2">
        <v>4.04</v>
      </c>
      <c r="AC659" s="2">
        <v>1.62</v>
      </c>
      <c r="AD659" s="2">
        <v>7.22</v>
      </c>
      <c r="AE659" s="2">
        <v>0</v>
      </c>
      <c r="AF659" s="2">
        <v>111.13</v>
      </c>
      <c r="AG659" s="2">
        <v>24.8</v>
      </c>
    </row>
    <row r="660" spans="1:33" x14ac:dyDescent="0.2">
      <c r="A660" s="3">
        <v>28003</v>
      </c>
      <c r="B660" s="2">
        <v>-2.95</v>
      </c>
      <c r="C660" s="2">
        <v>19.690000000000001</v>
      </c>
      <c r="D660" s="2">
        <v>-7.19</v>
      </c>
      <c r="E660" s="2">
        <v>0.2</v>
      </c>
      <c r="F660" s="2">
        <v>7.17</v>
      </c>
      <c r="G660" s="2">
        <v>24.8</v>
      </c>
      <c r="H660" s="2">
        <v>15.61</v>
      </c>
      <c r="I660" s="2">
        <v>40.47</v>
      </c>
      <c r="J660" s="2">
        <v>0.52</v>
      </c>
      <c r="K660" s="2">
        <v>-3.21</v>
      </c>
      <c r="L660" s="2">
        <v>11.86</v>
      </c>
      <c r="M660" s="2">
        <v>9.5500000000000007</v>
      </c>
      <c r="N660" s="2">
        <v>38.89</v>
      </c>
      <c r="O660" s="2">
        <v>31.04</v>
      </c>
      <c r="P660" s="2">
        <v>118.32</v>
      </c>
      <c r="Q660" s="2">
        <v>-0.63</v>
      </c>
      <c r="R660" s="2">
        <v>4.59</v>
      </c>
      <c r="S660" s="2">
        <v>68.48</v>
      </c>
      <c r="T660" s="2">
        <v>55.2</v>
      </c>
      <c r="U660" s="2">
        <v>21.72</v>
      </c>
      <c r="V660" s="2">
        <v>41.95</v>
      </c>
      <c r="W660" s="2">
        <v>31.47</v>
      </c>
      <c r="X660" s="2">
        <v>0</v>
      </c>
      <c r="Y660" s="2">
        <v>4.25</v>
      </c>
      <c r="Z660" s="2">
        <v>0</v>
      </c>
      <c r="AA660" s="2">
        <v>0</v>
      </c>
      <c r="AB660" s="2">
        <v>0.04</v>
      </c>
      <c r="AC660" s="2">
        <v>0</v>
      </c>
      <c r="AD660" s="2">
        <v>4.8099999999999996</v>
      </c>
      <c r="AE660" s="2">
        <v>6.62</v>
      </c>
      <c r="AF660" s="2">
        <v>113.02</v>
      </c>
      <c r="AG660" s="2">
        <v>23.65</v>
      </c>
    </row>
    <row r="661" spans="1:33" x14ac:dyDescent="0.2">
      <c r="A661" s="3">
        <v>28033</v>
      </c>
      <c r="B661" s="2">
        <v>-7.13</v>
      </c>
      <c r="C661" s="2">
        <v>16.489999999999998</v>
      </c>
      <c r="D661" s="2">
        <v>-11.69</v>
      </c>
      <c r="E661" s="2">
        <v>-30.19</v>
      </c>
      <c r="F661" s="2">
        <v>12.73</v>
      </c>
      <c r="G661" s="2">
        <v>10.29</v>
      </c>
      <c r="H661" s="2">
        <v>14.18</v>
      </c>
      <c r="I661" s="2">
        <v>41.8</v>
      </c>
      <c r="J661" s="2">
        <v>9.3000000000000007</v>
      </c>
      <c r="K661" s="2">
        <v>2.2200000000000002</v>
      </c>
      <c r="L661" s="2">
        <v>8.3000000000000007</v>
      </c>
      <c r="M661" s="2">
        <v>6.3</v>
      </c>
      <c r="N661" s="2">
        <v>37.07</v>
      </c>
      <c r="O661" s="2">
        <v>20.100000000000001</v>
      </c>
      <c r="P661" s="2">
        <v>67.78</v>
      </c>
      <c r="Q661" s="2">
        <v>-0.28000000000000003</v>
      </c>
      <c r="R661" s="2">
        <v>9.58</v>
      </c>
      <c r="S661" s="2">
        <v>15.66</v>
      </c>
      <c r="T661" s="2">
        <v>38.79</v>
      </c>
      <c r="U661" s="2">
        <v>3.79</v>
      </c>
      <c r="V661" s="2">
        <v>17.09</v>
      </c>
      <c r="W661" s="2">
        <v>26.1</v>
      </c>
      <c r="X661" s="2">
        <v>0</v>
      </c>
      <c r="Y661" s="2">
        <v>4.13</v>
      </c>
      <c r="Z661" s="2">
        <v>10.15</v>
      </c>
      <c r="AA661" s="2">
        <v>60.65</v>
      </c>
      <c r="AB661" s="2">
        <v>8.92</v>
      </c>
      <c r="AC661" s="2">
        <v>22.61</v>
      </c>
      <c r="AD661" s="2">
        <v>3.89</v>
      </c>
      <c r="AE661" s="2">
        <v>9.6</v>
      </c>
      <c r="AF661" s="2">
        <v>105.27</v>
      </c>
      <c r="AG661" s="2">
        <v>20.170000000000002</v>
      </c>
    </row>
    <row r="662" spans="1:33" x14ac:dyDescent="0.2">
      <c r="A662" s="3">
        <v>28064</v>
      </c>
      <c r="B662" s="2">
        <v>-8.99</v>
      </c>
      <c r="C662" s="2">
        <v>12.75</v>
      </c>
      <c r="D662" s="2">
        <v>-19.98</v>
      </c>
      <c r="E662" s="2">
        <v>-31.73</v>
      </c>
      <c r="F662" s="2">
        <v>-8.81</v>
      </c>
      <c r="G662" s="2">
        <v>6.87</v>
      </c>
      <c r="H662" s="2">
        <v>10.7</v>
      </c>
      <c r="I662" s="2">
        <v>28.32</v>
      </c>
      <c r="J662" s="2">
        <v>5.72</v>
      </c>
      <c r="K662" s="2">
        <v>-7.48</v>
      </c>
      <c r="L662" s="2">
        <v>3.88</v>
      </c>
      <c r="M662" s="2">
        <v>-1.1599999999999999</v>
      </c>
      <c r="N662" s="2">
        <v>19.27</v>
      </c>
      <c r="O662" s="2">
        <v>13.46</v>
      </c>
      <c r="P662" s="2">
        <v>49.47</v>
      </c>
      <c r="Q662" s="2">
        <v>-3.31</v>
      </c>
      <c r="R662" s="2">
        <v>5.54</v>
      </c>
      <c r="S662" s="2">
        <v>-1.26</v>
      </c>
      <c r="T662" s="2">
        <v>12.69</v>
      </c>
      <c r="U662" s="2">
        <v>2.52</v>
      </c>
      <c r="V662" s="2">
        <v>18.96</v>
      </c>
      <c r="W662" s="2">
        <v>22.19</v>
      </c>
      <c r="X662" s="2">
        <v>0</v>
      </c>
      <c r="Y662" s="2">
        <v>4.0999999999999996</v>
      </c>
      <c r="Z662" s="2">
        <v>1.05</v>
      </c>
      <c r="AA662" s="2">
        <v>19.489999999999998</v>
      </c>
      <c r="AB662" s="2">
        <v>0</v>
      </c>
      <c r="AC662" s="2">
        <v>4.74</v>
      </c>
      <c r="AD662" s="2">
        <v>3.31</v>
      </c>
      <c r="AE662" s="2">
        <v>5.03</v>
      </c>
      <c r="AF662" s="2">
        <v>95.48</v>
      </c>
      <c r="AG662" s="2">
        <v>16.420000000000002</v>
      </c>
    </row>
    <row r="663" spans="1:33" x14ac:dyDescent="0.2">
      <c r="A663" s="3">
        <v>28094</v>
      </c>
      <c r="B663" s="2">
        <v>-6.68</v>
      </c>
      <c r="C663" s="2">
        <v>11.72</v>
      </c>
      <c r="D663" s="2">
        <v>-5.42</v>
      </c>
      <c r="E663" s="2">
        <v>-13.63</v>
      </c>
      <c r="F663" s="2">
        <v>-2.71</v>
      </c>
      <c r="G663" s="2">
        <v>8.81</v>
      </c>
      <c r="H663" s="2">
        <v>8.67</v>
      </c>
      <c r="I663" s="2">
        <v>34.92</v>
      </c>
      <c r="J663" s="2">
        <v>8.19</v>
      </c>
      <c r="K663" s="2">
        <v>-6.44</v>
      </c>
      <c r="L663" s="2">
        <v>2.52</v>
      </c>
      <c r="M663" s="2">
        <v>-0.81</v>
      </c>
      <c r="N663" s="2">
        <v>16.25</v>
      </c>
      <c r="O663" s="2">
        <v>15.94</v>
      </c>
      <c r="P663" s="2">
        <v>33.5</v>
      </c>
      <c r="Q663" s="2">
        <v>-0.67</v>
      </c>
      <c r="R663" s="2">
        <v>6.34</v>
      </c>
      <c r="S663" s="2">
        <v>-5.88</v>
      </c>
      <c r="T663" s="2">
        <v>15.1</v>
      </c>
      <c r="U663" s="2">
        <v>1.94</v>
      </c>
      <c r="V663" s="2">
        <v>13.96</v>
      </c>
      <c r="W663" s="2">
        <v>15.43</v>
      </c>
      <c r="X663" s="2">
        <v>0</v>
      </c>
      <c r="Y663" s="2">
        <v>1.46</v>
      </c>
      <c r="Z663" s="2">
        <v>0.81</v>
      </c>
      <c r="AA663" s="2">
        <v>3.87</v>
      </c>
      <c r="AB663" s="2">
        <v>0</v>
      </c>
      <c r="AC663" s="2">
        <v>2.44</v>
      </c>
      <c r="AD663" s="2">
        <v>2.02</v>
      </c>
      <c r="AE663" s="2">
        <v>8.67</v>
      </c>
      <c r="AF663" s="2">
        <v>62.65</v>
      </c>
      <c r="AG663" s="2">
        <v>12.92</v>
      </c>
    </row>
    <row r="664" spans="1:33" x14ac:dyDescent="0.2">
      <c r="A664" s="3">
        <v>28125</v>
      </c>
      <c r="B664" s="2">
        <v>-5.84</v>
      </c>
      <c r="C664" s="2">
        <v>10.58</v>
      </c>
      <c r="D664" s="2">
        <v>-5.22</v>
      </c>
      <c r="E664" s="2">
        <v>-8.51</v>
      </c>
      <c r="F664" s="2">
        <v>-3.02</v>
      </c>
      <c r="G664" s="2">
        <v>8.5500000000000007</v>
      </c>
      <c r="H664" s="2">
        <v>7.82</v>
      </c>
      <c r="I664" s="2">
        <v>33.74</v>
      </c>
      <c r="J664" s="2">
        <v>6.8</v>
      </c>
      <c r="K664" s="2">
        <v>3.69</v>
      </c>
      <c r="L664" s="2">
        <v>1.42</v>
      </c>
      <c r="M664" s="2">
        <v>-1.96</v>
      </c>
      <c r="N664" s="2">
        <v>21.71</v>
      </c>
      <c r="O664" s="2">
        <v>17.57</v>
      </c>
      <c r="P664" s="2">
        <v>38.86</v>
      </c>
      <c r="Q664" s="2">
        <v>-0.77</v>
      </c>
      <c r="R664" s="2">
        <v>6.37</v>
      </c>
      <c r="S664" s="2">
        <v>-6.81</v>
      </c>
      <c r="T664" s="2">
        <v>13.56</v>
      </c>
      <c r="U664" s="2">
        <v>2.25</v>
      </c>
      <c r="V664" s="2">
        <v>15.08</v>
      </c>
      <c r="W664" s="2">
        <v>11.73</v>
      </c>
      <c r="X664" s="2">
        <v>0</v>
      </c>
      <c r="Y664" s="2">
        <v>1.22</v>
      </c>
      <c r="Z664" s="2">
        <v>0.19</v>
      </c>
      <c r="AA664" s="2">
        <v>1.72</v>
      </c>
      <c r="AB664" s="2">
        <v>0.04</v>
      </c>
      <c r="AC664" s="2">
        <v>0.68</v>
      </c>
      <c r="AD664" s="2">
        <v>1.88</v>
      </c>
      <c r="AE664" s="2">
        <v>7.46</v>
      </c>
      <c r="AF664" s="2">
        <v>57.56</v>
      </c>
      <c r="AG664" s="2">
        <v>11.2</v>
      </c>
    </row>
    <row r="665" spans="1:33" x14ac:dyDescent="0.2">
      <c r="A665" s="3">
        <v>28156</v>
      </c>
      <c r="B665" s="2">
        <v>-3.66</v>
      </c>
      <c r="C665" s="2">
        <v>12.98</v>
      </c>
      <c r="D665" s="2">
        <v>4.6500000000000004</v>
      </c>
      <c r="E665" s="2">
        <v>22.98</v>
      </c>
      <c r="F665" s="2">
        <v>5.12</v>
      </c>
      <c r="G665" s="2">
        <v>16.47</v>
      </c>
      <c r="H665" s="2">
        <v>11.68</v>
      </c>
      <c r="I665" s="2">
        <v>34.799999999999997</v>
      </c>
      <c r="J665" s="2">
        <v>7.24</v>
      </c>
      <c r="K665" s="2">
        <v>4.41</v>
      </c>
      <c r="L665" s="2">
        <v>-1.41</v>
      </c>
      <c r="M665" s="2">
        <v>-0.94</v>
      </c>
      <c r="N665" s="2">
        <v>21.5</v>
      </c>
      <c r="O665" s="2">
        <v>10.5</v>
      </c>
      <c r="P665" s="2">
        <v>42.8</v>
      </c>
      <c r="Q665" s="2">
        <v>-1.68</v>
      </c>
      <c r="R665" s="2">
        <v>5.55</v>
      </c>
      <c r="S665" s="2">
        <v>-4.0199999999999996</v>
      </c>
      <c r="T665" s="2">
        <v>11.5</v>
      </c>
      <c r="U665" s="2">
        <v>2.46</v>
      </c>
      <c r="V665" s="2">
        <v>14.65</v>
      </c>
      <c r="W665" s="2">
        <v>4.26</v>
      </c>
      <c r="X665" s="2">
        <v>0</v>
      </c>
      <c r="Y665" s="2">
        <v>0</v>
      </c>
      <c r="Z665" s="2">
        <v>13.97</v>
      </c>
      <c r="AA665" s="2">
        <v>8.89</v>
      </c>
      <c r="AB665" s="2">
        <v>2.13</v>
      </c>
      <c r="AC665" s="2">
        <v>13.4</v>
      </c>
      <c r="AD665" s="2">
        <v>1.82</v>
      </c>
      <c r="AE665" s="2">
        <v>7.08</v>
      </c>
      <c r="AF665" s="2">
        <v>68.23</v>
      </c>
      <c r="AG665" s="2">
        <v>9.8800000000000008</v>
      </c>
    </row>
    <row r="666" spans="1:33" x14ac:dyDescent="0.2">
      <c r="A666" s="3">
        <v>28184</v>
      </c>
      <c r="B666" s="2">
        <v>-4.7300000000000004</v>
      </c>
      <c r="C666" s="2">
        <v>9.27</v>
      </c>
      <c r="D666" s="2">
        <v>-6.59</v>
      </c>
      <c r="E666" s="2">
        <v>-6.55</v>
      </c>
      <c r="F666" s="2">
        <v>-3.16</v>
      </c>
      <c r="G666" s="2">
        <v>7.41</v>
      </c>
      <c r="H666" s="2">
        <v>6.62</v>
      </c>
      <c r="I666" s="2">
        <v>33.82</v>
      </c>
      <c r="J666" s="2">
        <v>4.82</v>
      </c>
      <c r="K666" s="2">
        <v>-7.18</v>
      </c>
      <c r="L666" s="2">
        <v>-2.5099999999999998</v>
      </c>
      <c r="M666" s="2">
        <v>-4.26</v>
      </c>
      <c r="N666" s="2">
        <v>12.61</v>
      </c>
      <c r="O666" s="2">
        <v>14.63</v>
      </c>
      <c r="P666" s="2">
        <v>28.78</v>
      </c>
      <c r="Q666" s="2">
        <v>0.24</v>
      </c>
      <c r="R666" s="2">
        <v>5.93</v>
      </c>
      <c r="S666" s="2">
        <v>2.5</v>
      </c>
      <c r="T666" s="2">
        <v>17.260000000000002</v>
      </c>
      <c r="U666" s="2">
        <v>0.94</v>
      </c>
      <c r="V666" s="2">
        <v>11.27</v>
      </c>
      <c r="W666" s="2">
        <v>0</v>
      </c>
      <c r="X666" s="2">
        <v>0</v>
      </c>
      <c r="Y666" s="2">
        <v>0</v>
      </c>
      <c r="Z666" s="2">
        <v>0.1</v>
      </c>
      <c r="AA666" s="2">
        <v>0.43</v>
      </c>
      <c r="AB666" s="2">
        <v>1.51</v>
      </c>
      <c r="AC666" s="2">
        <v>0.27</v>
      </c>
      <c r="AD666" s="2">
        <v>2.0699999999999998</v>
      </c>
      <c r="AE666" s="2">
        <v>5.13</v>
      </c>
      <c r="AF666" s="2">
        <v>56.88</v>
      </c>
      <c r="AG666" s="2">
        <v>10.08</v>
      </c>
    </row>
    <row r="667" spans="1:33" x14ac:dyDescent="0.2">
      <c r="A667" s="3">
        <v>28215</v>
      </c>
      <c r="B667" s="2">
        <v>-3.86</v>
      </c>
      <c r="C667" s="2">
        <v>9.98</v>
      </c>
      <c r="D667" s="2">
        <v>-6.93</v>
      </c>
      <c r="E667" s="2">
        <v>-2.2000000000000002</v>
      </c>
      <c r="F667" s="2">
        <v>4.32</v>
      </c>
      <c r="G667" s="2">
        <v>18.66</v>
      </c>
      <c r="H667" s="2">
        <v>7.99</v>
      </c>
      <c r="I667" s="2">
        <v>30.68</v>
      </c>
      <c r="J667" s="2">
        <v>1.1399999999999999</v>
      </c>
      <c r="K667" s="2">
        <v>34.729999999999997</v>
      </c>
      <c r="L667" s="2">
        <v>8.56</v>
      </c>
      <c r="M667" s="2">
        <v>4.3899999999999997</v>
      </c>
      <c r="N667" s="2">
        <v>43.35</v>
      </c>
      <c r="O667" s="2">
        <v>16.079999999999998</v>
      </c>
      <c r="P667" s="2">
        <v>76.97</v>
      </c>
      <c r="Q667" s="2">
        <v>-6.27</v>
      </c>
      <c r="R667" s="2">
        <v>0.35</v>
      </c>
      <c r="S667" s="2">
        <v>16.59</v>
      </c>
      <c r="T667" s="2">
        <v>31.65</v>
      </c>
      <c r="U667" s="2">
        <v>-1.66</v>
      </c>
      <c r="V667" s="2">
        <v>14.46</v>
      </c>
      <c r="W667" s="2">
        <v>0</v>
      </c>
      <c r="X667" s="2">
        <v>0</v>
      </c>
      <c r="Y667" s="2">
        <v>0</v>
      </c>
      <c r="Z667" s="2">
        <v>1.91</v>
      </c>
      <c r="AA667" s="2">
        <v>1.29</v>
      </c>
      <c r="AB667" s="2">
        <v>0.27</v>
      </c>
      <c r="AC667" s="2">
        <v>6.77</v>
      </c>
      <c r="AD667" s="2">
        <v>3.6</v>
      </c>
      <c r="AE667" s="2">
        <v>17.899999999999999</v>
      </c>
      <c r="AF667" s="2">
        <v>67.12</v>
      </c>
      <c r="AG667" s="2">
        <v>10.69</v>
      </c>
    </row>
    <row r="668" spans="1:33" x14ac:dyDescent="0.2">
      <c r="A668" s="3">
        <v>28245</v>
      </c>
      <c r="B668" s="2">
        <v>-4.55</v>
      </c>
      <c r="C668" s="2">
        <v>11.95</v>
      </c>
      <c r="D668" s="2">
        <v>1.67</v>
      </c>
      <c r="E668" s="2">
        <v>8.81</v>
      </c>
      <c r="F668" s="2">
        <v>39.619999999999997</v>
      </c>
      <c r="G668" s="2">
        <v>15.81</v>
      </c>
      <c r="H668" s="2">
        <v>16.510000000000002</v>
      </c>
      <c r="I668" s="2">
        <v>25.13</v>
      </c>
      <c r="J668" s="2">
        <v>-3.79</v>
      </c>
      <c r="K668" s="2">
        <v>-5.17</v>
      </c>
      <c r="L668" s="2">
        <v>9.06</v>
      </c>
      <c r="M668" s="2">
        <v>1.64</v>
      </c>
      <c r="N668" s="2">
        <v>6.93</v>
      </c>
      <c r="O668" s="2">
        <v>10.69</v>
      </c>
      <c r="P668" s="2">
        <v>33.090000000000003</v>
      </c>
      <c r="Q668" s="2">
        <v>-0.36</v>
      </c>
      <c r="R668" s="2">
        <v>7.93</v>
      </c>
      <c r="S668" s="2">
        <v>22.1</v>
      </c>
      <c r="T668" s="2">
        <v>18.34</v>
      </c>
      <c r="U668" s="2">
        <v>11.14</v>
      </c>
      <c r="V668" s="2">
        <v>15.53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0.14000000000000001</v>
      </c>
      <c r="AD668" s="2">
        <v>4</v>
      </c>
      <c r="AE668" s="2">
        <v>0.28000000000000003</v>
      </c>
      <c r="AF668" s="2">
        <v>83.05</v>
      </c>
      <c r="AG668" s="2">
        <v>14.64</v>
      </c>
    </row>
    <row r="669" spans="1:33" x14ac:dyDescent="0.2">
      <c r="A669" s="3">
        <v>28276</v>
      </c>
      <c r="B669" s="2">
        <v>-2.79</v>
      </c>
      <c r="C669" s="2">
        <v>15.33</v>
      </c>
      <c r="D669" s="2">
        <v>-5.89</v>
      </c>
      <c r="E669" s="2">
        <v>12.49</v>
      </c>
      <c r="F669" s="2">
        <v>5.07</v>
      </c>
      <c r="G669" s="2">
        <v>28.12</v>
      </c>
      <c r="H669" s="2">
        <v>13.83</v>
      </c>
      <c r="I669" s="2">
        <v>23.19</v>
      </c>
      <c r="J669" s="2">
        <v>-8.2200000000000006</v>
      </c>
      <c r="K669" s="2">
        <v>9.93</v>
      </c>
      <c r="L669" s="2">
        <v>3.38</v>
      </c>
      <c r="M669" s="2">
        <v>-0.47</v>
      </c>
      <c r="N669" s="2">
        <v>29.46</v>
      </c>
      <c r="O669" s="2">
        <v>19.899999999999999</v>
      </c>
      <c r="P669" s="2">
        <v>52.94</v>
      </c>
      <c r="Q669" s="2">
        <v>-7.67</v>
      </c>
      <c r="R669" s="2">
        <v>0.31</v>
      </c>
      <c r="S669" s="2">
        <v>31.95</v>
      </c>
      <c r="T669" s="2">
        <v>24.46</v>
      </c>
      <c r="U669" s="2">
        <v>15.35</v>
      </c>
      <c r="V669" s="2">
        <v>21.61</v>
      </c>
      <c r="W669" s="2">
        <v>4.88</v>
      </c>
      <c r="X669" s="2">
        <v>0</v>
      </c>
      <c r="Y669" s="2">
        <v>0</v>
      </c>
      <c r="Z669" s="2">
        <v>7.94</v>
      </c>
      <c r="AA669" s="2">
        <v>1.1499999999999999</v>
      </c>
      <c r="AB669" s="2">
        <v>4.67</v>
      </c>
      <c r="AC669" s="2">
        <v>8.66</v>
      </c>
      <c r="AD669" s="2">
        <v>5.93</v>
      </c>
      <c r="AE669" s="2">
        <v>15.85</v>
      </c>
      <c r="AF669" s="2">
        <v>93.8</v>
      </c>
      <c r="AG669" s="2">
        <v>17.690000000000001</v>
      </c>
    </row>
    <row r="670" spans="1:33" x14ac:dyDescent="0.2">
      <c r="A670" s="3">
        <v>28306</v>
      </c>
      <c r="B670" s="2">
        <v>-5.32</v>
      </c>
      <c r="C670" s="2">
        <v>13.8</v>
      </c>
      <c r="D670" s="2">
        <v>-10.029999999999999</v>
      </c>
      <c r="E670" s="2">
        <v>8.56</v>
      </c>
      <c r="F670" s="2">
        <v>23.23</v>
      </c>
      <c r="G670" s="2">
        <v>28.79</v>
      </c>
      <c r="H670" s="2">
        <v>15.95</v>
      </c>
      <c r="I670" s="2">
        <v>27.68</v>
      </c>
      <c r="J670" s="2">
        <v>-12.58</v>
      </c>
      <c r="K670" s="2">
        <v>41.3</v>
      </c>
      <c r="L670" s="2">
        <v>10.27</v>
      </c>
      <c r="M670" s="2">
        <v>6.94</v>
      </c>
      <c r="N670" s="2">
        <v>47.88</v>
      </c>
      <c r="O670" s="2">
        <v>39.46</v>
      </c>
      <c r="P670" s="2">
        <v>101.94</v>
      </c>
      <c r="Q670" s="2">
        <v>-10.85</v>
      </c>
      <c r="R670" s="2">
        <v>5.14</v>
      </c>
      <c r="S670" s="2">
        <v>79.94</v>
      </c>
      <c r="T670" s="2">
        <v>61.78</v>
      </c>
      <c r="U670" s="2">
        <v>19.02</v>
      </c>
      <c r="V670" s="2">
        <v>45.45</v>
      </c>
      <c r="W670" s="2">
        <v>18.62</v>
      </c>
      <c r="X670" s="2">
        <v>0</v>
      </c>
      <c r="Y670" s="2">
        <v>0</v>
      </c>
      <c r="Z670" s="2">
        <v>1.2</v>
      </c>
      <c r="AA670" s="2">
        <v>0.43</v>
      </c>
      <c r="AB670" s="2">
        <v>3.02</v>
      </c>
      <c r="AC670" s="2">
        <v>0</v>
      </c>
      <c r="AD670" s="2">
        <v>5.5</v>
      </c>
      <c r="AE670" s="2">
        <v>0.09</v>
      </c>
      <c r="AF670" s="2">
        <v>102.65</v>
      </c>
      <c r="AG670" s="2">
        <v>22.83</v>
      </c>
    </row>
    <row r="671" spans="1:33" x14ac:dyDescent="0.2">
      <c r="A671" s="3">
        <v>28337</v>
      </c>
      <c r="B671" s="2">
        <v>-5.05</v>
      </c>
      <c r="C671" s="2">
        <v>15.99</v>
      </c>
      <c r="D671" s="2">
        <v>-4.07</v>
      </c>
      <c r="E671" s="2">
        <v>28.91</v>
      </c>
      <c r="F671" s="2">
        <v>26.74</v>
      </c>
      <c r="G671" s="2">
        <v>42.53</v>
      </c>
      <c r="H671" s="2">
        <v>21.99</v>
      </c>
      <c r="I671" s="2">
        <v>29.56</v>
      </c>
      <c r="J671" s="2">
        <v>-13.01</v>
      </c>
      <c r="K671" s="2">
        <v>33.29</v>
      </c>
      <c r="L671" s="2">
        <v>14.55</v>
      </c>
      <c r="M671" s="2">
        <v>11.08</v>
      </c>
      <c r="N671" s="2">
        <v>49.98</v>
      </c>
      <c r="O671" s="2">
        <v>77.099999999999994</v>
      </c>
      <c r="P671" s="2">
        <v>156.58000000000001</v>
      </c>
      <c r="Q671" s="2">
        <v>-6.94</v>
      </c>
      <c r="R671" s="2">
        <v>8.85</v>
      </c>
      <c r="S671" s="2">
        <v>112.37</v>
      </c>
      <c r="T671" s="2">
        <v>56.2</v>
      </c>
      <c r="U671" s="2">
        <v>26.51</v>
      </c>
      <c r="V671" s="2">
        <v>54.18</v>
      </c>
      <c r="W671" s="2">
        <v>30.39</v>
      </c>
      <c r="X671" s="2">
        <v>0</v>
      </c>
      <c r="Y671" s="2">
        <v>3.8</v>
      </c>
      <c r="Z671" s="2">
        <v>0</v>
      </c>
      <c r="AA671" s="2">
        <v>0</v>
      </c>
      <c r="AB671" s="2">
        <v>0.57999999999999996</v>
      </c>
      <c r="AC671" s="2">
        <v>0</v>
      </c>
      <c r="AD671" s="2">
        <v>5.55</v>
      </c>
      <c r="AE671" s="2">
        <v>0.75</v>
      </c>
      <c r="AF671" s="2">
        <v>111.79</v>
      </c>
      <c r="AG671" s="2">
        <v>24.8</v>
      </c>
    </row>
    <row r="672" spans="1:33" x14ac:dyDescent="0.2">
      <c r="A672" s="3">
        <v>28368</v>
      </c>
      <c r="B672" s="2">
        <v>-6.89</v>
      </c>
      <c r="C672" s="2">
        <v>14.58</v>
      </c>
      <c r="D672" s="2">
        <v>-5.45</v>
      </c>
      <c r="E672" s="2">
        <v>5.87</v>
      </c>
      <c r="F672" s="2">
        <v>19.84</v>
      </c>
      <c r="G672" s="2">
        <v>32.28</v>
      </c>
      <c r="H672" s="2">
        <v>16.05</v>
      </c>
      <c r="I672" s="2">
        <v>26.17</v>
      </c>
      <c r="J672" s="2">
        <v>-6.69</v>
      </c>
      <c r="K672" s="2">
        <v>22.15</v>
      </c>
      <c r="L672" s="2">
        <v>14.66</v>
      </c>
      <c r="M672" s="2">
        <v>10.17</v>
      </c>
      <c r="N672" s="2">
        <v>44.6</v>
      </c>
      <c r="O672" s="2">
        <v>100.1</v>
      </c>
      <c r="P672" s="2">
        <v>119.8</v>
      </c>
      <c r="Q672" s="2">
        <v>-3.96</v>
      </c>
      <c r="R672" s="2">
        <v>2.41</v>
      </c>
      <c r="S672" s="2">
        <v>80.05</v>
      </c>
      <c r="T672" s="2">
        <v>52.33</v>
      </c>
      <c r="U672" s="2">
        <v>19.100000000000001</v>
      </c>
      <c r="V672" s="2">
        <v>50.39</v>
      </c>
      <c r="W672" s="2">
        <v>31.47</v>
      </c>
      <c r="X672" s="2">
        <v>0</v>
      </c>
      <c r="Y672" s="2">
        <v>6</v>
      </c>
      <c r="Z672" s="2">
        <v>5.98</v>
      </c>
      <c r="AA672" s="2">
        <v>55.49</v>
      </c>
      <c r="AB672" s="2">
        <v>2.4500000000000002</v>
      </c>
      <c r="AC672" s="2">
        <v>21.93</v>
      </c>
      <c r="AD672" s="2">
        <v>4.82</v>
      </c>
      <c r="AE672" s="2">
        <v>0</v>
      </c>
      <c r="AF672" s="2">
        <v>113.69</v>
      </c>
      <c r="AG672" s="2">
        <v>23.65</v>
      </c>
    </row>
    <row r="673" spans="1:33" x14ac:dyDescent="0.2">
      <c r="A673" s="3">
        <v>28398</v>
      </c>
      <c r="B673" s="2">
        <v>-7.61</v>
      </c>
      <c r="C673" s="2">
        <v>15.66</v>
      </c>
      <c r="D673" s="2">
        <v>-7.83</v>
      </c>
      <c r="E673" s="2">
        <v>-10.75</v>
      </c>
      <c r="F673" s="2">
        <v>9.1999999999999993</v>
      </c>
      <c r="G673" s="2">
        <v>12.6</v>
      </c>
      <c r="H673" s="2">
        <v>16.52</v>
      </c>
      <c r="I673" s="2">
        <v>32.9</v>
      </c>
      <c r="J673" s="2">
        <v>6.57</v>
      </c>
      <c r="K673" s="2">
        <v>-8.34</v>
      </c>
      <c r="L673" s="2">
        <v>11.79</v>
      </c>
      <c r="M673" s="2">
        <v>7.29</v>
      </c>
      <c r="N673" s="2">
        <v>31.23</v>
      </c>
      <c r="O673" s="2">
        <v>16.64</v>
      </c>
      <c r="P673" s="2">
        <v>28.57</v>
      </c>
      <c r="Q673" s="2">
        <v>0.15</v>
      </c>
      <c r="R673" s="2">
        <v>11.84</v>
      </c>
      <c r="S673" s="2">
        <v>-2.2799999999999998</v>
      </c>
      <c r="T673" s="2">
        <v>12.26</v>
      </c>
      <c r="U673" s="2">
        <v>2.52</v>
      </c>
      <c r="V673" s="2">
        <v>14.42</v>
      </c>
      <c r="W673" s="2">
        <v>26.1</v>
      </c>
      <c r="X673" s="2">
        <v>0</v>
      </c>
      <c r="Y673" s="2">
        <v>5.76</v>
      </c>
      <c r="Z673" s="2">
        <v>0</v>
      </c>
      <c r="AA673" s="2">
        <v>2.44</v>
      </c>
      <c r="AB673" s="2">
        <v>0</v>
      </c>
      <c r="AC673" s="2">
        <v>0</v>
      </c>
      <c r="AD673" s="2">
        <v>4.78</v>
      </c>
      <c r="AE673" s="2">
        <v>5.41</v>
      </c>
      <c r="AF673" s="2">
        <v>105.89</v>
      </c>
      <c r="AG673" s="2">
        <v>20.170000000000002</v>
      </c>
    </row>
    <row r="674" spans="1:33" x14ac:dyDescent="0.2">
      <c r="A674" s="3">
        <v>28429</v>
      </c>
      <c r="B674" s="2">
        <v>-8.19</v>
      </c>
      <c r="C674" s="2">
        <v>13.01</v>
      </c>
      <c r="D674" s="2">
        <v>-9.89</v>
      </c>
      <c r="E674" s="2">
        <v>-18.98</v>
      </c>
      <c r="F674" s="2">
        <v>5.1100000000000003</v>
      </c>
      <c r="G674" s="2">
        <v>6.96</v>
      </c>
      <c r="H674" s="2">
        <v>11.23</v>
      </c>
      <c r="I674" s="2">
        <v>28.38</v>
      </c>
      <c r="J674" s="2">
        <v>3.07</v>
      </c>
      <c r="K674" s="2">
        <v>-4.55</v>
      </c>
      <c r="L674" s="2">
        <v>6.1</v>
      </c>
      <c r="M674" s="2">
        <v>3.82</v>
      </c>
      <c r="N674" s="2">
        <v>24.4</v>
      </c>
      <c r="O674" s="2">
        <v>16.079999999999998</v>
      </c>
      <c r="P674" s="2">
        <v>76.95</v>
      </c>
      <c r="Q674" s="2">
        <v>-5.27</v>
      </c>
      <c r="R674" s="2">
        <v>2.4500000000000002</v>
      </c>
      <c r="S674" s="2">
        <v>-3.25</v>
      </c>
      <c r="T674" s="2">
        <v>23.57</v>
      </c>
      <c r="U674" s="2">
        <v>-7.41</v>
      </c>
      <c r="V674" s="2">
        <v>25.01</v>
      </c>
      <c r="W674" s="2">
        <v>22.19</v>
      </c>
      <c r="X674" s="2">
        <v>0</v>
      </c>
      <c r="Y674" s="2">
        <v>5.57</v>
      </c>
      <c r="Z674" s="2">
        <v>0.14000000000000001</v>
      </c>
      <c r="AA674" s="2">
        <v>1.58</v>
      </c>
      <c r="AB674" s="2">
        <v>0.17</v>
      </c>
      <c r="AC674" s="2">
        <v>0</v>
      </c>
      <c r="AD674" s="2">
        <v>5.87</v>
      </c>
      <c r="AE674" s="2">
        <v>1.96</v>
      </c>
      <c r="AF674" s="2">
        <v>96.05</v>
      </c>
      <c r="AG674" s="2">
        <v>16.420000000000002</v>
      </c>
    </row>
    <row r="675" spans="1:33" x14ac:dyDescent="0.2">
      <c r="A675" s="3">
        <v>28459</v>
      </c>
      <c r="B675" s="2">
        <v>-5.99</v>
      </c>
      <c r="C675" s="2">
        <v>14.61</v>
      </c>
      <c r="D675" s="2">
        <v>0.96</v>
      </c>
      <c r="E675" s="2">
        <v>13.06</v>
      </c>
      <c r="F675" s="2">
        <v>15.17</v>
      </c>
      <c r="G675" s="2">
        <v>29.35</v>
      </c>
      <c r="H675" s="2">
        <v>15.2</v>
      </c>
      <c r="I675" s="2">
        <v>32.520000000000003</v>
      </c>
      <c r="J675" s="2">
        <v>14.27</v>
      </c>
      <c r="K675" s="2">
        <v>-0.41</v>
      </c>
      <c r="L675" s="2">
        <v>3.8</v>
      </c>
      <c r="M675" s="2">
        <v>6.9</v>
      </c>
      <c r="N675" s="2">
        <v>19.28</v>
      </c>
      <c r="O675" s="2">
        <v>14.67</v>
      </c>
      <c r="P675" s="2">
        <v>31.71</v>
      </c>
      <c r="Q675" s="2">
        <v>-1.37</v>
      </c>
      <c r="R675" s="2">
        <v>5.38</v>
      </c>
      <c r="S675" s="2">
        <v>-5.37</v>
      </c>
      <c r="T675" s="2">
        <v>12.78</v>
      </c>
      <c r="U675" s="2">
        <v>-0.46</v>
      </c>
      <c r="V675" s="2">
        <v>12.95</v>
      </c>
      <c r="W675" s="2">
        <v>15.43</v>
      </c>
      <c r="X675" s="2">
        <v>0</v>
      </c>
      <c r="Y675" s="2">
        <v>2.46</v>
      </c>
      <c r="Z675" s="2">
        <v>15.41</v>
      </c>
      <c r="AA675" s="2">
        <v>0</v>
      </c>
      <c r="AB675" s="2">
        <v>0</v>
      </c>
      <c r="AC675" s="2">
        <v>0.41</v>
      </c>
      <c r="AD675" s="2">
        <v>3.57</v>
      </c>
      <c r="AE675" s="2">
        <v>7.27</v>
      </c>
      <c r="AF675" s="2">
        <v>63.02</v>
      </c>
      <c r="AG675" s="2">
        <v>12.92</v>
      </c>
    </row>
    <row r="676" spans="1:33" x14ac:dyDescent="0.2">
      <c r="A676" s="3">
        <v>28490</v>
      </c>
      <c r="B676" s="2">
        <v>-4.2699999999999996</v>
      </c>
      <c r="C676" s="2">
        <v>23.79</v>
      </c>
      <c r="D676" s="2">
        <v>25.75</v>
      </c>
      <c r="E676" s="2">
        <v>61.14</v>
      </c>
      <c r="F676" s="2">
        <v>33.68</v>
      </c>
      <c r="G676" s="2">
        <v>52.79</v>
      </c>
      <c r="H676" s="2">
        <v>20.079999999999998</v>
      </c>
      <c r="I676" s="2">
        <v>36.520000000000003</v>
      </c>
      <c r="J676" s="2">
        <v>28.35</v>
      </c>
      <c r="K676" s="2">
        <v>30.03</v>
      </c>
      <c r="L676" s="2">
        <v>15.12</v>
      </c>
      <c r="M676" s="2">
        <v>19.940000000000001</v>
      </c>
      <c r="N676" s="2">
        <v>40.28</v>
      </c>
      <c r="O676" s="2">
        <v>15.26</v>
      </c>
      <c r="P676" s="2">
        <v>106.84</v>
      </c>
      <c r="Q676" s="2">
        <v>-3.89</v>
      </c>
      <c r="R676" s="2">
        <v>5.87</v>
      </c>
      <c r="S676" s="2">
        <v>49.63</v>
      </c>
      <c r="T676" s="2">
        <v>39.72</v>
      </c>
      <c r="U676" s="2">
        <v>0.01</v>
      </c>
      <c r="V676" s="2">
        <v>18.809999999999999</v>
      </c>
      <c r="W676" s="2">
        <v>11.73</v>
      </c>
      <c r="X676" s="2">
        <v>0</v>
      </c>
      <c r="Y676" s="2">
        <v>2.14</v>
      </c>
      <c r="Z676" s="2">
        <v>0</v>
      </c>
      <c r="AA676" s="2">
        <v>12.19</v>
      </c>
      <c r="AB676" s="2">
        <v>6.2</v>
      </c>
      <c r="AC676" s="2">
        <v>26.26</v>
      </c>
      <c r="AD676" s="2">
        <v>3.16</v>
      </c>
      <c r="AE676" s="2">
        <v>21.81</v>
      </c>
      <c r="AF676" s="2">
        <v>57.9</v>
      </c>
      <c r="AG676" s="2">
        <v>11.2</v>
      </c>
    </row>
    <row r="677" spans="1:33" x14ac:dyDescent="0.2">
      <c r="A677" s="3">
        <v>28521</v>
      </c>
      <c r="B677" s="2">
        <v>-0.38</v>
      </c>
      <c r="C677" s="2">
        <v>43.56</v>
      </c>
      <c r="D677" s="2">
        <v>87.96</v>
      </c>
      <c r="E677" s="2">
        <v>221.67</v>
      </c>
      <c r="F677" s="2">
        <v>145.66999999999999</v>
      </c>
      <c r="G677" s="2">
        <v>267.91000000000003</v>
      </c>
      <c r="H677" s="2">
        <v>36.92</v>
      </c>
      <c r="I677" s="2">
        <v>43.74</v>
      </c>
      <c r="J677" s="2">
        <v>86.07</v>
      </c>
      <c r="K677" s="2">
        <v>47.73</v>
      </c>
      <c r="L677" s="2">
        <v>50.39</v>
      </c>
      <c r="M677" s="2">
        <v>33.78</v>
      </c>
      <c r="N677" s="2">
        <v>48.92</v>
      </c>
      <c r="O677" s="2">
        <v>13.16</v>
      </c>
      <c r="P677" s="2">
        <v>71.81</v>
      </c>
      <c r="Q677" s="2">
        <v>-3.41</v>
      </c>
      <c r="R677" s="2">
        <v>9.0500000000000007</v>
      </c>
      <c r="S677" s="2">
        <v>42.37</v>
      </c>
      <c r="T677" s="2">
        <v>10.15</v>
      </c>
      <c r="U677" s="2">
        <v>1.8</v>
      </c>
      <c r="V677" s="2">
        <v>28.24</v>
      </c>
      <c r="W677" s="2">
        <v>4.26</v>
      </c>
      <c r="X677" s="2">
        <v>7.83</v>
      </c>
      <c r="Y677" s="2">
        <v>12.68</v>
      </c>
      <c r="Z677" s="2">
        <v>10.91</v>
      </c>
      <c r="AA677" s="2">
        <v>49.18</v>
      </c>
      <c r="AB677" s="2">
        <v>5.58</v>
      </c>
      <c r="AC677" s="2">
        <v>23.56</v>
      </c>
      <c r="AD677" s="2">
        <v>3.09</v>
      </c>
      <c r="AE677" s="2">
        <v>65.91</v>
      </c>
      <c r="AF677" s="2">
        <v>61.41</v>
      </c>
      <c r="AG677" s="2">
        <v>9.8800000000000008</v>
      </c>
    </row>
    <row r="678" spans="1:33" x14ac:dyDescent="0.2">
      <c r="A678" s="3">
        <v>28549</v>
      </c>
      <c r="B678" s="2">
        <v>3.96</v>
      </c>
      <c r="C678" s="2">
        <v>38.450000000000003</v>
      </c>
      <c r="D678" s="2">
        <v>19.03</v>
      </c>
      <c r="E678" s="2">
        <v>8.2899999999999991</v>
      </c>
      <c r="F678" s="2">
        <v>10.39</v>
      </c>
      <c r="G678" s="2">
        <v>89.97</v>
      </c>
      <c r="H678" s="2">
        <v>15.59</v>
      </c>
      <c r="I678" s="2">
        <v>38.049999999999997</v>
      </c>
      <c r="J678" s="2">
        <v>40.520000000000003</v>
      </c>
      <c r="K678" s="2">
        <v>64.760000000000005</v>
      </c>
      <c r="L678" s="2">
        <v>57.7</v>
      </c>
      <c r="M678" s="2">
        <v>28.18</v>
      </c>
      <c r="N678" s="2">
        <v>90.06</v>
      </c>
      <c r="O678" s="2">
        <v>15.22</v>
      </c>
      <c r="P678" s="2">
        <v>205.54</v>
      </c>
      <c r="Q678" s="2">
        <v>2.59</v>
      </c>
      <c r="R678" s="2">
        <v>14.57</v>
      </c>
      <c r="S678" s="2">
        <v>120.7</v>
      </c>
      <c r="T678" s="2">
        <v>152.25</v>
      </c>
      <c r="U678" s="2">
        <v>5.34</v>
      </c>
      <c r="V678" s="2">
        <v>79.62</v>
      </c>
      <c r="W678" s="2">
        <v>0</v>
      </c>
      <c r="X678" s="2">
        <v>6.67</v>
      </c>
      <c r="Y678" s="2">
        <v>6.98</v>
      </c>
      <c r="Z678" s="2">
        <v>16.89</v>
      </c>
      <c r="AA678" s="2">
        <v>5.3</v>
      </c>
      <c r="AB678" s="2">
        <v>6.75</v>
      </c>
      <c r="AC678" s="2">
        <v>26.94</v>
      </c>
      <c r="AD678" s="2">
        <v>3.19</v>
      </c>
      <c r="AE678" s="2">
        <v>27.5</v>
      </c>
      <c r="AF678" s="2">
        <v>51.19</v>
      </c>
      <c r="AG678" s="2">
        <v>10.08</v>
      </c>
    </row>
    <row r="679" spans="1:33" x14ac:dyDescent="0.2">
      <c r="A679" s="3">
        <v>28580</v>
      </c>
      <c r="B679" s="2">
        <v>12.49</v>
      </c>
      <c r="C679" s="2">
        <v>46.72</v>
      </c>
      <c r="D679" s="2">
        <v>17.78</v>
      </c>
      <c r="E679" s="2">
        <v>87.13</v>
      </c>
      <c r="F679" s="2">
        <v>128.46</v>
      </c>
      <c r="G679" s="2">
        <v>89.26</v>
      </c>
      <c r="H679" s="2">
        <v>28.81</v>
      </c>
      <c r="I679" s="2">
        <v>49.21</v>
      </c>
      <c r="J679" s="2">
        <v>67.599999999999994</v>
      </c>
      <c r="K679" s="2">
        <v>66.03</v>
      </c>
      <c r="L679" s="2">
        <v>60.62</v>
      </c>
      <c r="M679" s="2">
        <v>38.36</v>
      </c>
      <c r="N679" s="2">
        <v>99.31</v>
      </c>
      <c r="O679" s="2">
        <v>20.34</v>
      </c>
      <c r="P679" s="2">
        <v>233.21</v>
      </c>
      <c r="Q679" s="2">
        <v>11</v>
      </c>
      <c r="R679" s="2">
        <v>9.86</v>
      </c>
      <c r="S679" s="2">
        <v>128.97999999999999</v>
      </c>
      <c r="T679" s="2">
        <v>68.34</v>
      </c>
      <c r="U679" s="2">
        <v>5.63</v>
      </c>
      <c r="V679" s="2">
        <v>39.89</v>
      </c>
      <c r="W679" s="2">
        <v>0</v>
      </c>
      <c r="X679" s="2">
        <v>8.17</v>
      </c>
      <c r="Y679" s="2">
        <v>7.37</v>
      </c>
      <c r="Z679" s="2">
        <v>17.47</v>
      </c>
      <c r="AA679" s="2">
        <v>23.23</v>
      </c>
      <c r="AB679" s="2">
        <v>4.51</v>
      </c>
      <c r="AC679" s="2">
        <v>29.78</v>
      </c>
      <c r="AD679" s="2">
        <v>5.04</v>
      </c>
      <c r="AE679" s="2">
        <v>42.42</v>
      </c>
      <c r="AF679" s="2">
        <v>60.41</v>
      </c>
      <c r="AG679" s="2">
        <v>10.69</v>
      </c>
    </row>
    <row r="680" spans="1:33" x14ac:dyDescent="0.2">
      <c r="A680" s="3">
        <v>28610</v>
      </c>
      <c r="B680" s="2">
        <v>8.34</v>
      </c>
      <c r="C680" s="2">
        <v>35.229999999999997</v>
      </c>
      <c r="D680" s="2">
        <v>-12.81</v>
      </c>
      <c r="E680" s="2">
        <v>-53.95</v>
      </c>
      <c r="F680" s="2">
        <v>-39.81</v>
      </c>
      <c r="G680" s="2">
        <v>-44.32</v>
      </c>
      <c r="H680" s="2">
        <v>15.99</v>
      </c>
      <c r="I680" s="2">
        <v>48.18</v>
      </c>
      <c r="J680" s="2">
        <v>22.98</v>
      </c>
      <c r="K680" s="2">
        <v>14.66</v>
      </c>
      <c r="L680" s="2">
        <v>38.950000000000003</v>
      </c>
      <c r="M680" s="2">
        <v>32.19</v>
      </c>
      <c r="N680" s="2">
        <v>107.85</v>
      </c>
      <c r="O680" s="2">
        <v>22.49</v>
      </c>
      <c r="P680" s="2">
        <v>147.57</v>
      </c>
      <c r="Q680" s="2">
        <v>22.08</v>
      </c>
      <c r="R680" s="2">
        <v>28.09</v>
      </c>
      <c r="S680" s="2">
        <v>56.49</v>
      </c>
      <c r="T680" s="2">
        <v>58.44</v>
      </c>
      <c r="U680" s="2">
        <v>10.41</v>
      </c>
      <c r="V680" s="2">
        <v>44.37</v>
      </c>
      <c r="W680" s="2">
        <v>0</v>
      </c>
      <c r="X680" s="2">
        <v>10.01</v>
      </c>
      <c r="Y680" s="2">
        <v>9.57</v>
      </c>
      <c r="Z680" s="2">
        <v>5.26</v>
      </c>
      <c r="AA680" s="2">
        <v>1</v>
      </c>
      <c r="AB680" s="2">
        <v>0.24</v>
      </c>
      <c r="AC680" s="2">
        <v>5.69</v>
      </c>
      <c r="AD680" s="2">
        <v>6.09</v>
      </c>
      <c r="AE680" s="2">
        <v>30.76</v>
      </c>
      <c r="AF680" s="2">
        <v>74.75</v>
      </c>
      <c r="AG680" s="2">
        <v>14.64</v>
      </c>
    </row>
    <row r="681" spans="1:33" x14ac:dyDescent="0.2">
      <c r="A681" s="3">
        <v>28641</v>
      </c>
      <c r="B681" s="2">
        <v>3.98</v>
      </c>
      <c r="C681" s="2">
        <v>35.49</v>
      </c>
      <c r="D681" s="2">
        <v>-24.36</v>
      </c>
      <c r="E681" s="2">
        <v>-75.760000000000005</v>
      </c>
      <c r="F681" s="2">
        <v>-38.44</v>
      </c>
      <c r="G681" s="2">
        <v>-39.15</v>
      </c>
      <c r="H681" s="2">
        <v>-2.27</v>
      </c>
      <c r="I681" s="2">
        <v>40.369999999999997</v>
      </c>
      <c r="J681" s="2">
        <v>-9.98</v>
      </c>
      <c r="K681" s="2">
        <v>-27.88</v>
      </c>
      <c r="L681" s="2">
        <v>42.23</v>
      </c>
      <c r="M681" s="2">
        <v>26.13</v>
      </c>
      <c r="N681" s="2">
        <v>53.44</v>
      </c>
      <c r="O681" s="2">
        <v>25.69</v>
      </c>
      <c r="P681" s="2">
        <v>154.71</v>
      </c>
      <c r="Q681" s="2">
        <v>26.16</v>
      </c>
      <c r="R681" s="2">
        <v>43.41</v>
      </c>
      <c r="S681" s="2">
        <v>50.49</v>
      </c>
      <c r="T681" s="2">
        <v>150.34</v>
      </c>
      <c r="U681" s="2">
        <v>8.34</v>
      </c>
      <c r="V681" s="2">
        <v>59.13</v>
      </c>
      <c r="W681" s="2">
        <v>4.88</v>
      </c>
      <c r="X681" s="2">
        <v>13.67</v>
      </c>
      <c r="Y681" s="2">
        <v>12.55</v>
      </c>
      <c r="Z681" s="2">
        <v>0</v>
      </c>
      <c r="AA681" s="2">
        <v>0</v>
      </c>
      <c r="AB681" s="2">
        <v>0.17</v>
      </c>
      <c r="AC681" s="2">
        <v>1.08</v>
      </c>
      <c r="AD681" s="2">
        <v>6.61</v>
      </c>
      <c r="AE681" s="2">
        <v>0</v>
      </c>
      <c r="AF681" s="2">
        <v>84.42</v>
      </c>
      <c r="AG681" s="2">
        <v>17.690000000000001</v>
      </c>
    </row>
    <row r="682" spans="1:33" x14ac:dyDescent="0.2">
      <c r="A682" s="3">
        <v>28671</v>
      </c>
      <c r="B682" s="2">
        <v>1.47</v>
      </c>
      <c r="C682" s="2">
        <v>30.9</v>
      </c>
      <c r="D682" s="2">
        <v>-19.34</v>
      </c>
      <c r="E682" s="2">
        <v>-67.19</v>
      </c>
      <c r="F682" s="2">
        <v>-20.57</v>
      </c>
      <c r="G682" s="2">
        <v>-27.43</v>
      </c>
      <c r="H682" s="2">
        <v>0.76</v>
      </c>
      <c r="I682" s="2">
        <v>32.83</v>
      </c>
      <c r="J682" s="2">
        <v>-34.72</v>
      </c>
      <c r="K682" s="2">
        <v>-31.63</v>
      </c>
      <c r="L682" s="2">
        <v>-16.39</v>
      </c>
      <c r="M682" s="2">
        <v>-9.44</v>
      </c>
      <c r="N682" s="2">
        <v>24.09</v>
      </c>
      <c r="O682" s="2">
        <v>45.41</v>
      </c>
      <c r="P682" s="2">
        <v>94.01</v>
      </c>
      <c r="Q682" s="2">
        <v>21.56</v>
      </c>
      <c r="R682" s="2">
        <v>35.68</v>
      </c>
      <c r="S682" s="2">
        <v>32.89</v>
      </c>
      <c r="T682" s="2">
        <v>152.15</v>
      </c>
      <c r="U682" s="2">
        <v>6.58</v>
      </c>
      <c r="V682" s="2">
        <v>55.96</v>
      </c>
      <c r="W682" s="2">
        <v>18.62</v>
      </c>
      <c r="X682" s="2">
        <v>19.54</v>
      </c>
      <c r="Y682" s="2">
        <v>19.18</v>
      </c>
      <c r="Z682" s="2">
        <v>0</v>
      </c>
      <c r="AA682" s="2">
        <v>0</v>
      </c>
      <c r="AB682" s="2">
        <v>0</v>
      </c>
      <c r="AC682" s="2">
        <v>0</v>
      </c>
      <c r="AD682" s="2">
        <v>10.49</v>
      </c>
      <c r="AE682" s="2">
        <v>0</v>
      </c>
      <c r="AF682" s="2">
        <v>92.39</v>
      </c>
      <c r="AG682" s="2">
        <v>22.83</v>
      </c>
    </row>
    <row r="683" spans="1:33" x14ac:dyDescent="0.2">
      <c r="A683" s="3">
        <v>28702</v>
      </c>
      <c r="B683" s="2">
        <v>2.08</v>
      </c>
      <c r="C683" s="2">
        <v>32.68</v>
      </c>
      <c r="D683" s="2">
        <v>-13.76</v>
      </c>
      <c r="E683" s="2">
        <v>-23.25</v>
      </c>
      <c r="F683" s="2">
        <v>12.64</v>
      </c>
      <c r="G683" s="2">
        <v>11.19</v>
      </c>
      <c r="H683" s="2">
        <v>13.94</v>
      </c>
      <c r="I683" s="2">
        <v>37.85</v>
      </c>
      <c r="J683" s="2">
        <v>-44.81</v>
      </c>
      <c r="K683" s="2">
        <v>-38.51</v>
      </c>
      <c r="L683" s="2">
        <v>-29.91</v>
      </c>
      <c r="M683" s="2">
        <v>-7.33</v>
      </c>
      <c r="N683" s="2">
        <v>25.35</v>
      </c>
      <c r="O683" s="2">
        <v>48.51</v>
      </c>
      <c r="P683" s="2">
        <v>107.85</v>
      </c>
      <c r="Q683" s="2">
        <v>18.059999999999999</v>
      </c>
      <c r="R683" s="2">
        <v>37.799999999999997</v>
      </c>
      <c r="S683" s="2">
        <v>41.15</v>
      </c>
      <c r="T683" s="2">
        <v>97.94</v>
      </c>
      <c r="U683" s="2">
        <v>15.07</v>
      </c>
      <c r="V683" s="2">
        <v>56.07</v>
      </c>
      <c r="W683" s="2">
        <v>30.39</v>
      </c>
      <c r="X683" s="2">
        <v>25.31</v>
      </c>
      <c r="Y683" s="2">
        <v>25.29</v>
      </c>
      <c r="Z683" s="2">
        <v>0</v>
      </c>
      <c r="AA683" s="2">
        <v>0</v>
      </c>
      <c r="AB683" s="2">
        <v>0.76</v>
      </c>
      <c r="AC683" s="2">
        <v>0</v>
      </c>
      <c r="AD683" s="2">
        <v>7.81</v>
      </c>
      <c r="AE683" s="2">
        <v>0</v>
      </c>
      <c r="AF683" s="2">
        <v>100.62</v>
      </c>
      <c r="AG683" s="2">
        <v>24.8</v>
      </c>
    </row>
    <row r="684" spans="1:33" x14ac:dyDescent="0.2">
      <c r="A684" s="3">
        <v>28733</v>
      </c>
      <c r="B684" s="2">
        <v>0.83</v>
      </c>
      <c r="C684" s="2">
        <v>32.32</v>
      </c>
      <c r="D684" s="2">
        <v>-9.14</v>
      </c>
      <c r="E684" s="2">
        <v>-20.71</v>
      </c>
      <c r="F684" s="2">
        <v>2.58</v>
      </c>
      <c r="G684" s="2">
        <v>22.45</v>
      </c>
      <c r="H684" s="2">
        <v>15.02</v>
      </c>
      <c r="I684" s="2">
        <v>45.27</v>
      </c>
      <c r="J684" s="2">
        <v>-13.58</v>
      </c>
      <c r="K684" s="2">
        <v>-14.12</v>
      </c>
      <c r="L684" s="2">
        <v>-14.8</v>
      </c>
      <c r="M684" s="2">
        <v>9.32</v>
      </c>
      <c r="N684" s="2">
        <v>45.8</v>
      </c>
      <c r="O684" s="2">
        <v>45.98</v>
      </c>
      <c r="P684" s="2">
        <v>104.04</v>
      </c>
      <c r="Q684" s="2">
        <v>15.72</v>
      </c>
      <c r="R684" s="2">
        <v>38.72</v>
      </c>
      <c r="S684" s="2">
        <v>38.86</v>
      </c>
      <c r="T684" s="2">
        <v>74.05</v>
      </c>
      <c r="U684" s="2">
        <v>19.3</v>
      </c>
      <c r="V684" s="2">
        <v>50.3</v>
      </c>
      <c r="W684" s="2">
        <v>31.47</v>
      </c>
      <c r="X684" s="2">
        <v>27.73</v>
      </c>
      <c r="Y684" s="2">
        <v>27.88</v>
      </c>
      <c r="Z684" s="2">
        <v>0</v>
      </c>
      <c r="AA684" s="2">
        <v>1.74</v>
      </c>
      <c r="AB684" s="2">
        <v>0</v>
      </c>
      <c r="AC684" s="2">
        <v>2.44</v>
      </c>
      <c r="AD684" s="2">
        <v>6.98</v>
      </c>
      <c r="AE684" s="2">
        <v>0</v>
      </c>
      <c r="AF684" s="2">
        <v>102.33</v>
      </c>
      <c r="AG684" s="2">
        <v>23.65</v>
      </c>
    </row>
    <row r="685" spans="1:33" x14ac:dyDescent="0.2">
      <c r="A685" s="3">
        <v>28763</v>
      </c>
      <c r="B685" s="2">
        <v>-1.29</v>
      </c>
      <c r="C685" s="2">
        <v>26.2</v>
      </c>
      <c r="D685" s="2">
        <v>-5.6</v>
      </c>
      <c r="E685" s="2">
        <v>-21.61</v>
      </c>
      <c r="F685" s="2">
        <v>-4.84</v>
      </c>
      <c r="G685" s="2">
        <v>12.3</v>
      </c>
      <c r="H685" s="2">
        <v>18.29</v>
      </c>
      <c r="I685" s="2">
        <v>52.4</v>
      </c>
      <c r="J685" s="2">
        <v>9.59</v>
      </c>
      <c r="K685" s="2">
        <v>1.21</v>
      </c>
      <c r="L685" s="2">
        <v>-2.29</v>
      </c>
      <c r="M685" s="2">
        <v>14.54</v>
      </c>
      <c r="N685" s="2">
        <v>42.05</v>
      </c>
      <c r="O685" s="2">
        <v>21.48</v>
      </c>
      <c r="P685" s="2">
        <v>36.380000000000003</v>
      </c>
      <c r="Q685" s="2">
        <v>11.47</v>
      </c>
      <c r="R685" s="2">
        <v>25.08</v>
      </c>
      <c r="S685" s="2">
        <v>27.12</v>
      </c>
      <c r="T685" s="2">
        <v>20.11</v>
      </c>
      <c r="U685" s="2">
        <v>10.64</v>
      </c>
      <c r="V685" s="2">
        <v>26.31</v>
      </c>
      <c r="W685" s="2">
        <v>26.1</v>
      </c>
      <c r="X685" s="2">
        <v>26.19</v>
      </c>
      <c r="Y685" s="2">
        <v>26.11</v>
      </c>
      <c r="Z685" s="2">
        <v>4.4000000000000004</v>
      </c>
      <c r="AA685" s="2">
        <v>2.15</v>
      </c>
      <c r="AB685" s="2">
        <v>1.53</v>
      </c>
      <c r="AC685" s="2">
        <v>4.2</v>
      </c>
      <c r="AD685" s="2">
        <v>5.21</v>
      </c>
      <c r="AE685" s="2">
        <v>0.19</v>
      </c>
      <c r="AF685" s="2">
        <v>95.31</v>
      </c>
      <c r="AG685" s="2">
        <v>20.170000000000002</v>
      </c>
    </row>
    <row r="686" spans="1:33" x14ac:dyDescent="0.2">
      <c r="A686" s="3">
        <v>28794</v>
      </c>
      <c r="B686" s="2">
        <v>-2.61</v>
      </c>
      <c r="C686" s="2">
        <v>23.88</v>
      </c>
      <c r="D686" s="2">
        <v>-8.5399999999999991</v>
      </c>
      <c r="E686" s="2">
        <v>-21.7</v>
      </c>
      <c r="F686" s="2">
        <v>-6.69</v>
      </c>
      <c r="G686" s="2">
        <v>4.4000000000000004</v>
      </c>
      <c r="H686" s="2">
        <v>11.27</v>
      </c>
      <c r="I686" s="2">
        <v>46.39</v>
      </c>
      <c r="J686" s="2">
        <v>2.82</v>
      </c>
      <c r="K686" s="2">
        <v>-1.63</v>
      </c>
      <c r="L686" s="2">
        <v>5.13</v>
      </c>
      <c r="M686" s="2">
        <v>16.809999999999999</v>
      </c>
      <c r="N686" s="2">
        <v>35.49</v>
      </c>
      <c r="O686" s="2">
        <v>14.95</v>
      </c>
      <c r="P686" s="2">
        <v>45.95</v>
      </c>
      <c r="Q686" s="2">
        <v>8.25</v>
      </c>
      <c r="R686" s="2">
        <v>18.77</v>
      </c>
      <c r="S686" s="2">
        <v>-7.05</v>
      </c>
      <c r="T686" s="2">
        <v>9.99</v>
      </c>
      <c r="U686" s="2">
        <v>10.27</v>
      </c>
      <c r="V686" s="2">
        <v>34.29</v>
      </c>
      <c r="W686" s="2">
        <v>22.19</v>
      </c>
      <c r="X686" s="2">
        <v>24.15</v>
      </c>
      <c r="Y686" s="2">
        <v>24.03</v>
      </c>
      <c r="Z686" s="2">
        <v>3.3</v>
      </c>
      <c r="AA686" s="2">
        <v>0.56999999999999995</v>
      </c>
      <c r="AB686" s="2">
        <v>0</v>
      </c>
      <c r="AC686" s="2">
        <v>0.27</v>
      </c>
      <c r="AD686" s="2">
        <v>1.93</v>
      </c>
      <c r="AE686" s="2">
        <v>0</v>
      </c>
      <c r="AF686" s="2">
        <v>86.45</v>
      </c>
      <c r="AG686" s="2">
        <v>16.420000000000002</v>
      </c>
    </row>
    <row r="687" spans="1:33" x14ac:dyDescent="0.2">
      <c r="A687" s="3">
        <v>28824</v>
      </c>
      <c r="B687" s="2">
        <v>-0.15</v>
      </c>
      <c r="C687" s="2">
        <v>20.71</v>
      </c>
      <c r="D687" s="2">
        <v>1.99</v>
      </c>
      <c r="E687" s="2">
        <v>2.5099999999999998</v>
      </c>
      <c r="F687" s="2">
        <v>4.59</v>
      </c>
      <c r="G687" s="2">
        <v>15.01</v>
      </c>
      <c r="H687" s="2">
        <v>13.72</v>
      </c>
      <c r="I687" s="2">
        <v>41.58</v>
      </c>
      <c r="J687" s="2">
        <v>11.72</v>
      </c>
      <c r="K687" s="2">
        <v>3</v>
      </c>
      <c r="L687" s="2">
        <v>10.17</v>
      </c>
      <c r="M687" s="2">
        <v>13.91</v>
      </c>
      <c r="N687" s="2">
        <v>31.51</v>
      </c>
      <c r="O687" s="2">
        <v>19.84</v>
      </c>
      <c r="P687" s="2">
        <v>25.94</v>
      </c>
      <c r="Q687" s="2">
        <v>3.58</v>
      </c>
      <c r="R687" s="2">
        <v>12.19</v>
      </c>
      <c r="S687" s="2">
        <v>-0.69</v>
      </c>
      <c r="T687" s="2">
        <v>16.809999999999999</v>
      </c>
      <c r="U687" s="2">
        <v>7.94</v>
      </c>
      <c r="V687" s="2">
        <v>27.15</v>
      </c>
      <c r="W687" s="2">
        <v>15.43</v>
      </c>
      <c r="X687" s="2">
        <v>15.89</v>
      </c>
      <c r="Y687" s="2">
        <v>14.71</v>
      </c>
      <c r="Z687" s="2">
        <v>4.79</v>
      </c>
      <c r="AA687" s="2">
        <v>14.19</v>
      </c>
      <c r="AB687" s="2">
        <v>5.89</v>
      </c>
      <c r="AC687" s="2">
        <v>3.79</v>
      </c>
      <c r="AD687" s="2">
        <v>1</v>
      </c>
      <c r="AE687" s="2">
        <v>13.89</v>
      </c>
      <c r="AF687" s="2">
        <v>56.72</v>
      </c>
      <c r="AG687" s="2">
        <v>12.92</v>
      </c>
    </row>
    <row r="688" spans="1:33" x14ac:dyDescent="0.2">
      <c r="A688" s="3">
        <v>28855</v>
      </c>
      <c r="B688" s="2">
        <v>-0.47</v>
      </c>
      <c r="C688" s="2">
        <v>19.36</v>
      </c>
      <c r="D688" s="2">
        <v>-2.92</v>
      </c>
      <c r="E688" s="2">
        <v>-3.83</v>
      </c>
      <c r="F688" s="2">
        <v>-1.25</v>
      </c>
      <c r="G688" s="2">
        <v>7.85</v>
      </c>
      <c r="H688" s="2">
        <v>10.01</v>
      </c>
      <c r="I688" s="2">
        <v>38.799999999999997</v>
      </c>
      <c r="J688" s="2">
        <v>3.5</v>
      </c>
      <c r="K688" s="2">
        <v>-10.65</v>
      </c>
      <c r="L688" s="2">
        <v>10.029999999999999</v>
      </c>
      <c r="M688" s="2">
        <v>3.5</v>
      </c>
      <c r="N688" s="2">
        <v>22.19</v>
      </c>
      <c r="O688" s="2">
        <v>24.98</v>
      </c>
      <c r="P688" s="2">
        <v>32.950000000000003</v>
      </c>
      <c r="Q688" s="2">
        <v>3.72</v>
      </c>
      <c r="R688" s="2">
        <v>14.03</v>
      </c>
      <c r="S688" s="2">
        <v>8.33</v>
      </c>
      <c r="T688" s="2">
        <v>16.75</v>
      </c>
      <c r="U688" s="2">
        <v>5.66</v>
      </c>
      <c r="V688" s="2">
        <v>15.21</v>
      </c>
      <c r="W688" s="2">
        <v>11.73</v>
      </c>
      <c r="X688" s="2">
        <v>13.37</v>
      </c>
      <c r="Y688" s="2">
        <v>13.4</v>
      </c>
      <c r="Z688" s="2">
        <v>0.28999999999999998</v>
      </c>
      <c r="AA688" s="2">
        <v>10.47</v>
      </c>
      <c r="AB688" s="2">
        <v>0.64</v>
      </c>
      <c r="AC688" s="2">
        <v>8.5299999999999994</v>
      </c>
      <c r="AD688" s="2">
        <v>1.1100000000000001</v>
      </c>
      <c r="AE688" s="2">
        <v>3.92</v>
      </c>
      <c r="AF688" s="2">
        <v>52.11</v>
      </c>
      <c r="AG688" s="2">
        <v>11.2</v>
      </c>
    </row>
    <row r="689" spans="1:33" x14ac:dyDescent="0.2">
      <c r="A689" s="3">
        <v>28886</v>
      </c>
      <c r="B689" s="2">
        <v>-0.73</v>
      </c>
      <c r="C689" s="2">
        <v>27.43</v>
      </c>
      <c r="D689" s="2">
        <v>32.380000000000003</v>
      </c>
      <c r="E689" s="2">
        <v>62.04</v>
      </c>
      <c r="F689" s="2">
        <v>40.229999999999997</v>
      </c>
      <c r="G689" s="2">
        <v>85.16</v>
      </c>
      <c r="H689" s="2">
        <v>19.37</v>
      </c>
      <c r="I689" s="2">
        <v>42.62</v>
      </c>
      <c r="J689" s="2">
        <v>55.79</v>
      </c>
      <c r="K689" s="2">
        <v>66.92</v>
      </c>
      <c r="L689" s="2">
        <v>52.47</v>
      </c>
      <c r="M689" s="2">
        <v>37.94</v>
      </c>
      <c r="N689" s="2">
        <v>86.15</v>
      </c>
      <c r="O689" s="2">
        <v>16.02</v>
      </c>
      <c r="P689" s="2">
        <v>74.61</v>
      </c>
      <c r="Q689" s="2">
        <v>0.77</v>
      </c>
      <c r="R689" s="2">
        <v>14.49</v>
      </c>
      <c r="S689" s="2">
        <v>27.85</v>
      </c>
      <c r="T689" s="2">
        <v>20.03</v>
      </c>
      <c r="U689" s="2">
        <v>5.18</v>
      </c>
      <c r="V689" s="2">
        <v>15.97</v>
      </c>
      <c r="W689" s="2">
        <v>4.26</v>
      </c>
      <c r="X689" s="2">
        <v>21.77</v>
      </c>
      <c r="Y689" s="2">
        <v>20.47</v>
      </c>
      <c r="Z689" s="2">
        <v>22.64</v>
      </c>
      <c r="AA689" s="2">
        <v>17.489999999999998</v>
      </c>
      <c r="AB689" s="2">
        <v>10.76</v>
      </c>
      <c r="AC689" s="2">
        <v>15.3</v>
      </c>
      <c r="AD689" s="2">
        <v>1.17</v>
      </c>
      <c r="AE689" s="2">
        <v>34.21</v>
      </c>
      <c r="AF689" s="2">
        <v>73.05</v>
      </c>
      <c r="AG689" s="2">
        <v>9.8800000000000008</v>
      </c>
    </row>
    <row r="690" spans="1:33" x14ac:dyDescent="0.2">
      <c r="A690" s="3">
        <v>28914</v>
      </c>
      <c r="B690" s="2">
        <v>0.42</v>
      </c>
      <c r="C690" s="2">
        <v>27.85</v>
      </c>
      <c r="D690" s="2">
        <v>20.96</v>
      </c>
      <c r="E690" s="2">
        <v>46.49</v>
      </c>
      <c r="F690" s="2">
        <v>41.4</v>
      </c>
      <c r="G690" s="2">
        <v>78.510000000000005</v>
      </c>
      <c r="H690" s="2">
        <v>24.29</v>
      </c>
      <c r="I690" s="2">
        <v>47.84</v>
      </c>
      <c r="J690" s="2">
        <v>45.85</v>
      </c>
      <c r="K690" s="2">
        <v>20.059999999999999</v>
      </c>
      <c r="L690" s="2">
        <v>26.13</v>
      </c>
      <c r="M690" s="2">
        <v>19.89</v>
      </c>
      <c r="N690" s="2">
        <v>49.83</v>
      </c>
      <c r="O690" s="2">
        <v>18.190000000000001</v>
      </c>
      <c r="P690" s="2">
        <v>21.02</v>
      </c>
      <c r="Q690" s="2">
        <v>4.8099999999999996</v>
      </c>
      <c r="R690" s="2">
        <v>12.14</v>
      </c>
      <c r="S690" s="2">
        <v>22.02</v>
      </c>
      <c r="T690" s="2">
        <v>30.83</v>
      </c>
      <c r="U690" s="2">
        <v>8.75</v>
      </c>
      <c r="V690" s="2">
        <v>20.239999999999998</v>
      </c>
      <c r="W690" s="2">
        <v>0</v>
      </c>
      <c r="X690" s="2">
        <v>13.26</v>
      </c>
      <c r="Y690" s="2">
        <v>13.35</v>
      </c>
      <c r="Z690" s="2">
        <v>6.13</v>
      </c>
      <c r="AA690" s="2">
        <v>11.04</v>
      </c>
      <c r="AB690" s="2">
        <v>6.15</v>
      </c>
      <c r="AC690" s="2">
        <v>9.61</v>
      </c>
      <c r="AD690" s="2">
        <v>1.52</v>
      </c>
      <c r="AE690" s="2">
        <v>29.92</v>
      </c>
      <c r="AF690" s="2">
        <v>60.9</v>
      </c>
      <c r="AG690" s="2">
        <v>10.08</v>
      </c>
    </row>
    <row r="691" spans="1:33" x14ac:dyDescent="0.2">
      <c r="A691" s="3">
        <v>28945</v>
      </c>
      <c r="B691" s="2">
        <v>2.5299999999999998</v>
      </c>
      <c r="C691" s="2">
        <v>27.11</v>
      </c>
      <c r="D691" s="2">
        <v>-5.81</v>
      </c>
      <c r="E691" s="2">
        <v>-9.4600000000000009</v>
      </c>
      <c r="F691" s="2">
        <v>4.13</v>
      </c>
      <c r="G691" s="2">
        <v>8.5399999999999991</v>
      </c>
      <c r="H691" s="2">
        <v>13.75</v>
      </c>
      <c r="I691" s="2">
        <v>46.71</v>
      </c>
      <c r="J691" s="2">
        <v>13.73</v>
      </c>
      <c r="K691" s="2">
        <v>1.03</v>
      </c>
      <c r="L691" s="2">
        <v>18.34</v>
      </c>
      <c r="M691" s="2">
        <v>7.44</v>
      </c>
      <c r="N691" s="2">
        <v>54.23</v>
      </c>
      <c r="O691" s="2">
        <v>17.100000000000001</v>
      </c>
      <c r="P691" s="2">
        <v>57.99</v>
      </c>
      <c r="Q691" s="2">
        <v>9.32</v>
      </c>
      <c r="R691" s="2">
        <v>11.52</v>
      </c>
      <c r="S691" s="2">
        <v>35.81</v>
      </c>
      <c r="T691" s="2">
        <v>40.229999999999997</v>
      </c>
      <c r="U691" s="2">
        <v>8.93</v>
      </c>
      <c r="V691" s="2">
        <v>31.64</v>
      </c>
      <c r="W691" s="2">
        <v>0</v>
      </c>
      <c r="X691" s="2">
        <v>15.94</v>
      </c>
      <c r="Y691" s="2">
        <v>14.99</v>
      </c>
      <c r="Z691" s="2">
        <v>12.49</v>
      </c>
      <c r="AA691" s="2">
        <v>18.07</v>
      </c>
      <c r="AB691" s="2">
        <v>7.3</v>
      </c>
      <c r="AC691" s="2">
        <v>18.55</v>
      </c>
      <c r="AD691" s="2">
        <v>3.27</v>
      </c>
      <c r="AE691" s="2">
        <v>20.79</v>
      </c>
      <c r="AF691" s="2">
        <v>71.86</v>
      </c>
      <c r="AG691" s="2">
        <v>10.69</v>
      </c>
    </row>
    <row r="692" spans="1:33" x14ac:dyDescent="0.2">
      <c r="A692" s="3">
        <v>28975</v>
      </c>
      <c r="B692" s="2">
        <v>2.52</v>
      </c>
      <c r="C692" s="2">
        <v>24.89</v>
      </c>
      <c r="D692" s="2">
        <v>-9.14</v>
      </c>
      <c r="E692" s="2">
        <v>-39.42</v>
      </c>
      <c r="F692" s="2">
        <v>-11.71</v>
      </c>
      <c r="G692" s="2">
        <v>-26.32</v>
      </c>
      <c r="H692" s="2">
        <v>1.55</v>
      </c>
      <c r="I692" s="2">
        <v>40.619999999999997</v>
      </c>
      <c r="J692" s="2">
        <v>-27.67</v>
      </c>
      <c r="K692" s="2">
        <v>-34.659999999999997</v>
      </c>
      <c r="L692" s="2">
        <v>-38.619999999999997</v>
      </c>
      <c r="M692" s="2">
        <v>-19.89</v>
      </c>
      <c r="N692" s="2">
        <v>34.17</v>
      </c>
      <c r="O692" s="2">
        <v>24.96</v>
      </c>
      <c r="P692" s="2">
        <v>37.200000000000003</v>
      </c>
      <c r="Q692" s="2">
        <v>12.77</v>
      </c>
      <c r="R692" s="2">
        <v>22.52</v>
      </c>
      <c r="S692" s="2">
        <v>14</v>
      </c>
      <c r="T692" s="2">
        <v>17.420000000000002</v>
      </c>
      <c r="U692" s="2">
        <v>9.0299999999999994</v>
      </c>
      <c r="V692" s="2">
        <v>25.15</v>
      </c>
      <c r="W692" s="2">
        <v>0</v>
      </c>
      <c r="X692" s="2">
        <v>19.649999999999999</v>
      </c>
      <c r="Y692" s="2">
        <v>18.989999999999998</v>
      </c>
      <c r="Z692" s="2">
        <v>0</v>
      </c>
      <c r="AA692" s="2">
        <v>0</v>
      </c>
      <c r="AB692" s="2">
        <v>0</v>
      </c>
      <c r="AC692" s="2">
        <v>0</v>
      </c>
      <c r="AD692" s="2">
        <v>4.01</v>
      </c>
      <c r="AE692" s="2">
        <v>9.8800000000000008</v>
      </c>
      <c r="AF692" s="2">
        <v>88.92</v>
      </c>
      <c r="AG692" s="2">
        <v>14.64</v>
      </c>
    </row>
    <row r="693" spans="1:33" x14ac:dyDescent="0.2">
      <c r="A693" s="3">
        <v>29006</v>
      </c>
      <c r="B693" s="2">
        <v>2.35</v>
      </c>
      <c r="C693" s="2">
        <v>25.7</v>
      </c>
      <c r="D693" s="2">
        <v>-9.33</v>
      </c>
      <c r="E693" s="2">
        <v>1.1599999999999999</v>
      </c>
      <c r="F693" s="2">
        <v>6.42</v>
      </c>
      <c r="G693" s="2">
        <v>-10.63</v>
      </c>
      <c r="H693" s="2">
        <v>9.3800000000000008</v>
      </c>
      <c r="I693" s="2">
        <v>39.5</v>
      </c>
      <c r="J693" s="2">
        <v>-5.12</v>
      </c>
      <c r="K693" s="2">
        <v>-10.7</v>
      </c>
      <c r="L693" s="2">
        <v>2.2200000000000002</v>
      </c>
      <c r="M693" s="2">
        <v>-3.41</v>
      </c>
      <c r="N693" s="2">
        <v>45.67</v>
      </c>
      <c r="O693" s="2">
        <v>36.5</v>
      </c>
      <c r="P693" s="2">
        <v>81.58</v>
      </c>
      <c r="Q693" s="2">
        <v>8.5399999999999991</v>
      </c>
      <c r="R693" s="2">
        <v>20.63</v>
      </c>
      <c r="S693" s="2">
        <v>22.88</v>
      </c>
      <c r="T693" s="2">
        <v>37.79</v>
      </c>
      <c r="U693" s="2">
        <v>13.72</v>
      </c>
      <c r="V693" s="2">
        <v>33.61</v>
      </c>
      <c r="W693" s="2">
        <v>4.88</v>
      </c>
      <c r="X693" s="2">
        <v>24.53</v>
      </c>
      <c r="Y693" s="2">
        <v>23.21</v>
      </c>
      <c r="Z693" s="2">
        <v>0</v>
      </c>
      <c r="AA693" s="2">
        <v>4.3499999999999996</v>
      </c>
      <c r="AB693" s="2">
        <v>2.69</v>
      </c>
      <c r="AC693" s="2">
        <v>0</v>
      </c>
      <c r="AD693" s="2">
        <v>6.55</v>
      </c>
      <c r="AE693" s="2">
        <v>0.93</v>
      </c>
      <c r="AF693" s="2">
        <v>100.42</v>
      </c>
      <c r="AG693" s="2">
        <v>17.690000000000001</v>
      </c>
    </row>
    <row r="694" spans="1:33" x14ac:dyDescent="0.2">
      <c r="A694" s="3">
        <v>29036</v>
      </c>
      <c r="B694" s="2">
        <v>1.26</v>
      </c>
      <c r="C694" s="2">
        <v>23.66</v>
      </c>
      <c r="D694" s="2">
        <v>-13.44</v>
      </c>
      <c r="E694" s="2">
        <v>-10.199999999999999</v>
      </c>
      <c r="F694" s="2">
        <v>8.48</v>
      </c>
      <c r="G694" s="2">
        <v>-1.1499999999999999</v>
      </c>
      <c r="H694" s="2">
        <v>12.82</v>
      </c>
      <c r="I694" s="2">
        <v>39.619999999999997</v>
      </c>
      <c r="J694" s="2">
        <v>-14.49</v>
      </c>
      <c r="K694" s="2">
        <v>7.79</v>
      </c>
      <c r="L694" s="2">
        <v>-3.74</v>
      </c>
      <c r="M694" s="2">
        <v>9.76</v>
      </c>
      <c r="N694" s="2">
        <v>40.659999999999997</v>
      </c>
      <c r="O694" s="2">
        <v>38.9</v>
      </c>
      <c r="P694" s="2">
        <v>96.71</v>
      </c>
      <c r="Q694" s="2">
        <v>14.95</v>
      </c>
      <c r="R694" s="2">
        <v>22.27</v>
      </c>
      <c r="S694" s="2">
        <v>21.18</v>
      </c>
      <c r="T694" s="2">
        <v>81.55</v>
      </c>
      <c r="U694" s="2">
        <v>11.82</v>
      </c>
      <c r="V694" s="2">
        <v>41.73</v>
      </c>
      <c r="W694" s="2">
        <v>18.62</v>
      </c>
      <c r="X694" s="2">
        <v>31.43</v>
      </c>
      <c r="Y694" s="2">
        <v>30.8</v>
      </c>
      <c r="Z694" s="2">
        <v>0</v>
      </c>
      <c r="AA694" s="2">
        <v>0</v>
      </c>
      <c r="AB694" s="2">
        <v>0</v>
      </c>
      <c r="AC694" s="2">
        <v>0</v>
      </c>
      <c r="AD694" s="2">
        <v>11.16</v>
      </c>
      <c r="AE694" s="2">
        <v>0</v>
      </c>
      <c r="AF694" s="2">
        <v>109.9</v>
      </c>
      <c r="AG694" s="2">
        <v>22.83</v>
      </c>
    </row>
    <row r="695" spans="1:33" x14ac:dyDescent="0.2">
      <c r="A695" s="3">
        <v>29067</v>
      </c>
      <c r="B695" s="2">
        <v>1.56</v>
      </c>
      <c r="C695" s="2">
        <v>27.12</v>
      </c>
      <c r="D695" s="2">
        <v>-7.3</v>
      </c>
      <c r="E695" s="2">
        <v>20.149999999999999</v>
      </c>
      <c r="F695" s="2">
        <v>19.45</v>
      </c>
      <c r="G695" s="2">
        <v>18.54</v>
      </c>
      <c r="H695" s="2">
        <v>18.440000000000001</v>
      </c>
      <c r="I695" s="2">
        <v>42</v>
      </c>
      <c r="J695" s="2">
        <v>-13.39</v>
      </c>
      <c r="K695" s="2">
        <v>2.63</v>
      </c>
      <c r="L695" s="2">
        <v>-7.68</v>
      </c>
      <c r="M695" s="2">
        <v>14.34</v>
      </c>
      <c r="N695" s="2">
        <v>46.79</v>
      </c>
      <c r="O695" s="2">
        <v>49.36</v>
      </c>
      <c r="P695" s="2">
        <v>71</v>
      </c>
      <c r="Q695" s="2">
        <v>14.4</v>
      </c>
      <c r="R695" s="2">
        <v>25.16</v>
      </c>
      <c r="S695" s="2">
        <v>51.04</v>
      </c>
      <c r="T695" s="2">
        <v>55.43</v>
      </c>
      <c r="U695" s="2">
        <v>21.87</v>
      </c>
      <c r="V695" s="2">
        <v>41.84</v>
      </c>
      <c r="W695" s="2">
        <v>30.39</v>
      </c>
      <c r="X695" s="2">
        <v>38.270000000000003</v>
      </c>
      <c r="Y695" s="2">
        <v>38.01</v>
      </c>
      <c r="Z695" s="2">
        <v>0</v>
      </c>
      <c r="AA695" s="2">
        <v>23.51</v>
      </c>
      <c r="AB695" s="2">
        <v>0.77</v>
      </c>
      <c r="AC695" s="2">
        <v>9.75</v>
      </c>
      <c r="AD695" s="2">
        <v>10.84</v>
      </c>
      <c r="AE695" s="2">
        <v>0.65</v>
      </c>
      <c r="AF695" s="2">
        <v>119.68</v>
      </c>
      <c r="AG695" s="2">
        <v>24.8</v>
      </c>
    </row>
    <row r="696" spans="1:33" x14ac:dyDescent="0.2">
      <c r="A696" s="3">
        <v>29098</v>
      </c>
      <c r="B696" s="2">
        <v>-1.05</v>
      </c>
      <c r="C696" s="2">
        <v>25.59</v>
      </c>
      <c r="D696" s="2">
        <v>-10.49</v>
      </c>
      <c r="E696" s="2">
        <v>-12.5</v>
      </c>
      <c r="F696" s="2">
        <v>11.03</v>
      </c>
      <c r="G696" s="2">
        <v>21</v>
      </c>
      <c r="H696" s="2">
        <v>14.62</v>
      </c>
      <c r="I696" s="2">
        <v>43.63</v>
      </c>
      <c r="J696" s="2">
        <v>-1.1299999999999999</v>
      </c>
      <c r="K696" s="2">
        <v>4.4800000000000004</v>
      </c>
      <c r="L696" s="2">
        <v>-2.54</v>
      </c>
      <c r="M696" s="2">
        <v>13.85</v>
      </c>
      <c r="N696" s="2">
        <v>43.27</v>
      </c>
      <c r="O696" s="2">
        <v>42.12</v>
      </c>
      <c r="P696" s="2">
        <v>54.77</v>
      </c>
      <c r="Q696" s="2">
        <v>7.93</v>
      </c>
      <c r="R696" s="2">
        <v>24.27</v>
      </c>
      <c r="S696" s="2">
        <v>46.87</v>
      </c>
      <c r="T696" s="2">
        <v>56.81</v>
      </c>
      <c r="U696" s="2">
        <v>26.1</v>
      </c>
      <c r="V696" s="2">
        <v>42.98</v>
      </c>
      <c r="W696" s="2">
        <v>31.47</v>
      </c>
      <c r="X696" s="2">
        <v>40.92</v>
      </c>
      <c r="Y696" s="2">
        <v>40.799999999999997</v>
      </c>
      <c r="Z696" s="2">
        <v>0</v>
      </c>
      <c r="AA696" s="2">
        <v>6.02</v>
      </c>
      <c r="AB696" s="2">
        <v>0</v>
      </c>
      <c r="AC696" s="2">
        <v>21.93</v>
      </c>
      <c r="AD696" s="2">
        <v>7.59</v>
      </c>
      <c r="AE696" s="2">
        <v>0</v>
      </c>
      <c r="AF696" s="2">
        <v>121.71</v>
      </c>
      <c r="AG696" s="2">
        <v>23.65</v>
      </c>
    </row>
    <row r="697" spans="1:33" x14ac:dyDescent="0.2">
      <c r="A697" s="3">
        <v>29128</v>
      </c>
      <c r="B697" s="2">
        <v>-4.54</v>
      </c>
      <c r="C697" s="2">
        <v>20.7</v>
      </c>
      <c r="D697" s="2">
        <v>-7.86</v>
      </c>
      <c r="E697" s="2">
        <v>-26.89</v>
      </c>
      <c r="F697" s="2">
        <v>-1.55</v>
      </c>
      <c r="G697" s="2">
        <v>7.01</v>
      </c>
      <c r="H697" s="2">
        <v>15.75</v>
      </c>
      <c r="I697" s="2">
        <v>50.49</v>
      </c>
      <c r="J697" s="2">
        <v>9.43</v>
      </c>
      <c r="K697" s="2">
        <v>-0.06</v>
      </c>
      <c r="L697" s="2">
        <v>-0.56000000000000005</v>
      </c>
      <c r="M697" s="2">
        <v>12.09</v>
      </c>
      <c r="N697" s="2">
        <v>45.88</v>
      </c>
      <c r="O697" s="2">
        <v>24.7</v>
      </c>
      <c r="P697" s="2">
        <v>31.98</v>
      </c>
      <c r="Q697" s="2">
        <v>11.15</v>
      </c>
      <c r="R697" s="2">
        <v>23.13</v>
      </c>
      <c r="S697" s="2">
        <v>8.4499999999999993</v>
      </c>
      <c r="T697" s="2">
        <v>16.739999999999998</v>
      </c>
      <c r="U697" s="2">
        <v>11.31</v>
      </c>
      <c r="V697" s="2">
        <v>22.87</v>
      </c>
      <c r="W697" s="2">
        <v>26.1</v>
      </c>
      <c r="X697" s="2">
        <v>38.5</v>
      </c>
      <c r="Y697" s="2">
        <v>38.17</v>
      </c>
      <c r="Z697" s="2">
        <v>0</v>
      </c>
      <c r="AA697" s="2">
        <v>0</v>
      </c>
      <c r="AB697" s="2">
        <v>3.59</v>
      </c>
      <c r="AC697" s="2">
        <v>2.17</v>
      </c>
      <c r="AD697" s="2">
        <v>5.63</v>
      </c>
      <c r="AE697" s="2">
        <v>0</v>
      </c>
      <c r="AF697" s="2">
        <v>113.37</v>
      </c>
      <c r="AG697" s="2">
        <v>20.170000000000002</v>
      </c>
    </row>
    <row r="698" spans="1:33" x14ac:dyDescent="0.2">
      <c r="A698" s="3">
        <v>29159</v>
      </c>
      <c r="B698" s="2">
        <v>-2.61</v>
      </c>
      <c r="C698" s="2">
        <v>19.649999999999999</v>
      </c>
      <c r="D698" s="2">
        <v>-0.41</v>
      </c>
      <c r="E698" s="2">
        <v>2.75</v>
      </c>
      <c r="F698" s="2">
        <v>6.7</v>
      </c>
      <c r="G698" s="2">
        <v>22.47</v>
      </c>
      <c r="H698" s="2">
        <v>15.7</v>
      </c>
      <c r="I698" s="2">
        <v>45.11</v>
      </c>
      <c r="J698" s="2">
        <v>15.73</v>
      </c>
      <c r="K698" s="2">
        <v>4.82</v>
      </c>
      <c r="L698" s="2">
        <v>14.67</v>
      </c>
      <c r="M698" s="2">
        <v>18.97</v>
      </c>
      <c r="N698" s="2">
        <v>28.23</v>
      </c>
      <c r="O698" s="2">
        <v>17.73</v>
      </c>
      <c r="P698" s="2">
        <v>64.540000000000006</v>
      </c>
      <c r="Q698" s="2">
        <v>1.94</v>
      </c>
      <c r="R698" s="2">
        <v>10.48</v>
      </c>
      <c r="S698" s="2">
        <v>-2.94</v>
      </c>
      <c r="T698" s="2">
        <v>30.25</v>
      </c>
      <c r="U698" s="2">
        <v>3.06</v>
      </c>
      <c r="V698" s="2">
        <v>15.19</v>
      </c>
      <c r="W698" s="2">
        <v>22.19</v>
      </c>
      <c r="X698" s="2">
        <v>35.32</v>
      </c>
      <c r="Y698" s="2">
        <v>34.97</v>
      </c>
      <c r="Z698" s="2">
        <v>1.05</v>
      </c>
      <c r="AA698" s="2">
        <v>0</v>
      </c>
      <c r="AB698" s="2">
        <v>0.56000000000000005</v>
      </c>
      <c r="AC698" s="2">
        <v>4.0599999999999996</v>
      </c>
      <c r="AD698" s="2">
        <v>4.72</v>
      </c>
      <c r="AE698" s="2">
        <v>15.19</v>
      </c>
      <c r="AF698" s="2">
        <v>102.83</v>
      </c>
      <c r="AG698" s="2">
        <v>16.420000000000002</v>
      </c>
    </row>
    <row r="699" spans="1:33" x14ac:dyDescent="0.2">
      <c r="A699" s="3">
        <v>29189</v>
      </c>
      <c r="B699" s="2">
        <v>-1.25</v>
      </c>
      <c r="C699" s="2">
        <v>24.46</v>
      </c>
      <c r="D699" s="2">
        <v>15.92</v>
      </c>
      <c r="E699" s="2">
        <v>25.92</v>
      </c>
      <c r="F699" s="2">
        <v>14.76</v>
      </c>
      <c r="G699" s="2">
        <v>31.37</v>
      </c>
      <c r="H699" s="2">
        <v>15.87</v>
      </c>
      <c r="I699" s="2">
        <v>42.55</v>
      </c>
      <c r="J699" s="2">
        <v>15.28</v>
      </c>
      <c r="K699" s="2">
        <v>1.1299999999999999</v>
      </c>
      <c r="L699" s="2">
        <v>2.14</v>
      </c>
      <c r="M699" s="2">
        <v>-0.57999999999999996</v>
      </c>
      <c r="N699" s="2">
        <v>21.86</v>
      </c>
      <c r="O699" s="2">
        <v>22.59</v>
      </c>
      <c r="P699" s="2">
        <v>31.2</v>
      </c>
      <c r="Q699" s="2">
        <v>2.63</v>
      </c>
      <c r="R699" s="2">
        <v>10.41</v>
      </c>
      <c r="S699" s="2">
        <v>2.5099999999999998</v>
      </c>
      <c r="T699" s="2">
        <v>25.49</v>
      </c>
      <c r="U699" s="2">
        <v>8.65</v>
      </c>
      <c r="V699" s="2">
        <v>3.69</v>
      </c>
      <c r="W699" s="2">
        <v>15.43</v>
      </c>
      <c r="X699" s="2">
        <v>23.13</v>
      </c>
      <c r="Y699" s="2">
        <v>21.76</v>
      </c>
      <c r="Z699" s="2">
        <v>0.43</v>
      </c>
      <c r="AA699" s="2">
        <v>0</v>
      </c>
      <c r="AB699" s="2">
        <v>0.62</v>
      </c>
      <c r="AC699" s="2">
        <v>0</v>
      </c>
      <c r="AD699" s="2">
        <v>3.08</v>
      </c>
      <c r="AE699" s="2">
        <v>12.03</v>
      </c>
      <c r="AF699" s="2">
        <v>67.47</v>
      </c>
      <c r="AG699" s="2">
        <v>12.92</v>
      </c>
    </row>
    <row r="700" spans="1:33" x14ac:dyDescent="0.2">
      <c r="A700" s="3">
        <v>29220</v>
      </c>
      <c r="B700" s="2">
        <v>1.27</v>
      </c>
      <c r="C700" s="2">
        <v>26.66</v>
      </c>
      <c r="D700" s="2">
        <v>32.78</v>
      </c>
      <c r="E700" s="2">
        <v>58.25</v>
      </c>
      <c r="F700" s="2">
        <v>45.15</v>
      </c>
      <c r="G700" s="2">
        <v>72.61</v>
      </c>
      <c r="H700" s="2">
        <v>25.92</v>
      </c>
      <c r="I700" s="2">
        <v>42.46</v>
      </c>
      <c r="J700" s="2">
        <v>27.23</v>
      </c>
      <c r="K700" s="2">
        <v>14.37</v>
      </c>
      <c r="L700" s="2">
        <v>19.350000000000001</v>
      </c>
      <c r="M700" s="2">
        <v>8.44</v>
      </c>
      <c r="N700" s="2">
        <v>25.68</v>
      </c>
      <c r="O700" s="2">
        <v>27.72</v>
      </c>
      <c r="P700" s="2">
        <v>33.729999999999997</v>
      </c>
      <c r="Q700" s="2">
        <v>1.83</v>
      </c>
      <c r="R700" s="2">
        <v>9.85</v>
      </c>
      <c r="S700" s="2">
        <v>-0.9</v>
      </c>
      <c r="T700" s="2">
        <v>24.99</v>
      </c>
      <c r="U700" s="2">
        <v>7.8</v>
      </c>
      <c r="V700" s="2">
        <v>2.46</v>
      </c>
      <c r="W700" s="2">
        <v>11.73</v>
      </c>
      <c r="X700" s="2">
        <v>20.02</v>
      </c>
      <c r="Y700" s="2">
        <v>19.88</v>
      </c>
      <c r="Z700" s="2">
        <v>0.53</v>
      </c>
      <c r="AA700" s="2">
        <v>0.52</v>
      </c>
      <c r="AB700" s="2">
        <v>0.06</v>
      </c>
      <c r="AC700" s="2">
        <v>0.27</v>
      </c>
      <c r="AD700" s="2">
        <v>2.76</v>
      </c>
      <c r="AE700" s="2">
        <v>30.76</v>
      </c>
      <c r="AF700" s="2">
        <v>61.99</v>
      </c>
      <c r="AG700" s="2">
        <v>11.2</v>
      </c>
    </row>
    <row r="701" spans="1:33" x14ac:dyDescent="0.2">
      <c r="A701" s="3">
        <v>29251</v>
      </c>
      <c r="B701" s="2">
        <v>8.25</v>
      </c>
      <c r="C701" s="2">
        <v>40</v>
      </c>
      <c r="D701" s="2">
        <v>52.18</v>
      </c>
      <c r="E701" s="2">
        <v>162.55000000000001</v>
      </c>
      <c r="F701" s="2">
        <v>223.73</v>
      </c>
      <c r="G701" s="2">
        <v>185.08</v>
      </c>
      <c r="H701" s="2">
        <v>33.299999999999997</v>
      </c>
      <c r="I701" s="2">
        <v>60.2</v>
      </c>
      <c r="J701" s="2">
        <v>114.91</v>
      </c>
      <c r="K701" s="2">
        <v>124.19</v>
      </c>
      <c r="L701" s="2">
        <v>98.69</v>
      </c>
      <c r="M701" s="2">
        <v>78.03</v>
      </c>
      <c r="N701" s="2">
        <v>114.01</v>
      </c>
      <c r="O701" s="2">
        <v>20.2</v>
      </c>
      <c r="P701" s="2">
        <v>195.96</v>
      </c>
      <c r="Q701" s="2">
        <v>3.76</v>
      </c>
      <c r="R701" s="2">
        <v>10.39</v>
      </c>
      <c r="S701" s="2">
        <v>84.49</v>
      </c>
      <c r="T701" s="2">
        <v>45.15</v>
      </c>
      <c r="U701" s="2">
        <v>12.64</v>
      </c>
      <c r="V701" s="2">
        <v>32.880000000000003</v>
      </c>
      <c r="W701" s="2">
        <v>4.26</v>
      </c>
      <c r="X701" s="2">
        <v>16.79</v>
      </c>
      <c r="Y701" s="2">
        <v>15.59</v>
      </c>
      <c r="Z701" s="2">
        <v>15.03</v>
      </c>
      <c r="AA701" s="2">
        <v>25.09</v>
      </c>
      <c r="AB701" s="2">
        <v>15.81</v>
      </c>
      <c r="AC701" s="2">
        <v>32.630000000000003</v>
      </c>
      <c r="AD701" s="2">
        <v>2.8</v>
      </c>
      <c r="AE701" s="2">
        <v>24.42</v>
      </c>
      <c r="AF701" s="2">
        <v>67.98</v>
      </c>
      <c r="AG701" s="2">
        <v>9.8800000000000008</v>
      </c>
    </row>
    <row r="702" spans="1:33" x14ac:dyDescent="0.2">
      <c r="A702" s="3">
        <v>29280</v>
      </c>
      <c r="B702" s="2">
        <v>13.2</v>
      </c>
      <c r="C702" s="2">
        <v>52.99</v>
      </c>
      <c r="D702" s="2">
        <v>74.94</v>
      </c>
      <c r="E702" s="2">
        <v>162.61000000000001</v>
      </c>
      <c r="F702" s="2">
        <v>90.79</v>
      </c>
      <c r="G702" s="2">
        <v>148.4</v>
      </c>
      <c r="H702" s="2">
        <v>31.48</v>
      </c>
      <c r="I702" s="2">
        <v>58.84</v>
      </c>
      <c r="J702" s="2">
        <v>70.489999999999995</v>
      </c>
      <c r="K702" s="2">
        <v>43.87</v>
      </c>
      <c r="L702" s="2">
        <v>27.58</v>
      </c>
      <c r="M702" s="2">
        <v>28.53</v>
      </c>
      <c r="N702" s="2">
        <v>95.02</v>
      </c>
      <c r="O702" s="2">
        <v>23.64</v>
      </c>
      <c r="P702" s="2">
        <v>152.96</v>
      </c>
      <c r="Q702" s="2">
        <v>7.04</v>
      </c>
      <c r="R702" s="2">
        <v>15.04</v>
      </c>
      <c r="S702" s="2">
        <v>87.7</v>
      </c>
      <c r="T702" s="2">
        <v>46.94</v>
      </c>
      <c r="U702" s="2">
        <v>13.08</v>
      </c>
      <c r="V702" s="2">
        <v>21.82</v>
      </c>
      <c r="W702" s="2">
        <v>0</v>
      </c>
      <c r="X702" s="2">
        <v>9.1199999999999992</v>
      </c>
      <c r="Y702" s="2">
        <v>9.32</v>
      </c>
      <c r="Z702" s="2">
        <v>30.72</v>
      </c>
      <c r="AA702" s="2">
        <v>56.35</v>
      </c>
      <c r="AB702" s="2">
        <v>22.14</v>
      </c>
      <c r="AC702" s="2">
        <v>38.18</v>
      </c>
      <c r="AD702" s="2">
        <v>2.89</v>
      </c>
      <c r="AE702" s="2">
        <v>54.07</v>
      </c>
      <c r="AF702" s="2">
        <v>56.67</v>
      </c>
      <c r="AG702" s="2">
        <v>10.08</v>
      </c>
    </row>
    <row r="703" spans="1:33" x14ac:dyDescent="0.2">
      <c r="A703" s="3">
        <v>29311</v>
      </c>
      <c r="B703" s="2">
        <v>11.28</v>
      </c>
      <c r="C703" s="2">
        <v>35.53</v>
      </c>
      <c r="D703" s="2">
        <v>-18.36</v>
      </c>
      <c r="E703" s="2">
        <v>-70.2</v>
      </c>
      <c r="F703" s="2">
        <v>-56.41</v>
      </c>
      <c r="G703" s="2">
        <v>-19.27</v>
      </c>
      <c r="H703" s="2">
        <v>12.44</v>
      </c>
      <c r="I703" s="2">
        <v>54.97</v>
      </c>
      <c r="J703" s="2">
        <v>7.11</v>
      </c>
      <c r="K703" s="2">
        <v>0.49</v>
      </c>
      <c r="L703" s="2">
        <v>13.68</v>
      </c>
      <c r="M703" s="2">
        <v>11.8</v>
      </c>
      <c r="N703" s="2">
        <v>63.86</v>
      </c>
      <c r="O703" s="2">
        <v>26.83</v>
      </c>
      <c r="P703" s="2">
        <v>110.07</v>
      </c>
      <c r="Q703" s="2">
        <v>15.89</v>
      </c>
      <c r="R703" s="2">
        <v>12.77</v>
      </c>
      <c r="S703" s="2">
        <v>44.31</v>
      </c>
      <c r="T703" s="2">
        <v>79.67</v>
      </c>
      <c r="U703" s="2">
        <v>12.96</v>
      </c>
      <c r="V703" s="2">
        <v>31.82</v>
      </c>
      <c r="W703" s="2">
        <v>0</v>
      </c>
      <c r="X703" s="2">
        <v>11.06</v>
      </c>
      <c r="Y703" s="2">
        <v>10.210000000000001</v>
      </c>
      <c r="Z703" s="2">
        <v>14.45</v>
      </c>
      <c r="AA703" s="2">
        <v>11.9</v>
      </c>
      <c r="AB703" s="2">
        <v>2.6</v>
      </c>
      <c r="AC703" s="2">
        <v>18.41</v>
      </c>
      <c r="AD703" s="2">
        <v>4.72</v>
      </c>
      <c r="AE703" s="2">
        <v>19.2</v>
      </c>
      <c r="AF703" s="2">
        <v>66.87</v>
      </c>
      <c r="AG703" s="2">
        <v>10.69</v>
      </c>
    </row>
    <row r="704" spans="1:33" x14ac:dyDescent="0.2">
      <c r="A704" s="3">
        <v>29341</v>
      </c>
      <c r="B704" s="2">
        <v>1.71</v>
      </c>
      <c r="C704" s="2">
        <v>29.02</v>
      </c>
      <c r="D704" s="2">
        <v>-30.47</v>
      </c>
      <c r="E704" s="2">
        <v>-106.3</v>
      </c>
      <c r="F704" s="2">
        <v>-61.73</v>
      </c>
      <c r="G704" s="2">
        <v>-94.57</v>
      </c>
      <c r="H704" s="2">
        <v>-5.18</v>
      </c>
      <c r="I704" s="2">
        <v>46.24</v>
      </c>
      <c r="J704" s="2">
        <v>-25.59</v>
      </c>
      <c r="K704" s="2">
        <v>-46</v>
      </c>
      <c r="L704" s="2">
        <v>-12.52</v>
      </c>
      <c r="M704" s="2">
        <v>-29.45</v>
      </c>
      <c r="N704" s="2">
        <v>33.81</v>
      </c>
      <c r="O704" s="2">
        <v>33.33</v>
      </c>
      <c r="P704" s="2">
        <v>78.260000000000005</v>
      </c>
      <c r="Q704" s="2">
        <v>14.81</v>
      </c>
      <c r="R704" s="2">
        <v>16.64</v>
      </c>
      <c r="S704" s="2">
        <v>7.6</v>
      </c>
      <c r="T704" s="2">
        <v>65.22</v>
      </c>
      <c r="U704" s="2">
        <v>20.09</v>
      </c>
      <c r="V704" s="2">
        <v>32.159999999999997</v>
      </c>
      <c r="W704" s="2">
        <v>0</v>
      </c>
      <c r="X704" s="2">
        <v>13.6</v>
      </c>
      <c r="Y704" s="2">
        <v>13.07</v>
      </c>
      <c r="Z704" s="2">
        <v>0.48</v>
      </c>
      <c r="AA704" s="2">
        <v>0.56999999999999995</v>
      </c>
      <c r="AB704" s="2">
        <v>4.74</v>
      </c>
      <c r="AC704" s="2">
        <v>0</v>
      </c>
      <c r="AD704" s="2">
        <v>5.41</v>
      </c>
      <c r="AE704" s="2">
        <v>17.62</v>
      </c>
      <c r="AF704" s="2">
        <v>82.74</v>
      </c>
      <c r="AG704" s="2">
        <v>14.64</v>
      </c>
    </row>
    <row r="705" spans="1:33" x14ac:dyDescent="0.2">
      <c r="A705" s="3">
        <v>29372</v>
      </c>
      <c r="B705" s="2">
        <v>1.33</v>
      </c>
      <c r="C705" s="2">
        <v>31.3</v>
      </c>
      <c r="D705" s="2">
        <v>-21.63</v>
      </c>
      <c r="E705" s="2">
        <v>-51.46</v>
      </c>
      <c r="F705" s="2">
        <v>-24.41</v>
      </c>
      <c r="G705" s="2">
        <v>-50.73</v>
      </c>
      <c r="H705" s="2">
        <v>2.67</v>
      </c>
      <c r="I705" s="2">
        <v>45.13</v>
      </c>
      <c r="J705" s="2">
        <v>-7.5</v>
      </c>
      <c r="K705" s="2">
        <v>-6.61</v>
      </c>
      <c r="L705" s="2">
        <v>4.3499999999999996</v>
      </c>
      <c r="M705" s="2">
        <v>4.28</v>
      </c>
      <c r="N705" s="2">
        <v>43.08</v>
      </c>
      <c r="O705" s="2">
        <v>30.69</v>
      </c>
      <c r="P705" s="2">
        <v>71.36</v>
      </c>
      <c r="Q705" s="2">
        <v>12.9</v>
      </c>
      <c r="R705" s="2">
        <v>19.190000000000001</v>
      </c>
      <c r="S705" s="2">
        <v>10.76</v>
      </c>
      <c r="T705" s="2">
        <v>61.44</v>
      </c>
      <c r="U705" s="2">
        <v>11.02</v>
      </c>
      <c r="V705" s="2">
        <v>38.81</v>
      </c>
      <c r="W705" s="2">
        <v>4.88</v>
      </c>
      <c r="X705" s="2">
        <v>17.7</v>
      </c>
      <c r="Y705" s="2">
        <v>16.510000000000002</v>
      </c>
      <c r="Z705" s="2">
        <v>3.16</v>
      </c>
      <c r="AA705" s="2">
        <v>0.43</v>
      </c>
      <c r="AB705" s="2">
        <v>0.45</v>
      </c>
      <c r="AC705" s="2">
        <v>0</v>
      </c>
      <c r="AD705" s="2">
        <v>9.59</v>
      </c>
      <c r="AE705" s="2">
        <v>1.21</v>
      </c>
      <c r="AF705" s="2">
        <v>93.45</v>
      </c>
      <c r="AG705" s="2">
        <v>17.690000000000001</v>
      </c>
    </row>
    <row r="706" spans="1:33" x14ac:dyDescent="0.2">
      <c r="A706" s="3">
        <v>29402</v>
      </c>
      <c r="B706" s="2">
        <v>3.26</v>
      </c>
      <c r="C706" s="2">
        <v>32.53</v>
      </c>
      <c r="D706" s="2">
        <v>-5.47</v>
      </c>
      <c r="E706" s="2">
        <v>-19.28</v>
      </c>
      <c r="F706" s="2">
        <v>19.510000000000002</v>
      </c>
      <c r="G706" s="2">
        <v>-14.29</v>
      </c>
      <c r="H706" s="2">
        <v>13.7</v>
      </c>
      <c r="I706" s="2">
        <v>40.479999999999997</v>
      </c>
      <c r="J706" s="2">
        <v>-33.96</v>
      </c>
      <c r="K706" s="2">
        <v>-19.059999999999999</v>
      </c>
      <c r="L706" s="2">
        <v>-31.66</v>
      </c>
      <c r="M706" s="2">
        <v>-3.09</v>
      </c>
      <c r="N706" s="2">
        <v>20.190000000000001</v>
      </c>
      <c r="O706" s="2">
        <v>36.299999999999997</v>
      </c>
      <c r="P706" s="2">
        <v>70.290000000000006</v>
      </c>
      <c r="Q706" s="2">
        <v>14.75</v>
      </c>
      <c r="R706" s="2">
        <v>26.35</v>
      </c>
      <c r="S706" s="2">
        <v>24.64</v>
      </c>
      <c r="T706" s="2">
        <v>112.94</v>
      </c>
      <c r="U706" s="2">
        <v>8.89</v>
      </c>
      <c r="V706" s="2">
        <v>46.97</v>
      </c>
      <c r="W706" s="2">
        <v>18.62</v>
      </c>
      <c r="X706" s="2">
        <v>23.95</v>
      </c>
      <c r="Y706" s="2">
        <v>23.5</v>
      </c>
      <c r="Z706" s="2">
        <v>0</v>
      </c>
      <c r="AA706" s="2">
        <v>0</v>
      </c>
      <c r="AB706" s="2">
        <v>0</v>
      </c>
      <c r="AC706" s="2">
        <v>0</v>
      </c>
      <c r="AD706" s="2">
        <v>11.51</v>
      </c>
      <c r="AE706" s="2">
        <v>0</v>
      </c>
      <c r="AF706" s="2">
        <v>102.27</v>
      </c>
      <c r="AG706" s="2">
        <v>22.83</v>
      </c>
    </row>
    <row r="707" spans="1:33" x14ac:dyDescent="0.2">
      <c r="A707" s="3">
        <v>29433</v>
      </c>
      <c r="B707" s="2">
        <v>2.06</v>
      </c>
      <c r="C707" s="2">
        <v>29.65</v>
      </c>
      <c r="D707" s="2">
        <v>-5.01</v>
      </c>
      <c r="E707" s="2">
        <v>-12.24</v>
      </c>
      <c r="F707" s="2">
        <v>7.85</v>
      </c>
      <c r="G707" s="2">
        <v>10.49</v>
      </c>
      <c r="H707" s="2">
        <v>14.77</v>
      </c>
      <c r="I707" s="2">
        <v>45.24</v>
      </c>
      <c r="J707" s="2">
        <v>-26.71</v>
      </c>
      <c r="K707" s="2">
        <v>14.05</v>
      </c>
      <c r="L707" s="2">
        <v>-15.54</v>
      </c>
      <c r="M707" s="2">
        <v>-3.58</v>
      </c>
      <c r="N707" s="2">
        <v>59.68</v>
      </c>
      <c r="O707" s="2">
        <v>52.58</v>
      </c>
      <c r="P707" s="2">
        <v>102.16</v>
      </c>
      <c r="Q707" s="2">
        <v>18.2</v>
      </c>
      <c r="R707" s="2">
        <v>32.130000000000003</v>
      </c>
      <c r="S707" s="2">
        <v>58.94</v>
      </c>
      <c r="T707" s="2">
        <v>102.96</v>
      </c>
      <c r="U707" s="2">
        <v>14.29</v>
      </c>
      <c r="V707" s="2">
        <v>56.67</v>
      </c>
      <c r="W707" s="2">
        <v>30.39</v>
      </c>
      <c r="X707" s="2">
        <v>30.13</v>
      </c>
      <c r="Y707" s="2">
        <v>30.03</v>
      </c>
      <c r="Z707" s="2">
        <v>0</v>
      </c>
      <c r="AA707" s="2">
        <v>1.43</v>
      </c>
      <c r="AB707" s="2">
        <v>0</v>
      </c>
      <c r="AC707" s="2">
        <v>0</v>
      </c>
      <c r="AD707" s="2">
        <v>9.69</v>
      </c>
      <c r="AE707" s="2">
        <v>6.99</v>
      </c>
      <c r="AF707" s="2">
        <v>111.37</v>
      </c>
      <c r="AG707" s="2">
        <v>24.8</v>
      </c>
    </row>
    <row r="708" spans="1:33" x14ac:dyDescent="0.2">
      <c r="A708" s="3">
        <v>29464</v>
      </c>
      <c r="B708" s="2">
        <v>0.22</v>
      </c>
      <c r="C708" s="2">
        <v>28.08</v>
      </c>
      <c r="D708" s="2">
        <v>-11.51</v>
      </c>
      <c r="E708" s="2">
        <v>-26.65</v>
      </c>
      <c r="F708" s="2">
        <v>9.98</v>
      </c>
      <c r="G708" s="2">
        <v>19.86</v>
      </c>
      <c r="H708" s="2">
        <v>13.21</v>
      </c>
      <c r="I708" s="2">
        <v>44.94</v>
      </c>
      <c r="J708" s="2">
        <v>-11.45</v>
      </c>
      <c r="K708" s="2">
        <v>-4.42</v>
      </c>
      <c r="L708" s="2">
        <v>-23.24</v>
      </c>
      <c r="M708" s="2">
        <v>4.26</v>
      </c>
      <c r="N708" s="2">
        <v>38.53</v>
      </c>
      <c r="O708" s="2">
        <v>44.29</v>
      </c>
      <c r="P708" s="2">
        <v>80.61</v>
      </c>
      <c r="Q708" s="2">
        <v>13.06</v>
      </c>
      <c r="R708" s="2">
        <v>32.82</v>
      </c>
      <c r="S708" s="2">
        <v>25.38</v>
      </c>
      <c r="T708" s="2">
        <v>81.78</v>
      </c>
      <c r="U708" s="2">
        <v>20</v>
      </c>
      <c r="V708" s="2">
        <v>49.35</v>
      </c>
      <c r="W708" s="2">
        <v>31.47</v>
      </c>
      <c r="X708" s="2">
        <v>32.64</v>
      </c>
      <c r="Y708" s="2">
        <v>32.69</v>
      </c>
      <c r="Z708" s="2">
        <v>0</v>
      </c>
      <c r="AA708" s="2">
        <v>0.17</v>
      </c>
      <c r="AB708" s="2">
        <v>0</v>
      </c>
      <c r="AC708" s="2">
        <v>0</v>
      </c>
      <c r="AD708" s="2">
        <v>6.95</v>
      </c>
      <c r="AE708" s="2">
        <v>0</v>
      </c>
      <c r="AF708" s="2">
        <v>113.26</v>
      </c>
      <c r="AG708" s="2">
        <v>23.65</v>
      </c>
    </row>
    <row r="709" spans="1:33" x14ac:dyDescent="0.2">
      <c r="A709" s="3">
        <v>29494</v>
      </c>
      <c r="B709" s="2">
        <v>-2.02</v>
      </c>
      <c r="C709" s="2">
        <v>24.74</v>
      </c>
      <c r="D709" s="2">
        <v>-5.27</v>
      </c>
      <c r="E709" s="2">
        <v>-27.65</v>
      </c>
      <c r="F709" s="2">
        <v>-1.06</v>
      </c>
      <c r="G709" s="2">
        <v>10.23</v>
      </c>
      <c r="H709" s="2">
        <v>17.07</v>
      </c>
      <c r="I709" s="2">
        <v>53.15</v>
      </c>
      <c r="J709" s="2">
        <v>8.5299999999999994</v>
      </c>
      <c r="K709" s="2">
        <v>-0.52</v>
      </c>
      <c r="L709" s="2">
        <v>6.18</v>
      </c>
      <c r="M709" s="2">
        <v>22.05</v>
      </c>
      <c r="N709" s="2">
        <v>39.47</v>
      </c>
      <c r="O709" s="2">
        <v>26.21</v>
      </c>
      <c r="P709" s="2">
        <v>25.13</v>
      </c>
      <c r="Q709" s="2">
        <v>13.94</v>
      </c>
      <c r="R709" s="2">
        <v>26.62</v>
      </c>
      <c r="S709" s="2">
        <v>21.5</v>
      </c>
      <c r="T709" s="2">
        <v>19.45</v>
      </c>
      <c r="U709" s="2">
        <v>16.440000000000001</v>
      </c>
      <c r="V709" s="2">
        <v>25.16</v>
      </c>
      <c r="W709" s="2">
        <v>26.1</v>
      </c>
      <c r="X709" s="2">
        <v>30.78</v>
      </c>
      <c r="Y709" s="2">
        <v>30.61</v>
      </c>
      <c r="Z709" s="2">
        <v>0</v>
      </c>
      <c r="AA709" s="2">
        <v>0</v>
      </c>
      <c r="AB709" s="2">
        <v>0.28000000000000003</v>
      </c>
      <c r="AC709" s="2">
        <v>0</v>
      </c>
      <c r="AD709" s="2">
        <v>4.97</v>
      </c>
      <c r="AE709" s="2">
        <v>0</v>
      </c>
      <c r="AF709" s="2">
        <v>105.5</v>
      </c>
      <c r="AG709" s="2">
        <v>20.170000000000002</v>
      </c>
    </row>
    <row r="710" spans="1:33" x14ac:dyDescent="0.2">
      <c r="A710" s="3">
        <v>29525</v>
      </c>
      <c r="B710" s="2">
        <v>-2.73</v>
      </c>
      <c r="C710" s="2">
        <v>21.32</v>
      </c>
      <c r="D710" s="2">
        <v>-7.86</v>
      </c>
      <c r="E710" s="2">
        <v>-29.5</v>
      </c>
      <c r="F710" s="2">
        <v>-2.35</v>
      </c>
      <c r="G710" s="2">
        <v>8.69</v>
      </c>
      <c r="H710" s="2">
        <v>12.51</v>
      </c>
      <c r="I710" s="2">
        <v>48.25</v>
      </c>
      <c r="J710" s="2">
        <v>7.31</v>
      </c>
      <c r="K710" s="2">
        <v>-5.21</v>
      </c>
      <c r="L710" s="2">
        <v>2.6</v>
      </c>
      <c r="M710" s="2">
        <v>9.02</v>
      </c>
      <c r="N710" s="2">
        <v>27.91</v>
      </c>
      <c r="O710" s="2">
        <v>13.8</v>
      </c>
      <c r="P710" s="2">
        <v>53.77</v>
      </c>
      <c r="Q710" s="2">
        <v>-4.5199999999999996</v>
      </c>
      <c r="R710" s="2">
        <v>15.76</v>
      </c>
      <c r="S710" s="2">
        <v>-11.71</v>
      </c>
      <c r="T710" s="2">
        <v>25.04</v>
      </c>
      <c r="U710" s="2">
        <v>5.13</v>
      </c>
      <c r="V710" s="2">
        <v>28.61</v>
      </c>
      <c r="W710" s="2">
        <v>22.19</v>
      </c>
      <c r="X710" s="2">
        <v>28.32</v>
      </c>
      <c r="Y710" s="2">
        <v>28.11</v>
      </c>
      <c r="Z710" s="2">
        <v>0</v>
      </c>
      <c r="AA710" s="2">
        <v>0</v>
      </c>
      <c r="AB710" s="2">
        <v>0</v>
      </c>
      <c r="AC710" s="2">
        <v>1.58</v>
      </c>
      <c r="AD710" s="2">
        <v>2.4500000000000002</v>
      </c>
      <c r="AE710" s="2">
        <v>0.65</v>
      </c>
      <c r="AF710" s="2">
        <v>95.69</v>
      </c>
      <c r="AG710" s="2">
        <v>16.420000000000002</v>
      </c>
    </row>
    <row r="711" spans="1:33" x14ac:dyDescent="0.2">
      <c r="A711" s="3">
        <v>29555</v>
      </c>
      <c r="B711" s="2">
        <v>-0.56000000000000005</v>
      </c>
      <c r="C711" s="2">
        <v>18.68</v>
      </c>
      <c r="D711" s="2">
        <v>-2.27</v>
      </c>
      <c r="E711" s="2">
        <v>-7.16</v>
      </c>
      <c r="F711" s="2">
        <v>-2.48</v>
      </c>
      <c r="G711" s="2">
        <v>9.91</v>
      </c>
      <c r="H711" s="2">
        <v>13.25</v>
      </c>
      <c r="I711" s="2">
        <v>41.83</v>
      </c>
      <c r="J711" s="2">
        <v>6.19</v>
      </c>
      <c r="K711" s="2">
        <v>0.18</v>
      </c>
      <c r="L711" s="2">
        <v>-1.23</v>
      </c>
      <c r="M711" s="2">
        <v>-2.4500000000000002</v>
      </c>
      <c r="N711" s="2">
        <v>20.07</v>
      </c>
      <c r="O711" s="2">
        <v>25.7</v>
      </c>
      <c r="P711" s="2">
        <v>33.92</v>
      </c>
      <c r="Q711" s="2">
        <v>4.5999999999999996</v>
      </c>
      <c r="R711" s="2">
        <v>12.93</v>
      </c>
      <c r="S711" s="2">
        <v>-2.65</v>
      </c>
      <c r="T711" s="2">
        <v>15.94</v>
      </c>
      <c r="U711" s="2">
        <v>9.7200000000000006</v>
      </c>
      <c r="V711" s="2">
        <v>19.100000000000001</v>
      </c>
      <c r="W711" s="2">
        <v>15.43</v>
      </c>
      <c r="X711" s="2">
        <v>18.55</v>
      </c>
      <c r="Y711" s="2">
        <v>17.3</v>
      </c>
      <c r="Z711" s="2">
        <v>1.24</v>
      </c>
      <c r="AA711" s="2">
        <v>0</v>
      </c>
      <c r="AB711" s="2">
        <v>0.16</v>
      </c>
      <c r="AC711" s="2">
        <v>0.65</v>
      </c>
      <c r="AD711" s="2">
        <v>1.3</v>
      </c>
      <c r="AE711" s="2">
        <v>1.4</v>
      </c>
      <c r="AF711" s="2">
        <v>62.78</v>
      </c>
      <c r="AG711" s="2">
        <v>12.92</v>
      </c>
    </row>
    <row r="712" spans="1:33" x14ac:dyDescent="0.2">
      <c r="A712" s="3">
        <v>29586</v>
      </c>
      <c r="B712" s="2">
        <v>1.59</v>
      </c>
      <c r="C712" s="2">
        <v>25.2</v>
      </c>
      <c r="D712" s="2">
        <v>22.17</v>
      </c>
      <c r="E712" s="2">
        <v>49.73</v>
      </c>
      <c r="F712" s="2">
        <v>22.63</v>
      </c>
      <c r="G712" s="2">
        <v>37.840000000000003</v>
      </c>
      <c r="H712" s="2">
        <v>21.45</v>
      </c>
      <c r="I712" s="2">
        <v>42.38</v>
      </c>
      <c r="J712" s="2">
        <v>13.59</v>
      </c>
      <c r="K712" s="2">
        <v>3.01</v>
      </c>
      <c r="L712" s="2">
        <v>1.73</v>
      </c>
      <c r="M712" s="2">
        <v>4.58</v>
      </c>
      <c r="N712" s="2">
        <v>19.36</v>
      </c>
      <c r="O712" s="2">
        <v>33.5</v>
      </c>
      <c r="P712" s="2">
        <v>29.08</v>
      </c>
      <c r="Q712" s="2">
        <v>2.2599999999999998</v>
      </c>
      <c r="R712" s="2">
        <v>12.39</v>
      </c>
      <c r="S712" s="2">
        <v>1.24</v>
      </c>
      <c r="T712" s="2">
        <v>23.52</v>
      </c>
      <c r="U712" s="2">
        <v>8.7200000000000006</v>
      </c>
      <c r="V712" s="2">
        <v>3.26</v>
      </c>
      <c r="W712" s="2">
        <v>11.73</v>
      </c>
      <c r="X712" s="2">
        <v>15.82</v>
      </c>
      <c r="Y712" s="2">
        <v>15.78</v>
      </c>
      <c r="Z712" s="2">
        <v>0</v>
      </c>
      <c r="AA712" s="2">
        <v>0.28999999999999998</v>
      </c>
      <c r="AB712" s="2">
        <v>1.52</v>
      </c>
      <c r="AC712" s="2">
        <v>0.79</v>
      </c>
      <c r="AD712" s="2">
        <v>1.25</v>
      </c>
      <c r="AE712" s="2">
        <v>13.42</v>
      </c>
      <c r="AF712" s="2">
        <v>57.68</v>
      </c>
      <c r="AG712" s="2">
        <v>11.2</v>
      </c>
    </row>
    <row r="713" spans="1:33" x14ac:dyDescent="0.2">
      <c r="A713" s="3">
        <v>29617</v>
      </c>
      <c r="B713" s="2">
        <v>-1.68</v>
      </c>
      <c r="C713" s="2">
        <v>26.92</v>
      </c>
      <c r="D713" s="2">
        <v>34.36</v>
      </c>
      <c r="E713" s="2">
        <v>61.76</v>
      </c>
      <c r="F713" s="2">
        <v>42.94</v>
      </c>
      <c r="G713" s="2">
        <v>88.19</v>
      </c>
      <c r="H713" s="2">
        <v>18.16</v>
      </c>
      <c r="I713" s="2">
        <v>43.01</v>
      </c>
      <c r="J713" s="2">
        <v>45.46</v>
      </c>
      <c r="K713" s="2">
        <v>46.99</v>
      </c>
      <c r="L713" s="2">
        <v>19.84</v>
      </c>
      <c r="M713" s="2">
        <v>24.55</v>
      </c>
      <c r="N713" s="2">
        <v>45.7</v>
      </c>
      <c r="O713" s="2">
        <v>21.94</v>
      </c>
      <c r="P713" s="2">
        <v>67.180000000000007</v>
      </c>
      <c r="Q713" s="2">
        <v>-2.0299999999999998</v>
      </c>
      <c r="R713" s="2">
        <v>11.35</v>
      </c>
      <c r="S713" s="2">
        <v>29.84</v>
      </c>
      <c r="T713" s="2">
        <v>25.39</v>
      </c>
      <c r="U713" s="2">
        <v>9.41</v>
      </c>
      <c r="V713" s="2">
        <v>3.89</v>
      </c>
      <c r="W713" s="2">
        <v>4.26</v>
      </c>
      <c r="X713" s="2">
        <v>25.25</v>
      </c>
      <c r="Y713" s="2">
        <v>23.82</v>
      </c>
      <c r="Z713" s="2">
        <v>7.85</v>
      </c>
      <c r="AA713" s="2">
        <v>9.75</v>
      </c>
      <c r="AB713" s="2">
        <v>1.97</v>
      </c>
      <c r="AC713" s="2">
        <v>22.54</v>
      </c>
      <c r="AD713" s="2">
        <v>1.57</v>
      </c>
      <c r="AE713" s="2">
        <v>34.58</v>
      </c>
      <c r="AF713" s="2">
        <v>66.569999999999993</v>
      </c>
      <c r="AG713" s="2">
        <v>9.8800000000000008</v>
      </c>
    </row>
    <row r="714" spans="1:33" x14ac:dyDescent="0.2">
      <c r="A714" s="3">
        <v>29645</v>
      </c>
      <c r="B714" s="2">
        <v>1.61</v>
      </c>
      <c r="C714" s="2">
        <v>25.88</v>
      </c>
      <c r="D714" s="2">
        <v>-8.68</v>
      </c>
      <c r="E714" s="2">
        <v>-22.82</v>
      </c>
      <c r="F714" s="2">
        <v>-8.81</v>
      </c>
      <c r="G714" s="2">
        <v>-3.52</v>
      </c>
      <c r="H714" s="2">
        <v>6.1</v>
      </c>
      <c r="I714" s="2">
        <v>39.56</v>
      </c>
      <c r="J714" s="2">
        <v>-9.56</v>
      </c>
      <c r="K714" s="2">
        <v>-17.28</v>
      </c>
      <c r="L714" s="2">
        <v>-13.98</v>
      </c>
      <c r="M714" s="2">
        <v>-13.25</v>
      </c>
      <c r="N714" s="2">
        <v>8.57</v>
      </c>
      <c r="O714" s="2">
        <v>21.9</v>
      </c>
      <c r="P714" s="2">
        <v>19.46</v>
      </c>
      <c r="Q714" s="2">
        <v>0.08</v>
      </c>
      <c r="R714" s="2">
        <v>11.5</v>
      </c>
      <c r="S714" s="2">
        <v>14.06</v>
      </c>
      <c r="T714" s="2">
        <v>18.63</v>
      </c>
      <c r="U714" s="2">
        <v>9.18</v>
      </c>
      <c r="V714" s="2">
        <v>7.76</v>
      </c>
      <c r="W714" s="2">
        <v>0</v>
      </c>
      <c r="X714" s="2">
        <v>16.14</v>
      </c>
      <c r="Y714" s="2">
        <v>16.04</v>
      </c>
      <c r="Z714" s="2">
        <v>2.78</v>
      </c>
      <c r="AA714" s="2">
        <v>5.3</v>
      </c>
      <c r="AB714" s="2">
        <v>0.67</v>
      </c>
      <c r="AC714" s="2">
        <v>46.08</v>
      </c>
      <c r="AD714" s="2">
        <v>1.81</v>
      </c>
      <c r="AE714" s="2">
        <v>12.12</v>
      </c>
      <c r="AF714" s="2">
        <v>55.49</v>
      </c>
      <c r="AG714" s="2">
        <v>10.08</v>
      </c>
    </row>
    <row r="715" spans="1:33" x14ac:dyDescent="0.2">
      <c r="A715" s="3">
        <v>29676</v>
      </c>
      <c r="B715" s="2">
        <v>7.22</v>
      </c>
      <c r="C715" s="2">
        <v>27.7</v>
      </c>
      <c r="D715" s="2">
        <v>9.6999999999999993</v>
      </c>
      <c r="E715" s="2">
        <v>27.93</v>
      </c>
      <c r="F715" s="2">
        <v>26.13</v>
      </c>
      <c r="G715" s="2">
        <v>41.26</v>
      </c>
      <c r="H715" s="2">
        <v>19.78</v>
      </c>
      <c r="I715" s="2">
        <v>48.27</v>
      </c>
      <c r="J715" s="2">
        <v>24.62</v>
      </c>
      <c r="K715" s="2">
        <v>42.81</v>
      </c>
      <c r="L715" s="2">
        <v>4.12</v>
      </c>
      <c r="M715" s="2">
        <v>13.8</v>
      </c>
      <c r="N715" s="2">
        <v>49.51</v>
      </c>
      <c r="O715" s="2">
        <v>25.88</v>
      </c>
      <c r="P715" s="2">
        <v>91.32</v>
      </c>
      <c r="Q715" s="2">
        <v>-1.24</v>
      </c>
      <c r="R715" s="2">
        <v>6.91</v>
      </c>
      <c r="S715" s="2">
        <v>24.72</v>
      </c>
      <c r="T715" s="2">
        <v>54.09</v>
      </c>
      <c r="U715" s="2">
        <v>8.86</v>
      </c>
      <c r="V715" s="2">
        <v>24.23</v>
      </c>
      <c r="W715" s="2">
        <v>0</v>
      </c>
      <c r="X715" s="2">
        <v>19.34</v>
      </c>
      <c r="Y715" s="2">
        <v>18.260000000000002</v>
      </c>
      <c r="Z715" s="2">
        <v>10.1</v>
      </c>
      <c r="AA715" s="2">
        <v>29.25</v>
      </c>
      <c r="AB715" s="2">
        <v>3.68</v>
      </c>
      <c r="AC715" s="2">
        <v>21.68</v>
      </c>
      <c r="AD715" s="2">
        <v>3.34</v>
      </c>
      <c r="AE715" s="2">
        <v>29.18</v>
      </c>
      <c r="AF715" s="2">
        <v>65.48</v>
      </c>
      <c r="AG715" s="2">
        <v>10.69</v>
      </c>
    </row>
    <row r="716" spans="1:33" x14ac:dyDescent="0.2">
      <c r="A716" s="3">
        <v>29706</v>
      </c>
      <c r="B716" s="2">
        <v>4.7300000000000004</v>
      </c>
      <c r="C716" s="2">
        <v>19.010000000000002</v>
      </c>
      <c r="D716" s="2">
        <v>-5.29</v>
      </c>
      <c r="E716" s="2">
        <v>-27.78</v>
      </c>
      <c r="F716" s="2">
        <v>3.67</v>
      </c>
      <c r="G716" s="2">
        <v>-21.2</v>
      </c>
      <c r="H716" s="2">
        <v>4.99</v>
      </c>
      <c r="I716" s="2">
        <v>40.08</v>
      </c>
      <c r="J716" s="2">
        <v>-5.84</v>
      </c>
      <c r="K716" s="2">
        <v>-28.72</v>
      </c>
      <c r="L716" s="2">
        <v>9.7899999999999991</v>
      </c>
      <c r="M716" s="2">
        <v>-9.99</v>
      </c>
      <c r="N716" s="2">
        <v>15.35</v>
      </c>
      <c r="O716" s="2">
        <v>31.64</v>
      </c>
      <c r="P716" s="2">
        <v>28.74</v>
      </c>
      <c r="Q716" s="2">
        <v>3.02</v>
      </c>
      <c r="R716" s="2">
        <v>12.05</v>
      </c>
      <c r="S716" s="2">
        <v>3.93</v>
      </c>
      <c r="T716" s="2">
        <v>16.77</v>
      </c>
      <c r="U716" s="2">
        <v>15.2</v>
      </c>
      <c r="V716" s="2">
        <v>13.44</v>
      </c>
      <c r="W716" s="2">
        <v>0</v>
      </c>
      <c r="X716" s="2">
        <v>23.87</v>
      </c>
      <c r="Y716" s="2">
        <v>23.03</v>
      </c>
      <c r="Z716" s="2">
        <v>0.81</v>
      </c>
      <c r="AA716" s="2">
        <v>0</v>
      </c>
      <c r="AB716" s="2">
        <v>2.06</v>
      </c>
      <c r="AC716" s="2">
        <v>0.72</v>
      </c>
      <c r="AD716" s="2">
        <v>4.1500000000000004</v>
      </c>
      <c r="AE716" s="2">
        <v>2.42</v>
      </c>
      <c r="AF716" s="2">
        <v>81.03</v>
      </c>
      <c r="AG716" s="2">
        <v>14.64</v>
      </c>
    </row>
    <row r="717" spans="1:33" x14ac:dyDescent="0.2">
      <c r="A717" s="3">
        <v>29737</v>
      </c>
      <c r="B717" s="2">
        <v>4.51</v>
      </c>
      <c r="C717" s="2">
        <v>25.88</v>
      </c>
      <c r="D717" s="2">
        <v>-4.2699999999999996</v>
      </c>
      <c r="E717" s="2">
        <v>-7.22</v>
      </c>
      <c r="F717" s="2">
        <v>6.19</v>
      </c>
      <c r="G717" s="2">
        <v>2.56</v>
      </c>
      <c r="H717" s="2">
        <v>10.6</v>
      </c>
      <c r="I717" s="2">
        <v>38.840000000000003</v>
      </c>
      <c r="J717" s="2">
        <v>-11.07</v>
      </c>
      <c r="K717" s="2">
        <v>-13.48</v>
      </c>
      <c r="L717" s="2">
        <v>-8.14</v>
      </c>
      <c r="M717" s="2">
        <v>-1.9</v>
      </c>
      <c r="N717" s="2">
        <v>28.78</v>
      </c>
      <c r="O717" s="2">
        <v>33.71</v>
      </c>
      <c r="P717" s="2">
        <v>51.83</v>
      </c>
      <c r="Q717" s="2">
        <v>-1.79</v>
      </c>
      <c r="R717" s="2">
        <v>15.47</v>
      </c>
      <c r="S717" s="2">
        <v>16.23</v>
      </c>
      <c r="T717" s="2">
        <v>26.58</v>
      </c>
      <c r="U717" s="2">
        <v>10.48</v>
      </c>
      <c r="V717" s="2">
        <v>25.48</v>
      </c>
      <c r="W717" s="2">
        <v>4.88</v>
      </c>
      <c r="X717" s="2">
        <v>29.26</v>
      </c>
      <c r="Y717" s="2">
        <v>27.78</v>
      </c>
      <c r="Z717" s="2">
        <v>0</v>
      </c>
      <c r="AA717" s="2">
        <v>8.89</v>
      </c>
      <c r="AB717" s="2">
        <v>0.86</v>
      </c>
      <c r="AC717" s="2">
        <v>4.74</v>
      </c>
      <c r="AD717" s="2">
        <v>6.39</v>
      </c>
      <c r="AE717" s="2">
        <v>1.86</v>
      </c>
      <c r="AF717" s="2">
        <v>91.5</v>
      </c>
      <c r="AG717" s="2">
        <v>17.690000000000001</v>
      </c>
    </row>
    <row r="718" spans="1:33" x14ac:dyDescent="0.2">
      <c r="A718" s="3">
        <v>29767</v>
      </c>
      <c r="B718" s="2">
        <v>2.64</v>
      </c>
      <c r="C718" s="2">
        <v>23.35</v>
      </c>
      <c r="D718" s="2">
        <v>-12.72</v>
      </c>
      <c r="E718" s="2">
        <v>-11.21</v>
      </c>
      <c r="F718" s="2">
        <v>11.14</v>
      </c>
      <c r="G718" s="2">
        <v>2.35</v>
      </c>
      <c r="H718" s="2">
        <v>13.73</v>
      </c>
      <c r="I718" s="2">
        <v>36.200000000000003</v>
      </c>
      <c r="J718" s="2">
        <v>-12.2</v>
      </c>
      <c r="K718" s="2">
        <v>5.66</v>
      </c>
      <c r="L718" s="2">
        <v>3.69</v>
      </c>
      <c r="M718" s="2">
        <v>9.99</v>
      </c>
      <c r="N718" s="2">
        <v>43.35</v>
      </c>
      <c r="O718" s="2">
        <v>39.229999999999997</v>
      </c>
      <c r="P718" s="2">
        <v>76.97</v>
      </c>
      <c r="Q718" s="2">
        <v>9.6300000000000008</v>
      </c>
      <c r="R718" s="2">
        <v>20.34</v>
      </c>
      <c r="S718" s="2">
        <v>29.32</v>
      </c>
      <c r="T718" s="2">
        <v>51.58</v>
      </c>
      <c r="U718" s="2">
        <v>9.52</v>
      </c>
      <c r="V718" s="2">
        <v>42</v>
      </c>
      <c r="W718" s="2">
        <v>18.62</v>
      </c>
      <c r="X718" s="2">
        <v>36.619999999999997</v>
      </c>
      <c r="Y718" s="2">
        <v>35.770000000000003</v>
      </c>
      <c r="Z718" s="2">
        <v>0</v>
      </c>
      <c r="AA718" s="2">
        <v>0</v>
      </c>
      <c r="AB718" s="2">
        <v>0</v>
      </c>
      <c r="AC718" s="2">
        <v>0</v>
      </c>
      <c r="AD718" s="2">
        <v>9.7799999999999994</v>
      </c>
      <c r="AE718" s="2">
        <v>0</v>
      </c>
      <c r="AF718" s="2">
        <v>100.14</v>
      </c>
      <c r="AG718" s="2">
        <v>22.83</v>
      </c>
    </row>
    <row r="719" spans="1:33" x14ac:dyDescent="0.2">
      <c r="A719" s="3">
        <v>29798</v>
      </c>
      <c r="B719" s="2">
        <v>2.72</v>
      </c>
      <c r="C719" s="2">
        <v>21.92</v>
      </c>
      <c r="D719" s="2">
        <v>-10.18</v>
      </c>
      <c r="E719" s="2">
        <v>18.54</v>
      </c>
      <c r="F719" s="2">
        <v>42.36</v>
      </c>
      <c r="G719" s="2">
        <v>21.71</v>
      </c>
      <c r="H719" s="2">
        <v>24.08</v>
      </c>
      <c r="I719" s="2">
        <v>39.83</v>
      </c>
      <c r="J719" s="2">
        <v>-9.6</v>
      </c>
      <c r="K719" s="2">
        <v>1.71</v>
      </c>
      <c r="L719" s="2">
        <v>4.55</v>
      </c>
      <c r="M719" s="2">
        <v>13.75</v>
      </c>
      <c r="N719" s="2">
        <v>60.67</v>
      </c>
      <c r="O719" s="2">
        <v>47.13</v>
      </c>
      <c r="P719" s="2">
        <v>51.06</v>
      </c>
      <c r="Q719" s="2">
        <v>5.97</v>
      </c>
      <c r="R719" s="2">
        <v>16.95</v>
      </c>
      <c r="S719" s="2">
        <v>45.59</v>
      </c>
      <c r="T719" s="2">
        <v>50.11</v>
      </c>
      <c r="U719" s="2">
        <v>21.51</v>
      </c>
      <c r="V719" s="2">
        <v>51.06</v>
      </c>
      <c r="W719" s="2">
        <v>30.39</v>
      </c>
      <c r="X719" s="2">
        <v>43.92</v>
      </c>
      <c r="Y719" s="2">
        <v>43.48</v>
      </c>
      <c r="Z719" s="2">
        <v>0</v>
      </c>
      <c r="AA719" s="2">
        <v>0</v>
      </c>
      <c r="AB719" s="2">
        <v>0</v>
      </c>
      <c r="AC719" s="2">
        <v>0</v>
      </c>
      <c r="AD719" s="2">
        <v>11.34</v>
      </c>
      <c r="AE719" s="2">
        <v>0</v>
      </c>
      <c r="AF719" s="2">
        <v>109.06</v>
      </c>
      <c r="AG719" s="2">
        <v>24.8</v>
      </c>
    </row>
    <row r="720" spans="1:33" x14ac:dyDescent="0.2">
      <c r="A720" s="3">
        <v>29829</v>
      </c>
      <c r="B720" s="2">
        <v>1.27</v>
      </c>
      <c r="C720" s="2">
        <v>21.48</v>
      </c>
      <c r="D720" s="2">
        <v>-7.15</v>
      </c>
      <c r="E720" s="2">
        <v>-1.45</v>
      </c>
      <c r="F720" s="2">
        <v>1.65</v>
      </c>
      <c r="G720" s="2">
        <v>21.54</v>
      </c>
      <c r="H720" s="2">
        <v>14.97</v>
      </c>
      <c r="I720" s="2">
        <v>38.57</v>
      </c>
      <c r="J720" s="2">
        <v>-2.09</v>
      </c>
      <c r="K720" s="2">
        <v>6.16</v>
      </c>
      <c r="L720" s="2">
        <v>9</v>
      </c>
      <c r="M720" s="2">
        <v>11.09</v>
      </c>
      <c r="N720" s="2">
        <v>54.18</v>
      </c>
      <c r="O720" s="2">
        <v>38.49</v>
      </c>
      <c r="P720" s="2">
        <v>67.73</v>
      </c>
      <c r="Q720" s="2">
        <v>2.31</v>
      </c>
      <c r="R720" s="2">
        <v>16.52</v>
      </c>
      <c r="S720" s="2">
        <v>53.08</v>
      </c>
      <c r="T720" s="2">
        <v>55.99</v>
      </c>
      <c r="U720" s="2">
        <v>24.87</v>
      </c>
      <c r="V720" s="2">
        <v>42.07</v>
      </c>
      <c r="W720" s="2">
        <v>31.47</v>
      </c>
      <c r="X720" s="2">
        <v>46.69</v>
      </c>
      <c r="Y720" s="2">
        <v>46.34</v>
      </c>
      <c r="Z720" s="2">
        <v>0</v>
      </c>
      <c r="AA720" s="2">
        <v>2.96</v>
      </c>
      <c r="AB720" s="2">
        <v>0.06</v>
      </c>
      <c r="AC720" s="2">
        <v>0</v>
      </c>
      <c r="AD720" s="2">
        <v>7.03</v>
      </c>
      <c r="AE720" s="2">
        <v>0</v>
      </c>
      <c r="AF720" s="2">
        <v>110.91</v>
      </c>
      <c r="AG720" s="2">
        <v>23.65</v>
      </c>
    </row>
    <row r="721" spans="1:33" x14ac:dyDescent="0.2">
      <c r="A721" s="3">
        <v>29859</v>
      </c>
      <c r="B721" s="2">
        <v>-2.78</v>
      </c>
      <c r="C721" s="2">
        <v>18.62</v>
      </c>
      <c r="D721" s="2">
        <v>-16.100000000000001</v>
      </c>
      <c r="E721" s="2">
        <v>-31.03</v>
      </c>
      <c r="F721" s="2">
        <v>6.61</v>
      </c>
      <c r="G721" s="2">
        <v>8.6</v>
      </c>
      <c r="H721" s="2">
        <v>16.78</v>
      </c>
      <c r="I721" s="2">
        <v>46.54</v>
      </c>
      <c r="J721" s="2">
        <v>6.71</v>
      </c>
      <c r="K721" s="2">
        <v>-3.35</v>
      </c>
      <c r="L721" s="2">
        <v>0.46</v>
      </c>
      <c r="M721" s="2">
        <v>5.6</v>
      </c>
      <c r="N721" s="2">
        <v>32.380000000000003</v>
      </c>
      <c r="O721" s="2">
        <v>27.02</v>
      </c>
      <c r="P721" s="2">
        <v>34.21</v>
      </c>
      <c r="Q721" s="2">
        <v>6.4</v>
      </c>
      <c r="R721" s="2">
        <v>16.829999999999998</v>
      </c>
      <c r="S721" s="2">
        <v>-2.14</v>
      </c>
      <c r="T721" s="2">
        <v>17.77</v>
      </c>
      <c r="U721" s="2">
        <v>8.75</v>
      </c>
      <c r="V721" s="2">
        <v>17.37</v>
      </c>
      <c r="W721" s="2">
        <v>26.1</v>
      </c>
      <c r="X721" s="2">
        <v>43.89</v>
      </c>
      <c r="Y721" s="2">
        <v>43.35</v>
      </c>
      <c r="Z721" s="2">
        <v>0</v>
      </c>
      <c r="AA721" s="2">
        <v>5.74</v>
      </c>
      <c r="AB721" s="2">
        <v>0</v>
      </c>
      <c r="AC721" s="2">
        <v>0</v>
      </c>
      <c r="AD721" s="2">
        <v>4.17</v>
      </c>
      <c r="AE721" s="2">
        <v>0.19</v>
      </c>
      <c r="AF721" s="2">
        <v>103.31</v>
      </c>
      <c r="AG721" s="2">
        <v>20.170000000000002</v>
      </c>
    </row>
    <row r="722" spans="1:33" x14ac:dyDescent="0.2">
      <c r="A722" s="3">
        <v>29890</v>
      </c>
      <c r="B722" s="2">
        <v>-2.6</v>
      </c>
      <c r="C722" s="2">
        <v>17.11</v>
      </c>
      <c r="D722" s="2">
        <v>-5.2</v>
      </c>
      <c r="E722" s="2">
        <v>-9.5399999999999991</v>
      </c>
      <c r="F722" s="2">
        <v>10.56</v>
      </c>
      <c r="G722" s="2">
        <v>18.71</v>
      </c>
      <c r="H722" s="2">
        <v>16.239999999999998</v>
      </c>
      <c r="I722" s="2">
        <v>39.89</v>
      </c>
      <c r="J722" s="2">
        <v>12.54</v>
      </c>
      <c r="K722" s="2">
        <v>-5.07</v>
      </c>
      <c r="L722" s="2">
        <v>-0.09</v>
      </c>
      <c r="M722" s="2">
        <v>3.11</v>
      </c>
      <c r="N722" s="2">
        <v>17.29</v>
      </c>
      <c r="O722" s="2">
        <v>17.91</v>
      </c>
      <c r="P722" s="2">
        <v>57.86</v>
      </c>
      <c r="Q722" s="2">
        <v>-0.12</v>
      </c>
      <c r="R722" s="2">
        <v>6.36</v>
      </c>
      <c r="S722" s="2">
        <v>-7.61</v>
      </c>
      <c r="T722" s="2">
        <v>28.85</v>
      </c>
      <c r="U722" s="2">
        <v>1.34</v>
      </c>
      <c r="V722" s="2">
        <v>17.22</v>
      </c>
      <c r="W722" s="2">
        <v>22.19</v>
      </c>
      <c r="X722" s="2">
        <v>40.21</v>
      </c>
      <c r="Y722" s="2">
        <v>39.67</v>
      </c>
      <c r="Z722" s="2">
        <v>6.13</v>
      </c>
      <c r="AA722" s="2">
        <v>0.43</v>
      </c>
      <c r="AB722" s="2">
        <v>0.32</v>
      </c>
      <c r="AC722" s="2">
        <v>0</v>
      </c>
      <c r="AD722" s="2">
        <v>4.83</v>
      </c>
      <c r="AE722" s="2">
        <v>15.85</v>
      </c>
      <c r="AF722" s="2">
        <v>93.7</v>
      </c>
      <c r="AG722" s="2">
        <v>16.420000000000002</v>
      </c>
    </row>
    <row r="723" spans="1:33" x14ac:dyDescent="0.2">
      <c r="A723" s="3">
        <v>29920</v>
      </c>
      <c r="B723" s="2">
        <v>3.43</v>
      </c>
      <c r="C723" s="2">
        <v>32.270000000000003</v>
      </c>
      <c r="D723" s="2">
        <v>50.31</v>
      </c>
      <c r="E723" s="2">
        <v>126</v>
      </c>
      <c r="F723" s="2">
        <v>118.51</v>
      </c>
      <c r="G723" s="2">
        <v>130.82</v>
      </c>
      <c r="H723" s="2">
        <v>45.36</v>
      </c>
      <c r="I723" s="2">
        <v>49.14</v>
      </c>
      <c r="J723" s="2">
        <v>53.37</v>
      </c>
      <c r="K723" s="2">
        <v>41.33</v>
      </c>
      <c r="L723" s="2">
        <v>14.8</v>
      </c>
      <c r="M723" s="2">
        <v>21.25</v>
      </c>
      <c r="N723" s="2">
        <v>32.340000000000003</v>
      </c>
      <c r="O723" s="2">
        <v>26.21</v>
      </c>
      <c r="P723" s="2">
        <v>35.97</v>
      </c>
      <c r="Q723" s="2">
        <v>0.24</v>
      </c>
      <c r="R723" s="2">
        <v>7.72</v>
      </c>
      <c r="S723" s="2">
        <v>-0.56000000000000005</v>
      </c>
      <c r="T723" s="2">
        <v>24.47</v>
      </c>
      <c r="U723" s="2">
        <v>7.09</v>
      </c>
      <c r="V723" s="2">
        <v>8.9700000000000006</v>
      </c>
      <c r="W723" s="2">
        <v>15.43</v>
      </c>
      <c r="X723" s="2">
        <v>26.25</v>
      </c>
      <c r="Y723" s="2">
        <v>24.74</v>
      </c>
      <c r="Z723" s="2">
        <v>0</v>
      </c>
      <c r="AA723" s="2">
        <v>2.44</v>
      </c>
      <c r="AB723" s="2">
        <v>1.9</v>
      </c>
      <c r="AC723" s="2">
        <v>1.87</v>
      </c>
      <c r="AD723" s="2">
        <v>3.23</v>
      </c>
      <c r="AE723" s="2">
        <v>35.14</v>
      </c>
      <c r="AF723" s="2">
        <v>61.48</v>
      </c>
      <c r="AG723" s="2">
        <v>12.92</v>
      </c>
    </row>
    <row r="724" spans="1:33" x14ac:dyDescent="0.2">
      <c r="A724" s="3">
        <v>29951</v>
      </c>
      <c r="B724" s="2">
        <v>12.95</v>
      </c>
      <c r="C724" s="2">
        <v>37.520000000000003</v>
      </c>
      <c r="D724" s="2">
        <v>46.3</v>
      </c>
      <c r="E724" s="2">
        <v>147.09</v>
      </c>
      <c r="F724" s="2">
        <v>158.30000000000001</v>
      </c>
      <c r="G724" s="2">
        <v>128.82</v>
      </c>
      <c r="H724" s="2">
        <v>37.950000000000003</v>
      </c>
      <c r="I724" s="2">
        <v>52.17</v>
      </c>
      <c r="J724" s="2">
        <v>38.130000000000003</v>
      </c>
      <c r="K724" s="2">
        <v>3.31</v>
      </c>
      <c r="L724" s="2">
        <v>-0.01</v>
      </c>
      <c r="M724" s="2">
        <v>-1.32</v>
      </c>
      <c r="N724" s="2">
        <v>15.41</v>
      </c>
      <c r="O724" s="2">
        <v>24.13</v>
      </c>
      <c r="P724" s="2">
        <v>45.12</v>
      </c>
      <c r="Q724" s="2">
        <v>0.05</v>
      </c>
      <c r="R724" s="2">
        <v>8.3000000000000007</v>
      </c>
      <c r="S724" s="2">
        <v>3.22</v>
      </c>
      <c r="T724" s="2">
        <v>24.22</v>
      </c>
      <c r="U724" s="2">
        <v>7.8</v>
      </c>
      <c r="V724" s="2">
        <v>5.63</v>
      </c>
      <c r="W724" s="2">
        <v>11.73</v>
      </c>
      <c r="X724" s="2">
        <v>22.89</v>
      </c>
      <c r="Y724" s="2">
        <v>22.6</v>
      </c>
      <c r="Z724" s="2">
        <v>1.91</v>
      </c>
      <c r="AA724" s="2">
        <v>0</v>
      </c>
      <c r="AB724" s="2">
        <v>0.05</v>
      </c>
      <c r="AC724" s="2">
        <v>0</v>
      </c>
      <c r="AD724" s="2">
        <v>3.08</v>
      </c>
      <c r="AE724" s="2">
        <v>14.36</v>
      </c>
      <c r="AF724" s="2">
        <v>56.48</v>
      </c>
      <c r="AG724" s="2">
        <v>11.2</v>
      </c>
    </row>
    <row r="725" spans="1:33" x14ac:dyDescent="0.2">
      <c r="A725" s="3">
        <v>29982</v>
      </c>
      <c r="B725" s="2">
        <v>6.34</v>
      </c>
      <c r="C725" s="2">
        <v>33.96</v>
      </c>
      <c r="D725" s="2">
        <v>30.45</v>
      </c>
      <c r="E725" s="2">
        <v>17.89</v>
      </c>
      <c r="F725" s="2">
        <v>9.3699999999999992</v>
      </c>
      <c r="G725" s="2">
        <v>98.15</v>
      </c>
      <c r="H725" s="2">
        <v>12.32</v>
      </c>
      <c r="I725" s="2">
        <v>50.37</v>
      </c>
      <c r="J725" s="2">
        <v>46.41</v>
      </c>
      <c r="K725" s="2">
        <v>37.659999999999997</v>
      </c>
      <c r="L725" s="2">
        <v>21.77</v>
      </c>
      <c r="M725" s="2">
        <v>20.68</v>
      </c>
      <c r="N725" s="2">
        <v>39.93</v>
      </c>
      <c r="O725" s="2">
        <v>17.55</v>
      </c>
      <c r="P725" s="2">
        <v>49.65</v>
      </c>
      <c r="Q725" s="2">
        <v>-1.69</v>
      </c>
      <c r="R725" s="2">
        <v>11.18</v>
      </c>
      <c r="S725" s="2">
        <v>9.89</v>
      </c>
      <c r="T725" s="2">
        <v>17.34</v>
      </c>
      <c r="U725" s="2">
        <v>9.09</v>
      </c>
      <c r="V725" s="2">
        <v>8.3000000000000007</v>
      </c>
      <c r="W725" s="2">
        <v>4.26</v>
      </c>
      <c r="X725" s="2">
        <v>26.48</v>
      </c>
      <c r="Y725" s="2">
        <v>25.21</v>
      </c>
      <c r="Z725" s="2">
        <v>7.8</v>
      </c>
      <c r="AA725" s="2">
        <v>4.4400000000000004</v>
      </c>
      <c r="AB725" s="2">
        <v>1.1000000000000001</v>
      </c>
      <c r="AC725" s="2">
        <v>11.77</v>
      </c>
      <c r="AD725" s="2">
        <v>2.86</v>
      </c>
      <c r="AE725" s="2">
        <v>41.58</v>
      </c>
      <c r="AF725" s="2">
        <v>78.56</v>
      </c>
      <c r="AG725" s="2">
        <v>9.8800000000000008</v>
      </c>
    </row>
    <row r="726" spans="1:33" x14ac:dyDescent="0.2">
      <c r="A726" s="3">
        <v>30010</v>
      </c>
      <c r="B726" s="2">
        <v>13.65</v>
      </c>
      <c r="C726" s="2">
        <v>38.58</v>
      </c>
      <c r="D726" s="2">
        <v>2.98</v>
      </c>
      <c r="E726" s="2">
        <v>36.57</v>
      </c>
      <c r="F726" s="2">
        <v>60.88</v>
      </c>
      <c r="G726" s="2">
        <v>34.71</v>
      </c>
      <c r="H726" s="2">
        <v>20.83</v>
      </c>
      <c r="I726" s="2">
        <v>57.24</v>
      </c>
      <c r="J726" s="2">
        <v>33.049999999999997</v>
      </c>
      <c r="K726" s="2">
        <v>5.71</v>
      </c>
      <c r="L726" s="2">
        <v>32.03</v>
      </c>
      <c r="M726" s="2">
        <v>15.72</v>
      </c>
      <c r="N726" s="2">
        <v>24.14</v>
      </c>
      <c r="O726" s="2">
        <v>22.32</v>
      </c>
      <c r="P726" s="2">
        <v>11.56</v>
      </c>
      <c r="Q726" s="2">
        <v>0.76</v>
      </c>
      <c r="R726" s="2">
        <v>16.91</v>
      </c>
      <c r="S726" s="2">
        <v>-2.93</v>
      </c>
      <c r="T726" s="2">
        <v>1.57</v>
      </c>
      <c r="U726" s="2">
        <v>11.97</v>
      </c>
      <c r="V726" s="2">
        <v>19.87</v>
      </c>
      <c r="W726" s="2">
        <v>0</v>
      </c>
      <c r="X726" s="2">
        <v>17.2</v>
      </c>
      <c r="Y726" s="2">
        <v>17.329999999999998</v>
      </c>
      <c r="Z726" s="2">
        <v>4.3499999999999996</v>
      </c>
      <c r="AA726" s="2">
        <v>7.31</v>
      </c>
      <c r="AB726" s="2">
        <v>0.44</v>
      </c>
      <c r="AC726" s="2">
        <v>4.16</v>
      </c>
      <c r="AD726" s="2">
        <v>2.98</v>
      </c>
      <c r="AE726" s="2">
        <v>15.75</v>
      </c>
      <c r="AF726" s="2">
        <v>65.489999999999995</v>
      </c>
      <c r="AG726" s="2">
        <v>10.08</v>
      </c>
    </row>
    <row r="727" spans="1:33" x14ac:dyDescent="0.2">
      <c r="A727" s="3">
        <v>30041</v>
      </c>
      <c r="B727" s="2">
        <v>12.87</v>
      </c>
      <c r="C727" s="2">
        <v>35.54</v>
      </c>
      <c r="D727" s="2">
        <v>11.43</v>
      </c>
      <c r="E727" s="2">
        <v>-1.67</v>
      </c>
      <c r="F727" s="2">
        <v>-0.73</v>
      </c>
      <c r="G727" s="2">
        <v>22.9</v>
      </c>
      <c r="H727" s="2">
        <v>28.71</v>
      </c>
      <c r="I727" s="2">
        <v>66.540000000000006</v>
      </c>
      <c r="J727" s="2">
        <v>68.77</v>
      </c>
      <c r="K727" s="2">
        <v>79.239999999999995</v>
      </c>
      <c r="L727" s="2">
        <v>45.42</v>
      </c>
      <c r="M727" s="2">
        <v>56.92</v>
      </c>
      <c r="N727" s="2">
        <v>80.900000000000006</v>
      </c>
      <c r="O727" s="2">
        <v>26.04</v>
      </c>
      <c r="P727" s="2">
        <v>128.13999999999999</v>
      </c>
      <c r="Q727" s="2">
        <v>3.08</v>
      </c>
      <c r="R727" s="2">
        <v>7</v>
      </c>
      <c r="S727" s="2">
        <v>85.97</v>
      </c>
      <c r="T727" s="2">
        <v>74.510000000000005</v>
      </c>
      <c r="U727" s="2">
        <v>7.95</v>
      </c>
      <c r="V727" s="2">
        <v>26.94</v>
      </c>
      <c r="W727" s="2">
        <v>0</v>
      </c>
      <c r="X727" s="2">
        <v>20.59</v>
      </c>
      <c r="Y727" s="2">
        <v>19.670000000000002</v>
      </c>
      <c r="Z727" s="2">
        <v>12.87</v>
      </c>
      <c r="AA727" s="2">
        <v>6.17</v>
      </c>
      <c r="AB727" s="2">
        <v>1.38</v>
      </c>
      <c r="AC727" s="2">
        <v>15.14</v>
      </c>
      <c r="AD727" s="2">
        <v>4.79</v>
      </c>
      <c r="AE727" s="2">
        <v>28.32</v>
      </c>
      <c r="AF727" s="2">
        <v>77.28</v>
      </c>
      <c r="AG727" s="2">
        <v>10.69</v>
      </c>
    </row>
    <row r="728" spans="1:33" x14ac:dyDescent="0.2">
      <c r="A728" s="3">
        <v>30071</v>
      </c>
      <c r="B728" s="2">
        <v>16</v>
      </c>
      <c r="C728" s="2">
        <v>39.04</v>
      </c>
      <c r="D728" s="2">
        <v>6.86</v>
      </c>
      <c r="E728" s="2">
        <v>33.090000000000003</v>
      </c>
      <c r="F728" s="2">
        <v>116.81</v>
      </c>
      <c r="G728" s="2">
        <v>43.9</v>
      </c>
      <c r="H728" s="2">
        <v>28.51</v>
      </c>
      <c r="I728" s="2">
        <v>70.86</v>
      </c>
      <c r="J728" s="2">
        <v>52.78</v>
      </c>
      <c r="K728" s="2">
        <v>68.959999999999994</v>
      </c>
      <c r="L728" s="2">
        <v>23.28</v>
      </c>
      <c r="M728" s="2">
        <v>53.8</v>
      </c>
      <c r="N728" s="2">
        <v>125.67</v>
      </c>
      <c r="O728" s="2">
        <v>28.71</v>
      </c>
      <c r="P728" s="2">
        <v>129.57</v>
      </c>
      <c r="Q728" s="2">
        <v>16.72</v>
      </c>
      <c r="R728" s="2">
        <v>12.7</v>
      </c>
      <c r="S728" s="2">
        <v>58.61</v>
      </c>
      <c r="T728" s="2">
        <v>31.23</v>
      </c>
      <c r="U728" s="2">
        <v>14.75</v>
      </c>
      <c r="V728" s="2">
        <v>22.2</v>
      </c>
      <c r="W728" s="2">
        <v>0</v>
      </c>
      <c r="X728" s="2">
        <v>25.4</v>
      </c>
      <c r="Y728" s="2">
        <v>24.78</v>
      </c>
      <c r="Z728" s="2">
        <v>11.82</v>
      </c>
      <c r="AA728" s="2">
        <v>0.43</v>
      </c>
      <c r="AB728" s="2">
        <v>1.67</v>
      </c>
      <c r="AC728" s="2">
        <v>1.22</v>
      </c>
      <c r="AD728" s="2">
        <v>6.02</v>
      </c>
      <c r="AE728" s="2">
        <v>17.71</v>
      </c>
      <c r="AF728" s="2">
        <v>95.62</v>
      </c>
      <c r="AG728" s="2">
        <v>14.64</v>
      </c>
    </row>
    <row r="729" spans="1:33" x14ac:dyDescent="0.2">
      <c r="A729" s="3">
        <v>30102</v>
      </c>
      <c r="B729" s="2">
        <v>5.82</v>
      </c>
      <c r="C729" s="2">
        <v>24.78</v>
      </c>
      <c r="D729" s="2">
        <v>-24.14</v>
      </c>
      <c r="E729" s="2">
        <v>-84.29</v>
      </c>
      <c r="F729" s="2">
        <v>-114.89</v>
      </c>
      <c r="G729" s="2">
        <v>-82.96</v>
      </c>
      <c r="H729" s="2">
        <v>2.15</v>
      </c>
      <c r="I729" s="2">
        <v>52.13</v>
      </c>
      <c r="J729" s="2">
        <v>-13.27</v>
      </c>
      <c r="K729" s="2">
        <v>-38.869999999999997</v>
      </c>
      <c r="L729" s="2">
        <v>-8.24</v>
      </c>
      <c r="M729" s="2">
        <v>-0.85</v>
      </c>
      <c r="N729" s="2">
        <v>16.64</v>
      </c>
      <c r="O729" s="2">
        <v>38.33</v>
      </c>
      <c r="P729" s="2">
        <v>101.95</v>
      </c>
      <c r="Q729" s="2">
        <v>14.76</v>
      </c>
      <c r="R729" s="2">
        <v>26.41</v>
      </c>
      <c r="S729" s="2">
        <v>37</v>
      </c>
      <c r="T729" s="2">
        <v>58.63</v>
      </c>
      <c r="U729" s="2">
        <v>15.82</v>
      </c>
      <c r="V729" s="2">
        <v>31.96</v>
      </c>
      <c r="W729" s="2">
        <v>4.88</v>
      </c>
      <c r="X729" s="2">
        <v>31.02</v>
      </c>
      <c r="Y729" s="2">
        <v>29.74</v>
      </c>
      <c r="Z729" s="2">
        <v>0.91</v>
      </c>
      <c r="AA729" s="2">
        <v>3.58</v>
      </c>
      <c r="AB729" s="2">
        <v>0.04</v>
      </c>
      <c r="AC729" s="2">
        <v>0</v>
      </c>
      <c r="AD729" s="2">
        <v>8.85</v>
      </c>
      <c r="AE729" s="2">
        <v>0</v>
      </c>
      <c r="AF729" s="2">
        <v>107.99</v>
      </c>
      <c r="AG729" s="2">
        <v>17.690000000000001</v>
      </c>
    </row>
    <row r="730" spans="1:33" x14ac:dyDescent="0.2">
      <c r="A730" s="3">
        <v>30132</v>
      </c>
      <c r="B730" s="2">
        <v>3.99</v>
      </c>
      <c r="C730" s="2">
        <v>27.25</v>
      </c>
      <c r="D730" s="2">
        <v>-22.32</v>
      </c>
      <c r="E730" s="2">
        <v>-75.31</v>
      </c>
      <c r="F730" s="2">
        <v>-44.72</v>
      </c>
      <c r="G730" s="2">
        <v>-44.97</v>
      </c>
      <c r="H730" s="2">
        <v>-2.14</v>
      </c>
      <c r="I730" s="2">
        <v>35.840000000000003</v>
      </c>
      <c r="J730" s="2">
        <v>-48.23</v>
      </c>
      <c r="K730" s="2">
        <v>-47.94</v>
      </c>
      <c r="L730" s="2">
        <v>-11.21</v>
      </c>
      <c r="M730" s="2">
        <v>-34.47</v>
      </c>
      <c r="N730" s="2">
        <v>12.94</v>
      </c>
      <c r="O730" s="2">
        <v>34.97</v>
      </c>
      <c r="P730" s="2">
        <v>60.36</v>
      </c>
      <c r="Q730" s="2">
        <v>15.02</v>
      </c>
      <c r="R730" s="2">
        <v>30.81</v>
      </c>
      <c r="S730" s="2">
        <v>11.96</v>
      </c>
      <c r="T730" s="2">
        <v>89.31</v>
      </c>
      <c r="U730" s="2">
        <v>10.29</v>
      </c>
      <c r="V730" s="2">
        <v>39.6</v>
      </c>
      <c r="W730" s="2">
        <v>18.62</v>
      </c>
      <c r="X730" s="2">
        <v>38.54</v>
      </c>
      <c r="Y730" s="2">
        <v>37.97</v>
      </c>
      <c r="Z730" s="2">
        <v>0</v>
      </c>
      <c r="AA730" s="2">
        <v>0</v>
      </c>
      <c r="AB730" s="2">
        <v>0.11</v>
      </c>
      <c r="AC730" s="2">
        <v>0</v>
      </c>
      <c r="AD730" s="2">
        <v>12.25</v>
      </c>
      <c r="AE730" s="2">
        <v>1.4</v>
      </c>
      <c r="AF730" s="2">
        <v>118.19</v>
      </c>
      <c r="AG730" s="2">
        <v>22.83</v>
      </c>
    </row>
    <row r="731" spans="1:33" x14ac:dyDescent="0.2">
      <c r="A731" s="3">
        <v>30163</v>
      </c>
      <c r="B731" s="2">
        <v>2.8</v>
      </c>
      <c r="C731" s="2">
        <v>24.09</v>
      </c>
      <c r="D731" s="2">
        <v>-17.920000000000002</v>
      </c>
      <c r="E731" s="2">
        <v>-47.44</v>
      </c>
      <c r="F731" s="2">
        <v>-5.41</v>
      </c>
      <c r="G731" s="2">
        <v>-14.23</v>
      </c>
      <c r="H731" s="2">
        <v>9.1</v>
      </c>
      <c r="I731" s="2">
        <v>41.33</v>
      </c>
      <c r="J731" s="2">
        <v>-42.27</v>
      </c>
      <c r="K731" s="2">
        <v>-24.44</v>
      </c>
      <c r="L731" s="2">
        <v>6.43</v>
      </c>
      <c r="M731" s="2">
        <v>-4.1399999999999997</v>
      </c>
      <c r="N731" s="2">
        <v>29.02</v>
      </c>
      <c r="O731" s="2">
        <v>51</v>
      </c>
      <c r="P731" s="2">
        <v>80.67</v>
      </c>
      <c r="Q731" s="2">
        <v>12.86</v>
      </c>
      <c r="R731" s="2">
        <v>29.45</v>
      </c>
      <c r="S731" s="2">
        <v>50.18</v>
      </c>
      <c r="T731" s="2">
        <v>70.5</v>
      </c>
      <c r="U731" s="2">
        <v>16.8</v>
      </c>
      <c r="V731" s="2">
        <v>46.02</v>
      </c>
      <c r="W731" s="2">
        <v>30.39</v>
      </c>
      <c r="X731" s="2">
        <v>46.01</v>
      </c>
      <c r="Y731" s="2">
        <v>45.8</v>
      </c>
      <c r="Z731" s="2">
        <v>0</v>
      </c>
      <c r="AA731" s="2">
        <v>13.23</v>
      </c>
      <c r="AB731" s="2">
        <v>7.0000000000000007E-2</v>
      </c>
      <c r="AC731" s="2">
        <v>0</v>
      </c>
      <c r="AD731" s="2">
        <v>8.23</v>
      </c>
      <c r="AE731" s="2">
        <v>0</v>
      </c>
      <c r="AF731" s="2">
        <v>128.71</v>
      </c>
      <c r="AG731" s="2">
        <v>24.8</v>
      </c>
    </row>
    <row r="732" spans="1:33" x14ac:dyDescent="0.2">
      <c r="A732" s="3">
        <v>30194</v>
      </c>
      <c r="B732" s="2">
        <v>1.87</v>
      </c>
      <c r="C732" s="2">
        <v>23.44</v>
      </c>
      <c r="D732" s="2">
        <v>-11.82</v>
      </c>
      <c r="E732" s="2">
        <v>-23.52</v>
      </c>
      <c r="F732" s="2">
        <v>10.01</v>
      </c>
      <c r="G732" s="2">
        <v>13.96</v>
      </c>
      <c r="H732" s="2">
        <v>18.46</v>
      </c>
      <c r="I732" s="2">
        <v>48.75</v>
      </c>
      <c r="J732" s="2">
        <v>-17.03</v>
      </c>
      <c r="K732" s="2">
        <v>-9.5399999999999991</v>
      </c>
      <c r="L732" s="2">
        <v>-0.85</v>
      </c>
      <c r="M732" s="2">
        <v>-2.0299999999999998</v>
      </c>
      <c r="N732" s="2">
        <v>42.61</v>
      </c>
      <c r="O732" s="2">
        <v>40.880000000000003</v>
      </c>
      <c r="P732" s="2">
        <v>85.2</v>
      </c>
      <c r="Q732" s="2">
        <v>10.68</v>
      </c>
      <c r="R732" s="2">
        <v>30.65</v>
      </c>
      <c r="S732" s="2">
        <v>26.13</v>
      </c>
      <c r="T732" s="2">
        <v>75.099999999999994</v>
      </c>
      <c r="U732" s="2">
        <v>18.66</v>
      </c>
      <c r="V732" s="2">
        <v>43.54</v>
      </c>
      <c r="W732" s="2">
        <v>31.47</v>
      </c>
      <c r="X732" s="2">
        <v>48.79</v>
      </c>
      <c r="Y732" s="2">
        <v>48.72</v>
      </c>
      <c r="Z732" s="2">
        <v>0</v>
      </c>
      <c r="AA732" s="2">
        <v>0.7</v>
      </c>
      <c r="AB732" s="2">
        <v>0.48</v>
      </c>
      <c r="AC732" s="2">
        <v>0</v>
      </c>
      <c r="AD732" s="2">
        <v>6.49</v>
      </c>
      <c r="AE732" s="2">
        <v>0.09</v>
      </c>
      <c r="AF732" s="2">
        <v>130.88999999999999</v>
      </c>
      <c r="AG732" s="2">
        <v>23.65</v>
      </c>
    </row>
    <row r="733" spans="1:33" x14ac:dyDescent="0.2">
      <c r="A733" s="3">
        <v>30224</v>
      </c>
      <c r="B733" s="2">
        <v>0.82</v>
      </c>
      <c r="C733" s="2">
        <v>28.27</v>
      </c>
      <c r="D733" s="2">
        <v>-8.49</v>
      </c>
      <c r="E733" s="2">
        <v>-19.97</v>
      </c>
      <c r="F733" s="2">
        <v>3.41</v>
      </c>
      <c r="G733" s="2">
        <v>23.46</v>
      </c>
      <c r="H733" s="2">
        <v>21.38</v>
      </c>
      <c r="I733" s="2">
        <v>53.89</v>
      </c>
      <c r="J733" s="2">
        <v>15.49</v>
      </c>
      <c r="K733" s="2">
        <v>2.4500000000000002</v>
      </c>
      <c r="L733" s="2">
        <v>11.53</v>
      </c>
      <c r="M733" s="2">
        <v>18.21</v>
      </c>
      <c r="N733" s="2">
        <v>39.450000000000003</v>
      </c>
      <c r="O733" s="2">
        <v>26.67</v>
      </c>
      <c r="P733" s="2">
        <v>31.64</v>
      </c>
      <c r="Q733" s="2">
        <v>7.95</v>
      </c>
      <c r="R733" s="2">
        <v>20.350000000000001</v>
      </c>
      <c r="S733" s="2">
        <v>13.61</v>
      </c>
      <c r="T733" s="2">
        <v>18.86</v>
      </c>
      <c r="U733" s="2">
        <v>15.14</v>
      </c>
      <c r="V733" s="2">
        <v>22.97</v>
      </c>
      <c r="W733" s="2">
        <v>26.1</v>
      </c>
      <c r="X733" s="2">
        <v>45.82</v>
      </c>
      <c r="Y733" s="2">
        <v>45.54</v>
      </c>
      <c r="Z733" s="2">
        <v>2.06</v>
      </c>
      <c r="AA733" s="2">
        <v>2.78</v>
      </c>
      <c r="AB733" s="2">
        <v>1.03</v>
      </c>
      <c r="AC733" s="2">
        <v>0</v>
      </c>
      <c r="AD733" s="2">
        <v>5.08</v>
      </c>
      <c r="AE733" s="2">
        <v>9.69</v>
      </c>
      <c r="AF733" s="2">
        <v>121.92</v>
      </c>
      <c r="AG733" s="2">
        <v>20.170000000000002</v>
      </c>
    </row>
    <row r="734" spans="1:33" x14ac:dyDescent="0.2">
      <c r="A734" s="3">
        <v>30255</v>
      </c>
      <c r="B734" s="2">
        <v>1.41</v>
      </c>
      <c r="C734" s="2">
        <v>25.08</v>
      </c>
      <c r="D734" s="2">
        <v>-1.1200000000000001</v>
      </c>
      <c r="E734" s="2">
        <v>-7.31</v>
      </c>
      <c r="F734" s="2">
        <v>-4.37</v>
      </c>
      <c r="G734" s="2">
        <v>9.9700000000000006</v>
      </c>
      <c r="H734" s="2">
        <v>14.84</v>
      </c>
      <c r="I734" s="2">
        <v>52.53</v>
      </c>
      <c r="J734" s="2">
        <v>26.21</v>
      </c>
      <c r="K734" s="2">
        <v>2.96</v>
      </c>
      <c r="L734" s="2">
        <v>13.84</v>
      </c>
      <c r="M734" s="2">
        <v>18.05</v>
      </c>
      <c r="N734" s="2">
        <v>28.86</v>
      </c>
      <c r="O734" s="2">
        <v>19.579999999999998</v>
      </c>
      <c r="P734" s="2">
        <v>41.04</v>
      </c>
      <c r="Q734" s="2">
        <v>1.88</v>
      </c>
      <c r="R734" s="2">
        <v>12.64</v>
      </c>
      <c r="S734" s="2">
        <v>-9.42</v>
      </c>
      <c r="T734" s="2">
        <v>20.2</v>
      </c>
      <c r="U734" s="2">
        <v>8.19</v>
      </c>
      <c r="V734" s="2">
        <v>31.01</v>
      </c>
      <c r="W734" s="2">
        <v>22.19</v>
      </c>
      <c r="X734" s="2">
        <v>41.96</v>
      </c>
      <c r="Y734" s="2">
        <v>41.65</v>
      </c>
      <c r="Z734" s="2">
        <v>9.6199999999999992</v>
      </c>
      <c r="AA734" s="2">
        <v>0</v>
      </c>
      <c r="AB734" s="2">
        <v>4.03</v>
      </c>
      <c r="AC734" s="2">
        <v>9.19</v>
      </c>
      <c r="AD734" s="2">
        <v>3.22</v>
      </c>
      <c r="AE734" s="2">
        <v>13.89</v>
      </c>
      <c r="AF734" s="2">
        <v>110.59</v>
      </c>
      <c r="AG734" s="2">
        <v>16.420000000000002</v>
      </c>
    </row>
    <row r="735" spans="1:33" x14ac:dyDescent="0.2">
      <c r="A735" s="3">
        <v>30285</v>
      </c>
      <c r="B735" s="2">
        <v>4.2</v>
      </c>
      <c r="C735" s="2">
        <v>29.61</v>
      </c>
      <c r="D735" s="2">
        <v>31.84</v>
      </c>
      <c r="E735" s="2">
        <v>45.4</v>
      </c>
      <c r="F735" s="2">
        <v>42.59</v>
      </c>
      <c r="G735" s="2">
        <v>71.05</v>
      </c>
      <c r="H735" s="2">
        <v>32.24</v>
      </c>
      <c r="I735" s="2">
        <v>62.59</v>
      </c>
      <c r="J735" s="2">
        <v>44.5</v>
      </c>
      <c r="K735" s="2">
        <v>56.63</v>
      </c>
      <c r="L735" s="2">
        <v>-2</v>
      </c>
      <c r="M735" s="2">
        <v>16.34</v>
      </c>
      <c r="N735" s="2">
        <v>78.260000000000005</v>
      </c>
      <c r="O735" s="2">
        <v>28.08</v>
      </c>
      <c r="P735" s="2">
        <v>84.16</v>
      </c>
      <c r="Q735" s="2">
        <v>7.86</v>
      </c>
      <c r="R735" s="2">
        <v>13.39</v>
      </c>
      <c r="S735" s="2">
        <v>38.700000000000003</v>
      </c>
      <c r="T735" s="2">
        <v>34.4</v>
      </c>
      <c r="U735" s="2">
        <v>12.81</v>
      </c>
      <c r="V735" s="2">
        <v>24.68</v>
      </c>
      <c r="W735" s="2">
        <v>15.43</v>
      </c>
      <c r="X735" s="2">
        <v>27.51</v>
      </c>
      <c r="Y735" s="2">
        <v>26.18</v>
      </c>
      <c r="Z735" s="2">
        <v>4.59</v>
      </c>
      <c r="AA735" s="2">
        <v>1.91</v>
      </c>
      <c r="AB735" s="2">
        <v>9.2799999999999994</v>
      </c>
      <c r="AC735" s="2">
        <v>0</v>
      </c>
      <c r="AD735" s="2">
        <v>2.2999999999999998</v>
      </c>
      <c r="AE735" s="2">
        <v>32.909999999999997</v>
      </c>
      <c r="AF735" s="2">
        <v>72.56</v>
      </c>
      <c r="AG735" s="2">
        <v>12.92</v>
      </c>
    </row>
    <row r="736" spans="1:33" x14ac:dyDescent="0.2">
      <c r="A736" s="3">
        <v>30316</v>
      </c>
      <c r="B736" s="2">
        <v>8.81</v>
      </c>
      <c r="C736" s="2">
        <v>34.61</v>
      </c>
      <c r="D736" s="2">
        <v>31.4</v>
      </c>
      <c r="E736" s="2">
        <v>81.83</v>
      </c>
      <c r="F736" s="2">
        <v>89.83</v>
      </c>
      <c r="G736" s="2">
        <v>103.57</v>
      </c>
      <c r="H736" s="2">
        <v>25.56</v>
      </c>
      <c r="I736" s="2">
        <v>65.69</v>
      </c>
      <c r="J736" s="2">
        <v>61.08</v>
      </c>
      <c r="K736" s="2">
        <v>57.2</v>
      </c>
      <c r="L736" s="2">
        <v>32.96</v>
      </c>
      <c r="M736" s="2">
        <v>49.45</v>
      </c>
      <c r="N736" s="2">
        <v>112.13</v>
      </c>
      <c r="O736" s="2">
        <v>24.05</v>
      </c>
      <c r="P736" s="2">
        <v>76.849999999999994</v>
      </c>
      <c r="Q736" s="2">
        <v>10.33</v>
      </c>
      <c r="R736" s="2">
        <v>16.5</v>
      </c>
      <c r="S736" s="2">
        <v>8.41</v>
      </c>
      <c r="T736" s="2">
        <v>24.12</v>
      </c>
      <c r="U736" s="2">
        <v>12.95</v>
      </c>
      <c r="V736" s="2">
        <v>21.19</v>
      </c>
      <c r="W736" s="2">
        <v>11.73</v>
      </c>
      <c r="X736" s="2">
        <v>24.05</v>
      </c>
      <c r="Y736" s="2">
        <v>23.94</v>
      </c>
      <c r="Z736" s="2">
        <v>0</v>
      </c>
      <c r="AA736" s="2">
        <v>32.369999999999997</v>
      </c>
      <c r="AB736" s="2">
        <v>10.46</v>
      </c>
      <c r="AC736" s="2">
        <v>2.87</v>
      </c>
      <c r="AD736" s="2">
        <v>2.19</v>
      </c>
      <c r="AE736" s="2">
        <v>18.55</v>
      </c>
      <c r="AF736" s="2">
        <v>66.66</v>
      </c>
      <c r="AG736" s="2">
        <v>11.2</v>
      </c>
    </row>
    <row r="737" spans="1:33" x14ac:dyDescent="0.2">
      <c r="A737" s="3">
        <v>30347</v>
      </c>
      <c r="B737" s="2">
        <v>5.71</v>
      </c>
      <c r="C737" s="2">
        <v>42.68</v>
      </c>
      <c r="D737" s="2">
        <v>52.98</v>
      </c>
      <c r="E737" s="2">
        <v>102.87</v>
      </c>
      <c r="F737" s="2">
        <v>93.91</v>
      </c>
      <c r="G737" s="2">
        <v>131.26</v>
      </c>
      <c r="H737" s="2">
        <v>20.46</v>
      </c>
      <c r="I737" s="2">
        <v>58.48</v>
      </c>
      <c r="J737" s="2">
        <v>74.86</v>
      </c>
      <c r="K737" s="2">
        <v>77.739999999999995</v>
      </c>
      <c r="L737" s="2">
        <v>19.100000000000001</v>
      </c>
      <c r="M737" s="2">
        <v>43.74</v>
      </c>
      <c r="N737" s="2">
        <v>144.47999999999999</v>
      </c>
      <c r="O737" s="2">
        <v>22.68</v>
      </c>
      <c r="P737" s="2">
        <v>150.72</v>
      </c>
      <c r="Q737" s="2">
        <v>4.34</v>
      </c>
      <c r="R737" s="2">
        <v>24.18</v>
      </c>
      <c r="S737" s="2">
        <v>118.54</v>
      </c>
      <c r="T737" s="2">
        <v>84.59</v>
      </c>
      <c r="U737" s="2">
        <v>12.16</v>
      </c>
      <c r="V737" s="2">
        <v>25.51</v>
      </c>
      <c r="W737" s="2">
        <v>4.26</v>
      </c>
      <c r="X737" s="2">
        <v>15.71</v>
      </c>
      <c r="Y737" s="2">
        <v>14.57</v>
      </c>
      <c r="Z737" s="2">
        <v>13.83</v>
      </c>
      <c r="AA737" s="2">
        <v>3.83</v>
      </c>
      <c r="AB737" s="2">
        <v>8.83</v>
      </c>
      <c r="AC737" s="2">
        <v>11.7</v>
      </c>
      <c r="AD737" s="2">
        <v>2.1800000000000002</v>
      </c>
      <c r="AE737" s="2">
        <v>69.08</v>
      </c>
      <c r="AF737" s="2">
        <v>74.099999999999994</v>
      </c>
      <c r="AG737" s="2">
        <v>9.8800000000000008</v>
      </c>
    </row>
    <row r="738" spans="1:33" x14ac:dyDescent="0.2">
      <c r="A738" s="3">
        <v>30375</v>
      </c>
      <c r="B738" s="2">
        <v>23.96</v>
      </c>
      <c r="C738" s="2">
        <v>66.349999999999994</v>
      </c>
      <c r="D738" s="2">
        <v>78.010000000000005</v>
      </c>
      <c r="E738" s="2">
        <v>211.6</v>
      </c>
      <c r="F738" s="2">
        <v>213.76</v>
      </c>
      <c r="G738" s="2">
        <v>188.49</v>
      </c>
      <c r="H738" s="2">
        <v>36.409999999999997</v>
      </c>
      <c r="I738" s="2">
        <v>71.64</v>
      </c>
      <c r="J738" s="2">
        <v>65.739999999999995</v>
      </c>
      <c r="K738" s="2">
        <v>20.8</v>
      </c>
      <c r="L738" s="2">
        <v>3.87</v>
      </c>
      <c r="M738" s="2">
        <v>20.8</v>
      </c>
      <c r="N738" s="2">
        <v>144.91</v>
      </c>
      <c r="O738" s="2">
        <v>27.87</v>
      </c>
      <c r="P738" s="2">
        <v>93.65</v>
      </c>
      <c r="Q738" s="2">
        <v>13.72</v>
      </c>
      <c r="R738" s="2">
        <v>32.43</v>
      </c>
      <c r="S738" s="2">
        <v>111.03</v>
      </c>
      <c r="T738" s="2">
        <v>95.89</v>
      </c>
      <c r="U738" s="2">
        <v>16.239999999999998</v>
      </c>
      <c r="V738" s="2">
        <v>29.23</v>
      </c>
      <c r="W738" s="2">
        <v>0</v>
      </c>
      <c r="X738" s="2">
        <v>8.25</v>
      </c>
      <c r="Y738" s="2">
        <v>8.59</v>
      </c>
      <c r="Z738" s="2">
        <v>13.11</v>
      </c>
      <c r="AA738" s="2">
        <v>17.75</v>
      </c>
      <c r="AB738" s="2">
        <v>10.06</v>
      </c>
      <c r="AC738" s="2">
        <v>6.53</v>
      </c>
      <c r="AD738" s="2">
        <v>2.35</v>
      </c>
      <c r="AE738" s="2">
        <v>40.36</v>
      </c>
      <c r="AF738" s="2">
        <v>61.77</v>
      </c>
      <c r="AG738" s="2">
        <v>10.08</v>
      </c>
    </row>
    <row r="739" spans="1:33" x14ac:dyDescent="0.2">
      <c r="A739" s="3">
        <v>30406</v>
      </c>
      <c r="B739" s="2">
        <v>40.020000000000003</v>
      </c>
      <c r="C739" s="2">
        <v>94.1</v>
      </c>
      <c r="D739" s="2">
        <v>91.14</v>
      </c>
      <c r="E739" s="2">
        <v>284.95999999999998</v>
      </c>
      <c r="F739" s="2">
        <v>309.05</v>
      </c>
      <c r="G739" s="2">
        <v>205.95</v>
      </c>
      <c r="H739" s="2">
        <v>33.92</v>
      </c>
      <c r="I739" s="2">
        <v>88.39</v>
      </c>
      <c r="J739" s="2">
        <v>80.03</v>
      </c>
      <c r="K739" s="2">
        <v>87.4</v>
      </c>
      <c r="L739" s="2">
        <v>58.55</v>
      </c>
      <c r="M739" s="2">
        <v>63.37</v>
      </c>
      <c r="N739" s="2">
        <v>228.16</v>
      </c>
      <c r="O739" s="2">
        <v>32.299999999999997</v>
      </c>
      <c r="P739" s="2">
        <v>166.1</v>
      </c>
      <c r="Q739" s="2">
        <v>16.2</v>
      </c>
      <c r="R739" s="2">
        <v>36.15</v>
      </c>
      <c r="S739" s="2">
        <v>165.87</v>
      </c>
      <c r="T739" s="2">
        <v>194.1</v>
      </c>
      <c r="U739" s="2">
        <v>17.43</v>
      </c>
      <c r="V739" s="2">
        <v>46.75</v>
      </c>
      <c r="W739" s="2">
        <v>0</v>
      </c>
      <c r="X739" s="2">
        <v>10.029999999999999</v>
      </c>
      <c r="Y739" s="2">
        <v>9.24</v>
      </c>
      <c r="Z739" s="2">
        <v>24.98</v>
      </c>
      <c r="AA739" s="2">
        <v>28.37</v>
      </c>
      <c r="AB739" s="2">
        <v>7.49</v>
      </c>
      <c r="AC739" s="2">
        <v>19.309999999999999</v>
      </c>
      <c r="AD739" s="2">
        <v>4.1500000000000004</v>
      </c>
      <c r="AE739" s="2">
        <v>59.66</v>
      </c>
      <c r="AF739" s="2">
        <v>72.89</v>
      </c>
      <c r="AG739" s="2">
        <v>10.69</v>
      </c>
    </row>
    <row r="740" spans="1:33" x14ac:dyDescent="0.2">
      <c r="A740" s="3">
        <v>30436</v>
      </c>
      <c r="B740" s="2">
        <v>18.760000000000002</v>
      </c>
      <c r="C740" s="2">
        <v>43.64</v>
      </c>
      <c r="D740" s="2">
        <v>-62.83</v>
      </c>
      <c r="E740" s="2">
        <v>-227.35</v>
      </c>
      <c r="F740" s="2">
        <v>-154.49</v>
      </c>
      <c r="G740" s="2">
        <v>-195.55</v>
      </c>
      <c r="H740" s="2">
        <v>17.8</v>
      </c>
      <c r="I740" s="2">
        <v>78.650000000000006</v>
      </c>
      <c r="J740" s="2">
        <v>5.93</v>
      </c>
      <c r="K740" s="2">
        <v>-35.68</v>
      </c>
      <c r="L740" s="2">
        <v>47.25</v>
      </c>
      <c r="M740" s="2">
        <v>8.23</v>
      </c>
      <c r="N740" s="2">
        <v>74.03</v>
      </c>
      <c r="O740" s="2">
        <v>41.68</v>
      </c>
      <c r="P740" s="2">
        <v>91.09</v>
      </c>
      <c r="Q740" s="2">
        <v>27.81</v>
      </c>
      <c r="R740" s="2">
        <v>42.22</v>
      </c>
      <c r="S740" s="2">
        <v>62.76</v>
      </c>
      <c r="T740" s="2">
        <v>165.01</v>
      </c>
      <c r="U740" s="2">
        <v>23.94</v>
      </c>
      <c r="V740" s="2">
        <v>48.8</v>
      </c>
      <c r="W740" s="2">
        <v>0</v>
      </c>
      <c r="X740" s="2">
        <v>12.31</v>
      </c>
      <c r="Y740" s="2">
        <v>11.89</v>
      </c>
      <c r="Z740" s="2">
        <v>3.83</v>
      </c>
      <c r="AA740" s="2">
        <v>0</v>
      </c>
      <c r="AB740" s="2">
        <v>1.85</v>
      </c>
      <c r="AC740" s="2">
        <v>17.73</v>
      </c>
      <c r="AD740" s="2">
        <v>5.59</v>
      </c>
      <c r="AE740" s="2">
        <v>36.36</v>
      </c>
      <c r="AF740" s="2">
        <v>90.19</v>
      </c>
      <c r="AG740" s="2">
        <v>14.64</v>
      </c>
    </row>
    <row r="741" spans="1:33" x14ac:dyDescent="0.2">
      <c r="A741" s="3">
        <v>30467</v>
      </c>
      <c r="B741" s="2">
        <v>17.649999999999999</v>
      </c>
      <c r="C741" s="2">
        <v>45.72</v>
      </c>
      <c r="D741" s="2">
        <v>-37.96</v>
      </c>
      <c r="E741" s="2">
        <v>-97.39</v>
      </c>
      <c r="F741" s="2">
        <v>-64.819999999999993</v>
      </c>
      <c r="G741" s="2">
        <v>-76.95</v>
      </c>
      <c r="H741" s="2">
        <v>19.29</v>
      </c>
      <c r="I741" s="2">
        <v>71.58</v>
      </c>
      <c r="J741" s="2">
        <v>-3.3</v>
      </c>
      <c r="K741" s="2">
        <v>-32.46</v>
      </c>
      <c r="L741" s="2">
        <v>22.25</v>
      </c>
      <c r="M741" s="2">
        <v>12.94</v>
      </c>
      <c r="N741" s="2">
        <v>45.12</v>
      </c>
      <c r="O741" s="2">
        <v>44.37</v>
      </c>
      <c r="P741" s="2">
        <v>95.06</v>
      </c>
      <c r="Q741" s="2">
        <v>30.8</v>
      </c>
      <c r="R741" s="2">
        <v>35.67</v>
      </c>
      <c r="S741" s="2">
        <v>55.18</v>
      </c>
      <c r="T741" s="2">
        <v>213.76</v>
      </c>
      <c r="U741" s="2">
        <v>16.39</v>
      </c>
      <c r="V741" s="2">
        <v>62.44</v>
      </c>
      <c r="W741" s="2">
        <v>4.88</v>
      </c>
      <c r="X741" s="2">
        <v>16.27</v>
      </c>
      <c r="Y741" s="2">
        <v>15.16</v>
      </c>
      <c r="Z741" s="2">
        <v>0</v>
      </c>
      <c r="AA741" s="2">
        <v>0</v>
      </c>
      <c r="AB741" s="2">
        <v>0</v>
      </c>
      <c r="AC741" s="2">
        <v>1.36</v>
      </c>
      <c r="AD741" s="2">
        <v>9.99</v>
      </c>
      <c r="AE741" s="2">
        <v>1.4</v>
      </c>
      <c r="AF741" s="2">
        <v>101.86</v>
      </c>
      <c r="AG741" s="2">
        <v>17.690000000000001</v>
      </c>
    </row>
    <row r="742" spans="1:33" x14ac:dyDescent="0.2">
      <c r="A742" s="3">
        <v>30497</v>
      </c>
      <c r="B742" s="2">
        <v>11.51</v>
      </c>
      <c r="C742" s="2">
        <v>42.07</v>
      </c>
      <c r="D742" s="2">
        <v>-26.78</v>
      </c>
      <c r="E742" s="2">
        <v>-99.57</v>
      </c>
      <c r="F742" s="2">
        <v>-41.79</v>
      </c>
      <c r="G742" s="2">
        <v>-42.44</v>
      </c>
      <c r="H742" s="2">
        <v>8.81</v>
      </c>
      <c r="I742" s="2">
        <v>57.68</v>
      </c>
      <c r="J742" s="2">
        <v>-12.84</v>
      </c>
      <c r="K742" s="2">
        <v>13.25</v>
      </c>
      <c r="L742" s="2">
        <v>-20.62</v>
      </c>
      <c r="M742" s="2">
        <v>-2.98</v>
      </c>
      <c r="N742" s="2">
        <v>82.45</v>
      </c>
      <c r="O742" s="2">
        <v>60.72</v>
      </c>
      <c r="P742" s="2">
        <v>158</v>
      </c>
      <c r="Q742" s="2">
        <v>33.5</v>
      </c>
      <c r="R742" s="2">
        <v>42.89</v>
      </c>
      <c r="S742" s="2">
        <v>51.32</v>
      </c>
      <c r="T742" s="2">
        <v>259.61</v>
      </c>
      <c r="U742" s="2">
        <v>16.39</v>
      </c>
      <c r="V742" s="2">
        <v>66.510000000000005</v>
      </c>
      <c r="W742" s="2">
        <v>18.62</v>
      </c>
      <c r="X742" s="2">
        <v>22.38</v>
      </c>
      <c r="Y742" s="2">
        <v>22.05</v>
      </c>
      <c r="Z742" s="2">
        <v>0</v>
      </c>
      <c r="AA742" s="2">
        <v>0</v>
      </c>
      <c r="AB742" s="2">
        <v>0.11</v>
      </c>
      <c r="AC742" s="2">
        <v>0</v>
      </c>
      <c r="AD742" s="2">
        <v>13.58</v>
      </c>
      <c r="AE742" s="2">
        <v>0</v>
      </c>
      <c r="AF742" s="2">
        <v>111.47</v>
      </c>
      <c r="AG742" s="2">
        <v>22.83</v>
      </c>
    </row>
    <row r="743" spans="1:33" x14ac:dyDescent="0.2">
      <c r="A743" s="3">
        <v>30528</v>
      </c>
      <c r="B743" s="2">
        <v>8.5299999999999994</v>
      </c>
      <c r="C743" s="2">
        <v>36.15</v>
      </c>
      <c r="D743" s="2">
        <v>-21.68</v>
      </c>
      <c r="E743" s="2">
        <v>-83.68</v>
      </c>
      <c r="F743" s="2">
        <v>-44.38</v>
      </c>
      <c r="G743" s="2">
        <v>-24.7</v>
      </c>
      <c r="H743" s="2">
        <v>2.97</v>
      </c>
      <c r="I743" s="2">
        <v>59.73</v>
      </c>
      <c r="J743" s="2">
        <v>-28.23</v>
      </c>
      <c r="K743" s="2">
        <v>-28.77</v>
      </c>
      <c r="L743" s="2">
        <v>-1.28</v>
      </c>
      <c r="M743" s="2">
        <v>-7.3</v>
      </c>
      <c r="N743" s="2">
        <v>48.97</v>
      </c>
      <c r="O743" s="2">
        <v>58.12</v>
      </c>
      <c r="P743" s="2">
        <v>88.59</v>
      </c>
      <c r="Q743" s="2">
        <v>26.78</v>
      </c>
      <c r="R743" s="2">
        <v>41.18</v>
      </c>
      <c r="S743" s="2">
        <v>50</v>
      </c>
      <c r="T743" s="2">
        <v>213.16</v>
      </c>
      <c r="U743" s="2">
        <v>22.72</v>
      </c>
      <c r="V743" s="2">
        <v>69.989999999999995</v>
      </c>
      <c r="W743" s="2">
        <v>30.39</v>
      </c>
      <c r="X743" s="2">
        <v>28.41</v>
      </c>
      <c r="Y743" s="2">
        <v>28.41</v>
      </c>
      <c r="Z743" s="2">
        <v>0</v>
      </c>
      <c r="AA743" s="2">
        <v>0</v>
      </c>
      <c r="AB743" s="2">
        <v>0</v>
      </c>
      <c r="AC743" s="2">
        <v>0</v>
      </c>
      <c r="AD743" s="2">
        <v>14.66</v>
      </c>
      <c r="AE743" s="2">
        <v>0</v>
      </c>
      <c r="AF743" s="2">
        <v>121.4</v>
      </c>
      <c r="AG743" s="2">
        <v>24.8</v>
      </c>
    </row>
    <row r="744" spans="1:33" x14ac:dyDescent="0.2">
      <c r="A744" s="3">
        <v>30559</v>
      </c>
      <c r="B744" s="2">
        <v>7.22</v>
      </c>
      <c r="C744" s="2">
        <v>34.630000000000003</v>
      </c>
      <c r="D744" s="2">
        <v>-17.14</v>
      </c>
      <c r="E744" s="2">
        <v>-60.48</v>
      </c>
      <c r="F744" s="2">
        <v>-23.47</v>
      </c>
      <c r="G744" s="2">
        <v>1.46</v>
      </c>
      <c r="H744" s="2">
        <v>8.3800000000000008</v>
      </c>
      <c r="I744" s="2">
        <v>58.53</v>
      </c>
      <c r="J744" s="2">
        <v>-34.200000000000003</v>
      </c>
      <c r="K744" s="2">
        <v>-56.93</v>
      </c>
      <c r="L744" s="2">
        <v>-25.98</v>
      </c>
      <c r="M744" s="2">
        <v>-23.04</v>
      </c>
      <c r="N744" s="2">
        <v>28.68</v>
      </c>
      <c r="O744" s="2">
        <v>43.43</v>
      </c>
      <c r="P744" s="2">
        <v>52.2</v>
      </c>
      <c r="Q744" s="2">
        <v>18.170000000000002</v>
      </c>
      <c r="R744" s="2">
        <v>36.53</v>
      </c>
      <c r="S744" s="2">
        <v>30.05</v>
      </c>
      <c r="T744" s="2">
        <v>79.290000000000006</v>
      </c>
      <c r="U744" s="2">
        <v>21.83</v>
      </c>
      <c r="V744" s="2">
        <v>46.77</v>
      </c>
      <c r="W744" s="2">
        <v>31.47</v>
      </c>
      <c r="X744" s="2">
        <v>30.88</v>
      </c>
      <c r="Y744" s="2">
        <v>31.05</v>
      </c>
      <c r="Z744" s="2">
        <v>2.78</v>
      </c>
      <c r="AA744" s="2">
        <v>53.08</v>
      </c>
      <c r="AB744" s="2">
        <v>6.32</v>
      </c>
      <c r="AC744" s="2">
        <v>0</v>
      </c>
      <c r="AD744" s="2">
        <v>10.87</v>
      </c>
      <c r="AE744" s="2">
        <v>0.19</v>
      </c>
      <c r="AF744" s="2">
        <v>123.46</v>
      </c>
      <c r="AG744" s="2">
        <v>23.65</v>
      </c>
    </row>
    <row r="745" spans="1:33" x14ac:dyDescent="0.2">
      <c r="A745" s="3">
        <v>30589</v>
      </c>
      <c r="B745" s="2">
        <v>5.33</v>
      </c>
      <c r="C745" s="2">
        <v>36.71</v>
      </c>
      <c r="D745" s="2">
        <v>-14.67</v>
      </c>
      <c r="E745" s="2">
        <v>-43.8</v>
      </c>
      <c r="F745" s="2">
        <v>-15.84</v>
      </c>
      <c r="G745" s="2">
        <v>-2.7</v>
      </c>
      <c r="H745" s="2">
        <v>14.64</v>
      </c>
      <c r="I745" s="2">
        <v>66.430000000000007</v>
      </c>
      <c r="J745" s="2">
        <v>-1.1599999999999999</v>
      </c>
      <c r="K745" s="2">
        <v>-6.7</v>
      </c>
      <c r="L745" s="2">
        <v>-5.09</v>
      </c>
      <c r="M745" s="2">
        <v>15.18</v>
      </c>
      <c r="N745" s="2">
        <v>58.46</v>
      </c>
      <c r="O745" s="2">
        <v>34.58</v>
      </c>
      <c r="P745" s="2">
        <v>36.93</v>
      </c>
      <c r="Q745" s="2">
        <v>17.13</v>
      </c>
      <c r="R745" s="2">
        <v>29.23</v>
      </c>
      <c r="S745" s="2">
        <v>19.22</v>
      </c>
      <c r="T745" s="2">
        <v>40.85</v>
      </c>
      <c r="U745" s="2">
        <v>20.41</v>
      </c>
      <c r="V745" s="2">
        <v>33.28</v>
      </c>
      <c r="W745" s="2">
        <v>26.1</v>
      </c>
      <c r="X745" s="2">
        <v>29.12</v>
      </c>
      <c r="Y745" s="2">
        <v>29.06</v>
      </c>
      <c r="Z745" s="2">
        <v>0.24</v>
      </c>
      <c r="AA745" s="2">
        <v>13.05</v>
      </c>
      <c r="AB745" s="2">
        <v>1.01</v>
      </c>
      <c r="AC745" s="2">
        <v>3.09</v>
      </c>
      <c r="AD745" s="2">
        <v>8.84</v>
      </c>
      <c r="AE745" s="2">
        <v>4.57</v>
      </c>
      <c r="AF745" s="2">
        <v>115</v>
      </c>
      <c r="AG745" s="2">
        <v>20.170000000000002</v>
      </c>
    </row>
    <row r="746" spans="1:33" x14ac:dyDescent="0.2">
      <c r="A746" s="3">
        <v>30620</v>
      </c>
      <c r="B746" s="2">
        <v>4.1100000000000003</v>
      </c>
      <c r="C746" s="2">
        <v>31.23</v>
      </c>
      <c r="D746" s="2">
        <v>-7.53</v>
      </c>
      <c r="E746" s="2">
        <v>-30.69</v>
      </c>
      <c r="F746" s="2">
        <v>-32.869999999999997</v>
      </c>
      <c r="G746" s="2">
        <v>0.52</v>
      </c>
      <c r="H746" s="2">
        <v>14.89</v>
      </c>
      <c r="I746" s="2">
        <v>61.63</v>
      </c>
      <c r="J746" s="2">
        <v>3.93</v>
      </c>
      <c r="K746" s="2">
        <v>-2.5299999999999998</v>
      </c>
      <c r="L746" s="2">
        <v>4.41</v>
      </c>
      <c r="M746" s="2">
        <v>14.9</v>
      </c>
      <c r="N746" s="2">
        <v>42.87</v>
      </c>
      <c r="O746" s="2">
        <v>25.79</v>
      </c>
      <c r="P746" s="2">
        <v>37.96</v>
      </c>
      <c r="Q746" s="2">
        <v>11.13</v>
      </c>
      <c r="R746" s="2">
        <v>20.399999999999999</v>
      </c>
      <c r="S746" s="2">
        <v>3.98</v>
      </c>
      <c r="T746" s="2">
        <v>25.39</v>
      </c>
      <c r="U746" s="2">
        <v>12.1</v>
      </c>
      <c r="V746" s="2">
        <v>34.46</v>
      </c>
      <c r="W746" s="2">
        <v>22.19</v>
      </c>
      <c r="X746" s="2">
        <v>26.81</v>
      </c>
      <c r="Y746" s="2">
        <v>26.7</v>
      </c>
      <c r="Z746" s="2">
        <v>4.6900000000000004</v>
      </c>
      <c r="AA746" s="2">
        <v>0</v>
      </c>
      <c r="AB746" s="2">
        <v>0.44</v>
      </c>
      <c r="AC746" s="2">
        <v>14.43</v>
      </c>
      <c r="AD746" s="2">
        <v>3.75</v>
      </c>
      <c r="AE746" s="2">
        <v>7.27</v>
      </c>
      <c r="AF746" s="2">
        <v>104.31</v>
      </c>
      <c r="AG746" s="2">
        <v>16.420000000000002</v>
      </c>
    </row>
    <row r="747" spans="1:33" x14ac:dyDescent="0.2">
      <c r="A747" s="3">
        <v>30650</v>
      </c>
      <c r="B747" s="2">
        <v>9.2200000000000006</v>
      </c>
      <c r="C747" s="2">
        <v>41.77</v>
      </c>
      <c r="D747" s="2">
        <v>60.9</v>
      </c>
      <c r="E747" s="2">
        <v>97.83</v>
      </c>
      <c r="F747" s="2">
        <v>93.35</v>
      </c>
      <c r="G747" s="2">
        <v>147.75</v>
      </c>
      <c r="H747" s="2">
        <v>44.27</v>
      </c>
      <c r="I747" s="2">
        <v>80.62</v>
      </c>
      <c r="J747" s="2">
        <v>44.66</v>
      </c>
      <c r="K747" s="2">
        <v>17.64</v>
      </c>
      <c r="L747" s="2">
        <v>-4.07</v>
      </c>
      <c r="M747" s="2">
        <v>-2.34</v>
      </c>
      <c r="N747" s="2">
        <v>52.26</v>
      </c>
      <c r="O747" s="2">
        <v>33.46</v>
      </c>
      <c r="P747" s="2">
        <v>33.36</v>
      </c>
      <c r="Q747" s="2">
        <v>8.0500000000000007</v>
      </c>
      <c r="R747" s="2">
        <v>15.76</v>
      </c>
      <c r="S747" s="2">
        <v>40.17</v>
      </c>
      <c r="T747" s="2">
        <v>33.270000000000003</v>
      </c>
      <c r="U747" s="2">
        <v>16</v>
      </c>
      <c r="V747" s="2">
        <v>26.98</v>
      </c>
      <c r="W747" s="2">
        <v>15.43</v>
      </c>
      <c r="X747" s="2">
        <v>17.66</v>
      </c>
      <c r="Y747" s="2">
        <v>16.489999999999998</v>
      </c>
      <c r="Z747" s="2">
        <v>6.75</v>
      </c>
      <c r="AA747" s="2">
        <v>0</v>
      </c>
      <c r="AB747" s="2">
        <v>2.86</v>
      </c>
      <c r="AC747" s="2">
        <v>6.89</v>
      </c>
      <c r="AD747" s="2">
        <v>2.12</v>
      </c>
      <c r="AE747" s="2">
        <v>49.03</v>
      </c>
      <c r="AF747" s="2">
        <v>68.44</v>
      </c>
      <c r="AG747" s="2">
        <v>12.92</v>
      </c>
    </row>
    <row r="748" spans="1:33" x14ac:dyDescent="0.2">
      <c r="A748" s="3">
        <v>30681</v>
      </c>
      <c r="B748" s="2">
        <v>19.489999999999998</v>
      </c>
      <c r="C748" s="2">
        <v>69.680000000000007</v>
      </c>
      <c r="D748" s="2">
        <v>97.25</v>
      </c>
      <c r="E748" s="2">
        <v>242.53</v>
      </c>
      <c r="F748" s="2">
        <v>247.28</v>
      </c>
      <c r="G748" s="2">
        <v>226.95</v>
      </c>
      <c r="H748" s="2">
        <v>39.28</v>
      </c>
      <c r="I748" s="2">
        <v>77.55</v>
      </c>
      <c r="J748" s="2">
        <v>74.58</v>
      </c>
      <c r="K748" s="2">
        <v>63.96</v>
      </c>
      <c r="L748" s="2">
        <v>54.82</v>
      </c>
      <c r="M748" s="2">
        <v>51.49</v>
      </c>
      <c r="N748" s="2">
        <v>100.85</v>
      </c>
      <c r="O748" s="2">
        <v>30.28</v>
      </c>
      <c r="P748" s="2">
        <v>83.44</v>
      </c>
      <c r="Q748" s="2">
        <v>8.5</v>
      </c>
      <c r="R748" s="2">
        <v>17.13</v>
      </c>
      <c r="S748" s="2">
        <v>43.51</v>
      </c>
      <c r="T748" s="2">
        <v>37.450000000000003</v>
      </c>
      <c r="U748" s="2">
        <v>16.239999999999998</v>
      </c>
      <c r="V748" s="2">
        <v>27.39</v>
      </c>
      <c r="W748" s="2">
        <v>11.73</v>
      </c>
      <c r="X748" s="2">
        <v>15</v>
      </c>
      <c r="Y748" s="2">
        <v>15.04</v>
      </c>
      <c r="Z748" s="2">
        <v>4.16</v>
      </c>
      <c r="AA748" s="2">
        <v>14.62</v>
      </c>
      <c r="AB748" s="2">
        <v>4.0599999999999996</v>
      </c>
      <c r="AC748" s="2">
        <v>0</v>
      </c>
      <c r="AD748" s="2">
        <v>1.96</v>
      </c>
      <c r="AE748" s="2">
        <v>35.700000000000003</v>
      </c>
      <c r="AF748" s="2">
        <v>62.88</v>
      </c>
      <c r="AG748" s="2">
        <v>11.2</v>
      </c>
    </row>
    <row r="749" spans="1:33" x14ac:dyDescent="0.2">
      <c r="A749" s="3">
        <v>30712</v>
      </c>
      <c r="B749" s="2">
        <v>9.93</v>
      </c>
      <c r="C749" s="2">
        <v>39.01</v>
      </c>
      <c r="D749" s="2">
        <v>-33.22</v>
      </c>
      <c r="E749" s="2">
        <v>-130.30000000000001</v>
      </c>
      <c r="F749" s="2">
        <v>-105.55</v>
      </c>
      <c r="G749" s="2">
        <v>-53.04</v>
      </c>
      <c r="H749" s="2">
        <v>0.2</v>
      </c>
      <c r="I749" s="2">
        <v>60.45</v>
      </c>
      <c r="J749" s="2">
        <v>1.79</v>
      </c>
      <c r="K749" s="2">
        <v>1.75</v>
      </c>
      <c r="L749" s="2">
        <v>30.5</v>
      </c>
      <c r="M749" s="2">
        <v>19.53</v>
      </c>
      <c r="N749" s="2">
        <v>56.08</v>
      </c>
      <c r="O749" s="2">
        <v>24.55</v>
      </c>
      <c r="P749" s="2">
        <v>-2.5299999999999998</v>
      </c>
      <c r="Q749" s="2">
        <v>13.55</v>
      </c>
      <c r="R749" s="2">
        <v>19.95</v>
      </c>
      <c r="S749" s="2">
        <v>-3.38</v>
      </c>
      <c r="T749" s="2">
        <v>17.48</v>
      </c>
      <c r="U749" s="2">
        <v>17.829999999999998</v>
      </c>
      <c r="V749" s="2">
        <v>24.14</v>
      </c>
      <c r="W749" s="2">
        <v>4.26</v>
      </c>
      <c r="X749" s="2">
        <v>13.17</v>
      </c>
      <c r="Y749" s="2">
        <v>11.75</v>
      </c>
      <c r="Z749" s="2">
        <v>0</v>
      </c>
      <c r="AA749" s="2">
        <v>5.4</v>
      </c>
      <c r="AB749" s="2">
        <v>0</v>
      </c>
      <c r="AC749" s="2">
        <v>20.74</v>
      </c>
      <c r="AD749" s="2">
        <v>1.82</v>
      </c>
      <c r="AE749" s="2">
        <v>1.58</v>
      </c>
      <c r="AF749" s="2">
        <v>72.7</v>
      </c>
      <c r="AG749" s="2">
        <v>9.8800000000000008</v>
      </c>
    </row>
    <row r="750" spans="1:33" x14ac:dyDescent="0.2">
      <c r="A750" s="3">
        <v>30741</v>
      </c>
      <c r="B750" s="2">
        <v>3.62</v>
      </c>
      <c r="C750" s="2">
        <v>30.48</v>
      </c>
      <c r="D750" s="2">
        <v>-27.91</v>
      </c>
      <c r="E750" s="2">
        <v>-98.24</v>
      </c>
      <c r="F750" s="2">
        <v>-69.319999999999993</v>
      </c>
      <c r="G750" s="2">
        <v>-82.82</v>
      </c>
      <c r="H750" s="2">
        <v>2.31</v>
      </c>
      <c r="I750" s="2">
        <v>54.4</v>
      </c>
      <c r="J750" s="2">
        <v>-25.74</v>
      </c>
      <c r="K750" s="2">
        <v>-39.94</v>
      </c>
      <c r="L750" s="2">
        <v>-36.43</v>
      </c>
      <c r="M750" s="2">
        <v>-17.18</v>
      </c>
      <c r="N750" s="2">
        <v>6.44</v>
      </c>
      <c r="O750" s="2">
        <v>27.54</v>
      </c>
      <c r="P750" s="2">
        <v>-49.38</v>
      </c>
      <c r="Q750" s="2">
        <v>2.4</v>
      </c>
      <c r="R750" s="2">
        <v>21.42</v>
      </c>
      <c r="S750" s="2">
        <v>-3.52</v>
      </c>
      <c r="T750" s="2">
        <v>14.53</v>
      </c>
      <c r="U750" s="2">
        <v>20.77</v>
      </c>
      <c r="V750" s="2">
        <v>23.83</v>
      </c>
      <c r="W750" s="2">
        <v>0</v>
      </c>
      <c r="X750" s="2">
        <v>6.06</v>
      </c>
      <c r="Y750" s="2">
        <v>5.94</v>
      </c>
      <c r="Z750" s="2">
        <v>0.1</v>
      </c>
      <c r="AA750" s="2">
        <v>0</v>
      </c>
      <c r="AB750" s="2">
        <v>0.27</v>
      </c>
      <c r="AC750" s="2">
        <v>19.670000000000002</v>
      </c>
      <c r="AD750" s="2">
        <v>2.0699999999999998</v>
      </c>
      <c r="AE750" s="2">
        <v>13.42</v>
      </c>
      <c r="AF750" s="2">
        <v>60.6</v>
      </c>
      <c r="AG750" s="2">
        <v>10.08</v>
      </c>
    </row>
    <row r="751" spans="1:33" x14ac:dyDescent="0.2">
      <c r="A751" s="3">
        <v>30772</v>
      </c>
      <c r="B751" s="2">
        <v>6.91</v>
      </c>
      <c r="C751" s="2">
        <v>28.93</v>
      </c>
      <c r="D751" s="2">
        <v>-12.4</v>
      </c>
      <c r="E751" s="2">
        <v>-41.38</v>
      </c>
      <c r="F751" s="2">
        <v>-17.18</v>
      </c>
      <c r="G751" s="2">
        <v>-41.08</v>
      </c>
      <c r="H751" s="2">
        <v>13.01</v>
      </c>
      <c r="I751" s="2">
        <v>57.86</v>
      </c>
      <c r="J751" s="2">
        <v>-10.94</v>
      </c>
      <c r="K751" s="2">
        <v>-9.08</v>
      </c>
      <c r="L751" s="2">
        <v>-28.48</v>
      </c>
      <c r="M751" s="2">
        <v>-11.47</v>
      </c>
      <c r="N751" s="2">
        <v>48.76</v>
      </c>
      <c r="O751" s="2">
        <v>42.05</v>
      </c>
      <c r="P751" s="2">
        <v>45.85</v>
      </c>
      <c r="Q751" s="2">
        <v>2.96</v>
      </c>
      <c r="R751" s="2">
        <v>9.2200000000000006</v>
      </c>
      <c r="S751" s="2">
        <v>3.72</v>
      </c>
      <c r="T751" s="2">
        <v>28.33</v>
      </c>
      <c r="U751" s="2">
        <v>11.75</v>
      </c>
      <c r="V751" s="2">
        <v>25.23</v>
      </c>
      <c r="W751" s="2">
        <v>0</v>
      </c>
      <c r="X751" s="2">
        <v>7.43</v>
      </c>
      <c r="Y751" s="2">
        <v>6.38</v>
      </c>
      <c r="Z751" s="2">
        <v>0.38</v>
      </c>
      <c r="AA751" s="2">
        <v>0</v>
      </c>
      <c r="AB751" s="2">
        <v>0.2</v>
      </c>
      <c r="AC751" s="2">
        <v>37.47</v>
      </c>
      <c r="AD751" s="2">
        <v>3.92</v>
      </c>
      <c r="AE751" s="2">
        <v>8.1999999999999993</v>
      </c>
      <c r="AF751" s="2">
        <v>71.510000000000005</v>
      </c>
      <c r="AG751" s="2">
        <v>10.69</v>
      </c>
    </row>
    <row r="752" spans="1:33" x14ac:dyDescent="0.2">
      <c r="A752" s="3">
        <v>30802</v>
      </c>
      <c r="B752" s="2">
        <v>2.7</v>
      </c>
      <c r="C752" s="2">
        <v>29.24</v>
      </c>
      <c r="D752" s="2">
        <v>-10.17</v>
      </c>
      <c r="E752" s="2">
        <v>-38.950000000000003</v>
      </c>
      <c r="F752" s="2">
        <v>-34.74</v>
      </c>
      <c r="G752" s="2">
        <v>-37.950000000000003</v>
      </c>
      <c r="H752" s="2">
        <v>3.1</v>
      </c>
      <c r="I752" s="2">
        <v>55.84</v>
      </c>
      <c r="J752" s="2">
        <v>-31.71</v>
      </c>
      <c r="K752" s="2">
        <v>-30.25</v>
      </c>
      <c r="L752" s="2">
        <v>-40.69</v>
      </c>
      <c r="M752" s="2">
        <v>-24.66</v>
      </c>
      <c r="N752" s="2">
        <v>33.380000000000003</v>
      </c>
      <c r="O752" s="2">
        <v>39.549999999999997</v>
      </c>
      <c r="P752" s="2">
        <v>8.82</v>
      </c>
      <c r="Q752" s="2">
        <v>4.38</v>
      </c>
      <c r="R752" s="2">
        <v>25.11</v>
      </c>
      <c r="S752" s="2">
        <v>5.0199999999999996</v>
      </c>
      <c r="T752" s="2">
        <v>15.69</v>
      </c>
      <c r="U752" s="2">
        <v>19.97</v>
      </c>
      <c r="V752" s="2">
        <v>16.21</v>
      </c>
      <c r="W752" s="2">
        <v>0</v>
      </c>
      <c r="X752" s="2">
        <v>9.15</v>
      </c>
      <c r="Y752" s="2">
        <v>8.33</v>
      </c>
      <c r="Z752" s="2">
        <v>0</v>
      </c>
      <c r="AA752" s="2">
        <v>0</v>
      </c>
      <c r="AB752" s="2">
        <v>0.04</v>
      </c>
      <c r="AC752" s="2">
        <v>5.74</v>
      </c>
      <c r="AD752" s="2">
        <v>4.18</v>
      </c>
      <c r="AE752" s="2">
        <v>5.22</v>
      </c>
      <c r="AF752" s="2">
        <v>88.49</v>
      </c>
      <c r="AG752" s="2">
        <v>14.64</v>
      </c>
    </row>
    <row r="753" spans="1:33" x14ac:dyDescent="0.2">
      <c r="A753" s="3">
        <v>30833</v>
      </c>
      <c r="B753" s="2">
        <v>2.65</v>
      </c>
      <c r="C753" s="2">
        <v>20.51</v>
      </c>
      <c r="D753" s="2">
        <v>-11.85</v>
      </c>
      <c r="E753" s="2">
        <v>-21.5</v>
      </c>
      <c r="F753" s="2">
        <v>-12.82</v>
      </c>
      <c r="G753" s="2">
        <v>-17.91</v>
      </c>
      <c r="H753" s="2">
        <v>9.51</v>
      </c>
      <c r="I753" s="2">
        <v>37.590000000000003</v>
      </c>
      <c r="J753" s="2">
        <v>-21.88</v>
      </c>
      <c r="K753" s="2">
        <v>-10.11</v>
      </c>
      <c r="L753" s="2">
        <v>-16.47</v>
      </c>
      <c r="M753" s="2">
        <v>-2.78</v>
      </c>
      <c r="N753" s="2">
        <v>38.06</v>
      </c>
      <c r="O753" s="2">
        <v>32.549999999999997</v>
      </c>
      <c r="P753" s="2">
        <v>46.49</v>
      </c>
      <c r="Q753" s="2">
        <v>4.1399999999999997</v>
      </c>
      <c r="R753" s="2">
        <v>17.149999999999999</v>
      </c>
      <c r="S753" s="2">
        <v>8.42</v>
      </c>
      <c r="T753" s="2">
        <v>23.45</v>
      </c>
      <c r="U753" s="2">
        <v>13.18</v>
      </c>
      <c r="V753" s="2">
        <v>25.87</v>
      </c>
      <c r="W753" s="2">
        <v>4.88</v>
      </c>
      <c r="X753" s="2">
        <v>12.62</v>
      </c>
      <c r="Y753" s="2">
        <v>11.17</v>
      </c>
      <c r="Z753" s="2">
        <v>0</v>
      </c>
      <c r="AA753" s="2">
        <v>0</v>
      </c>
      <c r="AB753" s="2">
        <v>0</v>
      </c>
      <c r="AC753" s="2">
        <v>0</v>
      </c>
      <c r="AD753" s="2">
        <v>6.89</v>
      </c>
      <c r="AE753" s="2">
        <v>0</v>
      </c>
      <c r="AF753" s="2">
        <v>99.93</v>
      </c>
      <c r="AG753" s="2">
        <v>17.690000000000001</v>
      </c>
    </row>
    <row r="754" spans="1:33" x14ac:dyDescent="0.2">
      <c r="A754" s="3">
        <v>30863</v>
      </c>
      <c r="B754" s="2">
        <v>2.57</v>
      </c>
      <c r="C754" s="2">
        <v>25.62</v>
      </c>
      <c r="D754" s="2">
        <v>-12.53</v>
      </c>
      <c r="E754" s="2">
        <v>-20.25</v>
      </c>
      <c r="F754" s="2">
        <v>4.8099999999999996</v>
      </c>
      <c r="G754" s="2">
        <v>-1.25</v>
      </c>
      <c r="H754" s="2">
        <v>15.46</v>
      </c>
      <c r="I754" s="2">
        <v>39.25</v>
      </c>
      <c r="J754" s="2">
        <v>-18.27</v>
      </c>
      <c r="K754" s="2">
        <v>-5.81</v>
      </c>
      <c r="L754" s="2">
        <v>-14.53</v>
      </c>
      <c r="M754" s="2">
        <v>1.65</v>
      </c>
      <c r="N754" s="2">
        <v>53.31</v>
      </c>
      <c r="O754" s="2">
        <v>32.81</v>
      </c>
      <c r="P754" s="2">
        <v>34.99</v>
      </c>
      <c r="Q754" s="2">
        <v>11.24</v>
      </c>
      <c r="R754" s="2">
        <v>16.190000000000001</v>
      </c>
      <c r="S754" s="2">
        <v>10.53</v>
      </c>
      <c r="T754" s="2">
        <v>58.44</v>
      </c>
      <c r="U754" s="2">
        <v>15.24</v>
      </c>
      <c r="V754" s="2">
        <v>49.28</v>
      </c>
      <c r="W754" s="2">
        <v>18.62</v>
      </c>
      <c r="X754" s="2">
        <v>18.41</v>
      </c>
      <c r="Y754" s="2">
        <v>17.59</v>
      </c>
      <c r="Z754" s="2">
        <v>0.24</v>
      </c>
      <c r="AA754" s="2">
        <v>0</v>
      </c>
      <c r="AB754" s="2">
        <v>0</v>
      </c>
      <c r="AC754" s="2">
        <v>0</v>
      </c>
      <c r="AD754" s="2">
        <v>12.78</v>
      </c>
      <c r="AE754" s="2">
        <v>0.09</v>
      </c>
      <c r="AF754" s="2">
        <v>109.37</v>
      </c>
      <c r="AG754" s="2">
        <v>22.83</v>
      </c>
    </row>
    <row r="755" spans="1:33" x14ac:dyDescent="0.2">
      <c r="A755" s="3">
        <v>30894</v>
      </c>
      <c r="B755" s="2">
        <v>2.7</v>
      </c>
      <c r="C755" s="2">
        <v>28.52</v>
      </c>
      <c r="D755" s="2">
        <v>-10.06</v>
      </c>
      <c r="E755" s="2">
        <v>6.48</v>
      </c>
      <c r="F755" s="2">
        <v>18.22</v>
      </c>
      <c r="G755" s="2">
        <v>16.98</v>
      </c>
      <c r="H755" s="2">
        <v>23.69</v>
      </c>
      <c r="I755" s="2">
        <v>47.82</v>
      </c>
      <c r="J755" s="2">
        <v>-11.78</v>
      </c>
      <c r="K755" s="2">
        <v>-5.93</v>
      </c>
      <c r="L755" s="2">
        <v>1.59</v>
      </c>
      <c r="M755" s="2">
        <v>10.83</v>
      </c>
      <c r="N755" s="2">
        <v>46.96</v>
      </c>
      <c r="O755" s="2">
        <v>51.51</v>
      </c>
      <c r="P755" s="2">
        <v>43.77</v>
      </c>
      <c r="Q755" s="2">
        <v>13.13</v>
      </c>
      <c r="R755" s="2">
        <v>21.47</v>
      </c>
      <c r="S755" s="2">
        <v>24.72</v>
      </c>
      <c r="T755" s="2">
        <v>55.84</v>
      </c>
      <c r="U755" s="2">
        <v>29.89</v>
      </c>
      <c r="V755" s="2">
        <v>49.28</v>
      </c>
      <c r="W755" s="2">
        <v>30.39</v>
      </c>
      <c r="X755" s="2">
        <v>24.1</v>
      </c>
      <c r="Y755" s="2">
        <v>23.69</v>
      </c>
      <c r="Z755" s="2">
        <v>2.39</v>
      </c>
      <c r="AA755" s="2">
        <v>0</v>
      </c>
      <c r="AB755" s="2">
        <v>0.33</v>
      </c>
      <c r="AC755" s="2">
        <v>0</v>
      </c>
      <c r="AD755" s="2">
        <v>11.31</v>
      </c>
      <c r="AE755" s="2">
        <v>0</v>
      </c>
      <c r="AF755" s="2">
        <v>119.1</v>
      </c>
      <c r="AG755" s="2">
        <v>24.8</v>
      </c>
    </row>
    <row r="756" spans="1:33" x14ac:dyDescent="0.2">
      <c r="A756" s="3">
        <v>30925</v>
      </c>
      <c r="B756" s="2">
        <v>0.67</v>
      </c>
      <c r="C756" s="2">
        <v>28.6</v>
      </c>
      <c r="D756" s="2">
        <v>-13.06</v>
      </c>
      <c r="E756" s="2">
        <v>-7.65</v>
      </c>
      <c r="F756" s="2">
        <v>-6.5</v>
      </c>
      <c r="G756" s="2">
        <v>20.8</v>
      </c>
      <c r="H756" s="2">
        <v>17.8</v>
      </c>
      <c r="I756" s="2">
        <v>49.78</v>
      </c>
      <c r="J756" s="2">
        <v>-3.41</v>
      </c>
      <c r="K756" s="2">
        <v>-1.02</v>
      </c>
      <c r="L756" s="2">
        <v>2.2999999999999998</v>
      </c>
      <c r="M756" s="2">
        <v>10.74</v>
      </c>
      <c r="N756" s="2">
        <v>40.57</v>
      </c>
      <c r="O756" s="2">
        <v>38.799999999999997</v>
      </c>
      <c r="P756" s="2">
        <v>54.92</v>
      </c>
      <c r="Q756" s="2">
        <v>8.4</v>
      </c>
      <c r="R756" s="2">
        <v>20.38</v>
      </c>
      <c r="S756" s="2">
        <v>25.27</v>
      </c>
      <c r="T756" s="2">
        <v>63.47</v>
      </c>
      <c r="U756" s="2">
        <v>29.44</v>
      </c>
      <c r="V756" s="2">
        <v>51.39</v>
      </c>
      <c r="W756" s="2">
        <v>31.47</v>
      </c>
      <c r="X756" s="2">
        <v>26.53</v>
      </c>
      <c r="Y756" s="2">
        <v>26.21</v>
      </c>
      <c r="Z756" s="2">
        <v>1.1000000000000001</v>
      </c>
      <c r="AA756" s="2">
        <v>0.35</v>
      </c>
      <c r="AB756" s="2">
        <v>0.89</v>
      </c>
      <c r="AC756" s="2">
        <v>4.16</v>
      </c>
      <c r="AD756" s="2">
        <v>9.51</v>
      </c>
      <c r="AE756" s="2">
        <v>0</v>
      </c>
      <c r="AF756" s="2">
        <v>121.13</v>
      </c>
      <c r="AG756" s="2">
        <v>23.65</v>
      </c>
    </row>
    <row r="757" spans="1:33" x14ac:dyDescent="0.2">
      <c r="A757" s="3">
        <v>30955</v>
      </c>
      <c r="B757" s="2">
        <v>-2.48</v>
      </c>
      <c r="C757" s="2">
        <v>29.68</v>
      </c>
      <c r="D757" s="2">
        <v>-13.7</v>
      </c>
      <c r="E757" s="2">
        <v>-27.99</v>
      </c>
      <c r="F757" s="2">
        <v>-1.77</v>
      </c>
      <c r="G757" s="2">
        <v>8.5399999999999991</v>
      </c>
      <c r="H757" s="2">
        <v>19.18</v>
      </c>
      <c r="I757" s="2">
        <v>58.71</v>
      </c>
      <c r="J757" s="2">
        <v>8.15</v>
      </c>
      <c r="K757" s="2">
        <v>-2.97</v>
      </c>
      <c r="L757" s="2">
        <v>-0.2</v>
      </c>
      <c r="M757" s="2">
        <v>5.99</v>
      </c>
      <c r="N757" s="2">
        <v>37.57</v>
      </c>
      <c r="O757" s="2">
        <v>30.41</v>
      </c>
      <c r="P757" s="2">
        <v>17.2</v>
      </c>
      <c r="Q757" s="2">
        <v>11.22</v>
      </c>
      <c r="R757" s="2">
        <v>20.02</v>
      </c>
      <c r="S757" s="2">
        <v>-0.02</v>
      </c>
      <c r="T757" s="2">
        <v>14.6</v>
      </c>
      <c r="U757" s="2">
        <v>14.37</v>
      </c>
      <c r="V757" s="2">
        <v>23.38</v>
      </c>
      <c r="W757" s="2">
        <v>26.1</v>
      </c>
      <c r="X757" s="2">
        <v>25.12</v>
      </c>
      <c r="Y757" s="2">
        <v>24.61</v>
      </c>
      <c r="Z757" s="2">
        <v>0.72</v>
      </c>
      <c r="AA757" s="2">
        <v>2.2599999999999998</v>
      </c>
      <c r="AB757" s="2">
        <v>0.04</v>
      </c>
      <c r="AC757" s="2">
        <v>0.36</v>
      </c>
      <c r="AD757" s="2">
        <v>5.7</v>
      </c>
      <c r="AE757" s="2">
        <v>0.19</v>
      </c>
      <c r="AF757" s="2">
        <v>112.82</v>
      </c>
      <c r="AG757" s="2">
        <v>20.170000000000002</v>
      </c>
    </row>
    <row r="758" spans="1:33" x14ac:dyDescent="0.2">
      <c r="A758" s="3">
        <v>30986</v>
      </c>
      <c r="B758" s="2">
        <v>-0.6</v>
      </c>
      <c r="C758" s="2">
        <v>21.78</v>
      </c>
      <c r="D758" s="2">
        <v>-4.9800000000000004</v>
      </c>
      <c r="E758" s="2">
        <v>-14.77</v>
      </c>
      <c r="F758" s="2">
        <v>-16.09</v>
      </c>
      <c r="G758" s="2">
        <v>6.8</v>
      </c>
      <c r="H758" s="2">
        <v>13.98</v>
      </c>
      <c r="I758" s="2">
        <v>49.07</v>
      </c>
      <c r="J758" s="2">
        <v>12.18</v>
      </c>
      <c r="K758" s="2">
        <v>-0.31</v>
      </c>
      <c r="L758" s="2">
        <v>11.08</v>
      </c>
      <c r="M758" s="2">
        <v>9.98</v>
      </c>
      <c r="N758" s="2">
        <v>32.83</v>
      </c>
      <c r="O758" s="2">
        <v>17.36</v>
      </c>
      <c r="P758" s="2">
        <v>49.33</v>
      </c>
      <c r="Q758" s="2">
        <v>-5.75</v>
      </c>
      <c r="R758" s="2">
        <v>7.96</v>
      </c>
      <c r="S758" s="2">
        <v>-14.62</v>
      </c>
      <c r="T758" s="2">
        <v>20.09</v>
      </c>
      <c r="U758" s="2">
        <v>2.13</v>
      </c>
      <c r="V758" s="2">
        <v>19.32</v>
      </c>
      <c r="W758" s="2">
        <v>22.19</v>
      </c>
      <c r="X758" s="2">
        <v>23.19</v>
      </c>
      <c r="Y758" s="2">
        <v>22.67</v>
      </c>
      <c r="Z758" s="2">
        <v>2.92</v>
      </c>
      <c r="AA758" s="2">
        <v>0</v>
      </c>
      <c r="AB758" s="2">
        <v>1.3</v>
      </c>
      <c r="AC758" s="2">
        <v>7.03</v>
      </c>
      <c r="AD758" s="2">
        <v>3.91</v>
      </c>
      <c r="AE758" s="2">
        <v>16.309999999999999</v>
      </c>
      <c r="AF758" s="2">
        <v>102.33</v>
      </c>
      <c r="AG758" s="2">
        <v>16.420000000000002</v>
      </c>
    </row>
    <row r="759" spans="1:33" x14ac:dyDescent="0.2">
      <c r="A759" s="3">
        <v>31016</v>
      </c>
      <c r="B759" s="2">
        <v>4.6900000000000004</v>
      </c>
      <c r="C759" s="2">
        <v>34.729999999999997</v>
      </c>
      <c r="D759" s="2">
        <v>53.3</v>
      </c>
      <c r="E759" s="2">
        <v>97.77</v>
      </c>
      <c r="F759" s="2">
        <v>49.5</v>
      </c>
      <c r="G759" s="2">
        <v>103.87</v>
      </c>
      <c r="H759" s="2">
        <v>36.54</v>
      </c>
      <c r="I759" s="2">
        <v>56.84</v>
      </c>
      <c r="J759" s="2">
        <v>45.56</v>
      </c>
      <c r="K759" s="2">
        <v>28.84</v>
      </c>
      <c r="L759" s="2">
        <v>9.57</v>
      </c>
      <c r="M759" s="2">
        <v>17.690000000000001</v>
      </c>
      <c r="N759" s="2">
        <v>32.07</v>
      </c>
      <c r="O759" s="2">
        <v>26.25</v>
      </c>
      <c r="P759" s="2">
        <v>36.340000000000003</v>
      </c>
      <c r="Q759" s="2">
        <v>1.1200000000000001</v>
      </c>
      <c r="R759" s="2">
        <v>8.1</v>
      </c>
      <c r="S759" s="2">
        <v>18.940000000000001</v>
      </c>
      <c r="T759" s="2">
        <v>-4.95</v>
      </c>
      <c r="U759" s="2">
        <v>9.89</v>
      </c>
      <c r="V759" s="2">
        <v>21.97</v>
      </c>
      <c r="W759" s="2">
        <v>15.43</v>
      </c>
      <c r="X759" s="2">
        <v>15.05</v>
      </c>
      <c r="Y759" s="2">
        <v>13.56</v>
      </c>
      <c r="Z759" s="2">
        <v>25.22</v>
      </c>
      <c r="AA759" s="2">
        <v>4.7</v>
      </c>
      <c r="AB759" s="2">
        <v>6.06</v>
      </c>
      <c r="AC759" s="2">
        <v>10.119999999999999</v>
      </c>
      <c r="AD759" s="2">
        <v>2.5</v>
      </c>
      <c r="AE759" s="2">
        <v>36.729999999999997</v>
      </c>
      <c r="AF759" s="2">
        <v>67.14</v>
      </c>
      <c r="AG759" s="2">
        <v>12.92</v>
      </c>
    </row>
    <row r="760" spans="1:33" x14ac:dyDescent="0.2">
      <c r="A760" s="3">
        <v>31047</v>
      </c>
      <c r="B760" s="2">
        <v>2.71</v>
      </c>
      <c r="C760" s="2">
        <v>27.67</v>
      </c>
      <c r="D760" s="2">
        <v>6.41</v>
      </c>
      <c r="E760" s="2">
        <v>-8.83</v>
      </c>
      <c r="F760" s="2">
        <v>5.0199999999999996</v>
      </c>
      <c r="G760" s="2">
        <v>16.670000000000002</v>
      </c>
      <c r="H760" s="2">
        <v>12.42</v>
      </c>
      <c r="I760" s="2">
        <v>50.57</v>
      </c>
      <c r="J760" s="2">
        <v>20.420000000000002</v>
      </c>
      <c r="K760" s="2">
        <v>21.94</v>
      </c>
      <c r="L760" s="2">
        <v>22.35</v>
      </c>
      <c r="M760" s="2">
        <v>17.13</v>
      </c>
      <c r="N760" s="2">
        <v>31.87</v>
      </c>
      <c r="O760" s="2">
        <v>22.04</v>
      </c>
      <c r="P760" s="2">
        <v>55.82</v>
      </c>
      <c r="Q760" s="2">
        <v>0.22</v>
      </c>
      <c r="R760" s="2">
        <v>8.91</v>
      </c>
      <c r="S760" s="2">
        <v>6.9</v>
      </c>
      <c r="T760" s="2">
        <v>-8.74</v>
      </c>
      <c r="U760" s="2">
        <v>9.82</v>
      </c>
      <c r="V760" s="2">
        <v>20.52</v>
      </c>
      <c r="W760" s="2">
        <v>11.73</v>
      </c>
      <c r="X760" s="2">
        <v>12.6</v>
      </c>
      <c r="Y760" s="2">
        <v>12.33</v>
      </c>
      <c r="Z760" s="2">
        <v>0</v>
      </c>
      <c r="AA760" s="2">
        <v>25.41</v>
      </c>
      <c r="AB760" s="2">
        <v>4.96</v>
      </c>
      <c r="AC760" s="2">
        <v>6.24</v>
      </c>
      <c r="AD760" s="2">
        <v>2.46</v>
      </c>
      <c r="AE760" s="2">
        <v>16.13</v>
      </c>
      <c r="AF760" s="2">
        <v>61.69</v>
      </c>
      <c r="AG760" s="2">
        <v>11.2</v>
      </c>
    </row>
    <row r="761" spans="1:33" x14ac:dyDescent="0.2">
      <c r="A761" s="3">
        <v>31078</v>
      </c>
      <c r="B761" s="2">
        <v>-2.35</v>
      </c>
      <c r="C761" s="2">
        <v>17.350000000000001</v>
      </c>
      <c r="D761" s="2">
        <v>-13.12</v>
      </c>
      <c r="E761" s="2">
        <v>-45.03</v>
      </c>
      <c r="F761" s="2">
        <v>-20.239999999999998</v>
      </c>
      <c r="G761" s="2">
        <v>-20.12</v>
      </c>
      <c r="H761" s="2">
        <v>0.79</v>
      </c>
      <c r="I761" s="2">
        <v>41.07</v>
      </c>
      <c r="J761" s="2">
        <v>-4.2300000000000004</v>
      </c>
      <c r="K761" s="2">
        <v>-13.47</v>
      </c>
      <c r="L761" s="2">
        <v>2.59</v>
      </c>
      <c r="M761" s="2">
        <v>-8.69</v>
      </c>
      <c r="N761" s="2">
        <v>14.17</v>
      </c>
      <c r="O761" s="2">
        <v>21.12</v>
      </c>
      <c r="P761" s="2">
        <v>22.04</v>
      </c>
      <c r="Q761" s="2">
        <v>3.07</v>
      </c>
      <c r="R761" s="2">
        <v>10.63</v>
      </c>
      <c r="S761" s="2">
        <v>-1.49</v>
      </c>
      <c r="T761" s="2">
        <v>2.4300000000000002</v>
      </c>
      <c r="U761" s="2">
        <v>10.32</v>
      </c>
      <c r="V761" s="2">
        <v>14.08</v>
      </c>
      <c r="W761" s="2">
        <v>4.26</v>
      </c>
      <c r="X761" s="2">
        <v>6.88</v>
      </c>
      <c r="Y761" s="2">
        <v>5.51</v>
      </c>
      <c r="Z761" s="2">
        <v>1.05</v>
      </c>
      <c r="AA761" s="2">
        <v>1.39</v>
      </c>
      <c r="AB761" s="2">
        <v>1.03</v>
      </c>
      <c r="AC761" s="2">
        <v>0</v>
      </c>
      <c r="AD761" s="2">
        <v>2.1800000000000002</v>
      </c>
      <c r="AE761" s="2">
        <v>6.9</v>
      </c>
      <c r="AF761" s="2">
        <v>70.260000000000005</v>
      </c>
      <c r="AG761" s="2">
        <v>9.8800000000000008</v>
      </c>
    </row>
    <row r="762" spans="1:33" x14ac:dyDescent="0.2">
      <c r="A762" s="3">
        <v>31106</v>
      </c>
      <c r="B762" s="2">
        <v>-2.41</v>
      </c>
      <c r="C762" s="2">
        <v>17.38</v>
      </c>
      <c r="D762" s="2">
        <v>-8.14</v>
      </c>
      <c r="E762" s="2">
        <v>-25.38</v>
      </c>
      <c r="F762" s="2">
        <v>1.75</v>
      </c>
      <c r="G762" s="2">
        <v>4.92</v>
      </c>
      <c r="H762" s="2">
        <v>10.53</v>
      </c>
      <c r="I762" s="2">
        <v>44.59</v>
      </c>
      <c r="J762" s="2">
        <v>-1.1599999999999999</v>
      </c>
      <c r="K762" s="2">
        <v>-5.25</v>
      </c>
      <c r="L762" s="2">
        <v>-13.2</v>
      </c>
      <c r="M762" s="2">
        <v>-7.5</v>
      </c>
      <c r="N762" s="2">
        <v>21.2</v>
      </c>
      <c r="O762" s="2">
        <v>21.89</v>
      </c>
      <c r="P762" s="2">
        <v>19.47</v>
      </c>
      <c r="Q762" s="2">
        <v>3.33</v>
      </c>
      <c r="R762" s="2">
        <v>15.82</v>
      </c>
      <c r="S762" s="2">
        <v>-7.53</v>
      </c>
      <c r="T762" s="2">
        <v>16.98</v>
      </c>
      <c r="U762" s="2">
        <v>12.09</v>
      </c>
      <c r="V762" s="2">
        <v>18.97</v>
      </c>
      <c r="W762" s="2">
        <v>0</v>
      </c>
      <c r="X762" s="2">
        <v>0.84</v>
      </c>
      <c r="Y762" s="2">
        <v>0.82</v>
      </c>
      <c r="Z762" s="2">
        <v>0</v>
      </c>
      <c r="AA762" s="2">
        <v>2.96</v>
      </c>
      <c r="AB762" s="2">
        <v>0</v>
      </c>
      <c r="AC762" s="2">
        <v>0.14000000000000001</v>
      </c>
      <c r="AD762" s="2">
        <v>2.2799999999999998</v>
      </c>
      <c r="AE762" s="2">
        <v>7.08</v>
      </c>
      <c r="AF762" s="2">
        <v>58.57</v>
      </c>
      <c r="AG762" s="2">
        <v>10.08</v>
      </c>
    </row>
    <row r="763" spans="1:33" x14ac:dyDescent="0.2">
      <c r="A763" s="3">
        <v>31137</v>
      </c>
      <c r="B763" s="2">
        <v>-2.25</v>
      </c>
      <c r="C763" s="2">
        <v>19.32</v>
      </c>
      <c r="D763" s="2">
        <v>-2.36</v>
      </c>
      <c r="E763" s="2">
        <v>-8.06</v>
      </c>
      <c r="F763" s="2">
        <v>-0.31</v>
      </c>
      <c r="G763" s="2">
        <v>9.1199999999999992</v>
      </c>
      <c r="H763" s="2">
        <v>12.87</v>
      </c>
      <c r="I763" s="2">
        <v>47.59</v>
      </c>
      <c r="J763" s="2">
        <v>15.22</v>
      </c>
      <c r="K763" s="2">
        <v>22.68</v>
      </c>
      <c r="L763" s="2">
        <v>-6.48</v>
      </c>
      <c r="M763" s="2">
        <v>9.61</v>
      </c>
      <c r="N763" s="2">
        <v>54.1</v>
      </c>
      <c r="O763" s="2">
        <v>28.38</v>
      </c>
      <c r="P763" s="2">
        <v>68.11</v>
      </c>
      <c r="Q763" s="2">
        <v>-0.18</v>
      </c>
      <c r="R763" s="2">
        <v>4.55</v>
      </c>
      <c r="S763" s="2">
        <v>5.0199999999999996</v>
      </c>
      <c r="T763" s="2">
        <v>25.6</v>
      </c>
      <c r="U763" s="2">
        <v>12.54</v>
      </c>
      <c r="V763" s="2">
        <v>20.99</v>
      </c>
      <c r="W763" s="2">
        <v>0</v>
      </c>
      <c r="X763" s="2">
        <v>1.28</v>
      </c>
      <c r="Y763" s="2">
        <v>0.27</v>
      </c>
      <c r="Z763" s="2">
        <v>0</v>
      </c>
      <c r="AA763" s="2">
        <v>0</v>
      </c>
      <c r="AB763" s="2">
        <v>1.6</v>
      </c>
      <c r="AC763" s="2">
        <v>0.56999999999999995</v>
      </c>
      <c r="AD763" s="2">
        <v>3.95</v>
      </c>
      <c r="AE763" s="2">
        <v>27.78</v>
      </c>
      <c r="AF763" s="2">
        <v>69.12</v>
      </c>
      <c r="AG763" s="2">
        <v>10.69</v>
      </c>
    </row>
    <row r="764" spans="1:33" x14ac:dyDescent="0.2">
      <c r="A764" s="3">
        <v>31167</v>
      </c>
      <c r="B764" s="2">
        <v>-3.45</v>
      </c>
      <c r="C764" s="2">
        <v>16.38</v>
      </c>
      <c r="D764" s="2">
        <v>-0.82</v>
      </c>
      <c r="E764" s="2">
        <v>-9.4499999999999993</v>
      </c>
      <c r="F764" s="2">
        <v>9.6999999999999993</v>
      </c>
      <c r="G764" s="2">
        <v>-25.59</v>
      </c>
      <c r="H764" s="2">
        <v>11.99</v>
      </c>
      <c r="I764" s="2">
        <v>47.22</v>
      </c>
      <c r="J764" s="2">
        <v>-4.29</v>
      </c>
      <c r="K764" s="2">
        <v>-23.89</v>
      </c>
      <c r="L764" s="2">
        <v>-8.82</v>
      </c>
      <c r="M764" s="2">
        <v>-8.7100000000000009</v>
      </c>
      <c r="N764" s="2">
        <v>9.31</v>
      </c>
      <c r="O764" s="2">
        <v>35.21</v>
      </c>
      <c r="P764" s="2">
        <v>17.41</v>
      </c>
      <c r="Q764" s="2">
        <v>0.91</v>
      </c>
      <c r="R764" s="2">
        <v>15.15</v>
      </c>
      <c r="S764" s="2">
        <v>6.34</v>
      </c>
      <c r="T764" s="2">
        <v>15.41</v>
      </c>
      <c r="U764" s="2">
        <v>18.54</v>
      </c>
      <c r="V764" s="2">
        <v>15.56</v>
      </c>
      <c r="W764" s="2">
        <v>0</v>
      </c>
      <c r="X764" s="2">
        <v>1.52</v>
      </c>
      <c r="Y764" s="2">
        <v>0.77</v>
      </c>
      <c r="Z764" s="2">
        <v>0</v>
      </c>
      <c r="AA764" s="2">
        <v>0</v>
      </c>
      <c r="AB764" s="2">
        <v>0</v>
      </c>
      <c r="AC764" s="2">
        <v>0</v>
      </c>
      <c r="AD764" s="2">
        <v>4.63</v>
      </c>
      <c r="AE764" s="2">
        <v>4.47</v>
      </c>
      <c r="AF764" s="2">
        <v>85.52</v>
      </c>
      <c r="AG764" s="2">
        <v>14.64</v>
      </c>
    </row>
    <row r="765" spans="1:33" x14ac:dyDescent="0.2">
      <c r="A765" s="3">
        <v>31198</v>
      </c>
      <c r="B765" s="2">
        <v>-1.63</v>
      </c>
      <c r="C765" s="2">
        <v>15.8</v>
      </c>
      <c r="D765" s="2">
        <v>-4.01</v>
      </c>
      <c r="E765" s="2">
        <v>3.29</v>
      </c>
      <c r="F765" s="2">
        <v>11.27</v>
      </c>
      <c r="G765" s="2">
        <v>-1.8</v>
      </c>
      <c r="H765" s="2">
        <v>15.15</v>
      </c>
      <c r="I765" s="2">
        <v>37.89</v>
      </c>
      <c r="J765" s="2">
        <v>-9.7200000000000006</v>
      </c>
      <c r="K765" s="2">
        <v>-7.76</v>
      </c>
      <c r="L765" s="2">
        <v>-10.58</v>
      </c>
      <c r="M765" s="2">
        <v>0.56000000000000005</v>
      </c>
      <c r="N765" s="2">
        <v>27.87</v>
      </c>
      <c r="O765" s="2">
        <v>30.9</v>
      </c>
      <c r="P765" s="2">
        <v>44.81</v>
      </c>
      <c r="Q765" s="2">
        <v>-2.69</v>
      </c>
      <c r="R765" s="2">
        <v>15.5</v>
      </c>
      <c r="S765" s="2">
        <v>15.87</v>
      </c>
      <c r="T765" s="2">
        <v>23.22</v>
      </c>
      <c r="U765" s="2">
        <v>11.78</v>
      </c>
      <c r="V765" s="2">
        <v>26.46</v>
      </c>
      <c r="W765" s="2">
        <v>4.88</v>
      </c>
      <c r="X765" s="2">
        <v>4.04</v>
      </c>
      <c r="Y765" s="2">
        <v>2.63</v>
      </c>
      <c r="Z765" s="2">
        <v>0</v>
      </c>
      <c r="AA765" s="2">
        <v>0</v>
      </c>
      <c r="AB765" s="2">
        <v>0</v>
      </c>
      <c r="AC765" s="2">
        <v>0</v>
      </c>
      <c r="AD765" s="2">
        <v>7.66</v>
      </c>
      <c r="AE765" s="2">
        <v>2.14</v>
      </c>
      <c r="AF765" s="2">
        <v>96.59</v>
      </c>
      <c r="AG765" s="2">
        <v>17.690000000000001</v>
      </c>
    </row>
    <row r="766" spans="1:33" x14ac:dyDescent="0.2">
      <c r="A766" s="3">
        <v>31228</v>
      </c>
      <c r="B766" s="2">
        <v>-1.44</v>
      </c>
      <c r="C766" s="2">
        <v>17.34</v>
      </c>
      <c r="D766" s="2">
        <v>-10.74</v>
      </c>
      <c r="E766" s="2">
        <v>-0.85</v>
      </c>
      <c r="F766" s="2">
        <v>5.4</v>
      </c>
      <c r="G766" s="2">
        <v>6.46</v>
      </c>
      <c r="H766" s="2">
        <v>17.62</v>
      </c>
      <c r="I766" s="2">
        <v>36.81</v>
      </c>
      <c r="J766" s="2">
        <v>-10.16</v>
      </c>
      <c r="K766" s="2">
        <v>-3.61</v>
      </c>
      <c r="L766" s="2">
        <v>1.57</v>
      </c>
      <c r="M766" s="2">
        <v>7.92</v>
      </c>
      <c r="N766" s="2">
        <v>41.24</v>
      </c>
      <c r="O766" s="2">
        <v>36.090000000000003</v>
      </c>
      <c r="P766" s="2">
        <v>69.16</v>
      </c>
      <c r="Q766" s="2">
        <v>9.59</v>
      </c>
      <c r="R766" s="2">
        <v>19.61</v>
      </c>
      <c r="S766" s="2">
        <v>26</v>
      </c>
      <c r="T766" s="2">
        <v>46.86</v>
      </c>
      <c r="U766" s="2">
        <v>10.09</v>
      </c>
      <c r="V766" s="2">
        <v>52.63</v>
      </c>
      <c r="W766" s="2">
        <v>18.62</v>
      </c>
      <c r="X766" s="2">
        <v>9.01</v>
      </c>
      <c r="Y766" s="2">
        <v>8.27</v>
      </c>
      <c r="Z766" s="2">
        <v>0</v>
      </c>
      <c r="AA766" s="2">
        <v>0</v>
      </c>
      <c r="AB766" s="2">
        <v>3.78</v>
      </c>
      <c r="AC766" s="2">
        <v>0.36</v>
      </c>
      <c r="AD766" s="2">
        <v>7.93</v>
      </c>
      <c r="AE766" s="2">
        <v>0</v>
      </c>
      <c r="AF766" s="2">
        <v>105.7</v>
      </c>
      <c r="AG766" s="2">
        <v>22.83</v>
      </c>
    </row>
    <row r="767" spans="1:33" x14ac:dyDescent="0.2">
      <c r="A767" s="3">
        <v>31259</v>
      </c>
      <c r="B767" s="2">
        <v>-0.9</v>
      </c>
      <c r="C767" s="2">
        <v>19.96</v>
      </c>
      <c r="D767" s="2">
        <v>-8.57</v>
      </c>
      <c r="E767" s="2">
        <v>19.41</v>
      </c>
      <c r="F767" s="2">
        <v>1.1499999999999999</v>
      </c>
      <c r="G767" s="2">
        <v>18.149999999999999</v>
      </c>
      <c r="H767" s="2">
        <v>20.82</v>
      </c>
      <c r="I767" s="2">
        <v>40.94</v>
      </c>
      <c r="J767" s="2">
        <v>-5.83</v>
      </c>
      <c r="K767" s="2">
        <v>-2.36</v>
      </c>
      <c r="L767" s="2">
        <v>28.85</v>
      </c>
      <c r="M767" s="2">
        <v>14.53</v>
      </c>
      <c r="N767" s="2">
        <v>47.12</v>
      </c>
      <c r="O767" s="2">
        <v>54.86</v>
      </c>
      <c r="P767" s="2">
        <v>72.94</v>
      </c>
      <c r="Q767" s="2">
        <v>9.86</v>
      </c>
      <c r="R767" s="2">
        <v>21.18</v>
      </c>
      <c r="S767" s="2">
        <v>38.6</v>
      </c>
      <c r="T767" s="2">
        <v>44.49</v>
      </c>
      <c r="U767" s="2">
        <v>27.12</v>
      </c>
      <c r="V767" s="2">
        <v>59.77</v>
      </c>
      <c r="W767" s="2">
        <v>30.39</v>
      </c>
      <c r="X767" s="2">
        <v>13.85</v>
      </c>
      <c r="Y767" s="2">
        <v>13.5</v>
      </c>
      <c r="Z767" s="2">
        <v>0</v>
      </c>
      <c r="AA767" s="2">
        <v>1.04</v>
      </c>
      <c r="AB767" s="2">
        <v>2.25</v>
      </c>
      <c r="AC767" s="2">
        <v>3.59</v>
      </c>
      <c r="AD767" s="2">
        <v>8.33</v>
      </c>
      <c r="AE767" s="2">
        <v>1.21</v>
      </c>
      <c r="AF767" s="2">
        <v>115.11</v>
      </c>
      <c r="AG767" s="2">
        <v>24.8</v>
      </c>
    </row>
    <row r="768" spans="1:33" x14ac:dyDescent="0.2">
      <c r="A768" s="3">
        <v>31290</v>
      </c>
      <c r="B768" s="2">
        <v>-2.92</v>
      </c>
      <c r="C768" s="2">
        <v>18.45</v>
      </c>
      <c r="D768" s="2">
        <v>-15.07</v>
      </c>
      <c r="E768" s="2">
        <v>-7.63</v>
      </c>
      <c r="F768" s="2">
        <v>-3.18</v>
      </c>
      <c r="G768" s="2">
        <v>20.7</v>
      </c>
      <c r="H768" s="2">
        <v>15.82</v>
      </c>
      <c r="I768" s="2">
        <v>40.81</v>
      </c>
      <c r="J768" s="2">
        <v>-2.4500000000000002</v>
      </c>
      <c r="K768" s="2">
        <v>-1.1200000000000001</v>
      </c>
      <c r="L768" s="2">
        <v>12.61</v>
      </c>
      <c r="M768" s="2">
        <v>10.119999999999999</v>
      </c>
      <c r="N768" s="2">
        <v>39.119999999999997</v>
      </c>
      <c r="O768" s="2">
        <v>38.71</v>
      </c>
      <c r="P768" s="2">
        <v>54.08</v>
      </c>
      <c r="Q768" s="2">
        <v>3.49</v>
      </c>
      <c r="R768" s="2">
        <v>16.29</v>
      </c>
      <c r="S768" s="2">
        <v>44.31</v>
      </c>
      <c r="T768" s="2">
        <v>48.34</v>
      </c>
      <c r="U768" s="2">
        <v>26.39</v>
      </c>
      <c r="V768" s="2">
        <v>51.03</v>
      </c>
      <c r="W768" s="2">
        <v>31.47</v>
      </c>
      <c r="X768" s="2">
        <v>16.100000000000001</v>
      </c>
      <c r="Y768" s="2">
        <v>15.86</v>
      </c>
      <c r="Z768" s="2">
        <v>0</v>
      </c>
      <c r="AA768" s="2">
        <v>0</v>
      </c>
      <c r="AB768" s="2">
        <v>0</v>
      </c>
      <c r="AC768" s="2">
        <v>1.65</v>
      </c>
      <c r="AD768" s="2">
        <v>6.38</v>
      </c>
      <c r="AE768" s="2">
        <v>0</v>
      </c>
      <c r="AF768" s="2">
        <v>117.07</v>
      </c>
      <c r="AG768" s="2">
        <v>23.65</v>
      </c>
    </row>
    <row r="769" spans="1:33" x14ac:dyDescent="0.2">
      <c r="A769" s="3">
        <v>31320</v>
      </c>
      <c r="B769" s="2">
        <v>-6.18</v>
      </c>
      <c r="C769" s="2">
        <v>18.09</v>
      </c>
      <c r="D769" s="2">
        <v>-15.58</v>
      </c>
      <c r="E769" s="2">
        <v>-26.84</v>
      </c>
      <c r="F769" s="2">
        <v>-5.72</v>
      </c>
      <c r="G769" s="2">
        <v>12.4</v>
      </c>
      <c r="H769" s="2">
        <v>15.73</v>
      </c>
      <c r="I769" s="2">
        <v>49.54</v>
      </c>
      <c r="J769" s="2">
        <v>5.0999999999999996</v>
      </c>
      <c r="K769" s="2">
        <v>-4.68</v>
      </c>
      <c r="L769" s="2">
        <v>-14.07</v>
      </c>
      <c r="M769" s="2">
        <v>3.36</v>
      </c>
      <c r="N769" s="2">
        <v>34.130000000000003</v>
      </c>
      <c r="O769" s="2">
        <v>29.22</v>
      </c>
      <c r="P769" s="2">
        <v>17.600000000000001</v>
      </c>
      <c r="Q769" s="2">
        <v>6.39</v>
      </c>
      <c r="R769" s="2">
        <v>14.57</v>
      </c>
      <c r="S769" s="2">
        <v>-3.13</v>
      </c>
      <c r="T769" s="2">
        <v>13.59</v>
      </c>
      <c r="U769" s="2">
        <v>10.45</v>
      </c>
      <c r="V769" s="2">
        <v>23.78</v>
      </c>
      <c r="W769" s="2">
        <v>26.1</v>
      </c>
      <c r="X769" s="2">
        <v>15.39</v>
      </c>
      <c r="Y769" s="2">
        <v>14.95</v>
      </c>
      <c r="Z769" s="2">
        <v>0.19</v>
      </c>
      <c r="AA769" s="2">
        <v>4.3</v>
      </c>
      <c r="AB769" s="2">
        <v>0.61</v>
      </c>
      <c r="AC769" s="2">
        <v>1.08</v>
      </c>
      <c r="AD769" s="2">
        <v>4.57</v>
      </c>
      <c r="AE769" s="2">
        <v>3.26</v>
      </c>
      <c r="AF769" s="2">
        <v>109.04</v>
      </c>
      <c r="AG769" s="2">
        <v>20.170000000000002</v>
      </c>
    </row>
    <row r="770" spans="1:33" x14ac:dyDescent="0.2">
      <c r="A770" s="3">
        <v>31351</v>
      </c>
      <c r="B770" s="2">
        <v>-5.0999999999999996</v>
      </c>
      <c r="C770" s="2">
        <v>15.25</v>
      </c>
      <c r="D770" s="2">
        <v>-19.55</v>
      </c>
      <c r="E770" s="2">
        <v>-27.03</v>
      </c>
      <c r="F770" s="2">
        <v>-0.92</v>
      </c>
      <c r="G770" s="2">
        <v>-1.37</v>
      </c>
      <c r="H770" s="2">
        <v>12.57</v>
      </c>
      <c r="I770" s="2">
        <v>41.96</v>
      </c>
      <c r="J770" s="2">
        <v>3.68</v>
      </c>
      <c r="K770" s="2">
        <v>-13.95</v>
      </c>
      <c r="L770" s="2">
        <v>-6.26</v>
      </c>
      <c r="M770" s="2">
        <v>2.48</v>
      </c>
      <c r="N770" s="2">
        <v>18.73</v>
      </c>
      <c r="O770" s="2">
        <v>16.72</v>
      </c>
      <c r="P770" s="2">
        <v>46.59</v>
      </c>
      <c r="Q770" s="2">
        <v>-1.27</v>
      </c>
      <c r="R770" s="2">
        <v>5.31</v>
      </c>
      <c r="S770" s="2">
        <v>-3.51</v>
      </c>
      <c r="T770" s="2">
        <v>15.7</v>
      </c>
      <c r="U770" s="2">
        <v>1.79</v>
      </c>
      <c r="V770" s="2">
        <v>22.17</v>
      </c>
      <c r="W770" s="2">
        <v>22.19</v>
      </c>
      <c r="X770" s="2">
        <v>14.36</v>
      </c>
      <c r="Y770" s="2">
        <v>13.91</v>
      </c>
      <c r="Z770" s="2">
        <v>4.3099999999999996</v>
      </c>
      <c r="AA770" s="2">
        <v>0.43</v>
      </c>
      <c r="AB770" s="2">
        <v>0.09</v>
      </c>
      <c r="AC770" s="2">
        <v>4.38</v>
      </c>
      <c r="AD770" s="2">
        <v>4.58</v>
      </c>
      <c r="AE770" s="2">
        <v>9.14</v>
      </c>
      <c r="AF770" s="2">
        <v>98.91</v>
      </c>
      <c r="AG770" s="2">
        <v>16.420000000000002</v>
      </c>
    </row>
    <row r="771" spans="1:33" x14ac:dyDescent="0.2">
      <c r="A771" s="3">
        <v>31381</v>
      </c>
      <c r="B771" s="2">
        <v>-4.37</v>
      </c>
      <c r="C771" s="2">
        <v>23.6</v>
      </c>
      <c r="D771" s="2">
        <v>20.92</v>
      </c>
      <c r="E771" s="2">
        <v>24.07</v>
      </c>
      <c r="F771" s="2">
        <v>21.7</v>
      </c>
      <c r="G771" s="2">
        <v>35.58</v>
      </c>
      <c r="H771" s="2">
        <v>20.13</v>
      </c>
      <c r="I771" s="2">
        <v>43.25</v>
      </c>
      <c r="J771" s="2">
        <v>22.82</v>
      </c>
      <c r="K771" s="2">
        <v>25.37</v>
      </c>
      <c r="L771" s="2">
        <v>2.4700000000000002</v>
      </c>
      <c r="M771" s="2">
        <v>15.42</v>
      </c>
      <c r="N771" s="2">
        <v>35.5</v>
      </c>
      <c r="O771" s="2">
        <v>22.78</v>
      </c>
      <c r="P771" s="2">
        <v>57.49</v>
      </c>
      <c r="Q771" s="2">
        <v>-2.21</v>
      </c>
      <c r="R771" s="2">
        <v>6.85</v>
      </c>
      <c r="S771" s="2">
        <v>34.36</v>
      </c>
      <c r="T771" s="2">
        <v>21.93</v>
      </c>
      <c r="U771" s="2">
        <v>8.39</v>
      </c>
      <c r="V771" s="2">
        <v>14.68</v>
      </c>
      <c r="W771" s="2">
        <v>15.43</v>
      </c>
      <c r="X771" s="2">
        <v>9.33</v>
      </c>
      <c r="Y771" s="2">
        <v>7.89</v>
      </c>
      <c r="Z771" s="2">
        <v>0</v>
      </c>
      <c r="AA771" s="2">
        <v>17.64</v>
      </c>
      <c r="AB771" s="2">
        <v>2.79</v>
      </c>
      <c r="AC771" s="2">
        <v>37.83</v>
      </c>
      <c r="AD771" s="2">
        <v>3.26</v>
      </c>
      <c r="AE771" s="2">
        <v>23.03</v>
      </c>
      <c r="AF771" s="2">
        <v>64.89</v>
      </c>
      <c r="AG771" s="2">
        <v>12.92</v>
      </c>
    </row>
    <row r="772" spans="1:33" x14ac:dyDescent="0.2">
      <c r="A772" s="3">
        <v>31412</v>
      </c>
      <c r="B772" s="2">
        <v>-4.4400000000000004</v>
      </c>
      <c r="C772" s="2">
        <v>19.66</v>
      </c>
      <c r="D772" s="2">
        <v>11.45</v>
      </c>
      <c r="E772" s="2">
        <v>2.87</v>
      </c>
      <c r="F772" s="2">
        <v>3.47</v>
      </c>
      <c r="G772" s="2">
        <v>25.38</v>
      </c>
      <c r="H772" s="2">
        <v>10.34</v>
      </c>
      <c r="I772" s="2">
        <v>39.72</v>
      </c>
      <c r="J772" s="2">
        <v>10.3</v>
      </c>
      <c r="K772" s="2">
        <v>-9.9499999999999993</v>
      </c>
      <c r="L772" s="2">
        <v>-1.45</v>
      </c>
      <c r="M772" s="2">
        <v>0.2</v>
      </c>
      <c r="N772" s="2">
        <v>12.35</v>
      </c>
      <c r="O772" s="2">
        <v>22.6</v>
      </c>
      <c r="P772" s="2">
        <v>19.61</v>
      </c>
      <c r="Q772" s="2">
        <v>0.9</v>
      </c>
      <c r="R772" s="2">
        <v>8.84</v>
      </c>
      <c r="S772" s="2">
        <v>0.65</v>
      </c>
      <c r="T772" s="2">
        <v>12.72</v>
      </c>
      <c r="U772" s="2">
        <v>8.32</v>
      </c>
      <c r="V772" s="2">
        <v>16.71</v>
      </c>
      <c r="W772" s="2">
        <v>11.73</v>
      </c>
      <c r="X772" s="2">
        <v>7.35</v>
      </c>
      <c r="Y772" s="2">
        <v>7.12</v>
      </c>
      <c r="Z772" s="2">
        <v>0.91</v>
      </c>
      <c r="AA772" s="2">
        <v>3.15</v>
      </c>
      <c r="AB772" s="2">
        <v>0.68</v>
      </c>
      <c r="AC772" s="2">
        <v>0</v>
      </c>
      <c r="AD772" s="2">
        <v>3.25</v>
      </c>
      <c r="AE772" s="2">
        <v>13.05</v>
      </c>
      <c r="AF772" s="2">
        <v>59.62</v>
      </c>
      <c r="AG772" s="2">
        <v>11.2</v>
      </c>
    </row>
    <row r="773" spans="1:33" x14ac:dyDescent="0.2">
      <c r="A773" s="3">
        <v>31443</v>
      </c>
      <c r="B773" s="2">
        <v>-8.43</v>
      </c>
      <c r="C773" s="2">
        <v>25.2</v>
      </c>
      <c r="D773" s="2">
        <v>31.47</v>
      </c>
      <c r="E773" s="2">
        <v>64.55</v>
      </c>
      <c r="F773" s="2">
        <v>36.19</v>
      </c>
      <c r="G773" s="2">
        <v>63.11</v>
      </c>
      <c r="H773" s="2">
        <v>17.13</v>
      </c>
      <c r="I773" s="2">
        <v>41.54</v>
      </c>
      <c r="J773" s="2">
        <v>20.84</v>
      </c>
      <c r="K773" s="2">
        <v>0.93</v>
      </c>
      <c r="L773" s="2">
        <v>-2.36</v>
      </c>
      <c r="M773" s="2">
        <v>-7.65</v>
      </c>
      <c r="N773" s="2">
        <v>21.26</v>
      </c>
      <c r="O773" s="2">
        <v>23.05</v>
      </c>
      <c r="P773" s="2">
        <v>32.729999999999997</v>
      </c>
      <c r="Q773" s="2">
        <v>-3.06</v>
      </c>
      <c r="R773" s="2">
        <v>9.26</v>
      </c>
      <c r="S773" s="2">
        <v>8.2799999999999994</v>
      </c>
      <c r="T773" s="2">
        <v>9.18</v>
      </c>
      <c r="U773" s="2">
        <v>8.52</v>
      </c>
      <c r="V773" s="2">
        <v>17.170000000000002</v>
      </c>
      <c r="W773" s="2">
        <v>4.26</v>
      </c>
      <c r="X773" s="2">
        <v>7.25</v>
      </c>
      <c r="Y773" s="2">
        <v>5.99</v>
      </c>
      <c r="Z773" s="2">
        <v>0</v>
      </c>
      <c r="AA773" s="2">
        <v>1.72</v>
      </c>
      <c r="AB773" s="2">
        <v>3.99</v>
      </c>
      <c r="AC773" s="2">
        <v>1.58</v>
      </c>
      <c r="AD773" s="2">
        <v>2.97</v>
      </c>
      <c r="AE773" s="2">
        <v>22.47</v>
      </c>
      <c r="AF773" s="2">
        <v>72.959999999999994</v>
      </c>
      <c r="AG773" s="2">
        <v>9.8800000000000008</v>
      </c>
    </row>
    <row r="774" spans="1:33" x14ac:dyDescent="0.2">
      <c r="A774" s="3">
        <v>31471</v>
      </c>
      <c r="B774" s="2">
        <v>12.17</v>
      </c>
      <c r="C774" s="2">
        <v>68.13</v>
      </c>
      <c r="D774" s="2">
        <v>119.09</v>
      </c>
      <c r="E774" s="2">
        <v>370.69</v>
      </c>
      <c r="F774" s="2">
        <v>393</v>
      </c>
      <c r="G774" s="2">
        <v>302.88</v>
      </c>
      <c r="H774" s="2">
        <v>50.08</v>
      </c>
      <c r="I774" s="2">
        <v>71.540000000000006</v>
      </c>
      <c r="J774" s="2">
        <v>127.62</v>
      </c>
      <c r="K774" s="2">
        <v>131.15</v>
      </c>
      <c r="L774" s="2">
        <v>52.62</v>
      </c>
      <c r="M774" s="2">
        <v>54.02</v>
      </c>
      <c r="N774" s="2">
        <v>124.06</v>
      </c>
      <c r="O774" s="2">
        <v>19.88</v>
      </c>
      <c r="P774" s="2">
        <v>107.82</v>
      </c>
      <c r="Q774" s="2">
        <v>4.13</v>
      </c>
      <c r="R774" s="2">
        <v>12.57</v>
      </c>
      <c r="S774" s="2">
        <v>82.26</v>
      </c>
      <c r="T774" s="2">
        <v>19.690000000000001</v>
      </c>
      <c r="U774" s="2">
        <v>11.12</v>
      </c>
      <c r="V774" s="2">
        <v>29.03</v>
      </c>
      <c r="W774" s="2">
        <v>0</v>
      </c>
      <c r="X774" s="2">
        <v>1.1499999999999999</v>
      </c>
      <c r="Y774" s="2">
        <v>1.28</v>
      </c>
      <c r="Z774" s="2">
        <v>11.68</v>
      </c>
      <c r="AA774" s="2">
        <v>21.94</v>
      </c>
      <c r="AB774" s="2">
        <v>7.28</v>
      </c>
      <c r="AC774" s="2">
        <v>0</v>
      </c>
      <c r="AD774" s="2">
        <v>2.98</v>
      </c>
      <c r="AE774" s="2">
        <v>56.4</v>
      </c>
      <c r="AF774" s="2">
        <v>60.82</v>
      </c>
      <c r="AG774" s="2">
        <v>10.08</v>
      </c>
    </row>
    <row r="775" spans="1:33" x14ac:dyDescent="0.2">
      <c r="A775" s="3">
        <v>31502</v>
      </c>
      <c r="B775" s="2">
        <v>15.91</v>
      </c>
      <c r="C775" s="2">
        <v>41</v>
      </c>
      <c r="D775" s="2">
        <v>1</v>
      </c>
      <c r="E775" s="2">
        <v>6.87</v>
      </c>
      <c r="F775" s="2">
        <v>21.7</v>
      </c>
      <c r="G775" s="2">
        <v>107.24</v>
      </c>
      <c r="H775" s="2">
        <v>25.65</v>
      </c>
      <c r="I775" s="2">
        <v>72.319999999999993</v>
      </c>
      <c r="J775" s="2">
        <v>74.430000000000007</v>
      </c>
      <c r="K775" s="2">
        <v>64.599999999999994</v>
      </c>
      <c r="L775" s="2">
        <v>88.04</v>
      </c>
      <c r="M775" s="2">
        <v>67.489999999999995</v>
      </c>
      <c r="N775" s="2">
        <v>88.99</v>
      </c>
      <c r="O775" s="2">
        <v>28.91</v>
      </c>
      <c r="P775" s="2">
        <v>157.79</v>
      </c>
      <c r="Q775" s="2">
        <v>13.36</v>
      </c>
      <c r="R775" s="2">
        <v>16.16</v>
      </c>
      <c r="S775" s="2">
        <v>119.22</v>
      </c>
      <c r="T775" s="2">
        <v>72.260000000000005</v>
      </c>
      <c r="U775" s="2">
        <v>13.41</v>
      </c>
      <c r="V775" s="2">
        <v>35.590000000000003</v>
      </c>
      <c r="W775" s="2">
        <v>0</v>
      </c>
      <c r="X775" s="2">
        <v>1.65</v>
      </c>
      <c r="Y775" s="2">
        <v>0.75</v>
      </c>
      <c r="Z775" s="2">
        <v>8.42</v>
      </c>
      <c r="AA775" s="2">
        <v>8.6</v>
      </c>
      <c r="AB775" s="2">
        <v>2.62</v>
      </c>
      <c r="AC775" s="2">
        <v>0</v>
      </c>
      <c r="AD775" s="2">
        <v>4.76</v>
      </c>
      <c r="AE775" s="2">
        <v>37.200000000000003</v>
      </c>
      <c r="AF775" s="2">
        <v>71.77</v>
      </c>
      <c r="AG775" s="2">
        <v>10.69</v>
      </c>
    </row>
    <row r="776" spans="1:33" x14ac:dyDescent="0.2">
      <c r="A776" s="3">
        <v>31532</v>
      </c>
      <c r="B776" s="2">
        <v>-1.92</v>
      </c>
      <c r="C776" s="2">
        <v>16.239999999999998</v>
      </c>
      <c r="D776" s="2">
        <v>-49.44</v>
      </c>
      <c r="E776" s="2">
        <v>-181.33</v>
      </c>
      <c r="F776" s="2">
        <v>-183.31</v>
      </c>
      <c r="G776" s="2">
        <v>-181.5</v>
      </c>
      <c r="H776" s="2">
        <v>-5.01</v>
      </c>
      <c r="I776" s="2">
        <v>50.45</v>
      </c>
      <c r="J776" s="2">
        <v>-23.44</v>
      </c>
      <c r="K776" s="2">
        <v>-43.19</v>
      </c>
      <c r="L776" s="2">
        <v>-19.02</v>
      </c>
      <c r="M776" s="2">
        <v>-3.28</v>
      </c>
      <c r="N776" s="2">
        <v>41.6</v>
      </c>
      <c r="O776" s="2">
        <v>37.36</v>
      </c>
      <c r="P776" s="2">
        <v>58.66</v>
      </c>
      <c r="Q776" s="2">
        <v>17.760000000000002</v>
      </c>
      <c r="R776" s="2">
        <v>27.54</v>
      </c>
      <c r="S776" s="2">
        <v>31.62</v>
      </c>
      <c r="T776" s="2">
        <v>30.66</v>
      </c>
      <c r="U776" s="2">
        <v>22.2</v>
      </c>
      <c r="V776" s="2">
        <v>31.11</v>
      </c>
      <c r="W776" s="2">
        <v>0</v>
      </c>
      <c r="X776" s="2">
        <v>1.97</v>
      </c>
      <c r="Y776" s="2">
        <v>1.38</v>
      </c>
      <c r="Z776" s="2">
        <v>0.14000000000000001</v>
      </c>
      <c r="AA776" s="2">
        <v>0.43</v>
      </c>
      <c r="AB776" s="2">
        <v>1.41</v>
      </c>
      <c r="AC776" s="2">
        <v>0</v>
      </c>
      <c r="AD776" s="2">
        <v>6.93</v>
      </c>
      <c r="AE776" s="2">
        <v>6.15</v>
      </c>
      <c r="AF776" s="2">
        <v>88.81</v>
      </c>
      <c r="AG776" s="2">
        <v>14.64</v>
      </c>
    </row>
    <row r="777" spans="1:33" x14ac:dyDescent="0.2">
      <c r="A777" s="3">
        <v>31563</v>
      </c>
      <c r="B777" s="2">
        <v>1.19</v>
      </c>
      <c r="C777" s="2">
        <v>22.75</v>
      </c>
      <c r="D777" s="2">
        <v>-28.25</v>
      </c>
      <c r="E777" s="2">
        <v>-59.77</v>
      </c>
      <c r="F777" s="2">
        <v>-64.209999999999994</v>
      </c>
      <c r="G777" s="2">
        <v>-68.94</v>
      </c>
      <c r="H777" s="2">
        <v>0.99</v>
      </c>
      <c r="I777" s="2">
        <v>39.04</v>
      </c>
      <c r="J777" s="2">
        <v>-34.799999999999997</v>
      </c>
      <c r="K777" s="2">
        <v>-54.39</v>
      </c>
      <c r="L777" s="2">
        <v>-31.21</v>
      </c>
      <c r="M777" s="2">
        <v>-22.13</v>
      </c>
      <c r="N777" s="2">
        <v>-7.87</v>
      </c>
      <c r="O777" s="2">
        <v>37.65</v>
      </c>
      <c r="P777" s="2">
        <v>62.72</v>
      </c>
      <c r="Q777" s="2">
        <v>12.47</v>
      </c>
      <c r="R777" s="2">
        <v>27.24</v>
      </c>
      <c r="S777" s="2">
        <v>23.63</v>
      </c>
      <c r="T777" s="2">
        <v>36.520000000000003</v>
      </c>
      <c r="U777" s="2">
        <v>13.48</v>
      </c>
      <c r="V777" s="2">
        <v>42.75</v>
      </c>
      <c r="W777" s="2">
        <v>4.88</v>
      </c>
      <c r="X777" s="2">
        <v>4.5599999999999996</v>
      </c>
      <c r="Y777" s="2">
        <v>3.31</v>
      </c>
      <c r="Z777" s="2">
        <v>0</v>
      </c>
      <c r="AA777" s="2">
        <v>0</v>
      </c>
      <c r="AB777" s="2">
        <v>0</v>
      </c>
      <c r="AC777" s="2">
        <v>0</v>
      </c>
      <c r="AD777" s="2">
        <v>9.69</v>
      </c>
      <c r="AE777" s="2">
        <v>1.49</v>
      </c>
      <c r="AF777" s="2">
        <v>100.3</v>
      </c>
      <c r="AG777" s="2">
        <v>17.690000000000001</v>
      </c>
    </row>
    <row r="778" spans="1:33" x14ac:dyDescent="0.2">
      <c r="A778" s="3">
        <v>31593</v>
      </c>
      <c r="B778" s="2">
        <v>0.71</v>
      </c>
      <c r="C778" s="2">
        <v>24.31</v>
      </c>
      <c r="D778" s="2">
        <v>-22.04</v>
      </c>
      <c r="E778" s="2">
        <v>-49.41</v>
      </c>
      <c r="F778" s="2">
        <v>-21.85</v>
      </c>
      <c r="G778" s="2">
        <v>-33.01</v>
      </c>
      <c r="H778" s="2">
        <v>10.33</v>
      </c>
      <c r="I778" s="2">
        <v>37.049999999999997</v>
      </c>
      <c r="J778" s="2">
        <v>-35.4</v>
      </c>
      <c r="K778" s="2">
        <v>-23.6</v>
      </c>
      <c r="L778" s="2">
        <v>-11.65</v>
      </c>
      <c r="M778" s="2">
        <v>-10.47</v>
      </c>
      <c r="N778" s="2">
        <v>35.86</v>
      </c>
      <c r="O778" s="2">
        <v>38.799999999999997</v>
      </c>
      <c r="P778" s="2">
        <v>41.95</v>
      </c>
      <c r="Q778" s="2">
        <v>18.53</v>
      </c>
      <c r="R778" s="2">
        <v>36.99</v>
      </c>
      <c r="S778" s="2">
        <v>18.09</v>
      </c>
      <c r="T778" s="2">
        <v>104.84</v>
      </c>
      <c r="U778" s="2">
        <v>10.96</v>
      </c>
      <c r="V778" s="2">
        <v>49.29</v>
      </c>
      <c r="W778" s="2">
        <v>18.62</v>
      </c>
      <c r="X778" s="2">
        <v>9.57</v>
      </c>
      <c r="Y778" s="2">
        <v>9.0299999999999994</v>
      </c>
      <c r="Z778" s="2">
        <v>0</v>
      </c>
      <c r="AA778" s="2">
        <v>0</v>
      </c>
      <c r="AB778" s="2">
        <v>0</v>
      </c>
      <c r="AC778" s="2">
        <v>0</v>
      </c>
      <c r="AD778" s="2">
        <v>11.84</v>
      </c>
      <c r="AE778" s="2">
        <v>0</v>
      </c>
      <c r="AF778" s="2">
        <v>109.76</v>
      </c>
      <c r="AG778" s="2">
        <v>22.83</v>
      </c>
    </row>
    <row r="779" spans="1:33" x14ac:dyDescent="0.2">
      <c r="A779" s="3">
        <v>31624</v>
      </c>
      <c r="B779" s="2">
        <v>1.18</v>
      </c>
      <c r="C779" s="2">
        <v>25.46</v>
      </c>
      <c r="D779" s="2">
        <v>-15.75</v>
      </c>
      <c r="E779" s="2">
        <v>-27.09</v>
      </c>
      <c r="F779" s="2">
        <v>3.5</v>
      </c>
      <c r="G779" s="2">
        <v>3.1</v>
      </c>
      <c r="H779" s="2">
        <v>19.61</v>
      </c>
      <c r="I779" s="2">
        <v>44.61</v>
      </c>
      <c r="J779" s="2">
        <v>-29.9</v>
      </c>
      <c r="K779" s="2">
        <v>-18.98</v>
      </c>
      <c r="L779" s="2">
        <v>-17.68</v>
      </c>
      <c r="M779" s="2">
        <v>-6.64</v>
      </c>
      <c r="N779" s="2">
        <v>42.38</v>
      </c>
      <c r="O779" s="2">
        <v>51.38</v>
      </c>
      <c r="P779" s="2">
        <v>59.85</v>
      </c>
      <c r="Q779" s="2">
        <v>14.33</v>
      </c>
      <c r="R779" s="2">
        <v>34.54</v>
      </c>
      <c r="S779" s="2">
        <v>30.95</v>
      </c>
      <c r="T779" s="2">
        <v>67.61</v>
      </c>
      <c r="U779" s="2">
        <v>15.99</v>
      </c>
      <c r="V779" s="2">
        <v>48.64</v>
      </c>
      <c r="W779" s="2">
        <v>30.39</v>
      </c>
      <c r="X779" s="2">
        <v>14.47</v>
      </c>
      <c r="Y779" s="2">
        <v>14.3</v>
      </c>
      <c r="Z779" s="2">
        <v>0.33</v>
      </c>
      <c r="AA779" s="2">
        <v>5.59</v>
      </c>
      <c r="AB779" s="2">
        <v>0</v>
      </c>
      <c r="AC779" s="2">
        <v>0</v>
      </c>
      <c r="AD779" s="2">
        <v>9.2899999999999991</v>
      </c>
      <c r="AE779" s="2">
        <v>0</v>
      </c>
      <c r="AF779" s="2">
        <v>119.54</v>
      </c>
      <c r="AG779" s="2">
        <v>24.8</v>
      </c>
    </row>
    <row r="780" spans="1:33" x14ac:dyDescent="0.2">
      <c r="A780" s="3">
        <v>31655</v>
      </c>
      <c r="B780" s="2">
        <v>0.16</v>
      </c>
      <c r="C780" s="2">
        <v>29.15</v>
      </c>
      <c r="D780" s="2">
        <v>-15.37</v>
      </c>
      <c r="E780" s="2">
        <v>-31.49</v>
      </c>
      <c r="F780" s="2">
        <v>-20.61</v>
      </c>
      <c r="G780" s="2">
        <v>8.17</v>
      </c>
      <c r="H780" s="2">
        <v>15.72</v>
      </c>
      <c r="I780" s="2">
        <v>48.18</v>
      </c>
      <c r="J780" s="2">
        <v>-8.89</v>
      </c>
      <c r="K780" s="2">
        <v>-9.14</v>
      </c>
      <c r="L780" s="2">
        <v>5.54</v>
      </c>
      <c r="M780" s="2">
        <v>3.89</v>
      </c>
      <c r="N780" s="2">
        <v>41.52</v>
      </c>
      <c r="O780" s="2">
        <v>40.729999999999997</v>
      </c>
      <c r="P780" s="2">
        <v>63.74</v>
      </c>
      <c r="Q780" s="2">
        <v>11.76</v>
      </c>
      <c r="R780" s="2">
        <v>33.81</v>
      </c>
      <c r="S780" s="2">
        <v>24.45</v>
      </c>
      <c r="T780" s="2">
        <v>58.53</v>
      </c>
      <c r="U780" s="2">
        <v>18.09</v>
      </c>
      <c r="V780" s="2">
        <v>44.49</v>
      </c>
      <c r="W780" s="2">
        <v>31.47</v>
      </c>
      <c r="X780" s="2">
        <v>16.72</v>
      </c>
      <c r="Y780" s="2">
        <v>16.68</v>
      </c>
      <c r="Z780" s="2">
        <v>0.56999999999999995</v>
      </c>
      <c r="AA780" s="2">
        <v>0</v>
      </c>
      <c r="AB780" s="2">
        <v>0.3</v>
      </c>
      <c r="AC780" s="2">
        <v>0</v>
      </c>
      <c r="AD780" s="2">
        <v>6.68</v>
      </c>
      <c r="AE780" s="2">
        <v>0</v>
      </c>
      <c r="AF780" s="2">
        <v>121.57</v>
      </c>
      <c r="AG780" s="2">
        <v>23.65</v>
      </c>
    </row>
    <row r="781" spans="1:33" x14ac:dyDescent="0.2">
      <c r="A781" s="3">
        <v>31685</v>
      </c>
      <c r="B781" s="2">
        <v>-1.01</v>
      </c>
      <c r="C781" s="2">
        <v>27.05</v>
      </c>
      <c r="D781" s="2">
        <v>-8.6300000000000008</v>
      </c>
      <c r="E781" s="2">
        <v>-16.73</v>
      </c>
      <c r="F781" s="2">
        <v>1.88</v>
      </c>
      <c r="G781" s="2">
        <v>11.5</v>
      </c>
      <c r="H781" s="2">
        <v>22.19</v>
      </c>
      <c r="I781" s="2">
        <v>54.53</v>
      </c>
      <c r="J781" s="2">
        <v>9.39</v>
      </c>
      <c r="K781" s="2">
        <v>-5.53</v>
      </c>
      <c r="L781" s="2">
        <v>6.31</v>
      </c>
      <c r="M781" s="2">
        <v>8.68</v>
      </c>
      <c r="N781" s="2">
        <v>38.520000000000003</v>
      </c>
      <c r="O781" s="2">
        <v>28.6</v>
      </c>
      <c r="P781" s="2">
        <v>8.8000000000000007</v>
      </c>
      <c r="Q781" s="2">
        <v>11.99</v>
      </c>
      <c r="R781" s="2">
        <v>27.07</v>
      </c>
      <c r="S781" s="2">
        <v>9.24</v>
      </c>
      <c r="T781" s="2">
        <v>15.17</v>
      </c>
      <c r="U781" s="2">
        <v>15.45</v>
      </c>
      <c r="V781" s="2">
        <v>25.04</v>
      </c>
      <c r="W781" s="2">
        <v>26.1</v>
      </c>
      <c r="X781" s="2">
        <v>15.96</v>
      </c>
      <c r="Y781" s="2">
        <v>15.7</v>
      </c>
      <c r="Z781" s="2">
        <v>0</v>
      </c>
      <c r="AA781" s="2">
        <v>0.17</v>
      </c>
      <c r="AB781" s="2">
        <v>0.06</v>
      </c>
      <c r="AC781" s="2">
        <v>0.28999999999999998</v>
      </c>
      <c r="AD781" s="2">
        <v>5.21</v>
      </c>
      <c r="AE781" s="2">
        <v>9.51</v>
      </c>
      <c r="AF781" s="2">
        <v>113.23</v>
      </c>
      <c r="AG781" s="2">
        <v>20.170000000000002</v>
      </c>
    </row>
    <row r="782" spans="1:33" x14ac:dyDescent="0.2">
      <c r="A782" s="3">
        <v>31716</v>
      </c>
      <c r="B782" s="2">
        <v>-0.24</v>
      </c>
      <c r="C782" s="2">
        <v>25.04</v>
      </c>
      <c r="D782" s="2">
        <v>-8.16</v>
      </c>
      <c r="E782" s="2">
        <v>-26.73</v>
      </c>
      <c r="F782" s="2">
        <v>-16.809999999999999</v>
      </c>
      <c r="G782" s="2">
        <v>0.13</v>
      </c>
      <c r="H782" s="2">
        <v>14.85</v>
      </c>
      <c r="I782" s="2">
        <v>50.25</v>
      </c>
      <c r="J782" s="2">
        <v>0.28999999999999998</v>
      </c>
      <c r="K782" s="2">
        <v>-6.81</v>
      </c>
      <c r="L782" s="2">
        <v>-8.32</v>
      </c>
      <c r="M782" s="2">
        <v>5.52</v>
      </c>
      <c r="N782" s="2">
        <v>33.83</v>
      </c>
      <c r="O782" s="2">
        <v>14.64</v>
      </c>
      <c r="P782" s="2">
        <v>39.83</v>
      </c>
      <c r="Q782" s="2">
        <v>3.9</v>
      </c>
      <c r="R782" s="2">
        <v>12.53</v>
      </c>
      <c r="S782" s="2">
        <v>3.72</v>
      </c>
      <c r="T782" s="2">
        <v>10.85</v>
      </c>
      <c r="U782" s="2">
        <v>6.52</v>
      </c>
      <c r="V782" s="2">
        <v>29.58</v>
      </c>
      <c r="W782" s="2">
        <v>22.19</v>
      </c>
      <c r="X782" s="2">
        <v>14.87</v>
      </c>
      <c r="Y782" s="2">
        <v>14.59</v>
      </c>
      <c r="Z782" s="2">
        <v>0</v>
      </c>
      <c r="AA782" s="2">
        <v>10.039999999999999</v>
      </c>
      <c r="AB782" s="2">
        <v>0</v>
      </c>
      <c r="AC782" s="2">
        <v>6.46</v>
      </c>
      <c r="AD782" s="2">
        <v>2.2200000000000002</v>
      </c>
      <c r="AE782" s="2">
        <v>0.75</v>
      </c>
      <c r="AF782" s="2">
        <v>102.71</v>
      </c>
      <c r="AG782" s="2">
        <v>16.420000000000002</v>
      </c>
    </row>
    <row r="783" spans="1:33" x14ac:dyDescent="0.2">
      <c r="A783" s="3">
        <v>31746</v>
      </c>
      <c r="B783" s="2">
        <v>-0.69</v>
      </c>
      <c r="C783" s="2">
        <v>19.12</v>
      </c>
      <c r="D783" s="2">
        <v>-4.2699999999999996</v>
      </c>
      <c r="E783" s="2">
        <v>-13.18</v>
      </c>
      <c r="F783" s="2">
        <v>-17.100000000000001</v>
      </c>
      <c r="G783" s="2">
        <v>2.5</v>
      </c>
      <c r="H783" s="2">
        <v>13.05</v>
      </c>
      <c r="I783" s="2">
        <v>44.18</v>
      </c>
      <c r="J783" s="2">
        <v>4.3</v>
      </c>
      <c r="K783" s="2">
        <v>-7.82</v>
      </c>
      <c r="L783" s="2">
        <v>-11.12</v>
      </c>
      <c r="M783" s="2">
        <v>-7.58</v>
      </c>
      <c r="N783" s="2">
        <v>20.11</v>
      </c>
      <c r="O783" s="2">
        <v>25.2</v>
      </c>
      <c r="P783" s="2">
        <v>22.6</v>
      </c>
      <c r="Q783" s="2">
        <v>6.57</v>
      </c>
      <c r="R783" s="2">
        <v>12.64</v>
      </c>
      <c r="S783" s="2">
        <v>-1.22</v>
      </c>
      <c r="T783" s="2">
        <v>20.05</v>
      </c>
      <c r="U783" s="2">
        <v>10.5</v>
      </c>
      <c r="V783" s="2">
        <v>16.05</v>
      </c>
      <c r="W783" s="2">
        <v>15.43</v>
      </c>
      <c r="X783" s="2">
        <v>9.6999999999999993</v>
      </c>
      <c r="Y783" s="2">
        <v>8.39</v>
      </c>
      <c r="Z783" s="2">
        <v>3.54</v>
      </c>
      <c r="AA783" s="2">
        <v>1</v>
      </c>
      <c r="AB783" s="2">
        <v>1.88</v>
      </c>
      <c r="AC783" s="2">
        <v>0</v>
      </c>
      <c r="AD783" s="2">
        <v>1.25</v>
      </c>
      <c r="AE783" s="2">
        <v>1.58</v>
      </c>
      <c r="AF783" s="2">
        <v>67.39</v>
      </c>
      <c r="AG783" s="2">
        <v>12.92</v>
      </c>
    </row>
    <row r="784" spans="1:33" x14ac:dyDescent="0.2">
      <c r="A784" s="3">
        <v>31777</v>
      </c>
      <c r="B784" s="2">
        <v>-0.96</v>
      </c>
      <c r="C784" s="2">
        <v>17.95</v>
      </c>
      <c r="D784" s="2">
        <v>-2.74</v>
      </c>
      <c r="E784" s="2">
        <v>-3.61</v>
      </c>
      <c r="F784" s="2">
        <v>0.15</v>
      </c>
      <c r="G784" s="2">
        <v>5.61</v>
      </c>
      <c r="H784" s="2">
        <v>13.7</v>
      </c>
      <c r="I784" s="2">
        <v>46</v>
      </c>
      <c r="J784" s="2">
        <v>10.07</v>
      </c>
      <c r="K784" s="2">
        <v>-4.08</v>
      </c>
      <c r="L784" s="2">
        <v>17.34</v>
      </c>
      <c r="M784" s="2">
        <v>13.93</v>
      </c>
      <c r="N784" s="2">
        <v>16.149999999999999</v>
      </c>
      <c r="O784" s="2">
        <v>26.75</v>
      </c>
      <c r="P784" s="2">
        <v>26.94</v>
      </c>
      <c r="Q784" s="2">
        <v>-0.21</v>
      </c>
      <c r="R784" s="2">
        <v>11.83</v>
      </c>
      <c r="S784" s="2">
        <v>5.21</v>
      </c>
      <c r="T784" s="2">
        <v>16.73</v>
      </c>
      <c r="U784" s="2">
        <v>9.02</v>
      </c>
      <c r="V784" s="2">
        <v>7.39</v>
      </c>
      <c r="W784" s="2">
        <v>11.73</v>
      </c>
      <c r="X784" s="2">
        <v>7.69</v>
      </c>
      <c r="Y784" s="2">
        <v>7.59</v>
      </c>
      <c r="Z784" s="2">
        <v>0.05</v>
      </c>
      <c r="AA784" s="2">
        <v>1</v>
      </c>
      <c r="AB784" s="2">
        <v>0</v>
      </c>
      <c r="AC784" s="2">
        <v>1.36</v>
      </c>
      <c r="AD784" s="2">
        <v>1.3</v>
      </c>
      <c r="AE784" s="2">
        <v>7.92</v>
      </c>
      <c r="AF784" s="2">
        <v>61.91</v>
      </c>
      <c r="AG784" s="2">
        <v>11.2</v>
      </c>
    </row>
    <row r="785" spans="1:33" x14ac:dyDescent="0.2">
      <c r="A785" s="3">
        <v>31808</v>
      </c>
      <c r="B785" s="2">
        <v>-5.8</v>
      </c>
      <c r="C785" s="2">
        <v>21.14</v>
      </c>
      <c r="D785" s="2">
        <v>3.86</v>
      </c>
      <c r="E785" s="2">
        <v>12.01</v>
      </c>
      <c r="F785" s="2">
        <v>8.19</v>
      </c>
      <c r="G785" s="2">
        <v>11.83</v>
      </c>
      <c r="H785" s="2">
        <v>13.79</v>
      </c>
      <c r="I785" s="2">
        <v>46.82</v>
      </c>
      <c r="J785" s="2">
        <v>9.6199999999999992</v>
      </c>
      <c r="K785" s="2">
        <v>9.77</v>
      </c>
      <c r="L785" s="2">
        <v>-9.92</v>
      </c>
      <c r="M785" s="2">
        <v>-3.77</v>
      </c>
      <c r="N785" s="2">
        <v>22.18</v>
      </c>
      <c r="O785" s="2">
        <v>27.47</v>
      </c>
      <c r="P785" s="2">
        <v>35.909999999999997</v>
      </c>
      <c r="Q785" s="2">
        <v>-2.2400000000000002</v>
      </c>
      <c r="R785" s="2">
        <v>10.210000000000001</v>
      </c>
      <c r="S785" s="2">
        <v>8.11</v>
      </c>
      <c r="T785" s="2">
        <v>20.38</v>
      </c>
      <c r="U785" s="2">
        <v>7.77</v>
      </c>
      <c r="V785" s="2">
        <v>6.3</v>
      </c>
      <c r="W785" s="2">
        <v>4.26</v>
      </c>
      <c r="X785" s="2">
        <v>4.8899999999999997</v>
      </c>
      <c r="Y785" s="2">
        <v>3.59</v>
      </c>
      <c r="Z785" s="2">
        <v>3.01</v>
      </c>
      <c r="AA785" s="2">
        <v>1.58</v>
      </c>
      <c r="AB785" s="2">
        <v>1</v>
      </c>
      <c r="AC785" s="2">
        <v>0</v>
      </c>
      <c r="AD785" s="2">
        <v>1.24</v>
      </c>
      <c r="AE785" s="2">
        <v>14.92</v>
      </c>
      <c r="AF785" s="2">
        <v>73.8</v>
      </c>
      <c r="AG785" s="2">
        <v>9.8800000000000008</v>
      </c>
    </row>
    <row r="786" spans="1:33" x14ac:dyDescent="0.2">
      <c r="A786" s="3">
        <v>31836</v>
      </c>
      <c r="B786" s="2">
        <v>-4.0599999999999996</v>
      </c>
      <c r="C786" s="2">
        <v>20.059999999999999</v>
      </c>
      <c r="D786" s="2">
        <v>0.87</v>
      </c>
      <c r="E786" s="2">
        <v>4.3899999999999997</v>
      </c>
      <c r="F786" s="2">
        <v>3.33</v>
      </c>
      <c r="G786" s="2">
        <v>22.67</v>
      </c>
      <c r="H786" s="2">
        <v>10.68</v>
      </c>
      <c r="I786" s="2">
        <v>44.13</v>
      </c>
      <c r="J786" s="2">
        <v>12.58</v>
      </c>
      <c r="K786" s="2">
        <v>28.06</v>
      </c>
      <c r="L786" s="2">
        <v>-6.2</v>
      </c>
      <c r="M786" s="2">
        <v>-4.29</v>
      </c>
      <c r="N786" s="2">
        <v>35.159999999999997</v>
      </c>
      <c r="O786" s="2">
        <v>21.28</v>
      </c>
      <c r="P786" s="2">
        <v>41.26</v>
      </c>
      <c r="Q786" s="2">
        <v>-1.3</v>
      </c>
      <c r="R786" s="2">
        <v>11.79</v>
      </c>
      <c r="S786" s="2">
        <v>12.5</v>
      </c>
      <c r="T786" s="2">
        <v>17.82</v>
      </c>
      <c r="U786" s="2">
        <v>9.17</v>
      </c>
      <c r="V786" s="2">
        <v>6.71</v>
      </c>
      <c r="W786" s="2">
        <v>0</v>
      </c>
      <c r="X786" s="2">
        <v>0</v>
      </c>
      <c r="Y786" s="2">
        <v>0</v>
      </c>
      <c r="Z786" s="2">
        <v>2.25</v>
      </c>
      <c r="AA786" s="2">
        <v>6.17</v>
      </c>
      <c r="AB786" s="2">
        <v>2.1</v>
      </c>
      <c r="AC786" s="2">
        <v>17.510000000000002</v>
      </c>
      <c r="AD786" s="2">
        <v>1.91</v>
      </c>
      <c r="AE786" s="2">
        <v>19.579999999999998</v>
      </c>
      <c r="AF786" s="2">
        <v>61.52</v>
      </c>
      <c r="AG786" s="2">
        <v>10.08</v>
      </c>
    </row>
    <row r="787" spans="1:33" x14ac:dyDescent="0.2">
      <c r="A787" s="3">
        <v>31867</v>
      </c>
      <c r="B787" s="2">
        <v>1.59</v>
      </c>
      <c r="C787" s="2">
        <v>25.29</v>
      </c>
      <c r="D787" s="2">
        <v>7.69</v>
      </c>
      <c r="E787" s="2">
        <v>35.21</v>
      </c>
      <c r="F787" s="2">
        <v>21.38</v>
      </c>
      <c r="G787" s="2">
        <v>19.41</v>
      </c>
      <c r="H787" s="2">
        <v>18.809999999999999</v>
      </c>
      <c r="I787" s="2">
        <v>48.94</v>
      </c>
      <c r="J787" s="2">
        <v>21.22</v>
      </c>
      <c r="K787" s="2">
        <v>27.8</v>
      </c>
      <c r="L787" s="2">
        <v>8.02</v>
      </c>
      <c r="M787" s="2">
        <v>12.39</v>
      </c>
      <c r="N787" s="2">
        <v>38.68</v>
      </c>
      <c r="O787" s="2">
        <v>25.73</v>
      </c>
      <c r="P787" s="2">
        <v>47.47</v>
      </c>
      <c r="Q787" s="2">
        <v>-0.56000000000000005</v>
      </c>
      <c r="R787" s="2">
        <v>7.15</v>
      </c>
      <c r="S787" s="2">
        <v>17.16</v>
      </c>
      <c r="T787" s="2">
        <v>28.15</v>
      </c>
      <c r="U787" s="2">
        <v>9.43</v>
      </c>
      <c r="V787" s="2">
        <v>15.21</v>
      </c>
      <c r="W787" s="2">
        <v>0</v>
      </c>
      <c r="X787" s="2">
        <v>0</v>
      </c>
      <c r="Y787" s="2">
        <v>0</v>
      </c>
      <c r="Z787" s="2">
        <v>1.77</v>
      </c>
      <c r="AA787" s="2">
        <v>4.7300000000000004</v>
      </c>
      <c r="AB787" s="2">
        <v>1</v>
      </c>
      <c r="AC787" s="2">
        <v>12.63</v>
      </c>
      <c r="AD787" s="2">
        <v>3.77</v>
      </c>
      <c r="AE787" s="2">
        <v>17.149999999999999</v>
      </c>
      <c r="AF787" s="2">
        <v>72.599999999999994</v>
      </c>
      <c r="AG787" s="2">
        <v>10.69</v>
      </c>
    </row>
    <row r="788" spans="1:33" x14ac:dyDescent="0.2">
      <c r="A788" s="3">
        <v>31897</v>
      </c>
      <c r="B788" s="2">
        <v>0.54</v>
      </c>
      <c r="C788" s="2">
        <v>16.95</v>
      </c>
      <c r="D788" s="2">
        <v>-9.67</v>
      </c>
      <c r="E788" s="2">
        <v>-24.97</v>
      </c>
      <c r="F788" s="2">
        <v>-10.3</v>
      </c>
      <c r="G788" s="2">
        <v>-13.42</v>
      </c>
      <c r="H788" s="2">
        <v>6.5</v>
      </c>
      <c r="I788" s="2">
        <v>43.67</v>
      </c>
      <c r="J788" s="2">
        <v>-7.99</v>
      </c>
      <c r="K788" s="2">
        <v>-30.15</v>
      </c>
      <c r="L788" s="2">
        <v>0.93</v>
      </c>
      <c r="M788" s="2">
        <v>-2.86</v>
      </c>
      <c r="N788" s="2">
        <v>5.84</v>
      </c>
      <c r="O788" s="2">
        <v>31.8</v>
      </c>
      <c r="P788" s="2">
        <v>16.57</v>
      </c>
      <c r="Q788" s="2">
        <v>6.38</v>
      </c>
      <c r="R788" s="2">
        <v>12.3</v>
      </c>
      <c r="S788" s="2">
        <v>2.82</v>
      </c>
      <c r="T788" s="2">
        <v>15.68</v>
      </c>
      <c r="U788" s="2">
        <v>16</v>
      </c>
      <c r="V788" s="2">
        <v>13.09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0.06</v>
      </c>
      <c r="AC788" s="2">
        <v>0.22</v>
      </c>
      <c r="AD788" s="2">
        <v>4.7</v>
      </c>
      <c r="AE788" s="2">
        <v>1.31</v>
      </c>
      <c r="AF788" s="2">
        <v>89.83</v>
      </c>
      <c r="AG788" s="2">
        <v>14.64</v>
      </c>
    </row>
    <row r="789" spans="1:33" x14ac:dyDescent="0.2">
      <c r="A789" s="3">
        <v>31928</v>
      </c>
      <c r="B789" s="2">
        <v>0.81</v>
      </c>
      <c r="C789" s="2">
        <v>12.71</v>
      </c>
      <c r="D789" s="2">
        <v>-7.58</v>
      </c>
      <c r="E789" s="2">
        <v>-8.66</v>
      </c>
      <c r="F789" s="2">
        <v>-8.73</v>
      </c>
      <c r="G789" s="2">
        <v>-4.3099999999999996</v>
      </c>
      <c r="H789" s="2">
        <v>10.92</v>
      </c>
      <c r="I789" s="2">
        <v>30.61</v>
      </c>
      <c r="J789" s="2">
        <v>-8.65</v>
      </c>
      <c r="K789" s="2">
        <v>0.67</v>
      </c>
      <c r="L789" s="2">
        <v>-6.88</v>
      </c>
      <c r="M789" s="2">
        <v>-0.22</v>
      </c>
      <c r="N789" s="2">
        <v>32.270000000000003</v>
      </c>
      <c r="O789" s="2">
        <v>29.03</v>
      </c>
      <c r="P789" s="2">
        <v>51.74</v>
      </c>
      <c r="Q789" s="2">
        <v>-3.24</v>
      </c>
      <c r="R789" s="2">
        <v>13.95</v>
      </c>
      <c r="S789" s="2">
        <v>10.76</v>
      </c>
      <c r="T789" s="2">
        <v>17.05</v>
      </c>
      <c r="U789" s="2">
        <v>8.19</v>
      </c>
      <c r="V789" s="2">
        <v>23.15</v>
      </c>
      <c r="W789" s="2">
        <v>4.88</v>
      </c>
      <c r="X789" s="2">
        <v>1.3</v>
      </c>
      <c r="Y789" s="2">
        <v>0</v>
      </c>
      <c r="Z789" s="2">
        <v>0.96</v>
      </c>
      <c r="AA789" s="2">
        <v>0</v>
      </c>
      <c r="AB789" s="2">
        <v>1.99</v>
      </c>
      <c r="AC789" s="2">
        <v>0</v>
      </c>
      <c r="AD789" s="2">
        <v>7.64</v>
      </c>
      <c r="AE789" s="2">
        <v>0</v>
      </c>
      <c r="AF789" s="2">
        <v>101.45</v>
      </c>
      <c r="AG789" s="2">
        <v>17.690000000000001</v>
      </c>
    </row>
    <row r="790" spans="1:33" x14ac:dyDescent="0.2">
      <c r="A790" s="3">
        <v>31958</v>
      </c>
      <c r="B790" s="2">
        <v>0.46</v>
      </c>
      <c r="C790" s="2">
        <v>17.88</v>
      </c>
      <c r="D790" s="2">
        <v>-12.09</v>
      </c>
      <c r="E790" s="2">
        <v>-4.8</v>
      </c>
      <c r="F790" s="2">
        <v>2.44</v>
      </c>
      <c r="G790" s="2">
        <v>1.64</v>
      </c>
      <c r="H790" s="2">
        <v>16.260000000000002</v>
      </c>
      <c r="I790" s="2">
        <v>34.340000000000003</v>
      </c>
      <c r="J790" s="2">
        <v>-8.08</v>
      </c>
      <c r="K790" s="2">
        <v>10.06</v>
      </c>
      <c r="L790" s="2">
        <v>0.21</v>
      </c>
      <c r="M790" s="2">
        <v>4.7699999999999996</v>
      </c>
      <c r="N790" s="2">
        <v>35.29</v>
      </c>
      <c r="O790" s="2">
        <v>32.44</v>
      </c>
      <c r="P790" s="2">
        <v>66.540000000000006</v>
      </c>
      <c r="Q790" s="2">
        <v>8.68</v>
      </c>
      <c r="R790" s="2">
        <v>20.100000000000001</v>
      </c>
      <c r="S790" s="2">
        <v>26.01</v>
      </c>
      <c r="T790" s="2">
        <v>46.99</v>
      </c>
      <c r="U790" s="2">
        <v>18.43</v>
      </c>
      <c r="V790" s="2">
        <v>46.46</v>
      </c>
      <c r="W790" s="2">
        <v>18.62</v>
      </c>
      <c r="X790" s="2">
        <v>6.01</v>
      </c>
      <c r="Y790" s="2">
        <v>5.4</v>
      </c>
      <c r="Z790" s="2">
        <v>3.4</v>
      </c>
      <c r="AA790" s="2">
        <v>0</v>
      </c>
      <c r="AB790" s="2">
        <v>1.1599999999999999</v>
      </c>
      <c r="AC790" s="2">
        <v>0</v>
      </c>
      <c r="AD790" s="2">
        <v>10.59</v>
      </c>
      <c r="AE790" s="2">
        <v>0</v>
      </c>
      <c r="AF790" s="2">
        <v>111.02</v>
      </c>
      <c r="AG790" s="2">
        <v>22.83</v>
      </c>
    </row>
    <row r="791" spans="1:33" x14ac:dyDescent="0.2">
      <c r="A791" s="3">
        <v>31989</v>
      </c>
      <c r="B791" s="2">
        <v>1.23</v>
      </c>
      <c r="C791" s="2">
        <v>19.73</v>
      </c>
      <c r="D791" s="2">
        <v>-11.76</v>
      </c>
      <c r="E791" s="2">
        <v>9.11</v>
      </c>
      <c r="F791" s="2">
        <v>11.24</v>
      </c>
      <c r="G791" s="2">
        <v>18.649999999999999</v>
      </c>
      <c r="H791" s="2">
        <v>20.72</v>
      </c>
      <c r="I791" s="2">
        <v>38.049999999999997</v>
      </c>
      <c r="J791" s="2">
        <v>-8.59</v>
      </c>
      <c r="K791" s="2">
        <v>12.16</v>
      </c>
      <c r="L791" s="2">
        <v>1.85</v>
      </c>
      <c r="M791" s="2">
        <v>10.18</v>
      </c>
      <c r="N791" s="2">
        <v>40.880000000000003</v>
      </c>
      <c r="O791" s="2">
        <v>46.32</v>
      </c>
      <c r="P791" s="2">
        <v>79.88</v>
      </c>
      <c r="Q791" s="2">
        <v>4.04</v>
      </c>
      <c r="R791" s="2">
        <v>21.17</v>
      </c>
      <c r="S791" s="2">
        <v>29.62</v>
      </c>
      <c r="T791" s="2">
        <v>41.26</v>
      </c>
      <c r="U791" s="2">
        <v>31.35</v>
      </c>
      <c r="V791" s="2">
        <v>47.29</v>
      </c>
      <c r="W791" s="2">
        <v>30.39</v>
      </c>
      <c r="X791" s="2">
        <v>10.59</v>
      </c>
      <c r="Y791" s="2">
        <v>10.36</v>
      </c>
      <c r="Z791" s="2">
        <v>0</v>
      </c>
      <c r="AA791" s="2">
        <v>0</v>
      </c>
      <c r="AB791" s="2">
        <v>0</v>
      </c>
      <c r="AC791" s="2">
        <v>0.5</v>
      </c>
      <c r="AD791" s="2">
        <v>8.08</v>
      </c>
      <c r="AE791" s="2">
        <v>0</v>
      </c>
      <c r="AF791" s="2">
        <v>120.91</v>
      </c>
      <c r="AG791" s="2">
        <v>24.8</v>
      </c>
    </row>
    <row r="792" spans="1:33" x14ac:dyDescent="0.2">
      <c r="A792" s="3">
        <v>32020</v>
      </c>
      <c r="B792" s="2">
        <v>-0.89</v>
      </c>
      <c r="C792" s="2">
        <v>18.86</v>
      </c>
      <c r="D792" s="2">
        <v>-12.35</v>
      </c>
      <c r="E792" s="2">
        <v>-7.34</v>
      </c>
      <c r="F792" s="2">
        <v>-0.42</v>
      </c>
      <c r="G792" s="2">
        <v>16.5</v>
      </c>
      <c r="H792" s="2">
        <v>15.66</v>
      </c>
      <c r="I792" s="2">
        <v>38.770000000000003</v>
      </c>
      <c r="J792" s="2">
        <v>-2.48</v>
      </c>
      <c r="K792" s="2">
        <v>6.52</v>
      </c>
      <c r="L792" s="2">
        <v>5.26</v>
      </c>
      <c r="M792" s="2">
        <v>11.56</v>
      </c>
      <c r="N792" s="2">
        <v>40.72</v>
      </c>
      <c r="O792" s="2">
        <v>32.93</v>
      </c>
      <c r="P792" s="2">
        <v>75.61</v>
      </c>
      <c r="Q792" s="2">
        <v>3.86</v>
      </c>
      <c r="R792" s="2">
        <v>13.42</v>
      </c>
      <c r="S792" s="2">
        <v>23.51</v>
      </c>
      <c r="T792" s="2">
        <v>39.340000000000003</v>
      </c>
      <c r="U792" s="2">
        <v>31.1</v>
      </c>
      <c r="V792" s="2">
        <v>44.16</v>
      </c>
      <c r="W792" s="2">
        <v>31.47</v>
      </c>
      <c r="X792" s="2">
        <v>12.78</v>
      </c>
      <c r="Y792" s="2">
        <v>12.67</v>
      </c>
      <c r="Z792" s="2">
        <v>0</v>
      </c>
      <c r="AA792" s="2">
        <v>0</v>
      </c>
      <c r="AB792" s="2">
        <v>0</v>
      </c>
      <c r="AC792" s="2">
        <v>0.86</v>
      </c>
      <c r="AD792" s="2">
        <v>5.66</v>
      </c>
      <c r="AE792" s="2">
        <v>0</v>
      </c>
      <c r="AF792" s="2">
        <v>122.96</v>
      </c>
      <c r="AG792" s="2">
        <v>23.65</v>
      </c>
    </row>
    <row r="793" spans="1:33" x14ac:dyDescent="0.2">
      <c r="A793" s="3">
        <v>32050</v>
      </c>
      <c r="B793" s="2">
        <v>-5.47</v>
      </c>
      <c r="C793" s="2">
        <v>17.71</v>
      </c>
      <c r="D793" s="2">
        <v>-16.12</v>
      </c>
      <c r="E793" s="2">
        <v>-36.58</v>
      </c>
      <c r="F793" s="2">
        <v>-3.93</v>
      </c>
      <c r="G793" s="2">
        <v>2.4700000000000002</v>
      </c>
      <c r="H793" s="2">
        <v>14.75</v>
      </c>
      <c r="I793" s="2">
        <v>46.57</v>
      </c>
      <c r="J793" s="2">
        <v>6.05</v>
      </c>
      <c r="K793" s="2">
        <v>-8.07</v>
      </c>
      <c r="L793" s="2">
        <v>3.85</v>
      </c>
      <c r="M793" s="2">
        <v>5.55</v>
      </c>
      <c r="N793" s="2">
        <v>35.08</v>
      </c>
      <c r="O793" s="2">
        <v>26.96</v>
      </c>
      <c r="P793" s="2">
        <v>22.5</v>
      </c>
      <c r="Q793" s="2">
        <v>6.67</v>
      </c>
      <c r="R793" s="2">
        <v>18.23</v>
      </c>
      <c r="S793" s="2">
        <v>-2.2999999999999998</v>
      </c>
      <c r="T793" s="2">
        <v>13.73</v>
      </c>
      <c r="U793" s="2">
        <v>10.89</v>
      </c>
      <c r="V793" s="2">
        <v>19.440000000000001</v>
      </c>
      <c r="W793" s="2">
        <v>26.1</v>
      </c>
      <c r="X793" s="2">
        <v>12.3</v>
      </c>
      <c r="Y793" s="2">
        <v>11.98</v>
      </c>
      <c r="Z793" s="2">
        <v>2.34</v>
      </c>
      <c r="AA793" s="2">
        <v>0.43</v>
      </c>
      <c r="AB793" s="2">
        <v>0</v>
      </c>
      <c r="AC793" s="2">
        <v>0</v>
      </c>
      <c r="AD793" s="2">
        <v>3.86</v>
      </c>
      <c r="AE793" s="2">
        <v>0</v>
      </c>
      <c r="AF793" s="2">
        <v>114.53</v>
      </c>
      <c r="AG793" s="2">
        <v>20.170000000000002</v>
      </c>
    </row>
    <row r="794" spans="1:33" x14ac:dyDescent="0.2">
      <c r="A794" s="3">
        <v>32081</v>
      </c>
      <c r="B794" s="2">
        <v>-3.46</v>
      </c>
      <c r="C794" s="2">
        <v>13.98</v>
      </c>
      <c r="D794" s="2">
        <v>-11.02</v>
      </c>
      <c r="E794" s="2">
        <v>-24.5</v>
      </c>
      <c r="F794" s="2">
        <v>-0.3</v>
      </c>
      <c r="G794" s="2">
        <v>3.99</v>
      </c>
      <c r="H794" s="2">
        <v>13.41</v>
      </c>
      <c r="I794" s="2">
        <v>39.15</v>
      </c>
      <c r="J794" s="2">
        <v>4.93</v>
      </c>
      <c r="K794" s="2">
        <v>-0.71</v>
      </c>
      <c r="L794" s="2">
        <v>-13.09</v>
      </c>
      <c r="M794" s="2">
        <v>2.61</v>
      </c>
      <c r="N794" s="2">
        <v>20.48</v>
      </c>
      <c r="O794" s="2">
        <v>20.28</v>
      </c>
      <c r="P794" s="2">
        <v>47.35</v>
      </c>
      <c r="Q794" s="2">
        <v>-0.54</v>
      </c>
      <c r="R794" s="2">
        <v>8.6199999999999992</v>
      </c>
      <c r="S794" s="2">
        <v>-11.37</v>
      </c>
      <c r="T794" s="2">
        <v>13.21</v>
      </c>
      <c r="U794" s="2">
        <v>1.59</v>
      </c>
      <c r="V794" s="2">
        <v>15.67</v>
      </c>
      <c r="W794" s="2">
        <v>22.19</v>
      </c>
      <c r="X794" s="2">
        <v>11.55</v>
      </c>
      <c r="Y794" s="2">
        <v>11.21</v>
      </c>
      <c r="Z794" s="2">
        <v>6.51</v>
      </c>
      <c r="AA794" s="2">
        <v>20.93</v>
      </c>
      <c r="AB794" s="2">
        <v>1.1599999999999999</v>
      </c>
      <c r="AC794" s="2">
        <v>0</v>
      </c>
      <c r="AD794" s="2">
        <v>3.81</v>
      </c>
      <c r="AE794" s="2">
        <v>8.67</v>
      </c>
      <c r="AF794" s="2">
        <v>103.89</v>
      </c>
      <c r="AG794" s="2">
        <v>16.420000000000002</v>
      </c>
    </row>
    <row r="795" spans="1:33" x14ac:dyDescent="0.2">
      <c r="A795" s="3">
        <v>32111</v>
      </c>
      <c r="B795" s="2">
        <v>-3.84</v>
      </c>
      <c r="C795" s="2">
        <v>16.899999999999999</v>
      </c>
      <c r="D795" s="2">
        <v>-0.08</v>
      </c>
      <c r="E795" s="2">
        <v>-0.9</v>
      </c>
      <c r="F795" s="2">
        <v>4.21</v>
      </c>
      <c r="G795" s="2">
        <v>11.57</v>
      </c>
      <c r="H795" s="2">
        <v>14.98</v>
      </c>
      <c r="I795" s="2">
        <v>38.159999999999997</v>
      </c>
      <c r="J795" s="2">
        <v>9.65</v>
      </c>
      <c r="K795" s="2">
        <v>2.11</v>
      </c>
      <c r="L795" s="2">
        <v>-0.88</v>
      </c>
      <c r="M795" s="2">
        <v>2.0099999999999998</v>
      </c>
      <c r="N795" s="2">
        <v>17.27</v>
      </c>
      <c r="O795" s="2">
        <v>21.76</v>
      </c>
      <c r="P795" s="2">
        <v>25.88</v>
      </c>
      <c r="Q795" s="2">
        <v>2.36</v>
      </c>
      <c r="R795" s="2">
        <v>9.6</v>
      </c>
      <c r="S795" s="2">
        <v>-3.12</v>
      </c>
      <c r="T795" s="2">
        <v>20.82</v>
      </c>
      <c r="U795" s="2">
        <v>7.27</v>
      </c>
      <c r="V795" s="2">
        <v>11.83</v>
      </c>
      <c r="W795" s="2">
        <v>15.43</v>
      </c>
      <c r="X795" s="2">
        <v>7.5</v>
      </c>
      <c r="Y795" s="2">
        <v>6.14</v>
      </c>
      <c r="Z795" s="2">
        <v>4.74</v>
      </c>
      <c r="AA795" s="2">
        <v>12.71</v>
      </c>
      <c r="AB795" s="2">
        <v>3.45</v>
      </c>
      <c r="AC795" s="2">
        <v>5.31</v>
      </c>
      <c r="AD795" s="2">
        <v>2.36</v>
      </c>
      <c r="AE795" s="2">
        <v>15.38</v>
      </c>
      <c r="AF795" s="2">
        <v>68.16</v>
      </c>
      <c r="AG795" s="2">
        <v>12.92</v>
      </c>
    </row>
    <row r="796" spans="1:33" x14ac:dyDescent="0.2">
      <c r="A796" s="3">
        <v>32142</v>
      </c>
      <c r="B796" s="2">
        <v>-1.88</v>
      </c>
      <c r="C796" s="2">
        <v>28.8</v>
      </c>
      <c r="D796" s="2">
        <v>32.75</v>
      </c>
      <c r="E796" s="2">
        <v>80.53</v>
      </c>
      <c r="F796" s="2">
        <v>47.91</v>
      </c>
      <c r="G796" s="2">
        <v>74.709999999999994</v>
      </c>
      <c r="H796" s="2">
        <v>26.58</v>
      </c>
      <c r="I796" s="2">
        <v>42.32</v>
      </c>
      <c r="J796" s="2">
        <v>29.02</v>
      </c>
      <c r="K796" s="2">
        <v>9.0299999999999994</v>
      </c>
      <c r="L796" s="2">
        <v>-1.97</v>
      </c>
      <c r="M796" s="2">
        <v>10.43</v>
      </c>
      <c r="N796" s="2">
        <v>20.39</v>
      </c>
      <c r="O796" s="2">
        <v>23.24</v>
      </c>
      <c r="P796" s="2">
        <v>30.72</v>
      </c>
      <c r="Q796" s="2">
        <v>-0.4</v>
      </c>
      <c r="R796" s="2">
        <v>8.9600000000000009</v>
      </c>
      <c r="S796" s="2">
        <v>9.4600000000000009</v>
      </c>
      <c r="T796" s="2">
        <v>15.49</v>
      </c>
      <c r="U796" s="2">
        <v>7.99</v>
      </c>
      <c r="V796" s="2">
        <v>15.26</v>
      </c>
      <c r="W796" s="2">
        <v>11.73</v>
      </c>
      <c r="X796" s="2">
        <v>3.66</v>
      </c>
      <c r="Y796" s="2">
        <v>5.52</v>
      </c>
      <c r="Z796" s="2">
        <v>9.81</v>
      </c>
      <c r="AA796" s="2">
        <v>7.14</v>
      </c>
      <c r="AB796" s="2">
        <v>1.92</v>
      </c>
      <c r="AC796" s="2">
        <v>7.0000000000000007E-2</v>
      </c>
      <c r="AD796" s="2">
        <v>2.23</v>
      </c>
      <c r="AE796" s="2">
        <v>30.86</v>
      </c>
      <c r="AF796" s="2">
        <v>62.62</v>
      </c>
      <c r="AG796" s="2">
        <v>11.2</v>
      </c>
    </row>
    <row r="797" spans="1:33" x14ac:dyDescent="0.2">
      <c r="A797" s="3">
        <v>32173</v>
      </c>
      <c r="B797" s="2">
        <v>-6.9</v>
      </c>
      <c r="C797" s="2">
        <v>29.5</v>
      </c>
      <c r="D797" s="2">
        <v>22.9</v>
      </c>
      <c r="E797" s="2">
        <v>44.89</v>
      </c>
      <c r="F797" s="2">
        <v>24.49</v>
      </c>
      <c r="G797" s="2">
        <v>64.86</v>
      </c>
      <c r="H797" s="2">
        <v>13.94</v>
      </c>
      <c r="I797" s="2">
        <v>34.799999999999997</v>
      </c>
      <c r="J797" s="2">
        <v>31.98</v>
      </c>
      <c r="K797" s="2">
        <v>18.77</v>
      </c>
      <c r="L797" s="2">
        <v>-5.72</v>
      </c>
      <c r="M797" s="2">
        <v>-1.9</v>
      </c>
      <c r="N797" s="2">
        <v>25.92</v>
      </c>
      <c r="O797" s="2">
        <v>17.21</v>
      </c>
      <c r="P797" s="2">
        <v>42.27</v>
      </c>
      <c r="Q797" s="2">
        <v>-2.0699999999999998</v>
      </c>
      <c r="R797" s="2">
        <v>8.9600000000000009</v>
      </c>
      <c r="S797" s="2">
        <v>13.49</v>
      </c>
      <c r="T797" s="2">
        <v>13.49</v>
      </c>
      <c r="U797" s="2">
        <v>8.2799999999999994</v>
      </c>
      <c r="V797" s="2">
        <v>10.97</v>
      </c>
      <c r="W797" s="2">
        <v>4.26</v>
      </c>
      <c r="X797" s="2">
        <v>0</v>
      </c>
      <c r="Y797" s="2">
        <v>1.32</v>
      </c>
      <c r="Z797" s="2">
        <v>6.65</v>
      </c>
      <c r="AA797" s="2">
        <v>2.78</v>
      </c>
      <c r="AB797" s="2">
        <v>4.47</v>
      </c>
      <c r="AC797" s="2">
        <v>4.5199999999999996</v>
      </c>
      <c r="AD797" s="2">
        <v>2.12</v>
      </c>
      <c r="AE797" s="2">
        <v>19.39</v>
      </c>
      <c r="AF797" s="2">
        <v>68.22</v>
      </c>
      <c r="AG797" s="2">
        <v>9.8800000000000008</v>
      </c>
    </row>
    <row r="798" spans="1:33" x14ac:dyDescent="0.2">
      <c r="A798" s="3">
        <v>32202</v>
      </c>
      <c r="B798" s="2">
        <v>-1.01</v>
      </c>
      <c r="C798" s="2">
        <v>17.5</v>
      </c>
      <c r="D798" s="2">
        <v>-22.51</v>
      </c>
      <c r="E798" s="2">
        <v>-54.95</v>
      </c>
      <c r="F798" s="2">
        <v>-17.16</v>
      </c>
      <c r="G798" s="2">
        <v>-33.950000000000003</v>
      </c>
      <c r="H798" s="2">
        <v>3.97</v>
      </c>
      <c r="I798" s="2">
        <v>36.159999999999997</v>
      </c>
      <c r="J798" s="2">
        <v>2.71</v>
      </c>
      <c r="K798" s="2">
        <v>10.3</v>
      </c>
      <c r="L798" s="2">
        <v>-4.62</v>
      </c>
      <c r="M798" s="2">
        <v>-2.09</v>
      </c>
      <c r="N798" s="2">
        <v>26.79</v>
      </c>
      <c r="O798" s="2">
        <v>23.06</v>
      </c>
      <c r="P798" s="2">
        <v>51.93</v>
      </c>
      <c r="Q798" s="2">
        <v>0.82</v>
      </c>
      <c r="R798" s="2">
        <v>13.74</v>
      </c>
      <c r="S798" s="2">
        <v>-14.9</v>
      </c>
      <c r="T798" s="2">
        <v>17.91</v>
      </c>
      <c r="U798" s="2">
        <v>9.93</v>
      </c>
      <c r="V798" s="2">
        <v>7.66</v>
      </c>
      <c r="W798" s="2">
        <v>0</v>
      </c>
      <c r="X798" s="2">
        <v>0</v>
      </c>
      <c r="Y798" s="2">
        <v>0</v>
      </c>
      <c r="Z798" s="2">
        <v>3.78</v>
      </c>
      <c r="AA798" s="2">
        <v>11.9</v>
      </c>
      <c r="AB798" s="2">
        <v>0.76</v>
      </c>
      <c r="AC798" s="2">
        <v>3.37</v>
      </c>
      <c r="AD798" s="2">
        <v>2.2999999999999998</v>
      </c>
      <c r="AE798" s="2">
        <v>5.78</v>
      </c>
      <c r="AF798" s="2">
        <v>56.87</v>
      </c>
      <c r="AG798" s="2">
        <v>10.08</v>
      </c>
    </row>
    <row r="799" spans="1:33" x14ac:dyDescent="0.2">
      <c r="A799" s="3">
        <v>32233</v>
      </c>
      <c r="B799" s="2">
        <v>1.95</v>
      </c>
      <c r="C799" s="2">
        <v>19.64</v>
      </c>
      <c r="D799" s="2">
        <v>-9</v>
      </c>
      <c r="E799" s="2">
        <v>-14.93</v>
      </c>
      <c r="F799" s="2">
        <v>6.25</v>
      </c>
      <c r="G799" s="2">
        <v>-15.01</v>
      </c>
      <c r="H799" s="2">
        <v>12.52</v>
      </c>
      <c r="I799" s="2">
        <v>40.32</v>
      </c>
      <c r="J799" s="2">
        <v>9.2899999999999991</v>
      </c>
      <c r="K799" s="2">
        <v>8.6199999999999992</v>
      </c>
      <c r="L799" s="2">
        <v>28.86</v>
      </c>
      <c r="M799" s="2">
        <v>9.59</v>
      </c>
      <c r="N799" s="2">
        <v>34.909999999999997</v>
      </c>
      <c r="O799" s="2">
        <v>18.21</v>
      </c>
      <c r="P799" s="2">
        <v>60.23</v>
      </c>
      <c r="Q799" s="2">
        <v>-3.32</v>
      </c>
      <c r="R799" s="2">
        <v>4.54</v>
      </c>
      <c r="S799" s="2">
        <v>-18.8</v>
      </c>
      <c r="T799" s="2">
        <v>22.02</v>
      </c>
      <c r="U799" s="2">
        <v>8.14</v>
      </c>
      <c r="V799" s="2">
        <v>18.68</v>
      </c>
      <c r="W799" s="2">
        <v>0</v>
      </c>
      <c r="X799" s="2">
        <v>0</v>
      </c>
      <c r="Y799" s="2">
        <v>0</v>
      </c>
      <c r="Z799" s="2">
        <v>3.68</v>
      </c>
      <c r="AA799" s="2">
        <v>0.17</v>
      </c>
      <c r="AB799" s="2">
        <v>1.3</v>
      </c>
      <c r="AC799" s="2">
        <v>2.66</v>
      </c>
      <c r="AD799" s="2">
        <v>3.96</v>
      </c>
      <c r="AE799" s="2">
        <v>0.56000000000000005</v>
      </c>
      <c r="AF799" s="2">
        <v>67.11</v>
      </c>
      <c r="AG799" s="2">
        <v>10.69</v>
      </c>
    </row>
    <row r="800" spans="1:33" x14ac:dyDescent="0.2">
      <c r="A800" s="3">
        <v>32263</v>
      </c>
      <c r="B800" s="2">
        <v>4.8099999999999996</v>
      </c>
      <c r="C800" s="2">
        <v>22</v>
      </c>
      <c r="D800" s="2">
        <v>6.3</v>
      </c>
      <c r="E800" s="2">
        <v>51.95</v>
      </c>
      <c r="F800" s="2">
        <v>25.37</v>
      </c>
      <c r="G800" s="2">
        <v>4.0599999999999996</v>
      </c>
      <c r="H800" s="2">
        <v>19.07</v>
      </c>
      <c r="I800" s="2">
        <v>43.36</v>
      </c>
      <c r="J800" s="2">
        <v>11.47</v>
      </c>
      <c r="K800" s="2">
        <v>-2.04</v>
      </c>
      <c r="L800" s="2">
        <v>6.28</v>
      </c>
      <c r="M800" s="2">
        <v>9.15</v>
      </c>
      <c r="N800" s="2">
        <v>19.600000000000001</v>
      </c>
      <c r="O800" s="2">
        <v>29.48</v>
      </c>
      <c r="P800" s="2">
        <v>38.39</v>
      </c>
      <c r="Q800" s="2">
        <v>-0.24</v>
      </c>
      <c r="R800" s="2">
        <v>11.36</v>
      </c>
      <c r="S800" s="2">
        <v>22</v>
      </c>
      <c r="T800" s="2">
        <v>18.670000000000002</v>
      </c>
      <c r="U800" s="2">
        <v>9.7799999999999994</v>
      </c>
      <c r="V800" s="2">
        <v>13.47</v>
      </c>
      <c r="W800" s="2">
        <v>0</v>
      </c>
      <c r="X800" s="2">
        <v>0</v>
      </c>
      <c r="Y800" s="2">
        <v>0</v>
      </c>
      <c r="Z800" s="2">
        <v>3.88</v>
      </c>
      <c r="AA800" s="2">
        <v>3.83</v>
      </c>
      <c r="AB800" s="2">
        <v>1.52</v>
      </c>
      <c r="AC800" s="2">
        <v>0</v>
      </c>
      <c r="AD800" s="2">
        <v>4.76</v>
      </c>
      <c r="AE800" s="2">
        <v>16.97</v>
      </c>
      <c r="AF800" s="2">
        <v>83.04</v>
      </c>
      <c r="AG800" s="2">
        <v>14.64</v>
      </c>
    </row>
    <row r="801" spans="1:33" x14ac:dyDescent="0.2">
      <c r="A801" s="3">
        <v>32294</v>
      </c>
      <c r="B801" s="2">
        <v>3.39</v>
      </c>
      <c r="C801" s="2">
        <v>17.47</v>
      </c>
      <c r="D801" s="2">
        <v>-6.42</v>
      </c>
      <c r="E801" s="2">
        <v>7.6</v>
      </c>
      <c r="F801" s="2">
        <v>-13.23</v>
      </c>
      <c r="G801" s="2">
        <v>1.49</v>
      </c>
      <c r="H801" s="2">
        <v>12.91</v>
      </c>
      <c r="I801" s="2">
        <v>31.32</v>
      </c>
      <c r="J801" s="2">
        <v>-2.98</v>
      </c>
      <c r="K801" s="2">
        <v>9.68</v>
      </c>
      <c r="L801" s="2">
        <v>-4.99</v>
      </c>
      <c r="M801" s="2">
        <v>-0.57999999999999996</v>
      </c>
      <c r="N801" s="2">
        <v>20.41</v>
      </c>
      <c r="O801" s="2">
        <v>16.71</v>
      </c>
      <c r="P801" s="2">
        <v>27.83</v>
      </c>
      <c r="Q801" s="2">
        <v>-9.98</v>
      </c>
      <c r="R801" s="2">
        <v>8.09</v>
      </c>
      <c r="S801" s="2">
        <v>4.28</v>
      </c>
      <c r="T801" s="2">
        <v>23.54</v>
      </c>
      <c r="U801" s="2">
        <v>8.43</v>
      </c>
      <c r="V801" s="2">
        <v>25.07</v>
      </c>
      <c r="W801" s="2">
        <v>4.88</v>
      </c>
      <c r="X801" s="2">
        <v>0</v>
      </c>
      <c r="Y801" s="2">
        <v>0</v>
      </c>
      <c r="Z801" s="2">
        <v>0.56999999999999995</v>
      </c>
      <c r="AA801" s="2">
        <v>0</v>
      </c>
      <c r="AB801" s="2">
        <v>0.13</v>
      </c>
      <c r="AC801" s="2">
        <v>1.44</v>
      </c>
      <c r="AD801" s="2">
        <v>6.41</v>
      </c>
      <c r="AE801" s="2">
        <v>6.15</v>
      </c>
      <c r="AF801" s="2">
        <v>93.78</v>
      </c>
      <c r="AG801" s="2">
        <v>17.690000000000001</v>
      </c>
    </row>
    <row r="802" spans="1:33" x14ac:dyDescent="0.2">
      <c r="A802" s="3">
        <v>32324</v>
      </c>
      <c r="B802" s="2">
        <v>2.29</v>
      </c>
      <c r="C802" s="2">
        <v>18.96</v>
      </c>
      <c r="D802" s="2">
        <v>-14.28</v>
      </c>
      <c r="E802" s="2">
        <v>2.99</v>
      </c>
      <c r="F802" s="2">
        <v>14.51</v>
      </c>
      <c r="G802" s="2">
        <v>0.76</v>
      </c>
      <c r="H802" s="2">
        <v>17.36</v>
      </c>
      <c r="I802" s="2">
        <v>31.74</v>
      </c>
      <c r="J802" s="2">
        <v>-8.23</v>
      </c>
      <c r="K802" s="2">
        <v>36.64</v>
      </c>
      <c r="L802" s="2">
        <v>2.78</v>
      </c>
      <c r="M802" s="2">
        <v>7.79</v>
      </c>
      <c r="N802" s="2">
        <v>28.55</v>
      </c>
      <c r="O802" s="2">
        <v>21.74</v>
      </c>
      <c r="P802" s="2">
        <v>49.17</v>
      </c>
      <c r="Q802" s="2">
        <v>-0.69</v>
      </c>
      <c r="R802" s="2">
        <v>14.1</v>
      </c>
      <c r="S802" s="2">
        <v>21</v>
      </c>
      <c r="T802" s="2">
        <v>39.51</v>
      </c>
      <c r="U802" s="2">
        <v>17.510000000000002</v>
      </c>
      <c r="V802" s="2">
        <v>34.979999999999997</v>
      </c>
      <c r="W802" s="2">
        <v>18.62</v>
      </c>
      <c r="X802" s="2">
        <v>0</v>
      </c>
      <c r="Y802" s="2">
        <v>1.95</v>
      </c>
      <c r="Z802" s="2">
        <v>0.14000000000000001</v>
      </c>
      <c r="AA802" s="2">
        <v>4.01</v>
      </c>
      <c r="AB802" s="2">
        <v>0.54</v>
      </c>
      <c r="AC802" s="2">
        <v>5.0999999999999996</v>
      </c>
      <c r="AD802" s="2">
        <v>6.89</v>
      </c>
      <c r="AE802" s="2">
        <v>0.09</v>
      </c>
      <c r="AF802" s="2">
        <v>102.63</v>
      </c>
      <c r="AG802" s="2">
        <v>22.83</v>
      </c>
    </row>
    <row r="803" spans="1:33" x14ac:dyDescent="0.2">
      <c r="A803" s="3">
        <v>32355</v>
      </c>
      <c r="B803" s="2">
        <v>3.03</v>
      </c>
      <c r="C803" s="2">
        <v>19.52</v>
      </c>
      <c r="D803" s="2">
        <v>-10.57</v>
      </c>
      <c r="E803" s="2">
        <v>21.61</v>
      </c>
      <c r="F803" s="2">
        <v>21.8</v>
      </c>
      <c r="G803" s="2">
        <v>12.2</v>
      </c>
      <c r="H803" s="2">
        <v>23.6</v>
      </c>
      <c r="I803" s="2">
        <v>37.67</v>
      </c>
      <c r="J803" s="2">
        <v>-5.92</v>
      </c>
      <c r="K803" s="2">
        <v>45.38</v>
      </c>
      <c r="L803" s="2">
        <v>3.89</v>
      </c>
      <c r="M803" s="2">
        <v>15.66</v>
      </c>
      <c r="N803" s="2">
        <v>33.89</v>
      </c>
      <c r="O803" s="2">
        <v>39.31</v>
      </c>
      <c r="P803" s="2">
        <v>104.42</v>
      </c>
      <c r="Q803" s="2">
        <v>-3.18</v>
      </c>
      <c r="R803" s="2">
        <v>17.03</v>
      </c>
      <c r="S803" s="2">
        <v>10.39</v>
      </c>
      <c r="T803" s="2">
        <v>34.36</v>
      </c>
      <c r="U803" s="2">
        <v>33.909999999999997</v>
      </c>
      <c r="V803" s="2">
        <v>39.86</v>
      </c>
      <c r="W803" s="2">
        <v>30.39</v>
      </c>
      <c r="X803" s="2">
        <v>3.5</v>
      </c>
      <c r="Y803" s="2">
        <v>6.62</v>
      </c>
      <c r="Z803" s="2">
        <v>0.53</v>
      </c>
      <c r="AA803" s="2">
        <v>0</v>
      </c>
      <c r="AB803" s="2">
        <v>0</v>
      </c>
      <c r="AC803" s="2">
        <v>0</v>
      </c>
      <c r="AD803" s="2">
        <v>5.81</v>
      </c>
      <c r="AE803" s="2">
        <v>0</v>
      </c>
      <c r="AF803" s="2">
        <v>111.77</v>
      </c>
      <c r="AG803" s="2">
        <v>24.8</v>
      </c>
    </row>
    <row r="804" spans="1:33" x14ac:dyDescent="0.2">
      <c r="A804" s="3">
        <v>32386</v>
      </c>
      <c r="B804" s="2">
        <v>0.82</v>
      </c>
      <c r="C804" s="2">
        <v>18.579999999999998</v>
      </c>
      <c r="D804" s="2">
        <v>-13.7</v>
      </c>
      <c r="E804" s="2">
        <v>8.2200000000000006</v>
      </c>
      <c r="F804" s="2">
        <v>2.39</v>
      </c>
      <c r="G804" s="2">
        <v>12.64</v>
      </c>
      <c r="H804" s="2">
        <v>16.72</v>
      </c>
      <c r="I804" s="2">
        <v>36.630000000000003</v>
      </c>
      <c r="J804" s="2">
        <v>-3.39</v>
      </c>
      <c r="K804" s="2">
        <v>31.89</v>
      </c>
      <c r="L804" s="2">
        <v>3.89</v>
      </c>
      <c r="M804" s="2">
        <v>11.5</v>
      </c>
      <c r="N804" s="2">
        <v>40.29</v>
      </c>
      <c r="O804" s="2">
        <v>27.02</v>
      </c>
      <c r="P804" s="2">
        <v>90.53</v>
      </c>
      <c r="Q804" s="2">
        <v>0.86</v>
      </c>
      <c r="R804" s="2">
        <v>9.8699999999999992</v>
      </c>
      <c r="S804" s="2">
        <v>36.19</v>
      </c>
      <c r="T804" s="2">
        <v>37.44</v>
      </c>
      <c r="U804" s="2">
        <v>28.63</v>
      </c>
      <c r="V804" s="2">
        <v>38.57</v>
      </c>
      <c r="W804" s="2">
        <v>31.47</v>
      </c>
      <c r="X804" s="2">
        <v>9.01</v>
      </c>
      <c r="Y804" s="2">
        <v>8.8699999999999992</v>
      </c>
      <c r="Z804" s="2">
        <v>0.28999999999999998</v>
      </c>
      <c r="AA804" s="2">
        <v>21.08</v>
      </c>
      <c r="AB804" s="2">
        <v>0.09</v>
      </c>
      <c r="AC804" s="2">
        <v>0</v>
      </c>
      <c r="AD804" s="2">
        <v>4.97</v>
      </c>
      <c r="AE804" s="2">
        <v>0</v>
      </c>
      <c r="AF804" s="2">
        <v>113.67</v>
      </c>
      <c r="AG804" s="2">
        <v>23.65</v>
      </c>
    </row>
    <row r="805" spans="1:33" x14ac:dyDescent="0.2">
      <c r="A805" s="3">
        <v>32416</v>
      </c>
      <c r="B805" s="2">
        <v>-4.38</v>
      </c>
      <c r="C805" s="2">
        <v>18.66</v>
      </c>
      <c r="D805" s="2">
        <v>-11.29</v>
      </c>
      <c r="E805" s="2">
        <v>-18.37</v>
      </c>
      <c r="F805" s="2">
        <v>4.2699999999999996</v>
      </c>
      <c r="G805" s="2">
        <v>8.56</v>
      </c>
      <c r="H805" s="2">
        <v>18.43</v>
      </c>
      <c r="I805" s="2">
        <v>43.57</v>
      </c>
      <c r="J805" s="2">
        <v>6.21</v>
      </c>
      <c r="K805" s="2">
        <v>-7.49</v>
      </c>
      <c r="L805" s="2">
        <v>-0.61</v>
      </c>
      <c r="M805" s="2">
        <v>8.8699999999999992</v>
      </c>
      <c r="N805" s="2">
        <v>22.67</v>
      </c>
      <c r="O805" s="2">
        <v>25.05</v>
      </c>
      <c r="P805" s="2">
        <v>26.53</v>
      </c>
      <c r="Q805" s="2">
        <v>5.3</v>
      </c>
      <c r="R805" s="2">
        <v>16.97</v>
      </c>
      <c r="S805" s="2">
        <v>-3.95</v>
      </c>
      <c r="T805" s="2">
        <v>12.47</v>
      </c>
      <c r="U805" s="2">
        <v>9.6199999999999992</v>
      </c>
      <c r="V805" s="2">
        <v>15.85</v>
      </c>
      <c r="W805" s="2">
        <v>26.1</v>
      </c>
      <c r="X805" s="2">
        <v>8.7899999999999991</v>
      </c>
      <c r="Y805" s="2">
        <v>8.44</v>
      </c>
      <c r="Z805" s="2">
        <v>0</v>
      </c>
      <c r="AA805" s="2">
        <v>0</v>
      </c>
      <c r="AB805" s="2">
        <v>2.33</v>
      </c>
      <c r="AC805" s="2">
        <v>3.52</v>
      </c>
      <c r="AD805" s="2">
        <v>3.84</v>
      </c>
      <c r="AE805" s="2">
        <v>0</v>
      </c>
      <c r="AF805" s="2">
        <v>105.88</v>
      </c>
      <c r="AG805" s="2">
        <v>20.170000000000002</v>
      </c>
    </row>
    <row r="806" spans="1:33" x14ac:dyDescent="0.2">
      <c r="A806" s="3">
        <v>32447</v>
      </c>
      <c r="B806" s="2">
        <v>-4.6500000000000004</v>
      </c>
      <c r="C806" s="2">
        <v>17.59</v>
      </c>
      <c r="D806" s="2">
        <v>-9.08</v>
      </c>
      <c r="E806" s="2">
        <v>-18.64</v>
      </c>
      <c r="F806" s="2">
        <v>0.7</v>
      </c>
      <c r="G806" s="2">
        <v>6.7</v>
      </c>
      <c r="H806" s="2">
        <v>15.94</v>
      </c>
      <c r="I806" s="2">
        <v>35.11</v>
      </c>
      <c r="J806" s="2">
        <v>2.2000000000000002</v>
      </c>
      <c r="K806" s="2">
        <v>-10.4</v>
      </c>
      <c r="L806" s="2">
        <v>-0.65</v>
      </c>
      <c r="M806" s="2">
        <v>2.84</v>
      </c>
      <c r="N806" s="2">
        <v>16.100000000000001</v>
      </c>
      <c r="O806" s="2">
        <v>1.92</v>
      </c>
      <c r="P806" s="2">
        <v>75.98</v>
      </c>
      <c r="Q806" s="2">
        <v>-0.93</v>
      </c>
      <c r="R806" s="2">
        <v>6.53</v>
      </c>
      <c r="S806" s="2">
        <v>-20.239999999999998</v>
      </c>
      <c r="T806" s="2">
        <v>18.29</v>
      </c>
      <c r="U806" s="2">
        <v>1.51</v>
      </c>
      <c r="V806" s="2">
        <v>19.690000000000001</v>
      </c>
      <c r="W806" s="2">
        <v>22.19</v>
      </c>
      <c r="X806" s="2">
        <v>8.3699999999999992</v>
      </c>
      <c r="Y806" s="2">
        <v>8</v>
      </c>
      <c r="Z806" s="2">
        <v>0.1</v>
      </c>
      <c r="AA806" s="2">
        <v>0</v>
      </c>
      <c r="AB806" s="2">
        <v>0</v>
      </c>
      <c r="AC806" s="2">
        <v>9.76</v>
      </c>
      <c r="AD806" s="2">
        <v>2.89</v>
      </c>
      <c r="AE806" s="2">
        <v>0.56000000000000005</v>
      </c>
      <c r="AF806" s="2">
        <v>96.04</v>
      </c>
      <c r="AG806" s="2">
        <v>16.420000000000002</v>
      </c>
    </row>
    <row r="807" spans="1:33" x14ac:dyDescent="0.2">
      <c r="A807" s="3">
        <v>32477</v>
      </c>
      <c r="B807" s="2">
        <v>-1.87</v>
      </c>
      <c r="C807" s="2">
        <v>25.73</v>
      </c>
      <c r="D807" s="2">
        <v>15.96</v>
      </c>
      <c r="E807" s="2">
        <v>46.87</v>
      </c>
      <c r="F807" s="2">
        <v>24.42</v>
      </c>
      <c r="G807" s="2">
        <v>25.15</v>
      </c>
      <c r="H807" s="2">
        <v>22.17</v>
      </c>
      <c r="I807" s="2">
        <v>39.68</v>
      </c>
      <c r="J807" s="2">
        <v>14.83</v>
      </c>
      <c r="K807" s="2">
        <v>0.46</v>
      </c>
      <c r="L807" s="2">
        <v>-1.82</v>
      </c>
      <c r="M807" s="2">
        <v>7.71</v>
      </c>
      <c r="N807" s="2">
        <v>16.59</v>
      </c>
      <c r="O807" s="2">
        <v>19.93</v>
      </c>
      <c r="P807" s="2">
        <v>31.33</v>
      </c>
      <c r="Q807" s="2">
        <v>0.06</v>
      </c>
      <c r="R807" s="2">
        <v>9.08</v>
      </c>
      <c r="S807" s="2">
        <v>1.1299999999999999</v>
      </c>
      <c r="T807" s="2">
        <v>11.96</v>
      </c>
      <c r="U807" s="2">
        <v>6.93</v>
      </c>
      <c r="V807" s="2">
        <v>12.35</v>
      </c>
      <c r="W807" s="2">
        <v>15.43</v>
      </c>
      <c r="X807" s="2">
        <v>5.39</v>
      </c>
      <c r="Y807" s="2">
        <v>4.0199999999999996</v>
      </c>
      <c r="Z807" s="2">
        <v>8.18</v>
      </c>
      <c r="AA807" s="2">
        <v>0</v>
      </c>
      <c r="AB807" s="2">
        <v>0.36</v>
      </c>
      <c r="AC807" s="2">
        <v>7.11</v>
      </c>
      <c r="AD807" s="2">
        <v>1.9</v>
      </c>
      <c r="AE807" s="2">
        <v>13.24</v>
      </c>
      <c r="AF807" s="2">
        <v>63.01</v>
      </c>
      <c r="AG807" s="2">
        <v>12.92</v>
      </c>
    </row>
    <row r="808" spans="1:33" x14ac:dyDescent="0.2">
      <c r="A808" s="3">
        <v>32508</v>
      </c>
      <c r="B808" s="2">
        <v>-2.79</v>
      </c>
      <c r="C808" s="2">
        <v>18.989999999999998</v>
      </c>
      <c r="D808" s="2">
        <v>8.7899999999999991</v>
      </c>
      <c r="E808" s="2">
        <v>8.98</v>
      </c>
      <c r="F808" s="2">
        <v>8.98</v>
      </c>
      <c r="G808" s="2">
        <v>22.85</v>
      </c>
      <c r="H808" s="2">
        <v>9.39</v>
      </c>
      <c r="I808" s="2">
        <v>35.700000000000003</v>
      </c>
      <c r="J808" s="2">
        <v>17.38</v>
      </c>
      <c r="K808" s="2">
        <v>11.51</v>
      </c>
      <c r="L808" s="2">
        <v>0.08</v>
      </c>
      <c r="M808" s="2">
        <v>12.46</v>
      </c>
      <c r="N808" s="2">
        <v>21.27</v>
      </c>
      <c r="O808" s="2">
        <v>18.88</v>
      </c>
      <c r="P808" s="2">
        <v>45.62</v>
      </c>
      <c r="Q808" s="2">
        <v>-3.83</v>
      </c>
      <c r="R808" s="2">
        <v>7.64</v>
      </c>
      <c r="S808" s="2">
        <v>13.68</v>
      </c>
      <c r="T808" s="2">
        <v>21.44</v>
      </c>
      <c r="U808" s="2">
        <v>6.96</v>
      </c>
      <c r="V808" s="2">
        <v>17.54</v>
      </c>
      <c r="W808" s="2">
        <v>11.73</v>
      </c>
      <c r="X808" s="2">
        <v>1.73</v>
      </c>
      <c r="Y808" s="2">
        <v>3.57</v>
      </c>
      <c r="Z808" s="2">
        <v>0</v>
      </c>
      <c r="AA808" s="2">
        <v>5.74</v>
      </c>
      <c r="AB808" s="2">
        <v>2.59</v>
      </c>
      <c r="AC808" s="2">
        <v>14.71</v>
      </c>
      <c r="AD808" s="2">
        <v>1.81</v>
      </c>
      <c r="AE808" s="2">
        <v>19.95</v>
      </c>
      <c r="AF808" s="2">
        <v>57.89</v>
      </c>
      <c r="AG808" s="2">
        <v>11.2</v>
      </c>
    </row>
    <row r="809" spans="1:33" x14ac:dyDescent="0.2">
      <c r="A809" s="3">
        <v>32539</v>
      </c>
      <c r="B809" s="2">
        <v>-5.46</v>
      </c>
      <c r="C809" s="2">
        <v>14.85</v>
      </c>
      <c r="D809" s="2">
        <v>-11.44</v>
      </c>
      <c r="E809" s="2">
        <v>-19.93</v>
      </c>
      <c r="F809" s="2">
        <v>-1.28</v>
      </c>
      <c r="G809" s="2">
        <v>0.78</v>
      </c>
      <c r="H809" s="2">
        <v>5.81</v>
      </c>
      <c r="I809" s="2">
        <v>33.090000000000003</v>
      </c>
      <c r="J809" s="2">
        <v>3.33</v>
      </c>
      <c r="K809" s="2">
        <v>-9.44</v>
      </c>
      <c r="L809" s="2">
        <v>-11.32</v>
      </c>
      <c r="M809" s="2">
        <v>-4.7699999999999996</v>
      </c>
      <c r="N809" s="2">
        <v>8.64</v>
      </c>
      <c r="O809" s="2">
        <v>25.46</v>
      </c>
      <c r="P809" s="2">
        <v>22.75</v>
      </c>
      <c r="Q809" s="2">
        <v>0.65</v>
      </c>
      <c r="R809" s="2">
        <v>10.17</v>
      </c>
      <c r="S809" s="2">
        <v>-5.03</v>
      </c>
      <c r="T809" s="2">
        <v>12.15</v>
      </c>
      <c r="U809" s="2">
        <v>8.67</v>
      </c>
      <c r="V809" s="2">
        <v>11.31</v>
      </c>
      <c r="W809" s="2">
        <v>4.26</v>
      </c>
      <c r="X809" s="2">
        <v>1.1599999999999999</v>
      </c>
      <c r="Y809" s="2">
        <v>2.75</v>
      </c>
      <c r="Z809" s="2">
        <v>2.25</v>
      </c>
      <c r="AA809" s="2">
        <v>14.48</v>
      </c>
      <c r="AB809" s="2">
        <v>0.08</v>
      </c>
      <c r="AC809" s="2">
        <v>9.98</v>
      </c>
      <c r="AD809" s="2">
        <v>1.88</v>
      </c>
      <c r="AE809" s="2">
        <v>9.8800000000000008</v>
      </c>
      <c r="AF809" s="2">
        <v>66.400000000000006</v>
      </c>
      <c r="AG809" s="2">
        <v>9.8800000000000008</v>
      </c>
    </row>
    <row r="810" spans="1:33" x14ac:dyDescent="0.2">
      <c r="A810" s="3">
        <v>32567</v>
      </c>
      <c r="B810" s="2">
        <v>-2</v>
      </c>
      <c r="C810" s="2">
        <v>15.08</v>
      </c>
      <c r="D810" s="2">
        <v>-9.56</v>
      </c>
      <c r="E810" s="2">
        <v>-11.46</v>
      </c>
      <c r="F810" s="2">
        <v>6.19</v>
      </c>
      <c r="G810" s="2">
        <v>3.78</v>
      </c>
      <c r="H810" s="2">
        <v>14.6</v>
      </c>
      <c r="I810" s="2">
        <v>35.83</v>
      </c>
      <c r="J810" s="2">
        <v>5.67</v>
      </c>
      <c r="K810" s="2">
        <v>13.8</v>
      </c>
      <c r="L810" s="2">
        <v>-7.28</v>
      </c>
      <c r="M810" s="2">
        <v>3.91</v>
      </c>
      <c r="N810" s="2">
        <v>26.98</v>
      </c>
      <c r="O810" s="2">
        <v>20.74</v>
      </c>
      <c r="P810" s="2">
        <v>52.59</v>
      </c>
      <c r="Q810" s="2">
        <v>-1.55</v>
      </c>
      <c r="R810" s="2">
        <v>9.7799999999999994</v>
      </c>
      <c r="S810" s="2">
        <v>6.1</v>
      </c>
      <c r="T810" s="2">
        <v>16.260000000000002</v>
      </c>
      <c r="U810" s="2">
        <v>6.89</v>
      </c>
      <c r="V810" s="2">
        <v>6.64</v>
      </c>
      <c r="W810" s="2">
        <v>0</v>
      </c>
      <c r="X810" s="2">
        <v>0</v>
      </c>
      <c r="Y810" s="2">
        <v>0</v>
      </c>
      <c r="Z810" s="2">
        <v>6.17</v>
      </c>
      <c r="AA810" s="2">
        <v>0.72</v>
      </c>
      <c r="AB810" s="2">
        <v>0.66</v>
      </c>
      <c r="AC810" s="2">
        <v>5.67</v>
      </c>
      <c r="AD810" s="2">
        <v>2.09</v>
      </c>
      <c r="AE810" s="2">
        <v>9.9700000000000006</v>
      </c>
      <c r="AF810" s="2">
        <v>55.35</v>
      </c>
      <c r="AG810" s="2">
        <v>10.08</v>
      </c>
    </row>
    <row r="811" spans="1:33" x14ac:dyDescent="0.2">
      <c r="A811" s="3">
        <v>32598</v>
      </c>
      <c r="B811" s="2">
        <v>2.27</v>
      </c>
      <c r="C811" s="2">
        <v>29.63</v>
      </c>
      <c r="D811" s="2">
        <v>26.1</v>
      </c>
      <c r="E811" s="2">
        <v>116.92</v>
      </c>
      <c r="F811" s="2">
        <v>72.17</v>
      </c>
      <c r="G811" s="2">
        <v>79.89</v>
      </c>
      <c r="H811" s="2">
        <v>45.53</v>
      </c>
      <c r="I811" s="2">
        <v>50.62</v>
      </c>
      <c r="J811" s="2">
        <v>44.57</v>
      </c>
      <c r="K811" s="2">
        <v>32.26</v>
      </c>
      <c r="L811" s="2">
        <v>24.92</v>
      </c>
      <c r="M811" s="2">
        <v>14.46</v>
      </c>
      <c r="N811" s="2">
        <v>36.92</v>
      </c>
      <c r="O811" s="2">
        <v>22.82</v>
      </c>
      <c r="P811" s="2">
        <v>69.81</v>
      </c>
      <c r="Q811" s="2">
        <v>-2.31</v>
      </c>
      <c r="R811" s="2">
        <v>3.75</v>
      </c>
      <c r="S811" s="2">
        <v>7.46</v>
      </c>
      <c r="T811" s="2">
        <v>18.54</v>
      </c>
      <c r="U811" s="2">
        <v>6.09</v>
      </c>
      <c r="V811" s="2">
        <v>19.8</v>
      </c>
      <c r="W811" s="2">
        <v>0</v>
      </c>
      <c r="X811" s="2">
        <v>0</v>
      </c>
      <c r="Y811" s="2">
        <v>0</v>
      </c>
      <c r="Z811" s="2">
        <v>0.28999999999999998</v>
      </c>
      <c r="AA811" s="2">
        <v>0.17</v>
      </c>
      <c r="AB811" s="2">
        <v>0.57999999999999996</v>
      </c>
      <c r="AC811" s="2">
        <v>5.53</v>
      </c>
      <c r="AD811" s="2">
        <v>3.78</v>
      </c>
      <c r="AE811" s="2">
        <v>17.809999999999999</v>
      </c>
      <c r="AF811" s="2">
        <v>65.319999999999993</v>
      </c>
      <c r="AG811" s="2">
        <v>10.69</v>
      </c>
    </row>
    <row r="812" spans="1:33" x14ac:dyDescent="0.2">
      <c r="A812" s="3">
        <v>32628</v>
      </c>
      <c r="B812" s="2">
        <v>0.32</v>
      </c>
      <c r="C812" s="2">
        <v>15.64</v>
      </c>
      <c r="D812" s="2">
        <v>-9.23</v>
      </c>
      <c r="E812" s="2">
        <v>-56.77</v>
      </c>
      <c r="F812" s="2">
        <v>-18.21</v>
      </c>
      <c r="G812" s="2">
        <v>-38.65</v>
      </c>
      <c r="H812" s="2">
        <v>0.35</v>
      </c>
      <c r="I812" s="2">
        <v>34.74</v>
      </c>
      <c r="J812" s="2">
        <v>-6.92</v>
      </c>
      <c r="K812" s="2">
        <v>-15.34</v>
      </c>
      <c r="L812" s="2">
        <v>12.63</v>
      </c>
      <c r="M812" s="2">
        <v>11.93</v>
      </c>
      <c r="N812" s="2">
        <v>7.16</v>
      </c>
      <c r="O812" s="2">
        <v>27.68</v>
      </c>
      <c r="P812" s="2">
        <v>24.63</v>
      </c>
      <c r="Q812" s="2">
        <v>-0.78</v>
      </c>
      <c r="R812" s="2">
        <v>16.02</v>
      </c>
      <c r="S812" s="2">
        <v>5.29</v>
      </c>
      <c r="T812" s="2">
        <v>12.32</v>
      </c>
      <c r="U812" s="2">
        <v>14.05</v>
      </c>
      <c r="V812" s="2">
        <v>16.16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5.81</v>
      </c>
      <c r="AD812" s="2">
        <v>4.5999999999999996</v>
      </c>
      <c r="AE812" s="2">
        <v>5.31</v>
      </c>
      <c r="AF812" s="2">
        <v>80.819999999999993</v>
      </c>
      <c r="AG812" s="2">
        <v>14.64</v>
      </c>
    </row>
    <row r="813" spans="1:33" x14ac:dyDescent="0.2">
      <c r="A813" s="3">
        <v>32659</v>
      </c>
      <c r="B813" s="2">
        <v>3.65</v>
      </c>
      <c r="C813" s="2">
        <v>18.16</v>
      </c>
      <c r="D813" s="2">
        <v>-9.7100000000000009</v>
      </c>
      <c r="E813" s="2">
        <v>1.7</v>
      </c>
      <c r="F813" s="2">
        <v>-8.86</v>
      </c>
      <c r="G813" s="2">
        <v>-11.71</v>
      </c>
      <c r="H813" s="2">
        <v>7.73</v>
      </c>
      <c r="I813" s="2">
        <v>33.24</v>
      </c>
      <c r="J813" s="2">
        <v>-8.26</v>
      </c>
      <c r="K813" s="2">
        <v>29.6</v>
      </c>
      <c r="L813" s="2">
        <v>2</v>
      </c>
      <c r="M813" s="2">
        <v>8.83</v>
      </c>
      <c r="N813" s="2">
        <v>34.18</v>
      </c>
      <c r="O813" s="2">
        <v>25.01</v>
      </c>
      <c r="P813" s="2">
        <v>53.54</v>
      </c>
      <c r="Q813" s="2">
        <v>-9.49</v>
      </c>
      <c r="R813" s="2">
        <v>12.55</v>
      </c>
      <c r="S813" s="2">
        <v>16.16</v>
      </c>
      <c r="T813" s="2">
        <v>16.98</v>
      </c>
      <c r="U813" s="2">
        <v>12.72</v>
      </c>
      <c r="V813" s="2">
        <v>24.62</v>
      </c>
      <c r="W813" s="2">
        <v>4.88</v>
      </c>
      <c r="X813" s="2">
        <v>0.26</v>
      </c>
      <c r="Y813" s="2">
        <v>0</v>
      </c>
      <c r="Z813" s="2">
        <v>1.1499999999999999</v>
      </c>
      <c r="AA813" s="2">
        <v>0</v>
      </c>
      <c r="AB813" s="2">
        <v>1.02</v>
      </c>
      <c r="AC813" s="2">
        <v>0.86</v>
      </c>
      <c r="AD813" s="2">
        <v>5.83</v>
      </c>
      <c r="AE813" s="2">
        <v>0.84</v>
      </c>
      <c r="AF813" s="2">
        <v>91.27</v>
      </c>
      <c r="AG813" s="2">
        <v>17.690000000000001</v>
      </c>
    </row>
    <row r="814" spans="1:33" x14ac:dyDescent="0.2">
      <c r="A814" s="3">
        <v>32689</v>
      </c>
      <c r="B814" s="2">
        <v>2.56</v>
      </c>
      <c r="C814" s="2">
        <v>18.899999999999999</v>
      </c>
      <c r="D814" s="2">
        <v>-15.41</v>
      </c>
      <c r="E814" s="2">
        <v>11.57</v>
      </c>
      <c r="F814" s="2">
        <v>7.85</v>
      </c>
      <c r="G814" s="2">
        <v>2.04</v>
      </c>
      <c r="H814" s="2">
        <v>13.91</v>
      </c>
      <c r="I814" s="2">
        <v>32.619999999999997</v>
      </c>
      <c r="J814" s="2">
        <v>-8.93</v>
      </c>
      <c r="K814" s="2">
        <v>45.7</v>
      </c>
      <c r="L814" s="2">
        <v>-1.36</v>
      </c>
      <c r="M814" s="2">
        <v>11.66</v>
      </c>
      <c r="N814" s="2">
        <v>30.83</v>
      </c>
      <c r="O814" s="2">
        <v>29.93</v>
      </c>
      <c r="P814" s="2">
        <v>87.27</v>
      </c>
      <c r="Q814" s="2">
        <v>6.36</v>
      </c>
      <c r="R814" s="2">
        <v>20.25</v>
      </c>
      <c r="S814" s="2">
        <v>-2.4900000000000002</v>
      </c>
      <c r="T814" s="2">
        <v>41.12</v>
      </c>
      <c r="U814" s="2">
        <v>22.54</v>
      </c>
      <c r="V814" s="2">
        <v>39.31</v>
      </c>
      <c r="W814" s="2">
        <v>18.62</v>
      </c>
      <c r="X814" s="2">
        <v>4.88</v>
      </c>
      <c r="Y814" s="2">
        <v>4.07</v>
      </c>
      <c r="Z814" s="2">
        <v>0</v>
      </c>
      <c r="AA814" s="2">
        <v>0</v>
      </c>
      <c r="AB814" s="2">
        <v>0.33</v>
      </c>
      <c r="AC814" s="2">
        <v>0.22</v>
      </c>
      <c r="AD814" s="2">
        <v>7.34</v>
      </c>
      <c r="AE814" s="2">
        <v>0</v>
      </c>
      <c r="AF814" s="2">
        <v>99.89</v>
      </c>
      <c r="AG814" s="2">
        <v>22.83</v>
      </c>
    </row>
    <row r="815" spans="1:33" x14ac:dyDescent="0.2">
      <c r="A815" s="3">
        <v>32720</v>
      </c>
      <c r="B815" s="2">
        <v>2.64</v>
      </c>
      <c r="C815" s="2">
        <v>17.75</v>
      </c>
      <c r="D815" s="2">
        <v>-13.45</v>
      </c>
      <c r="E815" s="2">
        <v>29.54</v>
      </c>
      <c r="F815" s="2">
        <v>34.07</v>
      </c>
      <c r="G815" s="2">
        <v>17.23</v>
      </c>
      <c r="H815" s="2">
        <v>23.17</v>
      </c>
      <c r="I815" s="2">
        <v>38.61</v>
      </c>
      <c r="J815" s="2">
        <v>-8</v>
      </c>
      <c r="K815" s="2">
        <v>46.33</v>
      </c>
      <c r="L815" s="2">
        <v>-2.2799999999999998</v>
      </c>
      <c r="M815" s="2">
        <v>15.76</v>
      </c>
      <c r="N815" s="2">
        <v>38.770000000000003</v>
      </c>
      <c r="O815" s="2">
        <v>41.1</v>
      </c>
      <c r="P815" s="2">
        <v>62.21</v>
      </c>
      <c r="Q815" s="2">
        <v>2.96</v>
      </c>
      <c r="R815" s="2">
        <v>17.14</v>
      </c>
      <c r="S815" s="2">
        <v>-2.74</v>
      </c>
      <c r="T815" s="2">
        <v>31.68</v>
      </c>
      <c r="U815" s="2">
        <v>36.549999999999997</v>
      </c>
      <c r="V815" s="2">
        <v>38.340000000000003</v>
      </c>
      <c r="W815" s="2">
        <v>30.39</v>
      </c>
      <c r="X815" s="2">
        <v>9.36</v>
      </c>
      <c r="Y815" s="2">
        <v>8.9499999999999993</v>
      </c>
      <c r="Z815" s="2">
        <v>0</v>
      </c>
      <c r="AA815" s="2">
        <v>0</v>
      </c>
      <c r="AB815" s="2">
        <v>0</v>
      </c>
      <c r="AC815" s="2">
        <v>0.79</v>
      </c>
      <c r="AD815" s="2">
        <v>6.35</v>
      </c>
      <c r="AE815" s="2">
        <v>0</v>
      </c>
      <c r="AF815" s="2">
        <v>108.78</v>
      </c>
      <c r="AG815" s="2">
        <v>24.8</v>
      </c>
    </row>
    <row r="816" spans="1:33" x14ac:dyDescent="0.2">
      <c r="A816" s="3">
        <v>32751</v>
      </c>
      <c r="B816" s="2">
        <v>1.47</v>
      </c>
      <c r="C816" s="2">
        <v>18.29</v>
      </c>
      <c r="D816" s="2">
        <v>-10.19</v>
      </c>
      <c r="E816" s="2">
        <v>12.65</v>
      </c>
      <c r="F816" s="2">
        <v>1.44</v>
      </c>
      <c r="G816" s="2">
        <v>13.3</v>
      </c>
      <c r="H816" s="2">
        <v>18.13</v>
      </c>
      <c r="I816" s="2">
        <v>39.979999999999997</v>
      </c>
      <c r="J816" s="2">
        <v>-1.54</v>
      </c>
      <c r="K816" s="2">
        <v>40.049999999999997</v>
      </c>
      <c r="L816" s="2">
        <v>-7.76</v>
      </c>
      <c r="M816" s="2">
        <v>14.37</v>
      </c>
      <c r="N816" s="2">
        <v>39.020000000000003</v>
      </c>
      <c r="O816" s="2">
        <v>32.46</v>
      </c>
      <c r="P816" s="2">
        <v>62.55</v>
      </c>
      <c r="Q816" s="2">
        <v>2.2599999999999998</v>
      </c>
      <c r="R816" s="2">
        <v>12.66</v>
      </c>
      <c r="S816" s="2">
        <v>8.56</v>
      </c>
      <c r="T816" s="2">
        <v>33.97</v>
      </c>
      <c r="U816" s="2">
        <v>27.47</v>
      </c>
      <c r="V816" s="2">
        <v>41.97</v>
      </c>
      <c r="W816" s="2">
        <v>31.47</v>
      </c>
      <c r="X816" s="2">
        <v>11.54</v>
      </c>
      <c r="Y816" s="2">
        <v>11.23</v>
      </c>
      <c r="Z816" s="2">
        <v>0</v>
      </c>
      <c r="AA816" s="2">
        <v>2.87</v>
      </c>
      <c r="AB816" s="2">
        <v>0.83</v>
      </c>
      <c r="AC816" s="2">
        <v>0.43</v>
      </c>
      <c r="AD816" s="2">
        <v>5.13</v>
      </c>
      <c r="AE816" s="2">
        <v>0</v>
      </c>
      <c r="AF816" s="2">
        <v>110.63</v>
      </c>
      <c r="AG816" s="2">
        <v>23.65</v>
      </c>
    </row>
    <row r="817" spans="1:33" x14ac:dyDescent="0.2">
      <c r="A817" s="3">
        <v>32781</v>
      </c>
      <c r="B817" s="2">
        <v>-2.34</v>
      </c>
      <c r="C817" s="2">
        <v>20.76</v>
      </c>
      <c r="D817" s="2">
        <v>-1.84</v>
      </c>
      <c r="E817" s="2">
        <v>-5.63</v>
      </c>
      <c r="F817" s="2">
        <v>-5.51</v>
      </c>
      <c r="G817" s="2">
        <v>25.07</v>
      </c>
      <c r="H817" s="2">
        <v>16.899999999999999</v>
      </c>
      <c r="I817" s="2">
        <v>38.630000000000003</v>
      </c>
      <c r="J817" s="2">
        <v>12.5</v>
      </c>
      <c r="K817" s="2">
        <v>3.95</v>
      </c>
      <c r="L817" s="2">
        <v>-5.98</v>
      </c>
      <c r="M817" s="2">
        <v>7.83</v>
      </c>
      <c r="N817" s="2">
        <v>22.07</v>
      </c>
      <c r="O817" s="2">
        <v>24.96</v>
      </c>
      <c r="P817" s="2">
        <v>29.17</v>
      </c>
      <c r="Q817" s="2">
        <v>2.84</v>
      </c>
      <c r="R817" s="2">
        <v>15.11</v>
      </c>
      <c r="S817" s="2">
        <v>-5.58</v>
      </c>
      <c r="T817" s="2">
        <v>11.23</v>
      </c>
      <c r="U817" s="2">
        <v>7.73</v>
      </c>
      <c r="V817" s="2">
        <v>14.55</v>
      </c>
      <c r="W817" s="2">
        <v>26.1</v>
      </c>
      <c r="X817" s="2">
        <v>11.15</v>
      </c>
      <c r="Y817" s="2">
        <v>10.65</v>
      </c>
      <c r="Z817" s="2">
        <v>2.2000000000000002</v>
      </c>
      <c r="AA817" s="2">
        <v>2.29</v>
      </c>
      <c r="AB817" s="2">
        <v>0.33</v>
      </c>
      <c r="AC817" s="2">
        <v>0</v>
      </c>
      <c r="AD817" s="2">
        <v>4.0199999999999996</v>
      </c>
      <c r="AE817" s="2">
        <v>7.74</v>
      </c>
      <c r="AF817" s="2">
        <v>103.05</v>
      </c>
      <c r="AG817" s="2">
        <v>20.170000000000002</v>
      </c>
    </row>
    <row r="818" spans="1:33" x14ac:dyDescent="0.2">
      <c r="A818" s="3">
        <v>32812</v>
      </c>
      <c r="B818" s="2">
        <v>-2.79</v>
      </c>
      <c r="C818" s="2">
        <v>21.12</v>
      </c>
      <c r="D818" s="2">
        <v>-5.43</v>
      </c>
      <c r="E818" s="2">
        <v>-4.49</v>
      </c>
      <c r="F818" s="2">
        <v>1.76</v>
      </c>
      <c r="G818" s="2">
        <v>1.63</v>
      </c>
      <c r="H818" s="2">
        <v>17.079999999999998</v>
      </c>
      <c r="I818" s="2">
        <v>34.409999999999997</v>
      </c>
      <c r="J818" s="2">
        <v>7.83</v>
      </c>
      <c r="K818" s="2">
        <v>-1.94</v>
      </c>
      <c r="L818" s="2">
        <v>-2.78</v>
      </c>
      <c r="M818" s="2">
        <v>5.22</v>
      </c>
      <c r="N818" s="2">
        <v>16.34</v>
      </c>
      <c r="O818" s="2">
        <v>15.24</v>
      </c>
      <c r="P818" s="2">
        <v>47.15</v>
      </c>
      <c r="Q818" s="2">
        <v>0.04</v>
      </c>
      <c r="R818" s="2">
        <v>9.2899999999999991</v>
      </c>
      <c r="S818" s="2">
        <v>-0.56999999999999995</v>
      </c>
      <c r="T818" s="2">
        <v>16.32</v>
      </c>
      <c r="U818" s="2">
        <v>1.66</v>
      </c>
      <c r="V818" s="2">
        <v>21.2</v>
      </c>
      <c r="W818" s="2">
        <v>22.19</v>
      </c>
      <c r="X818" s="2">
        <v>10.51</v>
      </c>
      <c r="Y818" s="2">
        <v>10.01</v>
      </c>
      <c r="Z818" s="2">
        <v>0.53</v>
      </c>
      <c r="AA818" s="2">
        <v>0</v>
      </c>
      <c r="AB818" s="2">
        <v>0</v>
      </c>
      <c r="AC818" s="2">
        <v>0.14000000000000001</v>
      </c>
      <c r="AD818" s="2">
        <v>2.83</v>
      </c>
      <c r="AE818" s="2">
        <v>12.4</v>
      </c>
      <c r="AF818" s="2">
        <v>93.47</v>
      </c>
      <c r="AG818" s="2">
        <v>16.420000000000002</v>
      </c>
    </row>
    <row r="819" spans="1:33" x14ac:dyDescent="0.2">
      <c r="A819" s="3">
        <v>32842</v>
      </c>
      <c r="B819" s="2">
        <v>-1.9</v>
      </c>
      <c r="C819" s="2">
        <v>15.6</v>
      </c>
      <c r="D819" s="2">
        <v>-3.98</v>
      </c>
      <c r="E819" s="2">
        <v>2.99</v>
      </c>
      <c r="F819" s="2">
        <v>-4.68</v>
      </c>
      <c r="G819" s="2">
        <v>0.72</v>
      </c>
      <c r="H819" s="2">
        <v>13.98</v>
      </c>
      <c r="I819" s="2">
        <v>36.54</v>
      </c>
      <c r="J819" s="2">
        <v>5.99</v>
      </c>
      <c r="K819" s="2">
        <v>-4.1399999999999997</v>
      </c>
      <c r="L819" s="2">
        <v>-4.9800000000000004</v>
      </c>
      <c r="M819" s="2">
        <v>1.66</v>
      </c>
      <c r="N819" s="2">
        <v>15.94</v>
      </c>
      <c r="O819" s="2">
        <v>22.07</v>
      </c>
      <c r="P819" s="2">
        <v>27.9</v>
      </c>
      <c r="Q819" s="2">
        <v>1.85</v>
      </c>
      <c r="R819" s="2">
        <v>10.59</v>
      </c>
      <c r="S819" s="2">
        <v>-7.68</v>
      </c>
      <c r="T819" s="2">
        <v>12.23</v>
      </c>
      <c r="U819" s="2">
        <v>6.85</v>
      </c>
      <c r="V819" s="2">
        <v>11.83</v>
      </c>
      <c r="W819" s="2">
        <v>15.43</v>
      </c>
      <c r="X819" s="2">
        <v>6.77</v>
      </c>
      <c r="Y819" s="2">
        <v>5.28</v>
      </c>
      <c r="Z819" s="2">
        <v>0</v>
      </c>
      <c r="AA819" s="2">
        <v>0</v>
      </c>
      <c r="AB819" s="2">
        <v>1.1200000000000001</v>
      </c>
      <c r="AC819" s="2">
        <v>12.27</v>
      </c>
      <c r="AD819" s="2">
        <v>1.75</v>
      </c>
      <c r="AE819" s="2">
        <v>7.46</v>
      </c>
      <c r="AF819" s="2">
        <v>61.33</v>
      </c>
      <c r="AG819" s="2">
        <v>12.92</v>
      </c>
    </row>
    <row r="820" spans="1:33" x14ac:dyDescent="0.2">
      <c r="A820" s="3">
        <v>32873</v>
      </c>
      <c r="B820" s="2">
        <v>-7.02</v>
      </c>
      <c r="C820" s="2">
        <v>11.38</v>
      </c>
      <c r="D820" s="2">
        <v>-11.96</v>
      </c>
      <c r="E820" s="2">
        <v>-18.91</v>
      </c>
      <c r="F820" s="2">
        <v>15.91</v>
      </c>
      <c r="G820" s="2">
        <v>-1.03</v>
      </c>
      <c r="H820" s="2">
        <v>14.05</v>
      </c>
      <c r="I820" s="2">
        <v>33.78</v>
      </c>
      <c r="J820" s="2">
        <v>4.03</v>
      </c>
      <c r="K820" s="2">
        <v>-3.55</v>
      </c>
      <c r="L820" s="2">
        <v>-3.35</v>
      </c>
      <c r="M820" s="2">
        <v>1.22</v>
      </c>
      <c r="N820" s="2">
        <v>16.45</v>
      </c>
      <c r="O820" s="2">
        <v>21.66</v>
      </c>
      <c r="P820" s="2">
        <v>25.4</v>
      </c>
      <c r="Q820" s="2">
        <v>4.29</v>
      </c>
      <c r="R820" s="2">
        <v>10.6</v>
      </c>
      <c r="S820" s="2">
        <v>-7</v>
      </c>
      <c r="T820" s="2">
        <v>11.92</v>
      </c>
      <c r="U820" s="2">
        <v>7.09</v>
      </c>
      <c r="V820" s="2">
        <v>12.32</v>
      </c>
      <c r="W820" s="2">
        <v>11.73</v>
      </c>
      <c r="X820" s="2">
        <v>4.99</v>
      </c>
      <c r="Y820" s="2">
        <v>4.72</v>
      </c>
      <c r="Z820" s="2">
        <v>0</v>
      </c>
      <c r="AA820" s="2">
        <v>0</v>
      </c>
      <c r="AB820" s="2">
        <v>0</v>
      </c>
      <c r="AC820" s="2">
        <v>0</v>
      </c>
      <c r="AD820" s="2">
        <v>1.85</v>
      </c>
      <c r="AE820" s="2">
        <v>0.37</v>
      </c>
      <c r="AF820" s="2">
        <v>56.34</v>
      </c>
      <c r="AG820" s="2">
        <v>11.2</v>
      </c>
    </row>
    <row r="821" spans="1:33" x14ac:dyDescent="0.2">
      <c r="A821" s="3">
        <v>32904</v>
      </c>
      <c r="B821" s="2">
        <v>-6.32</v>
      </c>
      <c r="C821" s="2">
        <v>22.22</v>
      </c>
      <c r="D821" s="2">
        <v>15.95</v>
      </c>
      <c r="E821" s="2">
        <v>49.37</v>
      </c>
      <c r="F821" s="2">
        <v>24.19</v>
      </c>
      <c r="G821" s="2">
        <v>30.64</v>
      </c>
      <c r="H821" s="2">
        <v>20.43</v>
      </c>
      <c r="I821" s="2">
        <v>37.380000000000003</v>
      </c>
      <c r="J821" s="2">
        <v>12.45</v>
      </c>
      <c r="K821" s="2">
        <v>9.83</v>
      </c>
      <c r="L821" s="2">
        <v>-5.5</v>
      </c>
      <c r="M821" s="2">
        <v>2.9</v>
      </c>
      <c r="N821" s="2">
        <v>19.03</v>
      </c>
      <c r="O821" s="2">
        <v>17.920000000000002</v>
      </c>
      <c r="P821" s="2">
        <v>38.17</v>
      </c>
      <c r="Q821" s="2">
        <v>-6.35</v>
      </c>
      <c r="R821" s="2">
        <v>7.74</v>
      </c>
      <c r="S821" s="2">
        <v>7.34</v>
      </c>
      <c r="T821" s="2">
        <v>10.71</v>
      </c>
      <c r="U821" s="2">
        <v>9.14</v>
      </c>
      <c r="V821" s="2">
        <v>10.18</v>
      </c>
      <c r="W821" s="2">
        <v>4.26</v>
      </c>
      <c r="X821" s="2">
        <v>8.81</v>
      </c>
      <c r="Y821" s="2">
        <v>7.35</v>
      </c>
      <c r="Z821" s="2">
        <v>3.83</v>
      </c>
      <c r="AA821" s="2">
        <v>2.44</v>
      </c>
      <c r="AB821" s="2">
        <v>1.71</v>
      </c>
      <c r="AC821" s="2">
        <v>3.37</v>
      </c>
      <c r="AD821" s="2">
        <v>1.8</v>
      </c>
      <c r="AE821" s="2">
        <v>17.989999999999998</v>
      </c>
      <c r="AF821" s="2">
        <v>69.08</v>
      </c>
      <c r="AG821" s="2">
        <v>9.8800000000000008</v>
      </c>
    </row>
    <row r="822" spans="1:33" x14ac:dyDescent="0.2">
      <c r="A822" s="3">
        <v>32932</v>
      </c>
      <c r="B822" s="2">
        <v>-3.99</v>
      </c>
      <c r="C822" s="2">
        <v>10.59</v>
      </c>
      <c r="D822" s="2">
        <v>-13.25</v>
      </c>
      <c r="E822" s="2">
        <v>-26.12</v>
      </c>
      <c r="F822" s="2">
        <v>-12.9</v>
      </c>
      <c r="G822" s="2">
        <v>7.21</v>
      </c>
      <c r="H822" s="2">
        <v>5.91</v>
      </c>
      <c r="I822" s="2">
        <v>32.65</v>
      </c>
      <c r="J822" s="2">
        <v>3.76</v>
      </c>
      <c r="K822" s="2">
        <v>2.86</v>
      </c>
      <c r="L822" s="2">
        <v>-5.57</v>
      </c>
      <c r="M822" s="2">
        <v>4.7</v>
      </c>
      <c r="N822" s="2">
        <v>16.79</v>
      </c>
      <c r="O822" s="2">
        <v>26.99</v>
      </c>
      <c r="P822" s="2">
        <v>23.33</v>
      </c>
      <c r="Q822" s="2">
        <v>-1.96</v>
      </c>
      <c r="R822" s="2">
        <v>8.74</v>
      </c>
      <c r="S822" s="2">
        <v>3.22</v>
      </c>
      <c r="T822" s="2">
        <v>13.14</v>
      </c>
      <c r="U822" s="2">
        <v>5.34</v>
      </c>
      <c r="V822" s="2">
        <v>9.01</v>
      </c>
      <c r="W822" s="2">
        <v>0</v>
      </c>
      <c r="X822" s="2">
        <v>2.44</v>
      </c>
      <c r="Y822" s="2">
        <v>2.2999999999999998</v>
      </c>
      <c r="Z822" s="2">
        <v>4.74</v>
      </c>
      <c r="AA822" s="2">
        <v>0.28999999999999998</v>
      </c>
      <c r="AB822" s="2">
        <v>0</v>
      </c>
      <c r="AC822" s="2">
        <v>9.26</v>
      </c>
      <c r="AD822" s="2">
        <v>2.04</v>
      </c>
      <c r="AE822" s="2">
        <v>15.01</v>
      </c>
      <c r="AF822" s="2">
        <v>57.59</v>
      </c>
      <c r="AG822" s="2">
        <v>10.08</v>
      </c>
    </row>
    <row r="823" spans="1:33" x14ac:dyDescent="0.2">
      <c r="A823" s="3">
        <v>32963</v>
      </c>
      <c r="B823" s="2">
        <v>-2.91</v>
      </c>
      <c r="C823" s="2">
        <v>13.34</v>
      </c>
      <c r="D823" s="2">
        <v>-9.33</v>
      </c>
      <c r="E823" s="2">
        <v>-4.92</v>
      </c>
      <c r="F823" s="2">
        <v>4.9800000000000004</v>
      </c>
      <c r="G823" s="2">
        <v>-2.94</v>
      </c>
      <c r="H823" s="2">
        <v>13.14</v>
      </c>
      <c r="I823" s="2">
        <v>34.04</v>
      </c>
      <c r="J823" s="2">
        <v>12.88</v>
      </c>
      <c r="K823" s="2">
        <v>45.89</v>
      </c>
      <c r="L823" s="2">
        <v>17.649999999999999</v>
      </c>
      <c r="M823" s="2">
        <v>5.44</v>
      </c>
      <c r="N823" s="2">
        <v>45.04</v>
      </c>
      <c r="O823" s="2">
        <v>18.920000000000002</v>
      </c>
      <c r="P823" s="2">
        <v>63.58</v>
      </c>
      <c r="Q823" s="2">
        <v>-3.4</v>
      </c>
      <c r="R823" s="2">
        <v>1.26</v>
      </c>
      <c r="S823" s="2">
        <v>9.9499999999999993</v>
      </c>
      <c r="T823" s="2">
        <v>23.07</v>
      </c>
      <c r="U823" s="2">
        <v>0.7</v>
      </c>
      <c r="V823" s="2">
        <v>21.35</v>
      </c>
      <c r="W823" s="2">
        <v>0</v>
      </c>
      <c r="X823" s="2">
        <v>3.17</v>
      </c>
      <c r="Y823" s="2">
        <v>2.06</v>
      </c>
      <c r="Z823" s="2">
        <v>0.72</v>
      </c>
      <c r="AA823" s="2">
        <v>0</v>
      </c>
      <c r="AB823" s="2">
        <v>0</v>
      </c>
      <c r="AC823" s="2">
        <v>0.43</v>
      </c>
      <c r="AD823" s="2">
        <v>4.05</v>
      </c>
      <c r="AE823" s="2">
        <v>8.3000000000000007</v>
      </c>
      <c r="AF823" s="2">
        <v>67.959999999999994</v>
      </c>
      <c r="AG823" s="2">
        <v>10.69</v>
      </c>
    </row>
    <row r="824" spans="1:33" x14ac:dyDescent="0.2">
      <c r="A824" s="3">
        <v>32993</v>
      </c>
      <c r="B824" s="2">
        <v>-0.19</v>
      </c>
      <c r="C824" s="2">
        <v>8.99</v>
      </c>
      <c r="D824" s="2">
        <v>13.17</v>
      </c>
      <c r="E824" s="2">
        <v>16.61</v>
      </c>
      <c r="F824" s="2">
        <v>44.46</v>
      </c>
      <c r="G824" s="2">
        <v>3.56</v>
      </c>
      <c r="H824" s="2">
        <v>17.690000000000001</v>
      </c>
      <c r="I824" s="2">
        <v>32.950000000000003</v>
      </c>
      <c r="J824" s="2">
        <v>-2.1</v>
      </c>
      <c r="K824" s="2">
        <v>-2.3199999999999998</v>
      </c>
      <c r="L824" s="2">
        <v>1.28</v>
      </c>
      <c r="M824" s="2">
        <v>10.62</v>
      </c>
      <c r="N824" s="2">
        <v>17.260000000000002</v>
      </c>
      <c r="O824" s="2">
        <v>21.49</v>
      </c>
      <c r="P824" s="2">
        <v>30.76</v>
      </c>
      <c r="Q824" s="2">
        <v>-3.67</v>
      </c>
      <c r="R824" s="2">
        <v>15.4</v>
      </c>
      <c r="S824" s="2">
        <v>-3.42</v>
      </c>
      <c r="T824" s="2">
        <v>14.1</v>
      </c>
      <c r="U824" s="2">
        <v>12.62</v>
      </c>
      <c r="V824" s="2">
        <v>14.73</v>
      </c>
      <c r="W824" s="2">
        <v>0</v>
      </c>
      <c r="X824" s="2">
        <v>3.86</v>
      </c>
      <c r="Y824" s="2">
        <v>2.98</v>
      </c>
      <c r="Z824" s="2">
        <v>0.38</v>
      </c>
      <c r="AA824" s="2">
        <v>0.28999999999999998</v>
      </c>
      <c r="AB824" s="2">
        <v>0.88</v>
      </c>
      <c r="AC824" s="2">
        <v>0</v>
      </c>
      <c r="AD824" s="2">
        <v>5.62</v>
      </c>
      <c r="AE824" s="2">
        <v>2.0499999999999998</v>
      </c>
      <c r="AF824" s="2">
        <v>84.09</v>
      </c>
      <c r="AG824" s="2">
        <v>14.64</v>
      </c>
    </row>
    <row r="825" spans="1:33" x14ac:dyDescent="0.2">
      <c r="A825" s="3">
        <v>33024</v>
      </c>
      <c r="B825" s="2">
        <v>1.38</v>
      </c>
      <c r="C825" s="2">
        <v>17.82</v>
      </c>
      <c r="D825" s="2">
        <v>4.28</v>
      </c>
      <c r="E825" s="2">
        <v>35.119999999999997</v>
      </c>
      <c r="F825" s="2">
        <v>-12.58</v>
      </c>
      <c r="G825" s="2">
        <v>16.84</v>
      </c>
      <c r="H825" s="2">
        <v>17.87</v>
      </c>
      <c r="I825" s="2">
        <v>32.33</v>
      </c>
      <c r="J825" s="2">
        <v>0.99</v>
      </c>
      <c r="K825" s="2">
        <v>27.77</v>
      </c>
      <c r="L825" s="2">
        <v>-2.77</v>
      </c>
      <c r="M825" s="2">
        <v>9.5399999999999991</v>
      </c>
      <c r="N825" s="2">
        <v>27.81</v>
      </c>
      <c r="O825" s="2">
        <v>21.34</v>
      </c>
      <c r="P825" s="2">
        <v>56.87</v>
      </c>
      <c r="Q825" s="2">
        <v>-6.97</v>
      </c>
      <c r="R825" s="2">
        <v>4.24</v>
      </c>
      <c r="S825" s="2">
        <v>17.32</v>
      </c>
      <c r="T825" s="2">
        <v>18.41</v>
      </c>
      <c r="U825" s="2">
        <v>18.02</v>
      </c>
      <c r="V825" s="2">
        <v>22.04</v>
      </c>
      <c r="W825" s="2">
        <v>4.88</v>
      </c>
      <c r="X825" s="2">
        <v>6.66</v>
      </c>
      <c r="Y825" s="2">
        <v>5.13</v>
      </c>
      <c r="Z825" s="2">
        <v>0.1</v>
      </c>
      <c r="AA825" s="2">
        <v>1.1499999999999999</v>
      </c>
      <c r="AB825" s="2">
        <v>0.12</v>
      </c>
      <c r="AC825" s="2">
        <v>1.72</v>
      </c>
      <c r="AD825" s="2">
        <v>6.72</v>
      </c>
      <c r="AE825" s="2">
        <v>22.19</v>
      </c>
      <c r="AF825" s="2">
        <v>94.96</v>
      </c>
      <c r="AG825" s="2">
        <v>17.690000000000001</v>
      </c>
    </row>
    <row r="826" spans="1:33" x14ac:dyDescent="0.2">
      <c r="A826" s="3">
        <v>33054</v>
      </c>
      <c r="B826" s="2">
        <v>-0.86</v>
      </c>
      <c r="C826" s="2">
        <v>12.91</v>
      </c>
      <c r="D826" s="2">
        <v>-17.14</v>
      </c>
      <c r="E826" s="2">
        <v>-9.6</v>
      </c>
      <c r="F826" s="2">
        <v>2.37</v>
      </c>
      <c r="G826" s="2">
        <v>8.2899999999999991</v>
      </c>
      <c r="H826" s="2">
        <v>11.45</v>
      </c>
      <c r="I826" s="2">
        <v>33.07</v>
      </c>
      <c r="J826" s="2">
        <v>-12.83</v>
      </c>
      <c r="K826" s="2">
        <v>53.51</v>
      </c>
      <c r="L826" s="2">
        <v>3.03</v>
      </c>
      <c r="M826" s="2">
        <v>6.63</v>
      </c>
      <c r="N826" s="2">
        <v>31.25</v>
      </c>
      <c r="O826" s="2">
        <v>28.16</v>
      </c>
      <c r="P826" s="2">
        <v>80.87</v>
      </c>
      <c r="Q826" s="2">
        <v>-0.7</v>
      </c>
      <c r="R826" s="2">
        <v>14.33</v>
      </c>
      <c r="S826" s="2">
        <v>30.24</v>
      </c>
      <c r="T826" s="2">
        <v>38.270000000000003</v>
      </c>
      <c r="U826" s="2">
        <v>23.93</v>
      </c>
      <c r="V826" s="2">
        <v>38.06</v>
      </c>
      <c r="W826" s="2">
        <v>18.62</v>
      </c>
      <c r="X826" s="2">
        <v>11.89</v>
      </c>
      <c r="Y826" s="2">
        <v>10.98</v>
      </c>
      <c r="Z826" s="2">
        <v>0.1</v>
      </c>
      <c r="AA826" s="2">
        <v>1.04</v>
      </c>
      <c r="AB826" s="2">
        <v>0</v>
      </c>
      <c r="AC826" s="2">
        <v>0</v>
      </c>
      <c r="AD826" s="2">
        <v>7.84</v>
      </c>
      <c r="AE826" s="2">
        <v>0</v>
      </c>
      <c r="AF826" s="2">
        <v>103.93</v>
      </c>
      <c r="AG826" s="2">
        <v>22.83</v>
      </c>
    </row>
    <row r="827" spans="1:33" x14ac:dyDescent="0.2">
      <c r="A827" s="3">
        <v>33085</v>
      </c>
      <c r="B827" s="2">
        <v>-0.64</v>
      </c>
      <c r="C827" s="2">
        <v>15.2</v>
      </c>
      <c r="D827" s="2">
        <v>-10.45</v>
      </c>
      <c r="E827" s="2">
        <v>12.06</v>
      </c>
      <c r="F827" s="2">
        <v>18.95</v>
      </c>
      <c r="G827" s="2">
        <v>18.47</v>
      </c>
      <c r="H827" s="2">
        <v>18.059999999999999</v>
      </c>
      <c r="I827" s="2">
        <v>39.71</v>
      </c>
      <c r="J827" s="2">
        <v>-8.52</v>
      </c>
      <c r="K827" s="2">
        <v>43.82</v>
      </c>
      <c r="L827" s="2">
        <v>6.3</v>
      </c>
      <c r="M827" s="2">
        <v>14.6</v>
      </c>
      <c r="N827" s="2">
        <v>40.380000000000003</v>
      </c>
      <c r="O827" s="2">
        <v>45.82</v>
      </c>
      <c r="P827" s="2">
        <v>78.38</v>
      </c>
      <c r="Q827" s="2">
        <v>-3.4</v>
      </c>
      <c r="R827" s="2">
        <v>13.39</v>
      </c>
      <c r="S827" s="2">
        <v>33.28</v>
      </c>
      <c r="T827" s="2">
        <v>37.11</v>
      </c>
      <c r="U827" s="2">
        <v>32.31</v>
      </c>
      <c r="V827" s="2">
        <v>48.8</v>
      </c>
      <c r="W827" s="2">
        <v>30.39</v>
      </c>
      <c r="X827" s="2">
        <v>16.989999999999998</v>
      </c>
      <c r="Y827" s="2">
        <v>16.489999999999998</v>
      </c>
      <c r="Z827" s="2">
        <v>0</v>
      </c>
      <c r="AA827" s="2">
        <v>0</v>
      </c>
      <c r="AB827" s="2">
        <v>0</v>
      </c>
      <c r="AC827" s="2">
        <v>0</v>
      </c>
      <c r="AD827" s="2">
        <v>6.31</v>
      </c>
      <c r="AE827" s="2">
        <v>1.4</v>
      </c>
      <c r="AF827" s="2">
        <v>113.18</v>
      </c>
      <c r="AG827" s="2">
        <v>24.8</v>
      </c>
    </row>
    <row r="828" spans="1:33" x14ac:dyDescent="0.2">
      <c r="A828" s="3">
        <v>33116</v>
      </c>
      <c r="B828" s="2">
        <v>-1.02</v>
      </c>
      <c r="C828" s="2">
        <v>16.5</v>
      </c>
      <c r="D828" s="2">
        <v>-10.55</v>
      </c>
      <c r="E828" s="2">
        <v>18.170000000000002</v>
      </c>
      <c r="F828" s="2">
        <v>19.25</v>
      </c>
      <c r="G828" s="2">
        <v>22.16</v>
      </c>
      <c r="H828" s="2">
        <v>19.36</v>
      </c>
      <c r="I828" s="2">
        <v>37.08</v>
      </c>
      <c r="J828" s="2">
        <v>-2.25</v>
      </c>
      <c r="K828" s="2">
        <v>38.340000000000003</v>
      </c>
      <c r="L828" s="2">
        <v>0.51</v>
      </c>
      <c r="M828" s="2">
        <v>13.16</v>
      </c>
      <c r="N828" s="2">
        <v>38.93</v>
      </c>
      <c r="O828" s="2">
        <v>48.74</v>
      </c>
      <c r="P828" s="2">
        <v>77.8</v>
      </c>
      <c r="Q828" s="2">
        <v>-0.36</v>
      </c>
      <c r="R828" s="2">
        <v>7.47</v>
      </c>
      <c r="S828" s="2">
        <v>25.33</v>
      </c>
      <c r="T828" s="2">
        <v>41.67</v>
      </c>
      <c r="U828" s="2">
        <v>27.16</v>
      </c>
      <c r="V828" s="2">
        <v>50.94</v>
      </c>
      <c r="W828" s="2">
        <v>31.47</v>
      </c>
      <c r="X828" s="2">
        <v>19.3</v>
      </c>
      <c r="Y828" s="2">
        <v>18.89</v>
      </c>
      <c r="Z828" s="2">
        <v>0.77</v>
      </c>
      <c r="AA828" s="2">
        <v>23.84</v>
      </c>
      <c r="AB828" s="2">
        <v>0.28999999999999998</v>
      </c>
      <c r="AC828" s="2">
        <v>0</v>
      </c>
      <c r="AD828" s="2">
        <v>5.15</v>
      </c>
      <c r="AE828" s="2">
        <v>0</v>
      </c>
      <c r="AF828" s="2">
        <v>115.1</v>
      </c>
      <c r="AG828" s="2">
        <v>23.65</v>
      </c>
    </row>
    <row r="829" spans="1:33" x14ac:dyDescent="0.2">
      <c r="A829" s="3">
        <v>33146</v>
      </c>
      <c r="B829" s="2">
        <v>-4.33</v>
      </c>
      <c r="C829" s="2">
        <v>15.29</v>
      </c>
      <c r="D829" s="2">
        <v>-10.94</v>
      </c>
      <c r="E829" s="2">
        <v>-15.12</v>
      </c>
      <c r="F829" s="2">
        <v>-4.84</v>
      </c>
      <c r="G829" s="2">
        <v>9.0500000000000007</v>
      </c>
      <c r="H829" s="2">
        <v>16.86</v>
      </c>
      <c r="I829" s="2">
        <v>40.49</v>
      </c>
      <c r="J829" s="2">
        <v>3.19</v>
      </c>
      <c r="K829" s="2">
        <v>-4.8099999999999996</v>
      </c>
      <c r="L829" s="2">
        <v>-6.84</v>
      </c>
      <c r="M829" s="2">
        <v>6.7</v>
      </c>
      <c r="N829" s="2">
        <v>25.6</v>
      </c>
      <c r="O829" s="2">
        <v>20.79</v>
      </c>
      <c r="P829" s="2">
        <v>28.24</v>
      </c>
      <c r="Q829" s="2">
        <v>3.08</v>
      </c>
      <c r="R829" s="2">
        <v>16.11</v>
      </c>
      <c r="S829" s="2">
        <v>-5.45</v>
      </c>
      <c r="T829" s="2">
        <v>9.91</v>
      </c>
      <c r="U829" s="2">
        <v>8.23</v>
      </c>
      <c r="V829" s="2">
        <v>15.03</v>
      </c>
      <c r="W829" s="2">
        <v>26.1</v>
      </c>
      <c r="X829" s="2">
        <v>18.38</v>
      </c>
      <c r="Y829" s="2">
        <v>17.79</v>
      </c>
      <c r="Z829" s="2">
        <v>0</v>
      </c>
      <c r="AA829" s="2">
        <v>17.23</v>
      </c>
      <c r="AB829" s="2">
        <v>2</v>
      </c>
      <c r="AC829" s="2">
        <v>3.3</v>
      </c>
      <c r="AD829" s="2">
        <v>4.09</v>
      </c>
      <c r="AE829" s="2">
        <v>2.2400000000000002</v>
      </c>
      <c r="AF829" s="2">
        <v>107.21</v>
      </c>
      <c r="AG829" s="2">
        <v>20.170000000000002</v>
      </c>
    </row>
    <row r="830" spans="1:33" x14ac:dyDescent="0.2">
      <c r="A830" s="3">
        <v>33177</v>
      </c>
      <c r="B830" s="2">
        <v>-6.71</v>
      </c>
      <c r="C830" s="2">
        <v>12.14</v>
      </c>
      <c r="D830" s="2">
        <v>-17.13</v>
      </c>
      <c r="E830" s="2">
        <v>-16.62</v>
      </c>
      <c r="F830" s="2">
        <v>0.73</v>
      </c>
      <c r="G830" s="2">
        <v>14.5</v>
      </c>
      <c r="H830" s="2">
        <v>13.96</v>
      </c>
      <c r="I830" s="2">
        <v>32.93</v>
      </c>
      <c r="J830" s="2">
        <v>0.88</v>
      </c>
      <c r="K830" s="2">
        <v>-5.16</v>
      </c>
      <c r="L830" s="2">
        <v>-0.17</v>
      </c>
      <c r="M830" s="2">
        <v>5.96</v>
      </c>
      <c r="N830" s="2">
        <v>24.39</v>
      </c>
      <c r="O830" s="2">
        <v>2.08</v>
      </c>
      <c r="P830" s="2">
        <v>54.76</v>
      </c>
      <c r="Q830" s="2">
        <v>-2.15</v>
      </c>
      <c r="R830" s="2">
        <v>4.0999999999999996</v>
      </c>
      <c r="S830" s="2">
        <v>-10.73</v>
      </c>
      <c r="T830" s="2">
        <v>12.11</v>
      </c>
      <c r="U830" s="2">
        <v>-4.4000000000000004</v>
      </c>
      <c r="V830" s="2">
        <v>14.69</v>
      </c>
      <c r="W830" s="2">
        <v>22.19</v>
      </c>
      <c r="X830" s="2">
        <v>17.07</v>
      </c>
      <c r="Y830" s="2">
        <v>16.48</v>
      </c>
      <c r="Z830" s="2">
        <v>1.05</v>
      </c>
      <c r="AA830" s="2">
        <v>0.86</v>
      </c>
      <c r="AB830" s="2">
        <v>0</v>
      </c>
      <c r="AC830" s="2">
        <v>0.79</v>
      </c>
      <c r="AD830" s="2">
        <v>4.08</v>
      </c>
      <c r="AE830" s="2">
        <v>2.33</v>
      </c>
      <c r="AF830" s="2">
        <v>97.25</v>
      </c>
      <c r="AG830" s="2">
        <v>16.420000000000002</v>
      </c>
    </row>
    <row r="831" spans="1:33" x14ac:dyDescent="0.2">
      <c r="A831" s="3">
        <v>33207</v>
      </c>
      <c r="B831" s="2">
        <v>-5.43</v>
      </c>
      <c r="C831" s="2">
        <v>11.38</v>
      </c>
      <c r="D831" s="2">
        <v>-7.96</v>
      </c>
      <c r="E831" s="2">
        <v>-9.41</v>
      </c>
      <c r="F831" s="2">
        <v>-2.54</v>
      </c>
      <c r="G831" s="2">
        <v>4.82</v>
      </c>
      <c r="H831" s="2">
        <v>14.04</v>
      </c>
      <c r="I831" s="2">
        <v>31.92</v>
      </c>
      <c r="J831" s="2">
        <v>6.65</v>
      </c>
      <c r="K831" s="2">
        <v>-3.65</v>
      </c>
      <c r="L831" s="2">
        <v>-1.69</v>
      </c>
      <c r="M831" s="2">
        <v>3.05</v>
      </c>
      <c r="N831" s="2">
        <v>17.600000000000001</v>
      </c>
      <c r="O831" s="2">
        <v>25.64</v>
      </c>
      <c r="P831" s="2">
        <v>27</v>
      </c>
      <c r="Q831" s="2">
        <v>1.35</v>
      </c>
      <c r="R831" s="2">
        <v>9.4600000000000009</v>
      </c>
      <c r="S831" s="2">
        <v>-9.14</v>
      </c>
      <c r="T831" s="2">
        <v>10.53</v>
      </c>
      <c r="U831" s="2">
        <v>4.0199999999999996</v>
      </c>
      <c r="V831" s="2">
        <v>12.73</v>
      </c>
      <c r="W831" s="2">
        <v>15.43</v>
      </c>
      <c r="X831" s="2">
        <v>11.07</v>
      </c>
      <c r="Y831" s="2">
        <v>9.52</v>
      </c>
      <c r="Z831" s="2">
        <v>0.05</v>
      </c>
      <c r="AA831" s="2">
        <v>0</v>
      </c>
      <c r="AB831" s="2">
        <v>0</v>
      </c>
      <c r="AC831" s="2">
        <v>0</v>
      </c>
      <c r="AD831" s="2">
        <v>2.7</v>
      </c>
      <c r="AE831" s="2">
        <v>2.2400000000000002</v>
      </c>
      <c r="AF831" s="2">
        <v>63.8</v>
      </c>
      <c r="AG831" s="2">
        <v>12.92</v>
      </c>
    </row>
    <row r="832" spans="1:33" x14ac:dyDescent="0.2">
      <c r="A832" s="3">
        <v>33238</v>
      </c>
      <c r="B832" s="2">
        <v>-5.33</v>
      </c>
      <c r="C832" s="2">
        <v>11.35</v>
      </c>
      <c r="D832" s="2">
        <v>-4.3499999999999996</v>
      </c>
      <c r="E832" s="2">
        <v>3.94</v>
      </c>
      <c r="F832" s="2">
        <v>17.89</v>
      </c>
      <c r="G832" s="2">
        <v>15.95</v>
      </c>
      <c r="H832" s="2">
        <v>17.98</v>
      </c>
      <c r="I832" s="2">
        <v>33.380000000000003</v>
      </c>
      <c r="J832" s="2">
        <v>8.07</v>
      </c>
      <c r="K832" s="2">
        <v>-3.64</v>
      </c>
      <c r="L832" s="2">
        <v>-4.09</v>
      </c>
      <c r="M832" s="2">
        <v>2.36</v>
      </c>
      <c r="N832" s="2">
        <v>15.63</v>
      </c>
      <c r="O832" s="2">
        <v>18</v>
      </c>
      <c r="P832" s="2">
        <v>25.84</v>
      </c>
      <c r="Q832" s="2">
        <v>-0.04</v>
      </c>
      <c r="R832" s="2">
        <v>9.1999999999999993</v>
      </c>
      <c r="S832" s="2">
        <v>-10.78</v>
      </c>
      <c r="T832" s="2">
        <v>10.77</v>
      </c>
      <c r="U832" s="2">
        <v>5.21</v>
      </c>
      <c r="V832" s="2">
        <v>12.59</v>
      </c>
      <c r="W832" s="2">
        <v>11.73</v>
      </c>
      <c r="X832" s="2">
        <v>8.94</v>
      </c>
      <c r="Y832" s="2">
        <v>8.6199999999999992</v>
      </c>
      <c r="Z832" s="2">
        <v>0</v>
      </c>
      <c r="AA832" s="2">
        <v>0</v>
      </c>
      <c r="AB832" s="2">
        <v>0</v>
      </c>
      <c r="AC832" s="2">
        <v>0</v>
      </c>
      <c r="AD832" s="2">
        <v>2.6</v>
      </c>
      <c r="AE832" s="2">
        <v>18.920000000000002</v>
      </c>
      <c r="AF832" s="2">
        <v>58.62</v>
      </c>
      <c r="AG832" s="2">
        <v>11.2</v>
      </c>
    </row>
    <row r="833" spans="1:33" x14ac:dyDescent="0.2">
      <c r="A833" s="3">
        <v>33269</v>
      </c>
      <c r="B833" s="2">
        <v>-5</v>
      </c>
      <c r="C833" s="2">
        <v>10.91</v>
      </c>
      <c r="D833" s="2">
        <v>-6.16</v>
      </c>
      <c r="E833" s="2">
        <v>0.73</v>
      </c>
      <c r="F833" s="2">
        <v>-11.49</v>
      </c>
      <c r="G833" s="2">
        <v>7.62</v>
      </c>
      <c r="H833" s="2">
        <v>11.32</v>
      </c>
      <c r="I833" s="2">
        <v>32.51</v>
      </c>
      <c r="J833" s="2">
        <v>5.56</v>
      </c>
      <c r="K833" s="2">
        <v>-3.93</v>
      </c>
      <c r="L833" s="2">
        <v>-2.0099999999999998</v>
      </c>
      <c r="M833" s="2">
        <v>3.39</v>
      </c>
      <c r="N833" s="2">
        <v>15.91</v>
      </c>
      <c r="O833" s="2">
        <v>13.33</v>
      </c>
      <c r="P833" s="2">
        <v>37.979999999999997</v>
      </c>
      <c r="Q833" s="2">
        <v>-0.98</v>
      </c>
      <c r="R833" s="2">
        <v>8.07</v>
      </c>
      <c r="S833" s="2">
        <v>-4.1100000000000003</v>
      </c>
      <c r="T833" s="2">
        <v>11.64</v>
      </c>
      <c r="U833" s="2">
        <v>5.22</v>
      </c>
      <c r="V833" s="2">
        <v>14</v>
      </c>
      <c r="W833" s="2">
        <v>4.26</v>
      </c>
      <c r="X833" s="2">
        <v>22.03</v>
      </c>
      <c r="Y833" s="2">
        <v>20.76</v>
      </c>
      <c r="Z833" s="2">
        <v>5.74</v>
      </c>
      <c r="AA833" s="2">
        <v>5.45</v>
      </c>
      <c r="AB833" s="2">
        <v>0</v>
      </c>
      <c r="AC833" s="2">
        <v>5.74</v>
      </c>
      <c r="AD833" s="2">
        <v>2.65</v>
      </c>
      <c r="AE833" s="2">
        <v>1.68</v>
      </c>
      <c r="AF833" s="2">
        <v>61.67</v>
      </c>
      <c r="AG833" s="2">
        <v>9.8800000000000008</v>
      </c>
    </row>
    <row r="834" spans="1:33" x14ac:dyDescent="0.2">
      <c r="A834" s="3">
        <v>33297</v>
      </c>
      <c r="B834" s="2">
        <v>-4.84</v>
      </c>
      <c r="C834" s="2">
        <v>12.74</v>
      </c>
      <c r="D834" s="2">
        <v>-0.75</v>
      </c>
      <c r="E834" s="2">
        <v>9.64</v>
      </c>
      <c r="F834" s="2">
        <v>0.19</v>
      </c>
      <c r="G834" s="2">
        <v>21.61</v>
      </c>
      <c r="H834" s="2">
        <v>11.1</v>
      </c>
      <c r="I834" s="2">
        <v>33.409999999999997</v>
      </c>
      <c r="J834" s="2">
        <v>7.16</v>
      </c>
      <c r="K834" s="2">
        <v>3.98</v>
      </c>
      <c r="L834" s="2">
        <v>-5.13</v>
      </c>
      <c r="M834" s="2">
        <v>5.0199999999999996</v>
      </c>
      <c r="N834" s="2">
        <v>18.190000000000001</v>
      </c>
      <c r="O834" s="2">
        <v>16.91</v>
      </c>
      <c r="P834" s="2">
        <v>24.11</v>
      </c>
      <c r="Q834" s="2">
        <v>-1.89</v>
      </c>
      <c r="R834" s="2">
        <v>9</v>
      </c>
      <c r="S834" s="2">
        <v>-10.6</v>
      </c>
      <c r="T834" s="2">
        <v>8.94</v>
      </c>
      <c r="U834" s="2">
        <v>4.51</v>
      </c>
      <c r="V834" s="2">
        <v>14.23</v>
      </c>
      <c r="W834" s="2">
        <v>0</v>
      </c>
      <c r="X834" s="2">
        <v>13.48</v>
      </c>
      <c r="Y834" s="2">
        <v>13.59</v>
      </c>
      <c r="Z834" s="2">
        <v>5.31</v>
      </c>
      <c r="AA834" s="2">
        <v>14.62</v>
      </c>
      <c r="AB834" s="2">
        <v>3.42</v>
      </c>
      <c r="AC834" s="2">
        <v>7.11</v>
      </c>
      <c r="AD834" s="2">
        <v>2.8</v>
      </c>
      <c r="AE834" s="2">
        <v>20.7</v>
      </c>
      <c r="AF834" s="2">
        <v>51.41</v>
      </c>
      <c r="AG834" s="2">
        <v>10.08</v>
      </c>
    </row>
    <row r="835" spans="1:33" x14ac:dyDescent="0.2">
      <c r="A835" s="3">
        <v>33328</v>
      </c>
      <c r="B835" s="2">
        <v>-3.13</v>
      </c>
      <c r="C835" s="2">
        <v>24.35</v>
      </c>
      <c r="D835" s="2">
        <v>40.94</v>
      </c>
      <c r="E835" s="2">
        <v>119.79</v>
      </c>
      <c r="F835" s="2">
        <v>64.760000000000005</v>
      </c>
      <c r="G835" s="2">
        <v>115.64</v>
      </c>
      <c r="H835" s="2">
        <v>32.28</v>
      </c>
      <c r="I835" s="2">
        <v>47.71</v>
      </c>
      <c r="J835" s="2">
        <v>72.13</v>
      </c>
      <c r="K835" s="2">
        <v>116.71</v>
      </c>
      <c r="L835" s="2">
        <v>17.45</v>
      </c>
      <c r="M835" s="2">
        <v>50.47</v>
      </c>
      <c r="N835" s="2">
        <v>82.03</v>
      </c>
      <c r="O835" s="2">
        <v>20.23</v>
      </c>
      <c r="P835" s="2">
        <v>301.95999999999998</v>
      </c>
      <c r="Q835" s="2">
        <v>-3.49</v>
      </c>
      <c r="R835" s="2">
        <v>1.52</v>
      </c>
      <c r="S835" s="2">
        <v>160.74</v>
      </c>
      <c r="T835" s="2">
        <v>177.52</v>
      </c>
      <c r="U835" s="2">
        <v>3.05</v>
      </c>
      <c r="V835" s="2">
        <v>54.48</v>
      </c>
      <c r="W835" s="2">
        <v>0</v>
      </c>
      <c r="X835" s="2">
        <v>16.2</v>
      </c>
      <c r="Y835" s="2">
        <v>15.28</v>
      </c>
      <c r="Z835" s="2">
        <v>19.96</v>
      </c>
      <c r="AA835" s="2">
        <v>26.96</v>
      </c>
      <c r="AB835" s="2">
        <v>25.6</v>
      </c>
      <c r="AC835" s="2">
        <v>1.08</v>
      </c>
      <c r="AD835" s="2">
        <v>4.63</v>
      </c>
      <c r="AE835" s="2">
        <v>57.52</v>
      </c>
      <c r="AF835" s="2">
        <v>60.66</v>
      </c>
      <c r="AG835" s="2">
        <v>10.69</v>
      </c>
    </row>
    <row r="836" spans="1:33" x14ac:dyDescent="0.2">
      <c r="A836" s="3">
        <v>33358</v>
      </c>
      <c r="B836" s="2">
        <v>-3.92</v>
      </c>
      <c r="C836" s="2">
        <v>7.96</v>
      </c>
      <c r="D836" s="2">
        <v>-9.27</v>
      </c>
      <c r="E836" s="2">
        <v>-49.81</v>
      </c>
      <c r="F836" s="2">
        <v>-9.48</v>
      </c>
      <c r="G836" s="2">
        <v>-30.51</v>
      </c>
      <c r="H836" s="2">
        <v>0.51</v>
      </c>
      <c r="I836" s="2">
        <v>22.27</v>
      </c>
      <c r="J836" s="2">
        <v>-30.57</v>
      </c>
      <c r="K836" s="2">
        <v>-53.45</v>
      </c>
      <c r="L836" s="2">
        <v>-6.03</v>
      </c>
      <c r="M836" s="2">
        <v>-12.68</v>
      </c>
      <c r="N836" s="2">
        <v>-22.95</v>
      </c>
      <c r="O836" s="2">
        <v>11.41</v>
      </c>
      <c r="P836" s="2">
        <v>25.21</v>
      </c>
      <c r="Q836" s="2">
        <v>1.68</v>
      </c>
      <c r="R836" s="2">
        <v>10.49</v>
      </c>
      <c r="S836" s="2">
        <v>9.8800000000000008</v>
      </c>
      <c r="T836" s="2">
        <v>13.06</v>
      </c>
      <c r="U836" s="2">
        <v>8.44</v>
      </c>
      <c r="V836" s="2">
        <v>20.010000000000002</v>
      </c>
      <c r="W836" s="2">
        <v>0</v>
      </c>
      <c r="X836" s="2">
        <v>19.97</v>
      </c>
      <c r="Y836" s="2">
        <v>19.350000000000001</v>
      </c>
      <c r="Z836" s="2">
        <v>0</v>
      </c>
      <c r="AA836" s="2">
        <v>0</v>
      </c>
      <c r="AB836" s="2">
        <v>0</v>
      </c>
      <c r="AC836" s="2">
        <v>0.56999999999999995</v>
      </c>
      <c r="AD836" s="2">
        <v>5.91</v>
      </c>
      <c r="AE836" s="2">
        <v>1.68</v>
      </c>
      <c r="AF836" s="2">
        <v>75.06</v>
      </c>
      <c r="AG836" s="2">
        <v>14.64</v>
      </c>
    </row>
    <row r="837" spans="1:33" x14ac:dyDescent="0.2">
      <c r="A837" s="3">
        <v>33389</v>
      </c>
      <c r="B837" s="2">
        <v>-1.62</v>
      </c>
      <c r="C837" s="2">
        <v>17.96</v>
      </c>
      <c r="D837" s="2">
        <v>-13.99</v>
      </c>
      <c r="E837" s="2">
        <v>3.08</v>
      </c>
      <c r="F837" s="2">
        <v>9</v>
      </c>
      <c r="G837" s="2">
        <v>-0.05</v>
      </c>
      <c r="H837" s="2">
        <v>9.16</v>
      </c>
      <c r="I837" s="2">
        <v>31.57</v>
      </c>
      <c r="J837" s="2">
        <v>-23.85</v>
      </c>
      <c r="K837" s="2">
        <v>21.17</v>
      </c>
      <c r="L837" s="2">
        <v>-0.5</v>
      </c>
      <c r="M837" s="2">
        <v>-0.25</v>
      </c>
      <c r="N837" s="2">
        <v>25.37</v>
      </c>
      <c r="O837" s="2">
        <v>28.32</v>
      </c>
      <c r="P837" s="2">
        <v>35.770000000000003</v>
      </c>
      <c r="Q837" s="2">
        <v>-11.77</v>
      </c>
      <c r="R837" s="2">
        <v>14.67</v>
      </c>
      <c r="S837" s="2">
        <v>21.02</v>
      </c>
      <c r="T837" s="2">
        <v>11.94</v>
      </c>
      <c r="U837" s="2">
        <v>12.25</v>
      </c>
      <c r="V837" s="2">
        <v>28.42</v>
      </c>
      <c r="W837" s="2">
        <v>4.88</v>
      </c>
      <c r="X837" s="2">
        <v>24.89</v>
      </c>
      <c r="Y837" s="2">
        <v>23.61</v>
      </c>
      <c r="Z837" s="2">
        <v>0</v>
      </c>
      <c r="AA837" s="2">
        <v>0</v>
      </c>
      <c r="AB837" s="2">
        <v>0</v>
      </c>
      <c r="AC837" s="2">
        <v>0.14000000000000001</v>
      </c>
      <c r="AD837" s="2">
        <v>7.45</v>
      </c>
      <c r="AE837" s="2">
        <v>1.4</v>
      </c>
      <c r="AF837" s="2">
        <v>84.77</v>
      </c>
      <c r="AG837" s="2">
        <v>17.690000000000001</v>
      </c>
    </row>
    <row r="838" spans="1:33" x14ac:dyDescent="0.2">
      <c r="A838" s="3">
        <v>33419</v>
      </c>
      <c r="B838" s="2">
        <v>-1.25</v>
      </c>
      <c r="C838" s="2">
        <v>18.39</v>
      </c>
      <c r="D838" s="2">
        <v>-13.57</v>
      </c>
      <c r="E838" s="2">
        <v>0.11</v>
      </c>
      <c r="F838" s="2">
        <v>24.76</v>
      </c>
      <c r="G838" s="2">
        <v>7.58</v>
      </c>
      <c r="H838" s="2">
        <v>15.39</v>
      </c>
      <c r="I838" s="2">
        <v>33.33</v>
      </c>
      <c r="J838" s="2">
        <v>-14.41</v>
      </c>
      <c r="K838" s="2">
        <v>59.57</v>
      </c>
      <c r="L838" s="2">
        <v>-0.24</v>
      </c>
      <c r="M838" s="2">
        <v>5.89</v>
      </c>
      <c r="N838" s="2">
        <v>44.81</v>
      </c>
      <c r="O838" s="2">
        <v>28.32</v>
      </c>
      <c r="P838" s="2">
        <v>103.58</v>
      </c>
      <c r="Q838" s="2">
        <v>0.37</v>
      </c>
      <c r="R838" s="2">
        <v>16.170000000000002</v>
      </c>
      <c r="S838" s="2">
        <v>34.11</v>
      </c>
      <c r="T838" s="2">
        <v>33.81</v>
      </c>
      <c r="U838" s="2">
        <v>19.829999999999998</v>
      </c>
      <c r="V838" s="2">
        <v>58.88</v>
      </c>
      <c r="W838" s="2">
        <v>18.62</v>
      </c>
      <c r="X838" s="2">
        <v>31.82</v>
      </c>
      <c r="Y838" s="2">
        <v>31.25</v>
      </c>
      <c r="Z838" s="2">
        <v>0</v>
      </c>
      <c r="AA838" s="2">
        <v>0</v>
      </c>
      <c r="AB838" s="2">
        <v>0</v>
      </c>
      <c r="AC838" s="2">
        <v>0.14000000000000001</v>
      </c>
      <c r="AD838" s="2">
        <v>8.94</v>
      </c>
      <c r="AE838" s="2">
        <v>0.56000000000000005</v>
      </c>
      <c r="AF838" s="2">
        <v>92.77</v>
      </c>
      <c r="AG838" s="2">
        <v>22.83</v>
      </c>
    </row>
    <row r="839" spans="1:33" x14ac:dyDescent="0.2">
      <c r="A839" s="3">
        <v>33450</v>
      </c>
      <c r="B839" s="2">
        <v>-0.97</v>
      </c>
      <c r="C839" s="2">
        <v>18.170000000000002</v>
      </c>
      <c r="D839" s="2">
        <v>-10.69</v>
      </c>
      <c r="E839" s="2">
        <v>12.13</v>
      </c>
      <c r="F839" s="2">
        <v>26.65</v>
      </c>
      <c r="G839" s="2">
        <v>11.79</v>
      </c>
      <c r="H839" s="2">
        <v>16.100000000000001</v>
      </c>
      <c r="I839" s="2">
        <v>37.159999999999997</v>
      </c>
      <c r="J839" s="2">
        <v>-11.89</v>
      </c>
      <c r="K839" s="2">
        <v>59</v>
      </c>
      <c r="L839" s="2">
        <v>8.6999999999999993</v>
      </c>
      <c r="M839" s="2">
        <v>13.7</v>
      </c>
      <c r="N839" s="2">
        <v>48.82</v>
      </c>
      <c r="O839" s="2">
        <v>51.41</v>
      </c>
      <c r="P839" s="2">
        <v>102.78</v>
      </c>
      <c r="Q839" s="2">
        <v>4.04</v>
      </c>
      <c r="R839" s="2">
        <v>17.77</v>
      </c>
      <c r="S839" s="2">
        <v>46.29</v>
      </c>
      <c r="T839" s="2">
        <v>35.69</v>
      </c>
      <c r="U839" s="2">
        <v>28.74</v>
      </c>
      <c r="V839" s="2">
        <v>65.25</v>
      </c>
      <c r="W839" s="2">
        <v>30.39</v>
      </c>
      <c r="X839" s="2">
        <v>38.700000000000003</v>
      </c>
      <c r="Y839" s="2">
        <v>38.5</v>
      </c>
      <c r="Z839" s="2">
        <v>1</v>
      </c>
      <c r="AA839" s="2">
        <v>1.43</v>
      </c>
      <c r="AB839" s="2">
        <v>0</v>
      </c>
      <c r="AC839" s="2">
        <v>0</v>
      </c>
      <c r="AD839" s="2">
        <v>8.15</v>
      </c>
      <c r="AE839" s="2">
        <v>0</v>
      </c>
      <c r="AF839" s="2">
        <v>101.03</v>
      </c>
      <c r="AG839" s="2">
        <v>24.8</v>
      </c>
    </row>
    <row r="840" spans="1:33" x14ac:dyDescent="0.2">
      <c r="A840" s="3">
        <v>33481</v>
      </c>
      <c r="B840" s="2">
        <v>-2.13</v>
      </c>
      <c r="C840" s="2">
        <v>17.68</v>
      </c>
      <c r="D840" s="2">
        <v>-13.2</v>
      </c>
      <c r="E840" s="2">
        <v>7.21</v>
      </c>
      <c r="F840" s="2">
        <v>23.65</v>
      </c>
      <c r="G840" s="2">
        <v>21.97</v>
      </c>
      <c r="H840" s="2">
        <v>14.26</v>
      </c>
      <c r="I840" s="2">
        <v>36.61</v>
      </c>
      <c r="J840" s="2">
        <v>-3.27</v>
      </c>
      <c r="K840" s="2">
        <v>43.39</v>
      </c>
      <c r="L840" s="2">
        <v>2.19</v>
      </c>
      <c r="M840" s="2">
        <v>13.15</v>
      </c>
      <c r="N840" s="2">
        <v>43.03</v>
      </c>
      <c r="O840" s="2">
        <v>62.45</v>
      </c>
      <c r="P840" s="2">
        <v>90.75</v>
      </c>
      <c r="Q840" s="2">
        <v>-0.31</v>
      </c>
      <c r="R840" s="2">
        <v>14.17</v>
      </c>
      <c r="S840" s="2">
        <v>8.5</v>
      </c>
      <c r="T840" s="2">
        <v>37.340000000000003</v>
      </c>
      <c r="U840" s="2">
        <v>28.21</v>
      </c>
      <c r="V840" s="2">
        <v>63.24</v>
      </c>
      <c r="W840" s="2">
        <v>31.47</v>
      </c>
      <c r="X840" s="2">
        <v>41.36</v>
      </c>
      <c r="Y840" s="2">
        <v>41.29</v>
      </c>
      <c r="Z840" s="2">
        <v>0.05</v>
      </c>
      <c r="AA840" s="2">
        <v>9.75</v>
      </c>
      <c r="AB840" s="2">
        <v>0.22</v>
      </c>
      <c r="AC840" s="2">
        <v>1.1499999999999999</v>
      </c>
      <c r="AD840" s="2">
        <v>6.1</v>
      </c>
      <c r="AE840" s="2">
        <v>0.37</v>
      </c>
      <c r="AF840" s="2">
        <v>102.75</v>
      </c>
      <c r="AG840" s="2">
        <v>23.65</v>
      </c>
    </row>
    <row r="841" spans="1:33" x14ac:dyDescent="0.2">
      <c r="A841" s="3">
        <v>33511</v>
      </c>
      <c r="B841" s="2">
        <v>-5.54</v>
      </c>
      <c r="C841" s="2">
        <v>18.97</v>
      </c>
      <c r="D841" s="2">
        <v>-11.73</v>
      </c>
      <c r="E841" s="2">
        <v>-8.24</v>
      </c>
      <c r="F841" s="2">
        <v>17.72</v>
      </c>
      <c r="G841" s="2">
        <v>12.16</v>
      </c>
      <c r="H841" s="2">
        <v>19.63</v>
      </c>
      <c r="I841" s="2">
        <v>40.99</v>
      </c>
      <c r="J841" s="2">
        <v>4.46</v>
      </c>
      <c r="K841" s="2">
        <v>-6.08</v>
      </c>
      <c r="L841" s="2">
        <v>2.76</v>
      </c>
      <c r="M841" s="2">
        <v>7.13</v>
      </c>
      <c r="N841" s="2">
        <v>28.2</v>
      </c>
      <c r="O841" s="2">
        <v>16.05</v>
      </c>
      <c r="P841" s="2">
        <v>29.8</v>
      </c>
      <c r="Q841" s="2">
        <v>5.71</v>
      </c>
      <c r="R841" s="2">
        <v>19</v>
      </c>
      <c r="S841" s="2">
        <v>-5.77</v>
      </c>
      <c r="T841" s="2">
        <v>9</v>
      </c>
      <c r="U841" s="2">
        <v>8.7899999999999991</v>
      </c>
      <c r="V841" s="2">
        <v>15.76</v>
      </c>
      <c r="W841" s="2">
        <v>26.1</v>
      </c>
      <c r="X841" s="2">
        <v>38.909999999999997</v>
      </c>
      <c r="Y841" s="2">
        <v>38.619999999999997</v>
      </c>
      <c r="Z841" s="2">
        <v>0.53</v>
      </c>
      <c r="AA841" s="2">
        <v>2.87</v>
      </c>
      <c r="AB841" s="2">
        <v>0.45</v>
      </c>
      <c r="AC841" s="2">
        <v>0</v>
      </c>
      <c r="AD841" s="2">
        <v>4.8499999999999996</v>
      </c>
      <c r="AE841" s="2">
        <v>1.1200000000000001</v>
      </c>
      <c r="AF841" s="2">
        <v>95.7</v>
      </c>
      <c r="AG841" s="2">
        <v>20.170000000000002</v>
      </c>
    </row>
    <row r="842" spans="1:33" x14ac:dyDescent="0.2">
      <c r="A842" s="3">
        <v>33542</v>
      </c>
      <c r="B842" s="2">
        <v>-5.2</v>
      </c>
      <c r="C842" s="2">
        <v>16.72</v>
      </c>
      <c r="D842" s="2">
        <v>-8.89</v>
      </c>
      <c r="E842" s="2">
        <v>-4.46</v>
      </c>
      <c r="F842" s="2">
        <v>8.17</v>
      </c>
      <c r="G842" s="2">
        <v>9.83</v>
      </c>
      <c r="H842" s="2">
        <v>16.72</v>
      </c>
      <c r="I842" s="2">
        <v>34.03</v>
      </c>
      <c r="J842" s="2">
        <v>13.89</v>
      </c>
      <c r="K842" s="2">
        <v>-0.41</v>
      </c>
      <c r="L842" s="2">
        <v>3.87</v>
      </c>
      <c r="M842" s="2">
        <v>8.9700000000000006</v>
      </c>
      <c r="N842" s="2">
        <v>22.15</v>
      </c>
      <c r="O842" s="2">
        <v>11.56</v>
      </c>
      <c r="P842" s="2">
        <v>74.44</v>
      </c>
      <c r="Q842" s="2">
        <v>-1.44</v>
      </c>
      <c r="R842" s="2">
        <v>8.7100000000000009</v>
      </c>
      <c r="S842" s="2">
        <v>-17.22</v>
      </c>
      <c r="T842" s="2">
        <v>13.88</v>
      </c>
      <c r="U842" s="2">
        <v>-0.02</v>
      </c>
      <c r="V842" s="2">
        <v>24.53</v>
      </c>
      <c r="W842" s="2">
        <v>22.19</v>
      </c>
      <c r="X842" s="2">
        <v>35.69</v>
      </c>
      <c r="Y842" s="2">
        <v>35.380000000000003</v>
      </c>
      <c r="Z842" s="2">
        <v>0</v>
      </c>
      <c r="AA842" s="2">
        <v>0.28999999999999998</v>
      </c>
      <c r="AB842" s="2">
        <v>2.08</v>
      </c>
      <c r="AC842" s="2">
        <v>1.58</v>
      </c>
      <c r="AD842" s="2">
        <v>2.98</v>
      </c>
      <c r="AE842" s="2">
        <v>7.92</v>
      </c>
      <c r="AF842" s="2">
        <v>86.81</v>
      </c>
      <c r="AG842" s="2">
        <v>16.420000000000002</v>
      </c>
    </row>
    <row r="843" spans="1:33" x14ac:dyDescent="0.2">
      <c r="A843" s="3">
        <v>33572</v>
      </c>
      <c r="B843" s="2">
        <v>-4.99</v>
      </c>
      <c r="C843" s="2">
        <v>13.79</v>
      </c>
      <c r="D843" s="2">
        <v>-8.84</v>
      </c>
      <c r="E843" s="2">
        <v>3.46</v>
      </c>
      <c r="F843" s="2">
        <v>1.78</v>
      </c>
      <c r="G843" s="2">
        <v>3.25</v>
      </c>
      <c r="H843" s="2">
        <v>12.76</v>
      </c>
      <c r="I843" s="2">
        <v>31.62</v>
      </c>
      <c r="J843" s="2">
        <v>7.12</v>
      </c>
      <c r="K843" s="2">
        <v>-2.38</v>
      </c>
      <c r="L843" s="2">
        <v>0.93</v>
      </c>
      <c r="M843" s="2">
        <v>1.03</v>
      </c>
      <c r="N843" s="2">
        <v>20.04</v>
      </c>
      <c r="O843" s="2">
        <v>22.25</v>
      </c>
      <c r="P843" s="2">
        <v>28.01</v>
      </c>
      <c r="Q843" s="2">
        <v>3.55</v>
      </c>
      <c r="R843" s="2">
        <v>11.44</v>
      </c>
      <c r="S843" s="2">
        <v>-9.01</v>
      </c>
      <c r="T843" s="2">
        <v>5.56</v>
      </c>
      <c r="U843" s="2">
        <v>5.2</v>
      </c>
      <c r="V843" s="2">
        <v>16.18</v>
      </c>
      <c r="W843" s="2">
        <v>15.43</v>
      </c>
      <c r="X843" s="2">
        <v>23.37</v>
      </c>
      <c r="Y843" s="2">
        <v>22.04</v>
      </c>
      <c r="Z843" s="2">
        <v>9.57</v>
      </c>
      <c r="AA843" s="2">
        <v>0.87</v>
      </c>
      <c r="AB843" s="2">
        <v>0.32</v>
      </c>
      <c r="AC843" s="2">
        <v>7.0000000000000007E-2</v>
      </c>
      <c r="AD843" s="2">
        <v>1.77</v>
      </c>
      <c r="AE843" s="2">
        <v>4.01</v>
      </c>
      <c r="AF843" s="2">
        <v>56.96</v>
      </c>
      <c r="AG843" s="2">
        <v>12.92</v>
      </c>
    </row>
    <row r="844" spans="1:33" x14ac:dyDescent="0.2">
      <c r="A844" s="3">
        <v>33603</v>
      </c>
      <c r="B844" s="2">
        <v>-5.14</v>
      </c>
      <c r="C844" s="2">
        <v>17.489999999999998</v>
      </c>
      <c r="D844" s="2">
        <v>10.41</v>
      </c>
      <c r="E844" s="2">
        <v>28.41</v>
      </c>
      <c r="F844" s="2">
        <v>24.41</v>
      </c>
      <c r="G844" s="2">
        <v>21.42</v>
      </c>
      <c r="H844" s="2">
        <v>18.850000000000001</v>
      </c>
      <c r="I844" s="2">
        <v>33.299999999999997</v>
      </c>
      <c r="J844" s="2">
        <v>11.2</v>
      </c>
      <c r="K844" s="2">
        <v>4.22</v>
      </c>
      <c r="L844" s="2">
        <v>-2.76</v>
      </c>
      <c r="M844" s="2">
        <v>3.84</v>
      </c>
      <c r="N844" s="2">
        <v>17.64</v>
      </c>
      <c r="O844" s="2">
        <v>14.69</v>
      </c>
      <c r="P844" s="2">
        <v>33.03</v>
      </c>
      <c r="Q844" s="2">
        <v>-0.75</v>
      </c>
      <c r="R844" s="2">
        <v>10.36</v>
      </c>
      <c r="S844" s="2">
        <v>3.86</v>
      </c>
      <c r="T844" s="2">
        <v>8.44</v>
      </c>
      <c r="U844" s="2">
        <v>5.43</v>
      </c>
      <c r="V844" s="2">
        <v>12.84</v>
      </c>
      <c r="W844" s="2">
        <v>11.73</v>
      </c>
      <c r="X844" s="2">
        <v>20.239999999999998</v>
      </c>
      <c r="Y844" s="2">
        <v>20.13</v>
      </c>
      <c r="Z844" s="2">
        <v>1.48</v>
      </c>
      <c r="AA844" s="2">
        <v>11.9</v>
      </c>
      <c r="AB844" s="2">
        <v>2.2400000000000002</v>
      </c>
      <c r="AC844" s="2">
        <v>0</v>
      </c>
      <c r="AD844" s="2">
        <v>1.71</v>
      </c>
      <c r="AE844" s="2">
        <v>22.65</v>
      </c>
      <c r="AF844" s="2">
        <v>52.33</v>
      </c>
      <c r="AG844" s="2">
        <v>11.2</v>
      </c>
    </row>
    <row r="845" spans="1:33" x14ac:dyDescent="0.2">
      <c r="A845" s="3">
        <v>33634</v>
      </c>
      <c r="B845" s="2">
        <v>-9.5500000000000007</v>
      </c>
      <c r="C845" s="2">
        <v>12.04</v>
      </c>
      <c r="D845" s="2">
        <v>-2.54</v>
      </c>
      <c r="E845" s="2">
        <v>7.56</v>
      </c>
      <c r="F845" s="2">
        <v>5.82</v>
      </c>
      <c r="G845" s="2">
        <v>15.29</v>
      </c>
      <c r="H845" s="2">
        <v>12.29</v>
      </c>
      <c r="I845" s="2">
        <v>31.79</v>
      </c>
      <c r="J845" s="2">
        <v>7.57</v>
      </c>
      <c r="K845" s="2">
        <v>-0.65</v>
      </c>
      <c r="L845" s="2">
        <v>-1.94</v>
      </c>
      <c r="M845" s="2">
        <v>-0.71</v>
      </c>
      <c r="N845" s="2">
        <v>15.73</v>
      </c>
      <c r="O845" s="2">
        <v>14.24</v>
      </c>
      <c r="P845" s="2">
        <v>29.39</v>
      </c>
      <c r="Q845" s="2">
        <v>-4.38</v>
      </c>
      <c r="R845" s="2">
        <v>9.4</v>
      </c>
      <c r="S845" s="2">
        <v>-4.63</v>
      </c>
      <c r="T845" s="2">
        <v>10.08</v>
      </c>
      <c r="U845" s="2">
        <v>4.78</v>
      </c>
      <c r="V845" s="2">
        <v>11.03</v>
      </c>
      <c r="W845" s="2">
        <v>4.26</v>
      </c>
      <c r="X845" s="2">
        <v>9.06</v>
      </c>
      <c r="Y845" s="2">
        <v>7.76</v>
      </c>
      <c r="Z845" s="2">
        <v>9.81</v>
      </c>
      <c r="AA845" s="2">
        <v>7.31</v>
      </c>
      <c r="AB845" s="2">
        <v>0.75</v>
      </c>
      <c r="AC845" s="2">
        <v>8.61</v>
      </c>
      <c r="AD845" s="2">
        <v>1.66</v>
      </c>
      <c r="AE845" s="2">
        <v>16.13</v>
      </c>
      <c r="AF845" s="2">
        <v>69.08</v>
      </c>
      <c r="AG845" s="2">
        <v>9.8800000000000008</v>
      </c>
    </row>
    <row r="846" spans="1:33" x14ac:dyDescent="0.2">
      <c r="A846" s="3">
        <v>33663</v>
      </c>
      <c r="B846" s="2">
        <v>-5.52</v>
      </c>
      <c r="C846" s="2">
        <v>24.12</v>
      </c>
      <c r="D846" s="2">
        <v>36.15</v>
      </c>
      <c r="E846" s="2">
        <v>103.75</v>
      </c>
      <c r="F846" s="2">
        <v>52.46</v>
      </c>
      <c r="G846" s="2">
        <v>103.65</v>
      </c>
      <c r="H846" s="2">
        <v>26.68</v>
      </c>
      <c r="I846" s="2">
        <v>38.75</v>
      </c>
      <c r="J846" s="2">
        <v>57.82</v>
      </c>
      <c r="K846" s="2">
        <v>53.69</v>
      </c>
      <c r="L846" s="2">
        <v>9.1300000000000008</v>
      </c>
      <c r="M846" s="2">
        <v>25.01</v>
      </c>
      <c r="N846" s="2">
        <v>48.71</v>
      </c>
      <c r="O846" s="2">
        <v>14.87</v>
      </c>
      <c r="P846" s="2">
        <v>92.07</v>
      </c>
      <c r="Q846" s="2">
        <v>-4.45</v>
      </c>
      <c r="R846" s="2">
        <v>8.06</v>
      </c>
      <c r="S846" s="2">
        <v>41.81</v>
      </c>
      <c r="T846" s="2">
        <v>38.119999999999997</v>
      </c>
      <c r="U846" s="2">
        <v>4.25</v>
      </c>
      <c r="V846" s="2">
        <v>11.38</v>
      </c>
      <c r="W846" s="2">
        <v>0</v>
      </c>
      <c r="X846" s="2">
        <v>2.66</v>
      </c>
      <c r="Y846" s="2">
        <v>2.73</v>
      </c>
      <c r="Z846" s="2">
        <v>23.74</v>
      </c>
      <c r="AA846" s="2">
        <v>25.95</v>
      </c>
      <c r="AB846" s="2">
        <v>7.72</v>
      </c>
      <c r="AC846" s="2">
        <v>7.97</v>
      </c>
      <c r="AD846" s="2">
        <v>1.92</v>
      </c>
      <c r="AE846" s="2">
        <v>61.43</v>
      </c>
      <c r="AF846" s="2">
        <v>57.59</v>
      </c>
      <c r="AG846" s="2">
        <v>10.08</v>
      </c>
    </row>
    <row r="847" spans="1:33" x14ac:dyDescent="0.2">
      <c r="A847" s="3">
        <v>33694</v>
      </c>
      <c r="B847" s="2">
        <v>-1.97</v>
      </c>
      <c r="C847" s="2">
        <v>22.67</v>
      </c>
      <c r="D847" s="2">
        <v>-0.98</v>
      </c>
      <c r="E847" s="2">
        <v>8.5</v>
      </c>
      <c r="F847" s="2">
        <v>-3.27</v>
      </c>
      <c r="G847" s="2">
        <v>11.9</v>
      </c>
      <c r="H847" s="2">
        <v>8.86</v>
      </c>
      <c r="I847" s="2">
        <v>35.5</v>
      </c>
      <c r="J847" s="2">
        <v>1.1399999999999999</v>
      </c>
      <c r="K847" s="2">
        <v>-11.97</v>
      </c>
      <c r="L847" s="2">
        <v>-5.85</v>
      </c>
      <c r="M847" s="2">
        <v>-5.01</v>
      </c>
      <c r="N847" s="2">
        <v>9.1</v>
      </c>
      <c r="O847" s="2">
        <v>12.02</v>
      </c>
      <c r="P847" s="2">
        <v>48.89</v>
      </c>
      <c r="Q847" s="2">
        <v>-0.67</v>
      </c>
      <c r="R847" s="2">
        <v>8.74</v>
      </c>
      <c r="S847" s="2">
        <v>-1.97</v>
      </c>
      <c r="T847" s="2">
        <v>17.329999999999998</v>
      </c>
      <c r="U847" s="2">
        <v>4</v>
      </c>
      <c r="V847" s="2">
        <v>17.73</v>
      </c>
      <c r="W847" s="2">
        <v>0</v>
      </c>
      <c r="X847" s="2">
        <v>3.43</v>
      </c>
      <c r="Y847" s="2">
        <v>2.4900000000000002</v>
      </c>
      <c r="Z847" s="2">
        <v>12.06</v>
      </c>
      <c r="AA847" s="2">
        <v>20.5</v>
      </c>
      <c r="AB847" s="2">
        <v>2.34</v>
      </c>
      <c r="AC847" s="2">
        <v>29.93</v>
      </c>
      <c r="AD847" s="2">
        <v>4.04</v>
      </c>
      <c r="AE847" s="2">
        <v>31.42</v>
      </c>
      <c r="AF847" s="2">
        <v>67.959999999999994</v>
      </c>
      <c r="AG847" s="2">
        <v>10.69</v>
      </c>
    </row>
    <row r="848" spans="1:33" x14ac:dyDescent="0.2">
      <c r="A848" s="3">
        <v>33724</v>
      </c>
      <c r="B848" s="2">
        <v>-2.94</v>
      </c>
      <c r="C848" s="2">
        <v>14.14</v>
      </c>
      <c r="D848" s="2">
        <v>-7.06</v>
      </c>
      <c r="E848" s="2">
        <v>-48.62</v>
      </c>
      <c r="F848" s="2">
        <v>9.86</v>
      </c>
      <c r="G848" s="2">
        <v>-33.44</v>
      </c>
      <c r="H848" s="2">
        <v>5.08</v>
      </c>
      <c r="I848" s="2">
        <v>34.08</v>
      </c>
      <c r="J848" s="2">
        <v>-11.74</v>
      </c>
      <c r="K848" s="2">
        <v>2.73</v>
      </c>
      <c r="L848" s="2">
        <v>12.63</v>
      </c>
      <c r="M848" s="2">
        <v>7.35</v>
      </c>
      <c r="N848" s="2">
        <v>23.66</v>
      </c>
      <c r="O848" s="2">
        <v>12.34</v>
      </c>
      <c r="P848" s="2">
        <v>35.15</v>
      </c>
      <c r="Q848" s="2">
        <v>0.33</v>
      </c>
      <c r="R848" s="2">
        <v>14</v>
      </c>
      <c r="S848" s="2">
        <v>10.51</v>
      </c>
      <c r="T848" s="2">
        <v>11.17</v>
      </c>
      <c r="U848" s="2">
        <v>9.61</v>
      </c>
      <c r="V848" s="2">
        <v>19.34</v>
      </c>
      <c r="W848" s="2">
        <v>0</v>
      </c>
      <c r="X848" s="2">
        <v>4.17</v>
      </c>
      <c r="Y848" s="2">
        <v>3.52</v>
      </c>
      <c r="Z848" s="2">
        <v>1.1000000000000001</v>
      </c>
      <c r="AA848" s="2">
        <v>4.4400000000000004</v>
      </c>
      <c r="AB848" s="2">
        <v>1.44</v>
      </c>
      <c r="AC848" s="2">
        <v>0</v>
      </c>
      <c r="AD848" s="2">
        <v>4.3899999999999997</v>
      </c>
      <c r="AE848" s="2">
        <v>3.92</v>
      </c>
      <c r="AF848" s="2">
        <v>84.09</v>
      </c>
      <c r="AG848" s="2">
        <v>14.64</v>
      </c>
    </row>
    <row r="849" spans="1:33" x14ac:dyDescent="0.2">
      <c r="A849" s="3">
        <v>33755</v>
      </c>
      <c r="B849" s="2">
        <v>-2.41</v>
      </c>
      <c r="C849" s="2">
        <v>17.190000000000001</v>
      </c>
      <c r="D849" s="2">
        <v>-16.93</v>
      </c>
      <c r="E849" s="2">
        <v>-11.61</v>
      </c>
      <c r="F849" s="2">
        <v>18.03</v>
      </c>
      <c r="G849" s="2">
        <v>-0.51</v>
      </c>
      <c r="H849" s="2">
        <v>8.8800000000000008</v>
      </c>
      <c r="I849" s="2">
        <v>34.54</v>
      </c>
      <c r="J849" s="2">
        <v>-11.48</v>
      </c>
      <c r="K849" s="2">
        <v>35.01</v>
      </c>
      <c r="L849" s="2">
        <v>-2.4300000000000002</v>
      </c>
      <c r="M849" s="2">
        <v>10.56</v>
      </c>
      <c r="N849" s="2">
        <v>32.340000000000003</v>
      </c>
      <c r="O849" s="2">
        <v>30.49</v>
      </c>
      <c r="P849" s="2">
        <v>46.75</v>
      </c>
      <c r="Q849" s="2">
        <v>-8.1300000000000008</v>
      </c>
      <c r="R849" s="2">
        <v>15.53</v>
      </c>
      <c r="S849" s="2">
        <v>22.06</v>
      </c>
      <c r="T849" s="2">
        <v>14.34</v>
      </c>
      <c r="U849" s="2">
        <v>8.42</v>
      </c>
      <c r="V849" s="2">
        <v>30.04</v>
      </c>
      <c r="W849" s="2">
        <v>4.88</v>
      </c>
      <c r="X849" s="2">
        <v>7.04</v>
      </c>
      <c r="Y849" s="2">
        <v>5.73</v>
      </c>
      <c r="Z849" s="2">
        <v>0.48</v>
      </c>
      <c r="AA849" s="2">
        <v>3.58</v>
      </c>
      <c r="AB849" s="2">
        <v>0.43</v>
      </c>
      <c r="AC849" s="2">
        <v>0</v>
      </c>
      <c r="AD849" s="2">
        <v>6.23</v>
      </c>
      <c r="AE849" s="2">
        <v>0</v>
      </c>
      <c r="AF849" s="2">
        <v>94.96</v>
      </c>
      <c r="AG849" s="2">
        <v>17.690000000000001</v>
      </c>
    </row>
    <row r="850" spans="1:33" x14ac:dyDescent="0.2">
      <c r="A850" s="3">
        <v>33785</v>
      </c>
      <c r="B850" s="2">
        <v>-1.38</v>
      </c>
      <c r="C850" s="2">
        <v>20.49</v>
      </c>
      <c r="D850" s="2">
        <v>-7.26</v>
      </c>
      <c r="E850" s="2">
        <v>1.6</v>
      </c>
      <c r="F850" s="2">
        <v>17.239999999999998</v>
      </c>
      <c r="G850" s="2">
        <v>2.83</v>
      </c>
      <c r="H850" s="2">
        <v>15.38</v>
      </c>
      <c r="I850" s="2">
        <v>34.71</v>
      </c>
      <c r="J850" s="2">
        <v>-9.4</v>
      </c>
      <c r="K850" s="2">
        <v>59.16</v>
      </c>
      <c r="L850" s="2">
        <v>-3.21</v>
      </c>
      <c r="M850" s="2">
        <v>6.67</v>
      </c>
      <c r="N850" s="2">
        <v>34.92</v>
      </c>
      <c r="O850" s="2">
        <v>33.04</v>
      </c>
      <c r="P850" s="2">
        <v>88.11</v>
      </c>
      <c r="Q850" s="2">
        <v>6.28</v>
      </c>
      <c r="R850" s="2">
        <v>15.95</v>
      </c>
      <c r="S850" s="2">
        <v>24.48</v>
      </c>
      <c r="T850" s="2">
        <v>33.46</v>
      </c>
      <c r="U850" s="2">
        <v>20.43</v>
      </c>
      <c r="V850" s="2">
        <v>40.119999999999997</v>
      </c>
      <c r="W850" s="2">
        <v>18.62</v>
      </c>
      <c r="X850" s="2">
        <v>12.29</v>
      </c>
      <c r="Y850" s="2">
        <v>11.67</v>
      </c>
      <c r="Z850" s="2">
        <v>0</v>
      </c>
      <c r="AA850" s="2">
        <v>0</v>
      </c>
      <c r="AB850" s="2">
        <v>0.11</v>
      </c>
      <c r="AC850" s="2">
        <v>0</v>
      </c>
      <c r="AD850" s="2">
        <v>10.67</v>
      </c>
      <c r="AE850" s="2">
        <v>2.33</v>
      </c>
      <c r="AF850" s="2">
        <v>103.93</v>
      </c>
      <c r="AG850" s="2">
        <v>22.83</v>
      </c>
    </row>
    <row r="851" spans="1:33" x14ac:dyDescent="0.2">
      <c r="A851" s="3">
        <v>33816</v>
      </c>
      <c r="B851" s="2">
        <v>-0.63</v>
      </c>
      <c r="C851" s="2">
        <v>18.149999999999999</v>
      </c>
      <c r="D851" s="2">
        <v>-1.73</v>
      </c>
      <c r="E851" s="2">
        <v>13.4</v>
      </c>
      <c r="F851" s="2">
        <v>30.59</v>
      </c>
      <c r="G851" s="2">
        <v>14.91</v>
      </c>
      <c r="H851" s="2">
        <v>17.55</v>
      </c>
      <c r="I851" s="2">
        <v>37.799999999999997</v>
      </c>
      <c r="J851" s="2">
        <v>-10.73</v>
      </c>
      <c r="K851" s="2">
        <v>59.9</v>
      </c>
      <c r="L851" s="2">
        <v>4.37</v>
      </c>
      <c r="M851" s="2">
        <v>12.28</v>
      </c>
      <c r="N851" s="2">
        <v>42.58</v>
      </c>
      <c r="O851" s="2">
        <v>70.599999999999994</v>
      </c>
      <c r="P851" s="2">
        <v>92.63</v>
      </c>
      <c r="Q851" s="2">
        <v>0.64</v>
      </c>
      <c r="R851" s="2">
        <v>10.97</v>
      </c>
      <c r="S851" s="2">
        <v>40.909999999999997</v>
      </c>
      <c r="T851" s="2">
        <v>32.17</v>
      </c>
      <c r="U851" s="2">
        <v>33.619999999999997</v>
      </c>
      <c r="V851" s="2">
        <v>50.79</v>
      </c>
      <c r="W851" s="2">
        <v>30.39</v>
      </c>
      <c r="X851" s="2">
        <v>17.43</v>
      </c>
      <c r="Y851" s="2">
        <v>17.190000000000001</v>
      </c>
      <c r="Z851" s="2">
        <v>0.28999999999999998</v>
      </c>
      <c r="AA851" s="2">
        <v>0</v>
      </c>
      <c r="AB851" s="2">
        <v>0.32</v>
      </c>
      <c r="AC851" s="2">
        <v>1.51</v>
      </c>
      <c r="AD851" s="2">
        <v>8.49</v>
      </c>
      <c r="AE851" s="2">
        <v>0</v>
      </c>
      <c r="AF851" s="2">
        <v>113.18</v>
      </c>
      <c r="AG851" s="2">
        <v>24.8</v>
      </c>
    </row>
    <row r="852" spans="1:33" x14ac:dyDescent="0.2">
      <c r="A852" s="3">
        <v>33847</v>
      </c>
      <c r="B852" s="2">
        <v>-1.18</v>
      </c>
      <c r="C852" s="2">
        <v>21.91</v>
      </c>
      <c r="D852" s="2">
        <v>-1.69</v>
      </c>
      <c r="E852" s="2">
        <v>18.36</v>
      </c>
      <c r="F852" s="2">
        <v>24.26</v>
      </c>
      <c r="G852" s="2">
        <v>21.99</v>
      </c>
      <c r="H852" s="2">
        <v>17.670000000000002</v>
      </c>
      <c r="I852" s="2">
        <v>36.74</v>
      </c>
      <c r="J852" s="2">
        <v>-1.85</v>
      </c>
      <c r="K852" s="2">
        <v>56.04</v>
      </c>
      <c r="L852" s="2">
        <v>4.32</v>
      </c>
      <c r="M852" s="2">
        <v>10.58</v>
      </c>
      <c r="N852" s="2">
        <v>45.32</v>
      </c>
      <c r="O852" s="2">
        <v>77.67</v>
      </c>
      <c r="P852" s="2">
        <v>97.88</v>
      </c>
      <c r="Q852" s="2">
        <v>0.36</v>
      </c>
      <c r="R852" s="2">
        <v>9.99</v>
      </c>
      <c r="S852" s="2">
        <v>27.18</v>
      </c>
      <c r="T852" s="2">
        <v>34.36</v>
      </c>
      <c r="U852" s="2">
        <v>28.2</v>
      </c>
      <c r="V852" s="2">
        <v>56.51</v>
      </c>
      <c r="W852" s="2">
        <v>31.47</v>
      </c>
      <c r="X852" s="2">
        <v>19.73</v>
      </c>
      <c r="Y852" s="2">
        <v>19.62</v>
      </c>
      <c r="Z852" s="2">
        <v>2.4900000000000002</v>
      </c>
      <c r="AA852" s="2">
        <v>1.39</v>
      </c>
      <c r="AB852" s="2">
        <v>0</v>
      </c>
      <c r="AC852" s="2">
        <v>7.0000000000000007E-2</v>
      </c>
      <c r="AD852" s="2">
        <v>5.6</v>
      </c>
      <c r="AE852" s="2">
        <v>0.95</v>
      </c>
      <c r="AF852" s="2">
        <v>115.1</v>
      </c>
      <c r="AG852" s="2">
        <v>23.65</v>
      </c>
    </row>
    <row r="853" spans="1:33" x14ac:dyDescent="0.2">
      <c r="A853" s="3">
        <v>33877</v>
      </c>
      <c r="B853" s="2">
        <v>-3.11</v>
      </c>
      <c r="C853" s="2">
        <v>19.91</v>
      </c>
      <c r="D853" s="2">
        <v>-5.0999999999999996</v>
      </c>
      <c r="E853" s="2">
        <v>4.26</v>
      </c>
      <c r="F853" s="2">
        <v>13.76</v>
      </c>
      <c r="G853" s="2">
        <v>12.34</v>
      </c>
      <c r="H853" s="2">
        <v>21.84</v>
      </c>
      <c r="I853" s="2">
        <v>39.49</v>
      </c>
      <c r="J853" s="2">
        <v>4.21</v>
      </c>
      <c r="K853" s="2">
        <v>-2.85</v>
      </c>
      <c r="L853" s="2">
        <v>6.71</v>
      </c>
      <c r="M853" s="2">
        <v>6.82</v>
      </c>
      <c r="N853" s="2">
        <v>27.44</v>
      </c>
      <c r="O853" s="2">
        <v>14.62</v>
      </c>
      <c r="P853" s="2">
        <v>27.94</v>
      </c>
      <c r="Q853" s="2">
        <v>6.33</v>
      </c>
      <c r="R853" s="2">
        <v>19.489999999999998</v>
      </c>
      <c r="S853" s="2">
        <v>-6.41</v>
      </c>
      <c r="T853" s="2">
        <v>8</v>
      </c>
      <c r="U853" s="2">
        <v>9.2899999999999991</v>
      </c>
      <c r="V853" s="2">
        <v>16.38</v>
      </c>
      <c r="W853" s="2">
        <v>26.1</v>
      </c>
      <c r="X853" s="2">
        <v>18.77</v>
      </c>
      <c r="Y853" s="2">
        <v>18.440000000000001</v>
      </c>
      <c r="Z853" s="2">
        <v>0</v>
      </c>
      <c r="AA853" s="2">
        <v>0</v>
      </c>
      <c r="AB853" s="2">
        <v>0</v>
      </c>
      <c r="AC853" s="2">
        <v>0.79</v>
      </c>
      <c r="AD853" s="2">
        <v>4.2699999999999996</v>
      </c>
      <c r="AE853" s="2">
        <v>0</v>
      </c>
      <c r="AF853" s="2">
        <v>107.21</v>
      </c>
      <c r="AG853" s="2">
        <v>20.170000000000002</v>
      </c>
    </row>
    <row r="854" spans="1:33" x14ac:dyDescent="0.2">
      <c r="A854" s="3">
        <v>33908</v>
      </c>
      <c r="B854" s="2">
        <v>-3.68</v>
      </c>
      <c r="C854" s="2">
        <v>17.5</v>
      </c>
      <c r="D854" s="2">
        <v>-5.64</v>
      </c>
      <c r="E854" s="2">
        <v>-3.32</v>
      </c>
      <c r="F854" s="2">
        <v>11.2</v>
      </c>
      <c r="G854" s="2">
        <v>12.62</v>
      </c>
      <c r="H854" s="2">
        <v>15.26</v>
      </c>
      <c r="I854" s="2">
        <v>34.75</v>
      </c>
      <c r="J854" s="2">
        <v>13.25</v>
      </c>
      <c r="K854" s="2">
        <v>6.45</v>
      </c>
      <c r="L854" s="2">
        <v>7.01</v>
      </c>
      <c r="M854" s="2">
        <v>8.92</v>
      </c>
      <c r="N854" s="2">
        <v>20.260000000000002</v>
      </c>
      <c r="O854" s="2">
        <v>9.8800000000000008</v>
      </c>
      <c r="P854" s="2">
        <v>66.680000000000007</v>
      </c>
      <c r="Q854" s="2">
        <v>-2.4500000000000002</v>
      </c>
      <c r="R854" s="2">
        <v>7.89</v>
      </c>
      <c r="S854" s="2">
        <v>-12.37</v>
      </c>
      <c r="T854" s="2">
        <v>12.82</v>
      </c>
      <c r="U854" s="2">
        <v>1.41</v>
      </c>
      <c r="V854" s="2">
        <v>21.17</v>
      </c>
      <c r="W854" s="2">
        <v>22.19</v>
      </c>
      <c r="X854" s="2">
        <v>17.420000000000002</v>
      </c>
      <c r="Y854" s="2">
        <v>17.079999999999998</v>
      </c>
      <c r="Z854" s="2">
        <v>0</v>
      </c>
      <c r="AA854" s="2">
        <v>2.15</v>
      </c>
      <c r="AB854" s="2">
        <v>6.13</v>
      </c>
      <c r="AC854" s="2">
        <v>0</v>
      </c>
      <c r="AD854" s="2">
        <v>3.71</v>
      </c>
      <c r="AE854" s="2">
        <v>6.15</v>
      </c>
      <c r="AF854" s="2">
        <v>97.25</v>
      </c>
      <c r="AG854" s="2">
        <v>16.420000000000002</v>
      </c>
    </row>
    <row r="855" spans="1:33" x14ac:dyDescent="0.2">
      <c r="A855" s="3">
        <v>33938</v>
      </c>
      <c r="B855" s="2">
        <v>-4.38</v>
      </c>
      <c r="C855" s="2">
        <v>12.18</v>
      </c>
      <c r="D855" s="2">
        <v>-7.63</v>
      </c>
      <c r="E855" s="2">
        <v>-10.06</v>
      </c>
      <c r="F855" s="2">
        <v>3.72</v>
      </c>
      <c r="G855" s="2">
        <v>-0.54</v>
      </c>
      <c r="H855" s="2">
        <v>11.63</v>
      </c>
      <c r="I855" s="2">
        <v>28.85</v>
      </c>
      <c r="J855" s="2">
        <v>12.51</v>
      </c>
      <c r="K855" s="2">
        <v>-0.2</v>
      </c>
      <c r="L855" s="2">
        <v>-0.49</v>
      </c>
      <c r="M855" s="2">
        <v>2.2000000000000002</v>
      </c>
      <c r="N855" s="2">
        <v>19.48</v>
      </c>
      <c r="O855" s="2">
        <v>15.83</v>
      </c>
      <c r="P855" s="2">
        <v>25.03</v>
      </c>
      <c r="Q855" s="2">
        <v>5.21</v>
      </c>
      <c r="R855" s="2">
        <v>12.19</v>
      </c>
      <c r="S855" s="2">
        <v>-4.33</v>
      </c>
      <c r="T855" s="2">
        <v>8.08</v>
      </c>
      <c r="U855" s="2">
        <v>5.3</v>
      </c>
      <c r="V855" s="2">
        <v>16.55</v>
      </c>
      <c r="W855" s="2">
        <v>15.43</v>
      </c>
      <c r="X855" s="2">
        <v>11.36</v>
      </c>
      <c r="Y855" s="2">
        <v>10.01</v>
      </c>
      <c r="Z855" s="2">
        <v>14.45</v>
      </c>
      <c r="AA855" s="2">
        <v>0</v>
      </c>
      <c r="AB855" s="2">
        <v>0</v>
      </c>
      <c r="AC855" s="2">
        <v>14.36</v>
      </c>
      <c r="AD855" s="2">
        <v>2.66</v>
      </c>
      <c r="AE855" s="2">
        <v>0.47</v>
      </c>
      <c r="AF855" s="2">
        <v>63.8</v>
      </c>
      <c r="AG855" s="2">
        <v>12.92</v>
      </c>
    </row>
    <row r="856" spans="1:33" x14ac:dyDescent="0.2">
      <c r="A856" s="3">
        <v>33969</v>
      </c>
      <c r="B856" s="2">
        <v>-2.82</v>
      </c>
      <c r="C856" s="2">
        <v>25.55</v>
      </c>
      <c r="D856" s="2">
        <v>35.409999999999997</v>
      </c>
      <c r="E856" s="2">
        <v>90.06</v>
      </c>
      <c r="F856" s="2">
        <v>60.82</v>
      </c>
      <c r="G856" s="2">
        <v>90.28</v>
      </c>
      <c r="H856" s="2">
        <v>27.36</v>
      </c>
      <c r="I856" s="2">
        <v>40.450000000000003</v>
      </c>
      <c r="J856" s="2">
        <v>43.75</v>
      </c>
      <c r="K856" s="2">
        <v>32.369999999999997</v>
      </c>
      <c r="L856" s="2">
        <v>4.82</v>
      </c>
      <c r="M856" s="2">
        <v>17.28</v>
      </c>
      <c r="N856" s="2">
        <v>33.130000000000003</v>
      </c>
      <c r="O856" s="2">
        <v>13.52</v>
      </c>
      <c r="P856" s="2">
        <v>57.2</v>
      </c>
      <c r="Q856" s="2">
        <v>-3.61</v>
      </c>
      <c r="R856" s="2">
        <v>9.49</v>
      </c>
      <c r="S856" s="2">
        <v>15.6</v>
      </c>
      <c r="T856" s="2">
        <v>15.32</v>
      </c>
      <c r="U856" s="2">
        <v>5.6</v>
      </c>
      <c r="V856" s="2">
        <v>13.05</v>
      </c>
      <c r="W856" s="2">
        <v>11.73</v>
      </c>
      <c r="X856" s="2">
        <v>9.2100000000000009</v>
      </c>
      <c r="Y856" s="2">
        <v>9.07</v>
      </c>
      <c r="Z856" s="2">
        <v>2.06</v>
      </c>
      <c r="AA856" s="2">
        <v>13.76</v>
      </c>
      <c r="AB856" s="2">
        <v>3.01</v>
      </c>
      <c r="AC856" s="2">
        <v>2.23</v>
      </c>
      <c r="AD856" s="2">
        <v>2.54</v>
      </c>
      <c r="AE856" s="2">
        <v>42.04</v>
      </c>
      <c r="AF856" s="2">
        <v>58.62</v>
      </c>
      <c r="AG856" s="2">
        <v>11.2</v>
      </c>
    </row>
    <row r="857" spans="1:33" x14ac:dyDescent="0.2">
      <c r="A857" s="3">
        <v>34000</v>
      </c>
      <c r="B857" s="2">
        <v>-3.35</v>
      </c>
      <c r="C857" s="2">
        <v>37.68</v>
      </c>
      <c r="D857" s="2">
        <v>72.11</v>
      </c>
      <c r="E857" s="2">
        <v>167.03</v>
      </c>
      <c r="F857" s="2">
        <v>107.99</v>
      </c>
      <c r="G857" s="2">
        <v>190.44</v>
      </c>
      <c r="H857" s="2">
        <v>36.5</v>
      </c>
      <c r="I857" s="2">
        <v>42.65</v>
      </c>
      <c r="J857" s="2">
        <v>132.22999999999999</v>
      </c>
      <c r="K857" s="2">
        <v>103.64</v>
      </c>
      <c r="L857" s="2">
        <v>25.42</v>
      </c>
      <c r="M857" s="2">
        <v>40.229999999999997</v>
      </c>
      <c r="N857" s="2">
        <v>73.260000000000005</v>
      </c>
      <c r="O857" s="2">
        <v>13.48</v>
      </c>
      <c r="P857" s="2">
        <v>150.63</v>
      </c>
      <c r="Q857" s="2">
        <v>-3.68</v>
      </c>
      <c r="R857" s="2">
        <v>9.61</v>
      </c>
      <c r="S857" s="2">
        <v>67.010000000000005</v>
      </c>
      <c r="T857" s="2">
        <v>38.07</v>
      </c>
      <c r="U857" s="2">
        <v>7.25</v>
      </c>
      <c r="V857" s="2">
        <v>31.99</v>
      </c>
      <c r="W857" s="2">
        <v>4.26</v>
      </c>
      <c r="X857" s="2">
        <v>22.2</v>
      </c>
      <c r="Y857" s="2">
        <v>21.03</v>
      </c>
      <c r="Z857" s="2">
        <v>35.89</v>
      </c>
      <c r="AA857" s="2">
        <v>59.93</v>
      </c>
      <c r="AB857" s="2">
        <v>15.61</v>
      </c>
      <c r="AC857" s="2">
        <v>14.71</v>
      </c>
      <c r="AD857" s="2">
        <v>2.46</v>
      </c>
      <c r="AE857" s="2">
        <v>65.069999999999993</v>
      </c>
      <c r="AF857" s="2">
        <v>61.67</v>
      </c>
      <c r="AG857" s="2">
        <v>9.8800000000000008</v>
      </c>
    </row>
    <row r="858" spans="1:33" x14ac:dyDescent="0.2">
      <c r="A858" s="3">
        <v>34028</v>
      </c>
      <c r="B858" s="2">
        <v>-3.5</v>
      </c>
      <c r="C858" s="2">
        <v>40.799999999999997</v>
      </c>
      <c r="D858" s="2">
        <v>25.32</v>
      </c>
      <c r="E858" s="2">
        <v>49.39</v>
      </c>
      <c r="F858" s="2">
        <v>44.74</v>
      </c>
      <c r="G858" s="2">
        <v>13.09</v>
      </c>
      <c r="H858" s="2">
        <v>22.48</v>
      </c>
      <c r="I858" s="2">
        <v>39.57</v>
      </c>
      <c r="J858" s="2">
        <v>63.41</v>
      </c>
      <c r="K858" s="2">
        <v>7.23</v>
      </c>
      <c r="L858" s="2">
        <v>-10.62</v>
      </c>
      <c r="M858" s="2">
        <v>-1.35</v>
      </c>
      <c r="N858" s="2">
        <v>23.93</v>
      </c>
      <c r="O858" s="2">
        <v>14.08</v>
      </c>
      <c r="P858" s="2">
        <v>92.08</v>
      </c>
      <c r="Q858" s="2">
        <v>0.52</v>
      </c>
      <c r="R858" s="2">
        <v>19.760000000000002</v>
      </c>
      <c r="S858" s="2">
        <v>28.33</v>
      </c>
      <c r="T858" s="2">
        <v>16.899999999999999</v>
      </c>
      <c r="U858" s="2">
        <v>9.67</v>
      </c>
      <c r="V858" s="2">
        <v>28.33</v>
      </c>
      <c r="W858" s="2">
        <v>0</v>
      </c>
      <c r="X858" s="2">
        <v>13.64</v>
      </c>
      <c r="Y858" s="2">
        <v>13.89</v>
      </c>
      <c r="Z858" s="2">
        <v>23.26</v>
      </c>
      <c r="AA858" s="2">
        <v>28.82</v>
      </c>
      <c r="AB858" s="2">
        <v>14.93</v>
      </c>
      <c r="AC858" s="2">
        <v>35.6</v>
      </c>
      <c r="AD858" s="2">
        <v>2.81</v>
      </c>
      <c r="AE858" s="2">
        <v>43.91</v>
      </c>
      <c r="AF858" s="2">
        <v>51.41</v>
      </c>
      <c r="AG858" s="2">
        <v>10.08</v>
      </c>
    </row>
    <row r="859" spans="1:33" x14ac:dyDescent="0.2">
      <c r="A859" s="3">
        <v>34059</v>
      </c>
      <c r="B859" s="2">
        <v>14.43</v>
      </c>
      <c r="C859" s="2">
        <v>41.29</v>
      </c>
      <c r="D859" s="2">
        <v>-3.04</v>
      </c>
      <c r="E859" s="2">
        <v>70.989999999999995</v>
      </c>
      <c r="F859" s="2">
        <v>112.06</v>
      </c>
      <c r="G859" s="2">
        <v>16.37</v>
      </c>
      <c r="H859" s="2">
        <v>32.35</v>
      </c>
      <c r="I859" s="2">
        <v>50.11</v>
      </c>
      <c r="J859" s="2">
        <v>19.68</v>
      </c>
      <c r="K859" s="2">
        <v>-0.72</v>
      </c>
      <c r="L859" s="2">
        <v>-5.15</v>
      </c>
      <c r="M859" s="2">
        <v>1.99</v>
      </c>
      <c r="N859" s="2">
        <v>21.28</v>
      </c>
      <c r="O859" s="2">
        <v>16.940000000000001</v>
      </c>
      <c r="P859" s="2">
        <v>54.87</v>
      </c>
      <c r="Q859" s="2">
        <v>8.82</v>
      </c>
      <c r="R859" s="2">
        <v>25.02</v>
      </c>
      <c r="S859" s="2">
        <v>18.899999999999999</v>
      </c>
      <c r="T859" s="2">
        <v>22.23</v>
      </c>
      <c r="U859" s="2">
        <v>12.09</v>
      </c>
      <c r="V859" s="2">
        <v>28.85</v>
      </c>
      <c r="W859" s="2">
        <v>0</v>
      </c>
      <c r="X859" s="2">
        <v>16.39</v>
      </c>
      <c r="Y859" s="2">
        <v>15.57</v>
      </c>
      <c r="Z859" s="2">
        <v>4.74</v>
      </c>
      <c r="AA859" s="2">
        <v>1.74</v>
      </c>
      <c r="AB859" s="2">
        <v>2.33</v>
      </c>
      <c r="AC859" s="2">
        <v>18.09</v>
      </c>
      <c r="AD859" s="2">
        <v>4.57</v>
      </c>
      <c r="AE859" s="2">
        <v>26.2</v>
      </c>
      <c r="AF859" s="2">
        <v>60.66</v>
      </c>
      <c r="AG859" s="2">
        <v>10.69</v>
      </c>
    </row>
    <row r="860" spans="1:33" x14ac:dyDescent="0.2">
      <c r="A860" s="3">
        <v>34089</v>
      </c>
      <c r="B860" s="2">
        <v>5.66</v>
      </c>
      <c r="C860" s="2">
        <v>29.07</v>
      </c>
      <c r="D860" s="2">
        <v>0.53</v>
      </c>
      <c r="E860" s="2">
        <v>-62.34</v>
      </c>
      <c r="F860" s="2">
        <v>-11.58</v>
      </c>
      <c r="G860" s="2">
        <v>-30.53</v>
      </c>
      <c r="H860" s="2">
        <v>6.33</v>
      </c>
      <c r="I860" s="2">
        <v>40.58</v>
      </c>
      <c r="J860" s="2">
        <v>-6.46</v>
      </c>
      <c r="K860" s="2">
        <v>-6.87</v>
      </c>
      <c r="L860" s="2">
        <v>19.010000000000002</v>
      </c>
      <c r="M860" s="2">
        <v>16.010000000000002</v>
      </c>
      <c r="N860" s="2">
        <v>39.19</v>
      </c>
      <c r="O860" s="2">
        <v>19.739999999999998</v>
      </c>
      <c r="P860" s="2">
        <v>28.6</v>
      </c>
      <c r="Q860" s="2">
        <v>17.22</v>
      </c>
      <c r="R860" s="2">
        <v>33.380000000000003</v>
      </c>
      <c r="S860" s="2">
        <v>-6.06</v>
      </c>
      <c r="T860" s="2">
        <v>11.49</v>
      </c>
      <c r="U860" s="2">
        <v>18.79</v>
      </c>
      <c r="V860" s="2">
        <v>47.53</v>
      </c>
      <c r="W860" s="2">
        <v>0</v>
      </c>
      <c r="X860" s="2">
        <v>20.190000000000001</v>
      </c>
      <c r="Y860" s="2">
        <v>19.71</v>
      </c>
      <c r="Z860" s="2">
        <v>0</v>
      </c>
      <c r="AA860" s="2">
        <v>0</v>
      </c>
      <c r="AB860" s="2">
        <v>0</v>
      </c>
      <c r="AC860" s="2">
        <v>1.65</v>
      </c>
      <c r="AD860" s="2">
        <v>6.5</v>
      </c>
      <c r="AE860" s="2">
        <v>5.03</v>
      </c>
      <c r="AF860" s="2">
        <v>75.06</v>
      </c>
      <c r="AG860" s="2">
        <v>14.64</v>
      </c>
    </row>
    <row r="861" spans="1:33" x14ac:dyDescent="0.2">
      <c r="A861" s="3">
        <v>34120</v>
      </c>
      <c r="B861" s="2">
        <v>4.0199999999999996</v>
      </c>
      <c r="C861" s="2">
        <v>31.05</v>
      </c>
      <c r="D861" s="2">
        <v>-13.29</v>
      </c>
      <c r="E861" s="2">
        <v>-29.08</v>
      </c>
      <c r="F861" s="2">
        <v>-17.989999999999998</v>
      </c>
      <c r="G861" s="2">
        <v>-7.88</v>
      </c>
      <c r="H861" s="2">
        <v>10.06</v>
      </c>
      <c r="I861" s="2">
        <v>46.6</v>
      </c>
      <c r="J861" s="2">
        <v>-0.89</v>
      </c>
      <c r="K861" s="2">
        <v>12.14</v>
      </c>
      <c r="L861" s="2">
        <v>21.91</v>
      </c>
      <c r="M861" s="2">
        <v>8.2799999999999994</v>
      </c>
      <c r="N861" s="2">
        <v>24.46</v>
      </c>
      <c r="O861" s="2">
        <v>27.05</v>
      </c>
      <c r="P861" s="2">
        <v>87.11</v>
      </c>
      <c r="Q861" s="2">
        <v>15.35</v>
      </c>
      <c r="R861" s="2">
        <v>30.82</v>
      </c>
      <c r="S861" s="2">
        <v>-5.8</v>
      </c>
      <c r="T861" s="2">
        <v>13</v>
      </c>
      <c r="U861" s="2">
        <v>17.670000000000002</v>
      </c>
      <c r="V861" s="2">
        <v>61.89</v>
      </c>
      <c r="W861" s="2">
        <v>4.88</v>
      </c>
      <c r="X861" s="2">
        <v>25.15</v>
      </c>
      <c r="Y861" s="2">
        <v>24.01</v>
      </c>
      <c r="Z861" s="2">
        <v>0</v>
      </c>
      <c r="AA861" s="2">
        <v>0.52</v>
      </c>
      <c r="AB861" s="2">
        <v>0</v>
      </c>
      <c r="AC861" s="2">
        <v>0.72</v>
      </c>
      <c r="AD861" s="2">
        <v>11.69</v>
      </c>
      <c r="AE861" s="2">
        <v>4.38</v>
      </c>
      <c r="AF861" s="2">
        <v>84.77</v>
      </c>
      <c r="AG861" s="2">
        <v>17.690000000000001</v>
      </c>
    </row>
    <row r="862" spans="1:33" x14ac:dyDescent="0.2">
      <c r="A862" s="3">
        <v>34150</v>
      </c>
      <c r="B862" s="2">
        <v>6.85</v>
      </c>
      <c r="C862" s="2">
        <v>31.45</v>
      </c>
      <c r="D862" s="2">
        <v>-2.89</v>
      </c>
      <c r="E862" s="2">
        <v>3.5</v>
      </c>
      <c r="F862" s="2">
        <v>9.1199999999999992</v>
      </c>
      <c r="G862" s="2">
        <v>-10.42</v>
      </c>
      <c r="H862" s="2">
        <v>17.38</v>
      </c>
      <c r="I862" s="2">
        <v>35.25</v>
      </c>
      <c r="J862" s="2">
        <v>-13.11</v>
      </c>
      <c r="K862" s="2">
        <v>50.88</v>
      </c>
      <c r="L862" s="2">
        <v>-5.05</v>
      </c>
      <c r="M862" s="2">
        <v>9.0299999999999994</v>
      </c>
      <c r="N862" s="2">
        <v>41.54</v>
      </c>
      <c r="O862" s="2">
        <v>32.909999999999997</v>
      </c>
      <c r="P862" s="2">
        <v>104.61</v>
      </c>
      <c r="Q862" s="2">
        <v>15.08</v>
      </c>
      <c r="R862" s="2">
        <v>38.5</v>
      </c>
      <c r="S862" s="2">
        <v>2.12</v>
      </c>
      <c r="T862" s="2">
        <v>23.18</v>
      </c>
      <c r="U862" s="2">
        <v>19.89</v>
      </c>
      <c r="V862" s="2">
        <v>66.099999999999994</v>
      </c>
      <c r="W862" s="2">
        <v>18.62</v>
      </c>
      <c r="X862" s="2">
        <v>32.11</v>
      </c>
      <c r="Y862" s="2">
        <v>31.71</v>
      </c>
      <c r="Z862" s="2">
        <v>1.77</v>
      </c>
      <c r="AA862" s="2">
        <v>0</v>
      </c>
      <c r="AB862" s="2">
        <v>0</v>
      </c>
      <c r="AC862" s="2">
        <v>0</v>
      </c>
      <c r="AD862" s="2">
        <v>10.27</v>
      </c>
      <c r="AE862" s="2">
        <v>5.03</v>
      </c>
      <c r="AF862" s="2">
        <v>92.77</v>
      </c>
      <c r="AG862" s="2">
        <v>22.83</v>
      </c>
    </row>
    <row r="863" spans="1:33" x14ac:dyDescent="0.2">
      <c r="A863" s="3">
        <v>34181</v>
      </c>
      <c r="B863" s="2">
        <v>3.59</v>
      </c>
      <c r="C863" s="2">
        <v>24.55</v>
      </c>
      <c r="D863" s="2">
        <v>-12.09</v>
      </c>
      <c r="E863" s="2">
        <v>-8.9600000000000009</v>
      </c>
      <c r="F863" s="2">
        <v>11.66</v>
      </c>
      <c r="G863" s="2">
        <v>-2.88</v>
      </c>
      <c r="H863" s="2">
        <v>13.73</v>
      </c>
      <c r="I863" s="2">
        <v>39.21</v>
      </c>
      <c r="J863" s="2">
        <v>-15.4</v>
      </c>
      <c r="K863" s="2">
        <v>56.54</v>
      </c>
      <c r="L863" s="2">
        <v>-0.73</v>
      </c>
      <c r="M863" s="2">
        <v>11.43</v>
      </c>
      <c r="N863" s="2">
        <v>45.29</v>
      </c>
      <c r="O863" s="2">
        <v>36.03</v>
      </c>
      <c r="P863" s="2">
        <v>112.53</v>
      </c>
      <c r="Q863" s="2">
        <v>18.940000000000001</v>
      </c>
      <c r="R863" s="2">
        <v>38.28</v>
      </c>
      <c r="S863" s="2">
        <v>48.67</v>
      </c>
      <c r="T863" s="2">
        <v>35.619999999999997</v>
      </c>
      <c r="U863" s="2">
        <v>26.85</v>
      </c>
      <c r="V863" s="2">
        <v>51.53</v>
      </c>
      <c r="W863" s="2">
        <v>30.39</v>
      </c>
      <c r="X863" s="2">
        <v>39.01</v>
      </c>
      <c r="Y863" s="2">
        <v>38.97</v>
      </c>
      <c r="Z863" s="2">
        <v>0</v>
      </c>
      <c r="AA863" s="2">
        <v>0</v>
      </c>
      <c r="AB863" s="2">
        <v>0</v>
      </c>
      <c r="AC863" s="2">
        <v>0.43</v>
      </c>
      <c r="AD863" s="2">
        <v>7.74</v>
      </c>
      <c r="AE863" s="2">
        <v>0</v>
      </c>
      <c r="AF863" s="2">
        <v>101.03</v>
      </c>
      <c r="AG863" s="2">
        <v>24.8</v>
      </c>
    </row>
    <row r="864" spans="1:33" x14ac:dyDescent="0.2">
      <c r="A864" s="3">
        <v>34212</v>
      </c>
      <c r="B864" s="2">
        <v>3.33</v>
      </c>
      <c r="C864" s="2">
        <v>27.32</v>
      </c>
      <c r="D864" s="2">
        <v>-8.68</v>
      </c>
      <c r="E864" s="2">
        <v>9.0500000000000007</v>
      </c>
      <c r="F864" s="2">
        <v>11.9</v>
      </c>
      <c r="G864" s="2">
        <v>4.2300000000000004</v>
      </c>
      <c r="H864" s="2">
        <v>18.510000000000002</v>
      </c>
      <c r="I864" s="2">
        <v>41.38</v>
      </c>
      <c r="J864" s="2">
        <v>2.08</v>
      </c>
      <c r="K864" s="2">
        <v>46.28</v>
      </c>
      <c r="L864" s="2">
        <v>4.2</v>
      </c>
      <c r="M864" s="2">
        <v>17.940000000000001</v>
      </c>
      <c r="N864" s="2">
        <v>40.93</v>
      </c>
      <c r="O864" s="2">
        <v>35.08</v>
      </c>
      <c r="P864" s="2">
        <v>92.06</v>
      </c>
      <c r="Q864" s="2">
        <v>12.67</v>
      </c>
      <c r="R864" s="2">
        <v>36.840000000000003</v>
      </c>
      <c r="S864" s="2">
        <v>-1.72</v>
      </c>
      <c r="T864" s="2">
        <v>41.85</v>
      </c>
      <c r="U864" s="2">
        <v>28.25</v>
      </c>
      <c r="V864" s="2">
        <v>43.73</v>
      </c>
      <c r="W864" s="2">
        <v>31.47</v>
      </c>
      <c r="X864" s="2">
        <v>41.67</v>
      </c>
      <c r="Y864" s="2">
        <v>41.78</v>
      </c>
      <c r="Z864" s="2">
        <v>0</v>
      </c>
      <c r="AA864" s="2">
        <v>5.4</v>
      </c>
      <c r="AB864" s="2">
        <v>0</v>
      </c>
      <c r="AC864" s="2">
        <v>3.73</v>
      </c>
      <c r="AD864" s="2">
        <v>6.44</v>
      </c>
      <c r="AE864" s="2">
        <v>0</v>
      </c>
      <c r="AF864" s="2">
        <v>102.75</v>
      </c>
      <c r="AG864" s="2">
        <v>23.65</v>
      </c>
    </row>
    <row r="865" spans="1:33" x14ac:dyDescent="0.2">
      <c r="A865" s="3">
        <v>34242</v>
      </c>
      <c r="B865" s="2">
        <v>1.4</v>
      </c>
      <c r="C865" s="2">
        <v>27.81</v>
      </c>
      <c r="D865" s="2">
        <v>-2.21</v>
      </c>
      <c r="E865" s="2">
        <v>-8.7200000000000006</v>
      </c>
      <c r="F865" s="2">
        <v>-15.67</v>
      </c>
      <c r="G865" s="2">
        <v>1.44</v>
      </c>
      <c r="H865" s="2">
        <v>16.670000000000002</v>
      </c>
      <c r="I865" s="2">
        <v>44.02</v>
      </c>
      <c r="J865" s="2">
        <v>9.6</v>
      </c>
      <c r="K865" s="2">
        <v>5.85</v>
      </c>
      <c r="L865" s="2">
        <v>4.95</v>
      </c>
      <c r="M865" s="2">
        <v>18.100000000000001</v>
      </c>
      <c r="N865" s="2">
        <v>34.22</v>
      </c>
      <c r="O865" s="2">
        <v>21.95</v>
      </c>
      <c r="P865" s="2">
        <v>47.48</v>
      </c>
      <c r="Q865" s="2">
        <v>16.399999999999999</v>
      </c>
      <c r="R865" s="2">
        <v>33.56</v>
      </c>
      <c r="S865" s="2">
        <v>34.61</v>
      </c>
      <c r="T865" s="2">
        <v>11.1</v>
      </c>
      <c r="U865" s="2">
        <v>15.68</v>
      </c>
      <c r="V865" s="2">
        <v>24.86</v>
      </c>
      <c r="W865" s="2">
        <v>26.1</v>
      </c>
      <c r="X865" s="2">
        <v>39.18</v>
      </c>
      <c r="Y865" s="2">
        <v>39.07</v>
      </c>
      <c r="Z865" s="2">
        <v>0</v>
      </c>
      <c r="AA865" s="2">
        <v>0</v>
      </c>
      <c r="AB865" s="2">
        <v>0</v>
      </c>
      <c r="AC865" s="2">
        <v>0</v>
      </c>
      <c r="AD865" s="2">
        <v>4.79</v>
      </c>
      <c r="AE865" s="2">
        <v>0</v>
      </c>
      <c r="AF865" s="2">
        <v>95.7</v>
      </c>
      <c r="AG865" s="2">
        <v>20.170000000000002</v>
      </c>
    </row>
    <row r="866" spans="1:33" x14ac:dyDescent="0.2">
      <c r="A866" s="3">
        <v>34273</v>
      </c>
      <c r="B866" s="2">
        <v>0.11</v>
      </c>
      <c r="C866" s="2">
        <v>22.36</v>
      </c>
      <c r="D866" s="2">
        <v>-4.91</v>
      </c>
      <c r="E866" s="2">
        <v>-15.83</v>
      </c>
      <c r="F866" s="2">
        <v>6.95</v>
      </c>
      <c r="G866" s="2">
        <v>0.41</v>
      </c>
      <c r="H866" s="2">
        <v>16.27</v>
      </c>
      <c r="I866" s="2">
        <v>45.1</v>
      </c>
      <c r="J866" s="2">
        <v>6.31</v>
      </c>
      <c r="K866" s="2">
        <v>3.72</v>
      </c>
      <c r="L866" s="2">
        <v>11.68</v>
      </c>
      <c r="M866" s="2">
        <v>5.46</v>
      </c>
      <c r="N866" s="2">
        <v>34.89</v>
      </c>
      <c r="O866" s="2">
        <v>14.67</v>
      </c>
      <c r="P866" s="2">
        <v>69.63</v>
      </c>
      <c r="Q866" s="2">
        <v>8.74</v>
      </c>
      <c r="R866" s="2">
        <v>16.98</v>
      </c>
      <c r="S866" s="2">
        <v>10.48</v>
      </c>
      <c r="T866" s="2">
        <v>17.8</v>
      </c>
      <c r="U866" s="2">
        <v>7.32</v>
      </c>
      <c r="V866" s="2">
        <v>24.93</v>
      </c>
      <c r="W866" s="16">
        <f>'extended_recharge_2003-2015'!W2</f>
        <v>21.871373999999999</v>
      </c>
      <c r="X866" s="16">
        <f>'extended_recharge_2003-2015'!X2</f>
        <v>34.237675000000003</v>
      </c>
      <c r="Y866" s="16">
        <f>'extended_recharge_2003-2015'!Y2</f>
        <v>34.50676</v>
      </c>
      <c r="Z866" s="16">
        <f>'extended_recharge_2003-2015'!Z2</f>
        <v>3.8575970000000002</v>
      </c>
      <c r="AA866" s="16">
        <f>'extended_recharge_2003-2015'!AA2</f>
        <v>7.7683286999999996</v>
      </c>
      <c r="AB866" s="16">
        <f>'extended_recharge_2003-2015'!AB2</f>
        <v>2.1149559999999998</v>
      </c>
      <c r="AC866" s="16">
        <f>'extended_recharge_2003-2015'!AC2</f>
        <v>5.0674185999999999</v>
      </c>
      <c r="AD866" s="16">
        <f>'extended_recharge_2003-2015'!AD2</f>
        <v>2.54956</v>
      </c>
      <c r="AE866" s="16">
        <f>'extended_recharge_2003-2015'!AE2</f>
        <v>6.4396519999999997</v>
      </c>
      <c r="AF866" s="16">
        <f>'extended_recharge_2003-2015'!AF2</f>
        <v>90.748909999999995</v>
      </c>
      <c r="AG866" s="16">
        <f>'extended_recharge_2003-2015'!AG2</f>
        <v>16.451096</v>
      </c>
    </row>
    <row r="867" spans="1:33" x14ac:dyDescent="0.2">
      <c r="A867" s="3">
        <v>34303</v>
      </c>
      <c r="B867" s="2">
        <v>-1.43</v>
      </c>
      <c r="C867" s="2">
        <v>21.57</v>
      </c>
      <c r="D867" s="2">
        <v>-1.18</v>
      </c>
      <c r="E867" s="2">
        <v>-7.97</v>
      </c>
      <c r="F867" s="2">
        <v>7.46</v>
      </c>
      <c r="G867" s="2">
        <v>9.1199999999999992</v>
      </c>
      <c r="H867" s="2">
        <v>15.41</v>
      </c>
      <c r="I867" s="2">
        <v>41.95</v>
      </c>
      <c r="J867" s="2">
        <v>4.67</v>
      </c>
      <c r="K867" s="2">
        <v>-0.6</v>
      </c>
      <c r="L867" s="2">
        <v>-13.04</v>
      </c>
      <c r="M867" s="2">
        <v>-9.0399999999999991</v>
      </c>
      <c r="N867" s="2">
        <v>20.100000000000001</v>
      </c>
      <c r="O867" s="2">
        <v>20.99</v>
      </c>
      <c r="P867" s="2">
        <v>30.72</v>
      </c>
      <c r="Q867" s="2">
        <v>6.97</v>
      </c>
      <c r="R867" s="2">
        <v>15.86</v>
      </c>
      <c r="S867" s="2">
        <v>19.489999999999998</v>
      </c>
      <c r="T867" s="2">
        <v>18.100000000000001</v>
      </c>
      <c r="U867" s="2">
        <v>10.1</v>
      </c>
      <c r="V867" s="2">
        <v>16.010000000000002</v>
      </c>
      <c r="W867" s="16">
        <f>'extended_recharge_2003-2015'!W3</f>
        <v>15.723259000000001</v>
      </c>
      <c r="X867" s="16">
        <f>'extended_recharge_2003-2015'!X3</f>
        <v>26.030183999999998</v>
      </c>
      <c r="Y867" s="16">
        <f>'extended_recharge_2003-2015'!Y3</f>
        <v>25.059002</v>
      </c>
      <c r="Z867" s="16">
        <f>'extended_recharge_2003-2015'!Z3</f>
        <v>8.1357769999999991</v>
      </c>
      <c r="AA867" s="16">
        <f>'extended_recharge_2003-2015'!AA3</f>
        <v>9.7462300000000006</v>
      </c>
      <c r="AB867" s="16">
        <f>'extended_recharge_2003-2015'!AB3</f>
        <v>1.3269979999999999</v>
      </c>
      <c r="AC867" s="16">
        <f>'extended_recharge_2003-2015'!AC3</f>
        <v>6.3764386000000002</v>
      </c>
      <c r="AD867" s="16">
        <f>'extended_recharge_2003-2015'!AD3</f>
        <v>1.9304383000000001</v>
      </c>
      <c r="AE867" s="16">
        <f>'extended_recharge_2003-2015'!AE3</f>
        <v>19.537123000000001</v>
      </c>
      <c r="AF867" s="16">
        <f>'extended_recharge_2003-2015'!AF3</f>
        <v>62.024242000000001</v>
      </c>
      <c r="AG867" s="16">
        <f>'extended_recharge_2003-2015'!AG3</f>
        <v>12.948066000000001</v>
      </c>
    </row>
    <row r="868" spans="1:33" x14ac:dyDescent="0.2">
      <c r="A868" s="3">
        <v>34334</v>
      </c>
      <c r="B868" s="2">
        <v>-0.28000000000000003</v>
      </c>
      <c r="C868" s="2">
        <v>23.98</v>
      </c>
      <c r="D868" s="2">
        <v>11.58</v>
      </c>
      <c r="E868" s="2">
        <v>30.73</v>
      </c>
      <c r="F868" s="2">
        <v>45.79</v>
      </c>
      <c r="G868" s="2">
        <v>23.3</v>
      </c>
      <c r="H868" s="2">
        <v>22.78</v>
      </c>
      <c r="I868" s="2">
        <v>43.04</v>
      </c>
      <c r="J868" s="2">
        <v>9.26</v>
      </c>
      <c r="K868" s="2">
        <v>5.4</v>
      </c>
      <c r="L868" s="2">
        <v>-3.76</v>
      </c>
      <c r="M868" s="2">
        <v>-1.05</v>
      </c>
      <c r="N868" s="2">
        <v>18.04</v>
      </c>
      <c r="O868" s="2">
        <v>21.84</v>
      </c>
      <c r="P868" s="2">
        <v>30.26</v>
      </c>
      <c r="Q868" s="2">
        <v>5.71</v>
      </c>
      <c r="R868" s="2">
        <v>14.43</v>
      </c>
      <c r="S868" s="2">
        <v>15.57</v>
      </c>
      <c r="T868" s="2">
        <v>19.97</v>
      </c>
      <c r="U868" s="2">
        <v>10.89</v>
      </c>
      <c r="V868" s="2">
        <v>12.53</v>
      </c>
      <c r="W868" s="16">
        <f>'extended_recharge_2003-2015'!W4</f>
        <v>11.548182000000001</v>
      </c>
      <c r="X868" s="16">
        <f>'extended_recharge_2003-2015'!X4</f>
        <v>24.230063999999999</v>
      </c>
      <c r="Y868" s="16">
        <f>'extended_recharge_2003-2015'!Y4</f>
        <v>24.380075000000001</v>
      </c>
      <c r="Z868" s="16">
        <f>'extended_recharge_2003-2015'!Z4</f>
        <v>6.6131706000000001</v>
      </c>
      <c r="AA868" s="16">
        <f>'extended_recharge_2003-2015'!AA4</f>
        <v>14.045876</v>
      </c>
      <c r="AB868" s="16">
        <f>'extended_recharge_2003-2015'!AB4</f>
        <v>3.1878486000000001</v>
      </c>
      <c r="AC868" s="16">
        <f>'extended_recharge_2003-2015'!AC4</f>
        <v>3.1082306000000002</v>
      </c>
      <c r="AD868" s="16">
        <f>'extended_recharge_2003-2015'!AD4</f>
        <v>1.5775268</v>
      </c>
      <c r="AE868" s="16">
        <f>'extended_recharge_2003-2015'!AE4</f>
        <v>32.063409999999998</v>
      </c>
      <c r="AF868" s="16">
        <f>'extended_recharge_2003-2015'!AF4</f>
        <v>56.856470000000002</v>
      </c>
      <c r="AG868" s="16">
        <f>'extended_recharge_2003-2015'!AG4</f>
        <v>11.252831</v>
      </c>
    </row>
    <row r="869" spans="1:33" x14ac:dyDescent="0.2">
      <c r="A869" s="3">
        <v>34365</v>
      </c>
      <c r="B869" s="2">
        <v>-8.3800000000000008</v>
      </c>
      <c r="C869" s="2">
        <v>18.68</v>
      </c>
      <c r="D869" s="2">
        <v>2.91</v>
      </c>
      <c r="E869" s="2">
        <v>-0.56999999999999995</v>
      </c>
      <c r="F869" s="2">
        <v>-5.56</v>
      </c>
      <c r="G869" s="2">
        <v>13.95</v>
      </c>
      <c r="H869" s="2">
        <v>9.2100000000000009</v>
      </c>
      <c r="I869" s="2">
        <v>37.19</v>
      </c>
      <c r="J869" s="2">
        <v>12.25</v>
      </c>
      <c r="K869" s="2">
        <v>14.44</v>
      </c>
      <c r="L869" s="2">
        <v>1.96</v>
      </c>
      <c r="M869" s="2">
        <v>3.24</v>
      </c>
      <c r="N869" s="2">
        <v>22.84</v>
      </c>
      <c r="O869" s="2">
        <v>16.329999999999998</v>
      </c>
      <c r="P869" s="2">
        <v>31.99</v>
      </c>
      <c r="Q869" s="2">
        <v>2.9</v>
      </c>
      <c r="R869" s="2">
        <v>14.43</v>
      </c>
      <c r="S869" s="2">
        <v>12.98</v>
      </c>
      <c r="T869" s="2">
        <v>14.04</v>
      </c>
      <c r="U869" s="2">
        <v>9.5299999999999994</v>
      </c>
      <c r="V869" s="2">
        <v>13.06</v>
      </c>
      <c r="W869" s="16">
        <f>'extended_recharge_2003-2015'!W5</f>
        <v>4.4268580000000002</v>
      </c>
      <c r="X869" s="16">
        <f>'extended_recharge_2003-2015'!X5</f>
        <v>28.829979000000002</v>
      </c>
      <c r="Y869" s="16">
        <f>'extended_recharge_2003-2015'!Y5</f>
        <v>28.533643999999999</v>
      </c>
      <c r="Z869" s="16">
        <f>'extended_recharge_2003-2015'!Z5</f>
        <v>13.602691999999999</v>
      </c>
      <c r="AA869" s="16">
        <f>'extended_recharge_2003-2015'!AA5</f>
        <v>10.965436</v>
      </c>
      <c r="AB869" s="16">
        <f>'extended_recharge_2003-2015'!AB5</f>
        <v>4.5064929999999999</v>
      </c>
      <c r="AC869" s="16">
        <f>'extended_recharge_2003-2015'!AC5</f>
        <v>17.174399999999999</v>
      </c>
      <c r="AD869" s="16">
        <f>'extended_recharge_2003-2015'!AD5</f>
        <v>1.7060796</v>
      </c>
      <c r="AE869" s="16">
        <f>'extended_recharge_2003-2015'!AE5</f>
        <v>39.981389999999998</v>
      </c>
      <c r="AF869" s="16">
        <f>'extended_recharge_2003-2015'!AF5</f>
        <v>67.217254999999994</v>
      </c>
      <c r="AG869" s="16">
        <f>'extended_recharge_2003-2015'!AG5</f>
        <v>9.7093209999999992</v>
      </c>
    </row>
    <row r="870" spans="1:33" x14ac:dyDescent="0.2">
      <c r="A870" s="3">
        <v>34393</v>
      </c>
      <c r="B870" s="2">
        <v>-5.49</v>
      </c>
      <c r="C870" s="2">
        <v>24.52</v>
      </c>
      <c r="D870" s="2">
        <v>16.48</v>
      </c>
      <c r="E870" s="2">
        <v>36.03</v>
      </c>
      <c r="F870" s="2">
        <v>22.22</v>
      </c>
      <c r="G870" s="2">
        <v>42.49</v>
      </c>
      <c r="H870" s="2">
        <v>14.84</v>
      </c>
      <c r="I870" s="2">
        <v>39.020000000000003</v>
      </c>
      <c r="J870" s="2">
        <v>33.15</v>
      </c>
      <c r="K870" s="2">
        <v>33.65</v>
      </c>
      <c r="L870" s="2">
        <v>-2.2200000000000002</v>
      </c>
      <c r="M870" s="2">
        <v>3.23</v>
      </c>
      <c r="N870" s="2">
        <v>36.6</v>
      </c>
      <c r="O870" s="2">
        <v>18.36</v>
      </c>
      <c r="P870" s="2">
        <v>54.7</v>
      </c>
      <c r="Q870" s="2">
        <v>1.24</v>
      </c>
      <c r="R870" s="2">
        <v>13.38</v>
      </c>
      <c r="S870" s="2">
        <v>34.93</v>
      </c>
      <c r="T870" s="2">
        <v>22.96</v>
      </c>
      <c r="U870" s="2">
        <v>9.0299999999999994</v>
      </c>
      <c r="V870" s="2">
        <v>10.73</v>
      </c>
      <c r="W870" s="16">
        <f>'extended_recharge_2003-2015'!W6</f>
        <v>0.33782780000000001</v>
      </c>
      <c r="X870" s="16">
        <f>'extended_recharge_2003-2015'!X6</f>
        <v>21.973268999999998</v>
      </c>
      <c r="Y870" s="16">
        <f>'extended_recharge_2003-2015'!Y6</f>
        <v>23.303250999999999</v>
      </c>
      <c r="Z870" s="16">
        <f>'extended_recharge_2003-2015'!Z6</f>
        <v>13.272817999999999</v>
      </c>
      <c r="AA870" s="16">
        <f>'extended_recharge_2003-2015'!AA6</f>
        <v>7.8001940000000003</v>
      </c>
      <c r="AB870" s="16">
        <f>'extended_recharge_2003-2015'!AB6</f>
        <v>5.9124403000000001</v>
      </c>
      <c r="AC870" s="16">
        <f>'extended_recharge_2003-2015'!AC6</f>
        <v>13.9424715</v>
      </c>
      <c r="AD870" s="16">
        <f>'extended_recharge_2003-2015'!AD6</f>
        <v>2.7209120000000002</v>
      </c>
      <c r="AE870" s="16">
        <f>'extended_recharge_2003-2015'!AE6</f>
        <v>28.297246999999999</v>
      </c>
      <c r="AF870" s="16">
        <f>'extended_recharge_2003-2015'!AF6</f>
        <v>57.093353</v>
      </c>
      <c r="AG870" s="16">
        <f>'extended_recharge_2003-2015'!AG6</f>
        <v>9.7976419999999997</v>
      </c>
    </row>
    <row r="871" spans="1:33" x14ac:dyDescent="0.2">
      <c r="A871" s="3">
        <v>34424</v>
      </c>
      <c r="B871" s="2">
        <v>0.23</v>
      </c>
      <c r="C871" s="2">
        <v>16.760000000000002</v>
      </c>
      <c r="D871" s="2">
        <v>-13.37</v>
      </c>
      <c r="E871" s="2">
        <v>-30.33</v>
      </c>
      <c r="F871" s="2">
        <v>-0.96</v>
      </c>
      <c r="G871" s="2">
        <v>-18.84</v>
      </c>
      <c r="H871" s="2">
        <v>10.3</v>
      </c>
      <c r="I871" s="2">
        <v>39.56</v>
      </c>
      <c r="J871" s="2">
        <v>2.9</v>
      </c>
      <c r="K871" s="2">
        <v>-0.48</v>
      </c>
      <c r="L871" s="2">
        <v>18.78</v>
      </c>
      <c r="M871" s="2">
        <v>3.13</v>
      </c>
      <c r="N871" s="2">
        <v>26.18</v>
      </c>
      <c r="O871" s="2">
        <v>21.73</v>
      </c>
      <c r="P871" s="2">
        <v>45.8</v>
      </c>
      <c r="Q871" s="2">
        <v>4.62</v>
      </c>
      <c r="R871" s="2">
        <v>8.8800000000000008</v>
      </c>
      <c r="S871" s="2">
        <v>7.19</v>
      </c>
      <c r="T871" s="2">
        <v>23.87</v>
      </c>
      <c r="U871" s="2">
        <v>8</v>
      </c>
      <c r="V871" s="2">
        <v>17.48</v>
      </c>
      <c r="W871" s="16">
        <f>'extended_recharge_2003-2015'!W7</f>
        <v>0.12868544000000001</v>
      </c>
      <c r="X871" s="16">
        <f>'extended_recharge_2003-2015'!X7</f>
        <v>23.730965000000001</v>
      </c>
      <c r="Y871" s="16">
        <f>'extended_recharge_2003-2015'!Y7</f>
        <v>23.548642999999998</v>
      </c>
      <c r="Z871" s="16">
        <f>'extended_recharge_2003-2015'!Z7</f>
        <v>4.0629616000000004</v>
      </c>
      <c r="AA871" s="16">
        <f>'extended_recharge_2003-2015'!AA7</f>
        <v>1.7345904000000001</v>
      </c>
      <c r="AB871" s="16">
        <f>'extended_recharge_2003-2015'!AB7</f>
        <v>3.4133431999999999</v>
      </c>
      <c r="AC871" s="16">
        <f>'extended_recharge_2003-2015'!AC7</f>
        <v>13.9684515</v>
      </c>
      <c r="AD871" s="16">
        <f>'extended_recharge_2003-2015'!AD7</f>
        <v>3.6903062000000002</v>
      </c>
      <c r="AE871" s="16">
        <f>'extended_recharge_2003-2015'!AE7</f>
        <v>11.070486000000001</v>
      </c>
      <c r="AF871" s="16">
        <f>'extended_recharge_2003-2015'!AF7</f>
        <v>67.667580000000001</v>
      </c>
      <c r="AG871" s="16">
        <f>'extended_recharge_2003-2015'!AG7</f>
        <v>10.850901</v>
      </c>
    </row>
    <row r="872" spans="1:33" x14ac:dyDescent="0.2">
      <c r="A872" s="3">
        <v>34454</v>
      </c>
      <c r="B872" s="2">
        <v>1.23</v>
      </c>
      <c r="C872" s="2">
        <v>20.47</v>
      </c>
      <c r="D872" s="2">
        <v>22.24</v>
      </c>
      <c r="E872" s="2">
        <v>2.83</v>
      </c>
      <c r="F872" s="2">
        <v>35.85</v>
      </c>
      <c r="G872" s="2">
        <v>-8.9600000000000009</v>
      </c>
      <c r="H872" s="2">
        <v>15.43</v>
      </c>
      <c r="I872" s="2">
        <v>43.98</v>
      </c>
      <c r="J872" s="2">
        <v>2.67</v>
      </c>
      <c r="K872" s="2">
        <v>0.45</v>
      </c>
      <c r="L872" s="2">
        <v>1.75</v>
      </c>
      <c r="M872" s="2">
        <v>11.14</v>
      </c>
      <c r="N872" s="2">
        <v>23.61</v>
      </c>
      <c r="O872" s="2">
        <v>22.26</v>
      </c>
      <c r="P872" s="2">
        <v>28.83</v>
      </c>
      <c r="Q872" s="2">
        <v>3.86</v>
      </c>
      <c r="R872" s="2">
        <v>19.12</v>
      </c>
      <c r="S872" s="2">
        <v>15.14</v>
      </c>
      <c r="T872" s="2">
        <v>14</v>
      </c>
      <c r="U872" s="2">
        <v>16.510000000000002</v>
      </c>
      <c r="V872" s="2">
        <v>12.83</v>
      </c>
      <c r="W872" s="16">
        <f>'extended_recharge_2003-2015'!W8</f>
        <v>-0.19322466999999999</v>
      </c>
      <c r="X872" s="16">
        <f>'extended_recharge_2003-2015'!X8</f>
        <v>24.901785</v>
      </c>
      <c r="Y872" s="16">
        <f>'extended_recharge_2003-2015'!Y8</f>
        <v>25.674071999999999</v>
      </c>
      <c r="Z872" s="16">
        <f>'extended_recharge_2003-2015'!Z8</f>
        <v>0.88401430000000003</v>
      </c>
      <c r="AA872" s="16">
        <f>'extended_recharge_2003-2015'!AA8</f>
        <v>5.6689230000000004</v>
      </c>
      <c r="AB872" s="16">
        <f>'extended_recharge_2003-2015'!AB8</f>
        <v>0.60516422999999997</v>
      </c>
      <c r="AC872" s="16">
        <f>'extended_recharge_2003-2015'!AC8</f>
        <v>-1.0090711000000001</v>
      </c>
      <c r="AD872" s="16">
        <f>'extended_recharge_2003-2015'!AD8</f>
        <v>5.4202136999999997</v>
      </c>
      <c r="AE872" s="16">
        <f>'extended_recharge_2003-2015'!AE8</f>
        <v>5.2255792999999997</v>
      </c>
      <c r="AF872" s="16">
        <f>'extended_recharge_2003-2015'!AF8</f>
        <v>81.238249999999994</v>
      </c>
      <c r="AG872" s="16">
        <f>'extended_recharge_2003-2015'!AG8</f>
        <v>14.458074</v>
      </c>
    </row>
    <row r="873" spans="1:33" x14ac:dyDescent="0.2">
      <c r="A873" s="3">
        <v>34485</v>
      </c>
      <c r="B873" s="2">
        <v>3.07</v>
      </c>
      <c r="C873" s="2">
        <v>20.3</v>
      </c>
      <c r="D873" s="2">
        <v>2.57</v>
      </c>
      <c r="E873" s="2">
        <v>22.2</v>
      </c>
      <c r="F873" s="2">
        <v>13.49</v>
      </c>
      <c r="G873" s="2">
        <v>10.5</v>
      </c>
      <c r="H873" s="2">
        <v>17.149999999999999</v>
      </c>
      <c r="I873" s="2">
        <v>37.6</v>
      </c>
      <c r="J873" s="2">
        <v>-0.72</v>
      </c>
      <c r="K873" s="2">
        <v>19.239999999999998</v>
      </c>
      <c r="L873" s="2">
        <v>-1</v>
      </c>
      <c r="M873" s="2">
        <v>8.1199999999999992</v>
      </c>
      <c r="N873" s="2">
        <v>32.29</v>
      </c>
      <c r="O873" s="2">
        <v>21.59</v>
      </c>
      <c r="P873" s="2">
        <v>52.99</v>
      </c>
      <c r="Q873" s="2">
        <v>-4.67</v>
      </c>
      <c r="R873" s="2">
        <v>13.74</v>
      </c>
      <c r="S873" s="2">
        <v>6.04</v>
      </c>
      <c r="T873" s="2">
        <v>15.12</v>
      </c>
      <c r="U873" s="2">
        <v>12.86</v>
      </c>
      <c r="V873" s="2">
        <v>23.96</v>
      </c>
      <c r="W873" s="16">
        <f>'extended_recharge_2003-2015'!W9</f>
        <v>5.2186975000000002</v>
      </c>
      <c r="X873" s="16">
        <f>'extended_recharge_2003-2015'!X9</f>
        <v>33.280864999999999</v>
      </c>
      <c r="Y873" s="16">
        <f>'extended_recharge_2003-2015'!Y9</f>
        <v>34.510742</v>
      </c>
      <c r="Z873" s="16">
        <f>'extended_recharge_2003-2015'!Z9</f>
        <v>1.0222042</v>
      </c>
      <c r="AA873" s="16">
        <f>'extended_recharge_2003-2015'!AA9</f>
        <v>6.250248</v>
      </c>
      <c r="AB873" s="16">
        <f>'extended_recharge_2003-2015'!AB9</f>
        <v>1.1904258000000001</v>
      </c>
      <c r="AC873" s="16">
        <f>'extended_recharge_2003-2015'!AC9</f>
        <v>-2.0146475000000001</v>
      </c>
      <c r="AD873" s="16">
        <f>'extended_recharge_2003-2015'!AD9</f>
        <v>8.8829379999999993</v>
      </c>
      <c r="AE873" s="16">
        <f>'extended_recharge_2003-2015'!AE9</f>
        <v>4.5844316000000003</v>
      </c>
      <c r="AF873" s="16">
        <f>'extended_recharge_2003-2015'!AF9</f>
        <v>90.61618</v>
      </c>
      <c r="AG873" s="16">
        <f>'extended_recharge_2003-2015'!AG9</f>
        <v>17.614422000000001</v>
      </c>
    </row>
    <row r="874" spans="1:33" x14ac:dyDescent="0.2">
      <c r="A874" s="3">
        <v>34515</v>
      </c>
      <c r="B874" s="2">
        <v>3.72</v>
      </c>
      <c r="C874" s="2">
        <v>19.329999999999998</v>
      </c>
      <c r="D874" s="2">
        <v>6.96</v>
      </c>
      <c r="E874" s="2">
        <v>21.99</v>
      </c>
      <c r="F874" s="2">
        <v>31.73</v>
      </c>
      <c r="G874" s="2">
        <v>-1.67</v>
      </c>
      <c r="H874" s="2">
        <v>20.55</v>
      </c>
      <c r="I874" s="2">
        <v>36.46</v>
      </c>
      <c r="J874" s="2">
        <v>-7.81</v>
      </c>
      <c r="K874" s="2">
        <v>52.51</v>
      </c>
      <c r="L874" s="2">
        <v>1.04</v>
      </c>
      <c r="M874" s="2">
        <v>6.69</v>
      </c>
      <c r="N874" s="2">
        <v>43.42</v>
      </c>
      <c r="O874" s="2">
        <v>34.700000000000003</v>
      </c>
      <c r="P874" s="2">
        <v>99.66</v>
      </c>
      <c r="Q874" s="2">
        <v>7.01</v>
      </c>
      <c r="R874" s="2">
        <v>20.53</v>
      </c>
      <c r="S874" s="2">
        <v>4.21</v>
      </c>
      <c r="T874" s="2">
        <v>38.520000000000003</v>
      </c>
      <c r="U874" s="2">
        <v>17.87</v>
      </c>
      <c r="V874" s="2">
        <v>42.13</v>
      </c>
      <c r="W874" s="16">
        <f>'extended_recharge_2003-2015'!W10</f>
        <v>17.746855</v>
      </c>
      <c r="X874" s="16">
        <f>'extended_recharge_2003-2015'!X10</f>
        <v>36.745384000000001</v>
      </c>
      <c r="Y874" s="16">
        <f>'extended_recharge_2003-2015'!Y10</f>
        <v>41.286743000000001</v>
      </c>
      <c r="Z874" s="16">
        <f>'extended_recharge_2003-2015'!Z10</f>
        <v>0.52024685999999998</v>
      </c>
      <c r="AA874" s="16">
        <f>'extended_recharge_2003-2015'!AA10</f>
        <v>2.1276237999999998</v>
      </c>
      <c r="AB874" s="16">
        <f>'extended_recharge_2003-2015'!AB10</f>
        <v>0.53960430000000004</v>
      </c>
      <c r="AC874" s="16">
        <f>'extended_recharge_2003-2015'!AC10</f>
        <v>-2.0504617999999999</v>
      </c>
      <c r="AD874" s="16">
        <f>'extended_recharge_2003-2015'!AD10</f>
        <v>9.7156839999999995</v>
      </c>
      <c r="AE874" s="16">
        <f>'extended_recharge_2003-2015'!AE10</f>
        <v>1.7422831000000001</v>
      </c>
      <c r="AF874" s="16">
        <f>'extended_recharge_2003-2015'!AF10</f>
        <v>101.72225</v>
      </c>
      <c r="AG874" s="16">
        <f>'extended_recharge_2003-2015'!AG10</f>
        <v>22.361197000000001</v>
      </c>
    </row>
    <row r="875" spans="1:33" x14ac:dyDescent="0.2">
      <c r="A875" s="3">
        <v>34546</v>
      </c>
      <c r="B875" s="2">
        <v>4.75</v>
      </c>
      <c r="C875" s="2">
        <v>22.74</v>
      </c>
      <c r="D875" s="2">
        <v>15.63</v>
      </c>
      <c r="E875" s="2">
        <v>45.18</v>
      </c>
      <c r="F875" s="2">
        <v>42.96</v>
      </c>
      <c r="G875" s="2">
        <v>15.76</v>
      </c>
      <c r="H875" s="2">
        <v>25.45</v>
      </c>
      <c r="I875" s="2">
        <v>40.909999999999997</v>
      </c>
      <c r="J875" s="2">
        <v>-6.57</v>
      </c>
      <c r="K875" s="2">
        <v>52.65</v>
      </c>
      <c r="L875" s="2">
        <v>9.9</v>
      </c>
      <c r="M875" s="2">
        <v>14.28</v>
      </c>
      <c r="N875" s="2">
        <v>45.62</v>
      </c>
      <c r="O875" s="2">
        <v>46.05</v>
      </c>
      <c r="P875" s="2">
        <v>105.23</v>
      </c>
      <c r="Q875" s="2">
        <v>3.58</v>
      </c>
      <c r="R875" s="2">
        <v>22.44</v>
      </c>
      <c r="S875" s="2">
        <v>18.260000000000002</v>
      </c>
      <c r="T875" s="2">
        <v>42.22</v>
      </c>
      <c r="U875" s="2">
        <v>28.42</v>
      </c>
      <c r="V875" s="2">
        <v>43.16</v>
      </c>
      <c r="W875" s="16">
        <f>'extended_recharge_2003-2015'!W11</f>
        <v>29.997274000000001</v>
      </c>
      <c r="X875" s="16">
        <f>'extended_recharge_2003-2015'!X11</f>
        <v>34.963270000000001</v>
      </c>
      <c r="Y875" s="16">
        <f>'extended_recharge_2003-2015'!Y11</f>
        <v>43.488667</v>
      </c>
      <c r="Z875" s="16">
        <f>'extended_recharge_2003-2015'!Z11</f>
        <v>0.42083076000000003</v>
      </c>
      <c r="AA875" s="16">
        <f>'extended_recharge_2003-2015'!AA11</f>
        <v>5.2642384</v>
      </c>
      <c r="AB875" s="16">
        <f>'extended_recharge_2003-2015'!AB11</f>
        <v>0.44742910000000002</v>
      </c>
      <c r="AC875" s="16">
        <f>'extended_recharge_2003-2015'!AC11</f>
        <v>0.53462730000000003</v>
      </c>
      <c r="AD875" s="16">
        <f>'extended_recharge_2003-2015'!AD11</f>
        <v>9.4506829999999997</v>
      </c>
      <c r="AE875" s="16">
        <f>'extended_recharge_2003-2015'!AE11</f>
        <v>1.0462640000000001</v>
      </c>
      <c r="AF875" s="16">
        <f>'extended_recharge_2003-2015'!AF11</f>
        <v>110.3139</v>
      </c>
      <c r="AG875" s="16">
        <f>'extended_recharge_2003-2015'!AG11</f>
        <v>24.716736000000001</v>
      </c>
    </row>
    <row r="876" spans="1:33" x14ac:dyDescent="0.2">
      <c r="A876" s="3">
        <v>34577</v>
      </c>
      <c r="B876" s="2">
        <v>3.94</v>
      </c>
      <c r="C876" s="2">
        <v>21.94</v>
      </c>
      <c r="D876" s="2">
        <v>7.51</v>
      </c>
      <c r="E876" s="2">
        <v>34.35</v>
      </c>
      <c r="F876" s="2">
        <v>26.73</v>
      </c>
      <c r="G876" s="2">
        <v>11.52</v>
      </c>
      <c r="H876" s="2">
        <v>21.97</v>
      </c>
      <c r="I876" s="2">
        <v>37.869999999999997</v>
      </c>
      <c r="J876" s="2">
        <v>0.97</v>
      </c>
      <c r="K876" s="2">
        <v>51.82</v>
      </c>
      <c r="L876" s="2">
        <v>6.29</v>
      </c>
      <c r="M876" s="2">
        <v>11.26</v>
      </c>
      <c r="N876" s="2">
        <v>39.159999999999997</v>
      </c>
      <c r="O876" s="2">
        <v>54.3</v>
      </c>
      <c r="P876" s="2">
        <v>102.84</v>
      </c>
      <c r="Q876" s="2">
        <v>5.09</v>
      </c>
      <c r="R876" s="2">
        <v>16.739999999999998</v>
      </c>
      <c r="S876" s="2">
        <v>19.29</v>
      </c>
      <c r="T876" s="2">
        <v>43.42</v>
      </c>
      <c r="U876" s="2">
        <v>25.38</v>
      </c>
      <c r="V876" s="2">
        <v>47.33</v>
      </c>
      <c r="W876" s="16">
        <f>'extended_recharge_2003-2015'!W12</f>
        <v>31.963166999999999</v>
      </c>
      <c r="X876" s="16">
        <f>'extended_recharge_2003-2015'!X12</f>
        <v>36.998252999999998</v>
      </c>
      <c r="Y876" s="16">
        <f>'extended_recharge_2003-2015'!Y12</f>
        <v>44.66628</v>
      </c>
      <c r="Z876" s="16">
        <f>'extended_recharge_2003-2015'!Z12</f>
        <v>1.7241063000000001</v>
      </c>
      <c r="AA876" s="16">
        <f>'extended_recharge_2003-2015'!AA12</f>
        <v>0.72400509999999996</v>
      </c>
      <c r="AB876" s="16">
        <f>'extended_recharge_2003-2015'!AB12</f>
        <v>0.46418583000000002</v>
      </c>
      <c r="AC876" s="16">
        <f>'extended_recharge_2003-2015'!AC12</f>
        <v>2.6025705000000001</v>
      </c>
      <c r="AD876" s="16">
        <f>'extended_recharge_2003-2015'!AD12</f>
        <v>5.764818</v>
      </c>
      <c r="AE876" s="16">
        <f>'extended_recharge_2003-2015'!AE12</f>
        <v>2.4846919999999999</v>
      </c>
      <c r="AF876" s="16">
        <f>'extended_recharge_2003-2015'!AF12</f>
        <v>112.557686</v>
      </c>
      <c r="AG876" s="16">
        <f>'extended_recharge_2003-2015'!AG12</f>
        <v>23.873681999999999</v>
      </c>
    </row>
    <row r="877" spans="1:33" x14ac:dyDescent="0.2">
      <c r="A877" s="3">
        <v>34607</v>
      </c>
      <c r="B877" s="2">
        <v>1.29</v>
      </c>
      <c r="C877" s="2">
        <v>26.25</v>
      </c>
      <c r="D877" s="2">
        <v>1.78</v>
      </c>
      <c r="E877" s="2">
        <v>10.88</v>
      </c>
      <c r="F877" s="2">
        <v>23.28</v>
      </c>
      <c r="G877" s="2">
        <v>11.44</v>
      </c>
      <c r="H877" s="2">
        <v>25.5</v>
      </c>
      <c r="I877" s="2">
        <v>45.72</v>
      </c>
      <c r="J877" s="2">
        <v>11.05</v>
      </c>
      <c r="K877" s="2">
        <v>-2.2799999999999998</v>
      </c>
      <c r="L877" s="2">
        <v>1.1200000000000001</v>
      </c>
      <c r="M877" s="2">
        <v>6.38</v>
      </c>
      <c r="N877" s="2">
        <v>26.17</v>
      </c>
      <c r="O877" s="2">
        <v>19.09</v>
      </c>
      <c r="P877" s="2">
        <v>33.24</v>
      </c>
      <c r="Q877" s="2">
        <v>6.94</v>
      </c>
      <c r="R877" s="2">
        <v>19.82</v>
      </c>
      <c r="S877" s="2">
        <v>1.7</v>
      </c>
      <c r="T877" s="2">
        <v>10.35</v>
      </c>
      <c r="U877" s="2">
        <v>12.56</v>
      </c>
      <c r="V877" s="2">
        <v>16.03</v>
      </c>
      <c r="W877" s="16">
        <f>'extended_recharge_2003-2015'!W13</f>
        <v>26.832726999999998</v>
      </c>
      <c r="X877" s="16">
        <f>'extended_recharge_2003-2015'!X13</f>
        <v>30.818027000000001</v>
      </c>
      <c r="Y877" s="16">
        <f>'extended_recharge_2003-2015'!Y13</f>
        <v>38.385254000000003</v>
      </c>
      <c r="Z877" s="16">
        <f>'extended_recharge_2003-2015'!Z13</f>
        <v>0.94447990000000004</v>
      </c>
      <c r="AA877" s="16">
        <f>'extended_recharge_2003-2015'!AA13</f>
        <v>1.7135720000000001</v>
      </c>
      <c r="AB877" s="16">
        <f>'extended_recharge_2003-2015'!AB13</f>
        <v>0.70172080000000003</v>
      </c>
      <c r="AC877" s="16">
        <f>'extended_recharge_2003-2015'!AC13</f>
        <v>3.1341667000000002</v>
      </c>
      <c r="AD877" s="16">
        <f>'extended_recharge_2003-2015'!AD13</f>
        <v>3.9035818999999998</v>
      </c>
      <c r="AE877" s="16">
        <f>'extended_recharge_2003-2015'!AE13</f>
        <v>2.6437056000000001</v>
      </c>
      <c r="AF877" s="16">
        <f>'extended_recharge_2003-2015'!AF13</f>
        <v>108.593636</v>
      </c>
      <c r="AG877" s="16">
        <f>'extended_recharge_2003-2015'!AG13</f>
        <v>19.991969999999998</v>
      </c>
    </row>
    <row r="878" spans="1:33" x14ac:dyDescent="0.2">
      <c r="A878" s="3">
        <v>34638</v>
      </c>
      <c r="B878" s="2">
        <v>-2.25</v>
      </c>
      <c r="C878" s="2">
        <v>18.170000000000002</v>
      </c>
      <c r="D878" s="2">
        <v>-13.98</v>
      </c>
      <c r="E878" s="2">
        <v>-26.43</v>
      </c>
      <c r="F878" s="2">
        <v>17.04</v>
      </c>
      <c r="G878" s="2">
        <v>-3.68</v>
      </c>
      <c r="H878" s="2">
        <v>15.43</v>
      </c>
      <c r="I878" s="2">
        <v>34.03</v>
      </c>
      <c r="J878" s="2">
        <v>3.92</v>
      </c>
      <c r="K878" s="2">
        <v>5.77</v>
      </c>
      <c r="L878" s="2">
        <v>5.12</v>
      </c>
      <c r="M878" s="2">
        <v>5.61</v>
      </c>
      <c r="N878" s="2">
        <v>22.6</v>
      </c>
      <c r="O878" s="2">
        <v>13.99</v>
      </c>
      <c r="P878" s="2">
        <v>55.27</v>
      </c>
      <c r="Q878" s="2">
        <v>0.93</v>
      </c>
      <c r="R878" s="2">
        <v>10.8</v>
      </c>
      <c r="S878" s="2">
        <v>4.3899999999999997</v>
      </c>
      <c r="T878" s="2">
        <v>17.29</v>
      </c>
      <c r="U878" s="2">
        <v>0.96</v>
      </c>
      <c r="V878" s="2">
        <v>20.9</v>
      </c>
      <c r="W878" s="16">
        <f>'extended_recharge_2003-2015'!W14</f>
        <v>21.416464000000001</v>
      </c>
      <c r="X878" s="16">
        <f>'extended_recharge_2003-2015'!X14</f>
        <v>29.107106999999999</v>
      </c>
      <c r="Y878" s="16">
        <f>'extended_recharge_2003-2015'!Y14</f>
        <v>34.220542999999999</v>
      </c>
      <c r="Z878" s="16">
        <f>'extended_recharge_2003-2015'!Z14</f>
        <v>3.4227268999999998</v>
      </c>
      <c r="AA878" s="16">
        <f>'extended_recharge_2003-2015'!AA14</f>
        <v>1.3306954</v>
      </c>
      <c r="AB878" s="16">
        <f>'extended_recharge_2003-2015'!AB14</f>
        <v>1.2370657</v>
      </c>
      <c r="AC878" s="16">
        <f>'extended_recharge_2003-2015'!AC14</f>
        <v>4.5215920000000001</v>
      </c>
      <c r="AD878" s="16">
        <f>'extended_recharge_2003-2015'!AD14</f>
        <v>2.9939391999999998</v>
      </c>
      <c r="AE878" s="16">
        <f>'extended_recharge_2003-2015'!AE14</f>
        <v>12.116974000000001</v>
      </c>
      <c r="AF878" s="16">
        <f>'extended_recharge_2003-2015'!AF14</f>
        <v>102.32899500000001</v>
      </c>
      <c r="AG878" s="16">
        <f>'extended_recharge_2003-2015'!AG14</f>
        <v>16.588448</v>
      </c>
    </row>
    <row r="879" spans="1:33" x14ac:dyDescent="0.2">
      <c r="A879" s="3">
        <v>34668</v>
      </c>
      <c r="B879" s="2">
        <v>-1.51</v>
      </c>
      <c r="C879" s="2">
        <v>21.36</v>
      </c>
      <c r="D879" s="2">
        <v>14.05</v>
      </c>
      <c r="E879" s="2">
        <v>26.89</v>
      </c>
      <c r="F879" s="2">
        <v>31.45</v>
      </c>
      <c r="G879" s="2">
        <v>32.5</v>
      </c>
      <c r="H879" s="2">
        <v>20.66</v>
      </c>
      <c r="I879" s="2">
        <v>41.21</v>
      </c>
      <c r="J879" s="2">
        <v>16.05</v>
      </c>
      <c r="K879" s="2">
        <v>8.77</v>
      </c>
      <c r="L879" s="2">
        <v>-1.05</v>
      </c>
      <c r="M879" s="2">
        <v>5.28</v>
      </c>
      <c r="N879" s="2">
        <v>19.21</v>
      </c>
      <c r="O879" s="2">
        <v>17.11</v>
      </c>
      <c r="P879" s="2">
        <v>35.22</v>
      </c>
      <c r="Q879" s="2">
        <v>0.12</v>
      </c>
      <c r="R879" s="2">
        <v>11.35</v>
      </c>
      <c r="S879" s="2">
        <v>13.98</v>
      </c>
      <c r="T879" s="2">
        <v>11.15</v>
      </c>
      <c r="U879" s="2">
        <v>8.39</v>
      </c>
      <c r="V879" s="2">
        <v>11.72</v>
      </c>
      <c r="W879" s="16">
        <f>'extended_recharge_2003-2015'!W15</f>
        <v>15.729963</v>
      </c>
      <c r="X879" s="16">
        <f>'extended_recharge_2003-2015'!X15</f>
        <v>22.798311000000002</v>
      </c>
      <c r="Y879" s="16">
        <f>'extended_recharge_2003-2015'!Y15</f>
        <v>25.163979000000001</v>
      </c>
      <c r="Z879" s="16">
        <f>'extended_recharge_2003-2015'!Z15</f>
        <v>5.355442</v>
      </c>
      <c r="AA879" s="16">
        <f>'extended_recharge_2003-2015'!AA15</f>
        <v>3.8455311999999999</v>
      </c>
      <c r="AB879" s="16">
        <f>'extended_recharge_2003-2015'!AB15</f>
        <v>2.4856408000000001</v>
      </c>
      <c r="AC879" s="16">
        <f>'extended_recharge_2003-2015'!AC15</f>
        <v>6.9946694000000003</v>
      </c>
      <c r="AD879" s="16">
        <f>'extended_recharge_2003-2015'!AD15</f>
        <v>1.8317570000000001</v>
      </c>
      <c r="AE879" s="16">
        <f>'extended_recharge_2003-2015'!AE15</f>
        <v>15.334172000000001</v>
      </c>
      <c r="AF879" s="16">
        <f>'extended_recharge_2003-2015'!AF15</f>
        <v>74.528130000000004</v>
      </c>
      <c r="AG879" s="16">
        <f>'extended_recharge_2003-2015'!AG15</f>
        <v>13.099728000000001</v>
      </c>
    </row>
    <row r="880" spans="1:33" x14ac:dyDescent="0.2">
      <c r="A880" s="3">
        <v>34699</v>
      </c>
      <c r="B880" s="2">
        <v>-2.34</v>
      </c>
      <c r="C880" s="2">
        <v>23.38</v>
      </c>
      <c r="D880" s="2">
        <v>18.95</v>
      </c>
      <c r="E880" s="2">
        <v>46.9</v>
      </c>
      <c r="F880" s="2">
        <v>42.92</v>
      </c>
      <c r="G880" s="2">
        <v>27.5</v>
      </c>
      <c r="H880" s="2">
        <v>18.760000000000002</v>
      </c>
      <c r="I880" s="2">
        <v>41.02</v>
      </c>
      <c r="J880" s="2">
        <v>15.46</v>
      </c>
      <c r="K880" s="2">
        <v>-0.8</v>
      </c>
      <c r="L880" s="2">
        <v>-1.67</v>
      </c>
      <c r="M880" s="2">
        <v>-0.49</v>
      </c>
      <c r="N880" s="2">
        <v>14.74</v>
      </c>
      <c r="O880" s="2">
        <v>17.86</v>
      </c>
      <c r="P880" s="2">
        <v>30.82</v>
      </c>
      <c r="Q880" s="2">
        <v>-0.05</v>
      </c>
      <c r="R880" s="2">
        <v>11.6</v>
      </c>
      <c r="S880" s="2">
        <v>10.47</v>
      </c>
      <c r="T880" s="2">
        <v>10.67</v>
      </c>
      <c r="U880" s="2">
        <v>9.15</v>
      </c>
      <c r="V880" s="2">
        <v>11.21</v>
      </c>
      <c r="W880" s="16">
        <f>'extended_recharge_2003-2015'!W16</f>
        <v>11.776543999999999</v>
      </c>
      <c r="X880" s="16">
        <f>'extended_recharge_2003-2015'!X16</f>
        <v>19.142690000000002</v>
      </c>
      <c r="Y880" s="16">
        <f>'extended_recharge_2003-2015'!Y16</f>
        <v>22.08821</v>
      </c>
      <c r="Z880" s="16">
        <f>'extended_recharge_2003-2015'!Z16</f>
        <v>5.0910719999999996</v>
      </c>
      <c r="AA880" s="16">
        <f>'extended_recharge_2003-2015'!AA16</f>
        <v>10.093208000000001</v>
      </c>
      <c r="AB880" s="16">
        <f>'extended_recharge_2003-2015'!AB16</f>
        <v>3.3434515</v>
      </c>
      <c r="AC880" s="16">
        <f>'extended_recharge_2003-2015'!AC16</f>
        <v>7.4048495000000001</v>
      </c>
      <c r="AD880" s="16">
        <f>'extended_recharge_2003-2015'!AD16</f>
        <v>1.7561126</v>
      </c>
      <c r="AE880" s="16">
        <f>'extended_recharge_2003-2015'!AE16</f>
        <v>19.660419999999998</v>
      </c>
      <c r="AF880" s="16">
        <f>'extended_recharge_2003-2015'!AF16</f>
        <v>67.942154000000002</v>
      </c>
      <c r="AG880" s="16">
        <f>'extended_recharge_2003-2015'!AG16</f>
        <v>11.161714</v>
      </c>
    </row>
    <row r="881" spans="1:33" x14ac:dyDescent="0.2">
      <c r="A881" s="3">
        <v>34730</v>
      </c>
      <c r="B881" s="2">
        <v>6.57</v>
      </c>
      <c r="C881" s="2">
        <v>72.02</v>
      </c>
      <c r="D881" s="2">
        <v>154.44</v>
      </c>
      <c r="E881" s="2">
        <v>419.48</v>
      </c>
      <c r="F881" s="2">
        <v>284.27999999999997</v>
      </c>
      <c r="G881" s="2">
        <v>350.54</v>
      </c>
      <c r="H881" s="2">
        <v>59.75</v>
      </c>
      <c r="I881" s="2">
        <v>55.1</v>
      </c>
      <c r="J881" s="2">
        <v>169.85</v>
      </c>
      <c r="K881" s="2">
        <v>144.69</v>
      </c>
      <c r="L881" s="2">
        <v>48.05</v>
      </c>
      <c r="M881" s="2">
        <v>67.47</v>
      </c>
      <c r="N881" s="2">
        <v>102.38</v>
      </c>
      <c r="O881" s="2">
        <v>18.809999999999999</v>
      </c>
      <c r="P881" s="2">
        <v>203.91</v>
      </c>
      <c r="Q881" s="2">
        <v>-3.95</v>
      </c>
      <c r="R881" s="2">
        <v>10.08</v>
      </c>
      <c r="S881" s="2">
        <v>96.47</v>
      </c>
      <c r="T881" s="2">
        <v>105.64</v>
      </c>
      <c r="U881" s="2">
        <v>10.84</v>
      </c>
      <c r="V881" s="2">
        <v>41.44</v>
      </c>
      <c r="W881" s="16">
        <f>'extended_recharge_2003-2015'!W17</f>
        <v>4.6499762999999996</v>
      </c>
      <c r="X881" s="16">
        <f>'extended_recharge_2003-2015'!X17</f>
        <v>18.482593999999999</v>
      </c>
      <c r="Y881" s="16">
        <f>'extended_recharge_2003-2015'!Y17</f>
        <v>26.883305</v>
      </c>
      <c r="Z881" s="16">
        <f>'extended_recharge_2003-2015'!Z17</f>
        <v>9.2084279999999996</v>
      </c>
      <c r="AA881" s="16">
        <f>'extended_recharge_2003-2015'!AA17</f>
        <v>12.325879</v>
      </c>
      <c r="AB881" s="16">
        <f>'extended_recharge_2003-2015'!AB17</f>
        <v>4.1334730000000004</v>
      </c>
      <c r="AC881" s="16">
        <f>'extended_recharge_2003-2015'!AC17</f>
        <v>9.4527889999999992</v>
      </c>
      <c r="AD881" s="16">
        <f>'extended_recharge_2003-2015'!AD17</f>
        <v>1.6252040999999999</v>
      </c>
      <c r="AE881" s="16">
        <f>'extended_recharge_2003-2015'!AE17</f>
        <v>18.209616</v>
      </c>
      <c r="AF881" s="16">
        <f>'extended_recharge_2003-2015'!AF17</f>
        <v>74.879326000000006</v>
      </c>
      <c r="AG881" s="16">
        <f>'extended_recharge_2003-2015'!AG17</f>
        <v>9.843769</v>
      </c>
    </row>
    <row r="882" spans="1:33" x14ac:dyDescent="0.2">
      <c r="A882" s="3">
        <v>34758</v>
      </c>
      <c r="B882" s="2">
        <v>10.91</v>
      </c>
      <c r="C882" s="2">
        <v>36.65</v>
      </c>
      <c r="D882" s="2">
        <v>-39.479999999999997</v>
      </c>
      <c r="E882" s="2">
        <v>-88.58</v>
      </c>
      <c r="F882" s="2">
        <v>10.85</v>
      </c>
      <c r="G882" s="2">
        <v>-52.02</v>
      </c>
      <c r="H882" s="2">
        <v>11.15</v>
      </c>
      <c r="I882" s="2">
        <v>38.58</v>
      </c>
      <c r="J882" s="2">
        <v>-6.92</v>
      </c>
      <c r="K882" s="2">
        <v>-58.08</v>
      </c>
      <c r="L882" s="2">
        <v>2.5</v>
      </c>
      <c r="M882" s="2">
        <v>1.19</v>
      </c>
      <c r="N882" s="2">
        <v>-8.52</v>
      </c>
      <c r="O882" s="2">
        <v>22.16</v>
      </c>
      <c r="P882" s="2">
        <v>16.329999999999998</v>
      </c>
      <c r="Q882" s="2">
        <v>5.26</v>
      </c>
      <c r="R882" s="2">
        <v>22.84</v>
      </c>
      <c r="S882" s="2">
        <v>-20.98</v>
      </c>
      <c r="T882" s="2">
        <v>17.79</v>
      </c>
      <c r="U882" s="2">
        <v>11.74</v>
      </c>
      <c r="V882" s="2">
        <v>17.170000000000002</v>
      </c>
      <c r="W882" s="16">
        <f>'extended_recharge_2003-2015'!W18</f>
        <v>0.47591265999999999</v>
      </c>
      <c r="X882" s="16">
        <f>'extended_recharge_2003-2015'!X18</f>
        <v>12.257130999999999</v>
      </c>
      <c r="Y882" s="16">
        <f>'extended_recharge_2003-2015'!Y18</f>
        <v>20.020496000000001</v>
      </c>
      <c r="Z882" s="16">
        <f>'extended_recharge_2003-2015'!Z18</f>
        <v>10.103261</v>
      </c>
      <c r="AA882" s="16">
        <f>'extended_recharge_2003-2015'!AA18</f>
        <v>8.0643899999999995</v>
      </c>
      <c r="AB882" s="16">
        <f>'extended_recharge_2003-2015'!AB18</f>
        <v>4.7188980000000003</v>
      </c>
      <c r="AC882" s="16">
        <f>'extended_recharge_2003-2015'!AC18</f>
        <v>13.759169</v>
      </c>
      <c r="AD882" s="16">
        <f>'extended_recharge_2003-2015'!AD18</f>
        <v>3.437732</v>
      </c>
      <c r="AE882" s="16">
        <f>'extended_recharge_2003-2015'!AE18</f>
        <v>14.277884</v>
      </c>
      <c r="AF882" s="16">
        <f>'extended_recharge_2003-2015'!AF18</f>
        <v>59.816513</v>
      </c>
      <c r="AG882" s="16">
        <f>'extended_recharge_2003-2015'!AG18</f>
        <v>10.142809</v>
      </c>
    </row>
    <row r="883" spans="1:33" x14ac:dyDescent="0.2">
      <c r="A883" s="3">
        <v>34789</v>
      </c>
      <c r="B883" s="2">
        <v>22.71</v>
      </c>
      <c r="C883" s="2">
        <v>71.89</v>
      </c>
      <c r="D883" s="2">
        <v>70.98</v>
      </c>
      <c r="E883" s="2">
        <v>274.32</v>
      </c>
      <c r="F883" s="2">
        <v>316.11</v>
      </c>
      <c r="G883" s="2">
        <v>175.78</v>
      </c>
      <c r="H883" s="2">
        <v>43.85</v>
      </c>
      <c r="I883" s="2">
        <v>66.400000000000006</v>
      </c>
      <c r="J883" s="2">
        <v>109.59</v>
      </c>
      <c r="K883" s="2">
        <v>171.64</v>
      </c>
      <c r="L883" s="2">
        <v>44.6</v>
      </c>
      <c r="M883" s="2">
        <v>91.55</v>
      </c>
      <c r="N883" s="2">
        <v>145.29</v>
      </c>
      <c r="O883" s="2">
        <v>23</v>
      </c>
      <c r="P883" s="2">
        <v>264.42</v>
      </c>
      <c r="Q883" s="2">
        <v>5.49</v>
      </c>
      <c r="R883" s="2">
        <v>12.5</v>
      </c>
      <c r="S883" s="2">
        <v>100.14</v>
      </c>
      <c r="T883" s="2">
        <v>141.72</v>
      </c>
      <c r="U883" s="2">
        <v>13.87</v>
      </c>
      <c r="V883" s="2">
        <v>66.41</v>
      </c>
      <c r="W883" s="16">
        <f>'extended_recharge_2003-2015'!W19</f>
        <v>-3.2668203E-2</v>
      </c>
      <c r="X883" s="16">
        <f>'extended_recharge_2003-2015'!X19</f>
        <v>11.232727000000001</v>
      </c>
      <c r="Y883" s="16">
        <f>'extended_recharge_2003-2015'!Y19</f>
        <v>19.125986000000001</v>
      </c>
      <c r="Z883" s="16">
        <f>'extended_recharge_2003-2015'!Z19</f>
        <v>4.1302469999999998</v>
      </c>
      <c r="AA883" s="16">
        <f>'extended_recharge_2003-2015'!AA19</f>
        <v>4.7294080000000003</v>
      </c>
      <c r="AB883" s="16">
        <f>'extended_recharge_2003-2015'!AB19</f>
        <v>3.4005546999999998</v>
      </c>
      <c r="AC883" s="16">
        <f>'extended_recharge_2003-2015'!AC19</f>
        <v>8.5871569999999995</v>
      </c>
      <c r="AD883" s="16">
        <f>'extended_recharge_2003-2015'!AD19</f>
        <v>3.893478</v>
      </c>
      <c r="AE883" s="16">
        <f>'extended_recharge_2003-2015'!AE19</f>
        <v>10.398158</v>
      </c>
      <c r="AF883" s="16">
        <f>'extended_recharge_2003-2015'!AF19</f>
        <v>70.715239999999994</v>
      </c>
      <c r="AG883" s="16">
        <f>'extended_recharge_2003-2015'!AG19</f>
        <v>10.803267</v>
      </c>
    </row>
    <row r="884" spans="1:33" x14ac:dyDescent="0.2">
      <c r="A884" s="3">
        <v>34819</v>
      </c>
      <c r="B884" s="2">
        <v>11.85</v>
      </c>
      <c r="C884" s="2">
        <v>34.28</v>
      </c>
      <c r="D884" s="2">
        <v>-34.79</v>
      </c>
      <c r="E884" s="2">
        <v>-137.88</v>
      </c>
      <c r="F884" s="2">
        <v>-124.67</v>
      </c>
      <c r="G884" s="2">
        <v>-149.58000000000001</v>
      </c>
      <c r="H884" s="2">
        <v>20.89</v>
      </c>
      <c r="I884" s="2">
        <v>55.73</v>
      </c>
      <c r="J884" s="2">
        <v>7.68</v>
      </c>
      <c r="K884" s="2">
        <v>-7.5</v>
      </c>
      <c r="L884" s="2">
        <v>27.67</v>
      </c>
      <c r="M884" s="2">
        <v>19.559999999999999</v>
      </c>
      <c r="N884" s="2">
        <v>38.200000000000003</v>
      </c>
      <c r="O884" s="2">
        <v>26.69</v>
      </c>
      <c r="P884" s="2">
        <v>117.81</v>
      </c>
      <c r="Q884" s="2">
        <v>22.36</v>
      </c>
      <c r="R884" s="2">
        <v>30.07</v>
      </c>
      <c r="S884" s="2">
        <v>16.5</v>
      </c>
      <c r="T884" s="2">
        <v>17.440000000000001</v>
      </c>
      <c r="U884" s="2">
        <v>19.100000000000001</v>
      </c>
      <c r="V884" s="2">
        <v>33.840000000000003</v>
      </c>
      <c r="W884" s="16">
        <f>'extended_recharge_2003-2015'!W20</f>
        <v>0.20539834000000001</v>
      </c>
      <c r="X884" s="16">
        <f>'extended_recharge_2003-2015'!X20</f>
        <v>10.548881</v>
      </c>
      <c r="Y884" s="16">
        <f>'extended_recharge_2003-2015'!Y20</f>
        <v>19.436895</v>
      </c>
      <c r="Z884" s="16">
        <f>'extended_recharge_2003-2015'!Z20</f>
        <v>0.9690261</v>
      </c>
      <c r="AA884" s="16">
        <f>'extended_recharge_2003-2015'!AA20</f>
        <v>4.7410310000000004</v>
      </c>
      <c r="AB884" s="16">
        <f>'extended_recharge_2003-2015'!AB20</f>
        <v>1.9637806</v>
      </c>
      <c r="AC884" s="16">
        <f>'extended_recharge_2003-2015'!AC20</f>
        <v>-1.0466806</v>
      </c>
      <c r="AD884" s="16">
        <f>'extended_recharge_2003-2015'!AD20</f>
        <v>4.8580490000000003</v>
      </c>
      <c r="AE884" s="16">
        <f>'extended_recharge_2003-2015'!AE20</f>
        <v>5.5141090000000004</v>
      </c>
      <c r="AF884" s="16">
        <f>'extended_recharge_2003-2015'!AF20</f>
        <v>85.194820000000007</v>
      </c>
      <c r="AG884" s="16">
        <f>'extended_recharge_2003-2015'!AG20</f>
        <v>14.281435</v>
      </c>
    </row>
    <row r="885" spans="1:33" x14ac:dyDescent="0.2">
      <c r="A885" s="3">
        <v>34850</v>
      </c>
      <c r="B885" s="2">
        <v>11.74</v>
      </c>
      <c r="C885" s="2">
        <v>39.86</v>
      </c>
      <c r="D885" s="2">
        <v>-23.04</v>
      </c>
      <c r="E885" s="2">
        <v>-39.700000000000003</v>
      </c>
      <c r="F885" s="2">
        <v>28.04</v>
      </c>
      <c r="G885" s="2">
        <v>-24.2</v>
      </c>
      <c r="H885" s="2">
        <v>21.72</v>
      </c>
      <c r="I885" s="2">
        <v>61.61</v>
      </c>
      <c r="J885" s="2">
        <v>19.489999999999998</v>
      </c>
      <c r="K885" s="2">
        <v>48.87</v>
      </c>
      <c r="L885" s="2">
        <v>29.89</v>
      </c>
      <c r="M885" s="2">
        <v>36.659999999999997</v>
      </c>
      <c r="N885" s="2">
        <v>66.02</v>
      </c>
      <c r="O885" s="2">
        <v>30.23</v>
      </c>
      <c r="P885" s="2">
        <v>154.27000000000001</v>
      </c>
      <c r="Q885" s="2">
        <v>22.85</v>
      </c>
      <c r="R885" s="2">
        <v>23.5</v>
      </c>
      <c r="S885" s="2">
        <v>15.64</v>
      </c>
      <c r="T885" s="2">
        <v>25.61</v>
      </c>
      <c r="U885" s="2">
        <v>17.27</v>
      </c>
      <c r="V885" s="2">
        <v>40.76</v>
      </c>
      <c r="W885" s="16">
        <f>'extended_recharge_2003-2015'!W21</f>
        <v>5.0967326000000002</v>
      </c>
      <c r="X885" s="16">
        <f>'extended_recharge_2003-2015'!X21</f>
        <v>15.934873</v>
      </c>
      <c r="Y885" s="16">
        <f>'extended_recharge_2003-2015'!Y21</f>
        <v>25.418285000000001</v>
      </c>
      <c r="Z885" s="16">
        <f>'extended_recharge_2003-2015'!Z21</f>
        <v>-1.4766998</v>
      </c>
      <c r="AA885" s="16">
        <f>'extended_recharge_2003-2015'!AA21</f>
        <v>-0.157522</v>
      </c>
      <c r="AB885" s="16">
        <f>'extended_recharge_2003-2015'!AB21</f>
        <v>0.70580286000000003</v>
      </c>
      <c r="AC885" s="16">
        <f>'extended_recharge_2003-2015'!AC21</f>
        <v>-1.1080806999999999</v>
      </c>
      <c r="AD885" s="16">
        <f>'extended_recharge_2003-2015'!AD21</f>
        <v>7.3903008000000003</v>
      </c>
      <c r="AE885" s="16">
        <f>'extended_recharge_2003-2015'!AE21</f>
        <v>1.3619471000000001</v>
      </c>
      <c r="AF885" s="16">
        <f>'extended_recharge_2003-2015'!AF21</f>
        <v>91.027839999999998</v>
      </c>
      <c r="AG885" s="16">
        <f>'extended_recharge_2003-2015'!AG21</f>
        <v>17.965817999999999</v>
      </c>
    </row>
    <row r="886" spans="1:33" x14ac:dyDescent="0.2">
      <c r="A886" s="3">
        <v>34880</v>
      </c>
      <c r="B886" s="2">
        <v>6.57</v>
      </c>
      <c r="C886" s="2">
        <v>32.31</v>
      </c>
      <c r="D886" s="2">
        <v>-17.55</v>
      </c>
      <c r="E886" s="2">
        <v>-68.45</v>
      </c>
      <c r="F886" s="2">
        <v>-80.37</v>
      </c>
      <c r="G886" s="2">
        <v>-50.54</v>
      </c>
      <c r="H886" s="2">
        <v>11.88</v>
      </c>
      <c r="I886" s="2">
        <v>47.32</v>
      </c>
      <c r="J886" s="2">
        <v>-28.67</v>
      </c>
      <c r="K886" s="2">
        <v>-18.399999999999999</v>
      </c>
      <c r="L886" s="2">
        <v>-26.2</v>
      </c>
      <c r="M886" s="2">
        <v>-15.53</v>
      </c>
      <c r="N886" s="2">
        <v>7.56</v>
      </c>
      <c r="O886" s="2">
        <v>31.36</v>
      </c>
      <c r="P886" s="2">
        <v>114.78</v>
      </c>
      <c r="Q886" s="2">
        <v>17.36</v>
      </c>
      <c r="R886" s="2">
        <v>37.840000000000003</v>
      </c>
      <c r="S886" s="2">
        <v>-5.99</v>
      </c>
      <c r="T886" s="2">
        <v>72.709999999999994</v>
      </c>
      <c r="U886" s="2">
        <v>17.07</v>
      </c>
      <c r="V886" s="2">
        <v>44.06</v>
      </c>
      <c r="W886" s="16">
        <f>'extended_recharge_2003-2015'!W22</f>
        <v>18.896463000000001</v>
      </c>
      <c r="X886" s="16">
        <f>'extended_recharge_2003-2015'!X22</f>
        <v>16.875139999999998</v>
      </c>
      <c r="Y886" s="16">
        <f>'extended_recharge_2003-2015'!Y22</f>
        <v>29.246693</v>
      </c>
      <c r="Z886" s="16">
        <f>'extended_recharge_2003-2015'!Z22</f>
        <v>-0.43407245999999999</v>
      </c>
      <c r="AA886" s="16">
        <f>'extended_recharge_2003-2015'!AA22</f>
        <v>0.76553506000000004</v>
      </c>
      <c r="AB886" s="16">
        <f>'extended_recharge_2003-2015'!AB22</f>
        <v>0.93607819999999997</v>
      </c>
      <c r="AC886" s="16">
        <f>'extended_recharge_2003-2015'!AC22</f>
        <v>-0.39796910000000002</v>
      </c>
      <c r="AD886" s="16">
        <f>'extended_recharge_2003-2015'!AD22</f>
        <v>9.3336380000000005</v>
      </c>
      <c r="AE886" s="16">
        <f>'extended_recharge_2003-2015'!AE22</f>
        <v>-1.5903472000000001</v>
      </c>
      <c r="AF886" s="16">
        <f>'extended_recharge_2003-2015'!AF22</f>
        <v>101.02014</v>
      </c>
      <c r="AG886" s="16">
        <f>'extended_recharge_2003-2015'!AG22</f>
        <v>22.640736</v>
      </c>
    </row>
    <row r="887" spans="1:33" x14ac:dyDescent="0.2">
      <c r="A887" s="3">
        <v>34911</v>
      </c>
      <c r="B887" s="2">
        <v>6.73</v>
      </c>
      <c r="C887" s="2">
        <v>30.02</v>
      </c>
      <c r="D887" s="2">
        <v>-7.02</v>
      </c>
      <c r="E887" s="2">
        <v>-30.66</v>
      </c>
      <c r="F887" s="2">
        <v>-55.55</v>
      </c>
      <c r="G887" s="2">
        <v>-25.98</v>
      </c>
      <c r="H887" s="2">
        <v>7.71</v>
      </c>
      <c r="I887" s="2">
        <v>43.15</v>
      </c>
      <c r="J887" s="2">
        <v>-28.87</v>
      </c>
      <c r="K887" s="2">
        <v>58.27</v>
      </c>
      <c r="L887" s="2">
        <v>-14.78</v>
      </c>
      <c r="M887" s="2">
        <v>5.18</v>
      </c>
      <c r="N887" s="2">
        <v>76.790000000000006</v>
      </c>
      <c r="O887" s="2">
        <v>40.61</v>
      </c>
      <c r="P887" s="2">
        <v>121.64</v>
      </c>
      <c r="Q887" s="2">
        <v>22.46</v>
      </c>
      <c r="R887" s="2">
        <v>42.67</v>
      </c>
      <c r="S887" s="2">
        <v>1.94</v>
      </c>
      <c r="T887" s="2">
        <v>50.22</v>
      </c>
      <c r="U887" s="2">
        <v>18.41</v>
      </c>
      <c r="V887" s="2">
        <v>45.56</v>
      </c>
      <c r="W887" s="16">
        <f>'extended_recharge_2003-2015'!W23</f>
        <v>29.516404999999999</v>
      </c>
      <c r="X887" s="16">
        <f>'extended_recharge_2003-2015'!X23</f>
        <v>16.457975000000001</v>
      </c>
      <c r="Y887" s="16">
        <f>'extended_recharge_2003-2015'!Y23</f>
        <v>32.069214000000002</v>
      </c>
      <c r="Z887" s="16">
        <f>'extended_recharge_2003-2015'!Z23</f>
        <v>0.33412847000000001</v>
      </c>
      <c r="AA887" s="16">
        <f>'extended_recharge_2003-2015'!AA23</f>
        <v>1.2789404</v>
      </c>
      <c r="AB887" s="16">
        <f>'extended_recharge_2003-2015'!AB23</f>
        <v>0.55407839999999997</v>
      </c>
      <c r="AC887" s="16">
        <f>'extended_recharge_2003-2015'!AC23</f>
        <v>0.23783992000000001</v>
      </c>
      <c r="AD887" s="16">
        <f>'extended_recharge_2003-2015'!AD23</f>
        <v>8.4021989999999995</v>
      </c>
      <c r="AE887" s="16">
        <f>'extended_recharge_2003-2015'!AE23</f>
        <v>-0.38448745000000001</v>
      </c>
      <c r="AF887" s="16">
        <f>'extended_recharge_2003-2015'!AF23</f>
        <v>107.15031399999999</v>
      </c>
      <c r="AG887" s="16">
        <f>'extended_recharge_2003-2015'!AG23</f>
        <v>25.003461999999999</v>
      </c>
    </row>
    <row r="888" spans="1:33" x14ac:dyDescent="0.2">
      <c r="A888" s="3">
        <v>34942</v>
      </c>
      <c r="B888" s="2">
        <v>5.01</v>
      </c>
      <c r="C888" s="2">
        <v>31.11</v>
      </c>
      <c r="D888" s="2">
        <v>-7.97</v>
      </c>
      <c r="E888" s="2">
        <v>-18.47</v>
      </c>
      <c r="F888" s="2">
        <v>-5.68</v>
      </c>
      <c r="G888" s="2">
        <v>-11.53</v>
      </c>
      <c r="H888" s="2">
        <v>11.76</v>
      </c>
      <c r="I888" s="2">
        <v>44.44</v>
      </c>
      <c r="J888" s="2">
        <v>-39.42</v>
      </c>
      <c r="K888" s="2">
        <v>-42.39</v>
      </c>
      <c r="L888" s="2">
        <v>-26.04</v>
      </c>
      <c r="M888" s="2">
        <v>-24.39</v>
      </c>
      <c r="N888" s="2">
        <v>7.62</v>
      </c>
      <c r="O888" s="2">
        <v>37.04</v>
      </c>
      <c r="P888" s="2">
        <v>79.819999999999993</v>
      </c>
      <c r="Q888" s="2">
        <v>13.11</v>
      </c>
      <c r="R888" s="2">
        <v>44.73</v>
      </c>
      <c r="S888" s="2">
        <v>-6.27</v>
      </c>
      <c r="T888" s="2">
        <v>50.71</v>
      </c>
      <c r="U888" s="2">
        <v>25.01</v>
      </c>
      <c r="V888" s="2">
        <v>45.83</v>
      </c>
      <c r="W888" s="16">
        <f>'extended_recharge_2003-2015'!W24</f>
        <v>31.511011</v>
      </c>
      <c r="X888" s="16">
        <f>'extended_recharge_2003-2015'!X24</f>
        <v>17.869105999999999</v>
      </c>
      <c r="Y888" s="16">
        <f>'extended_recharge_2003-2015'!Y24</f>
        <v>31.589098</v>
      </c>
      <c r="Z888" s="16">
        <f>'extended_recharge_2003-2015'!Z24</f>
        <v>1.8677112</v>
      </c>
      <c r="AA888" s="16">
        <f>'extended_recharge_2003-2015'!AA24</f>
        <v>2.0699960000000002</v>
      </c>
      <c r="AB888" s="16">
        <f>'extended_recharge_2003-2015'!AB24</f>
        <v>1.1582361000000001</v>
      </c>
      <c r="AC888" s="16">
        <f>'extended_recharge_2003-2015'!AC24</f>
        <v>1.6430521</v>
      </c>
      <c r="AD888" s="16">
        <f>'extended_recharge_2003-2015'!AD24</f>
        <v>6.2160409999999997</v>
      </c>
      <c r="AE888" s="16">
        <f>'extended_recharge_2003-2015'!AE24</f>
        <v>1.5290429999999999</v>
      </c>
      <c r="AF888" s="16">
        <f>'extended_recharge_2003-2015'!AF24</f>
        <v>107.57795</v>
      </c>
      <c r="AG888" s="16">
        <f>'extended_recharge_2003-2015'!AG24</f>
        <v>24.466887</v>
      </c>
    </row>
    <row r="889" spans="1:33" x14ac:dyDescent="0.2">
      <c r="A889" s="3">
        <v>34972</v>
      </c>
      <c r="B889" s="2">
        <v>2.81</v>
      </c>
      <c r="C889" s="2">
        <v>32.74</v>
      </c>
      <c r="D889" s="2">
        <v>-2.86</v>
      </c>
      <c r="E889" s="2">
        <v>-20.81</v>
      </c>
      <c r="F889" s="2">
        <v>10.17</v>
      </c>
      <c r="G889" s="2">
        <v>-4.59</v>
      </c>
      <c r="H889" s="2">
        <v>22.92</v>
      </c>
      <c r="I889" s="2">
        <v>53.6</v>
      </c>
      <c r="J889" s="2">
        <v>-8.9600000000000009</v>
      </c>
      <c r="K889" s="2">
        <v>-19.739999999999998</v>
      </c>
      <c r="L889" s="2">
        <v>-1.19</v>
      </c>
      <c r="M889" s="2">
        <v>5.46</v>
      </c>
      <c r="N889" s="2">
        <v>31.67</v>
      </c>
      <c r="O889" s="2">
        <v>25.93</v>
      </c>
      <c r="P889" s="2">
        <v>35.729999999999997</v>
      </c>
      <c r="Q889" s="2">
        <v>14.68</v>
      </c>
      <c r="R889" s="2">
        <v>37.130000000000003</v>
      </c>
      <c r="S889" s="2">
        <v>34.67</v>
      </c>
      <c r="T889" s="2">
        <v>16.71</v>
      </c>
      <c r="U889" s="2">
        <v>21.85</v>
      </c>
      <c r="V889" s="2">
        <v>34.79</v>
      </c>
      <c r="W889" s="16">
        <f>'extended_recharge_2003-2015'!W25</f>
        <v>25.610626</v>
      </c>
      <c r="X889" s="16">
        <f>'extended_recharge_2003-2015'!X25</f>
        <v>14.643549999999999</v>
      </c>
      <c r="Y889" s="16">
        <f>'extended_recharge_2003-2015'!Y25</f>
        <v>25.984874999999999</v>
      </c>
      <c r="Z889" s="16">
        <f>'extended_recharge_2003-2015'!Z25</f>
        <v>1.4488318</v>
      </c>
      <c r="AA889" s="16">
        <f>'extended_recharge_2003-2015'!AA25</f>
        <v>2.0900118000000001</v>
      </c>
      <c r="AB889" s="16">
        <f>'extended_recharge_2003-2015'!AB25</f>
        <v>0.77906489999999995</v>
      </c>
      <c r="AC889" s="16">
        <f>'extended_recharge_2003-2015'!AC25</f>
        <v>2.0885354999999999</v>
      </c>
      <c r="AD889" s="16">
        <f>'extended_recharge_2003-2015'!AD25</f>
        <v>3.6805344</v>
      </c>
      <c r="AE889" s="16">
        <f>'extended_recharge_2003-2015'!AE25</f>
        <v>5.1371092999999997</v>
      </c>
      <c r="AF889" s="16">
        <f>'extended_recharge_2003-2015'!AF25</f>
        <v>106.917244</v>
      </c>
      <c r="AG889" s="16">
        <f>'extended_recharge_2003-2015'!AG25</f>
        <v>19.893408000000001</v>
      </c>
    </row>
    <row r="890" spans="1:33" x14ac:dyDescent="0.2">
      <c r="A890" s="3">
        <v>35003</v>
      </c>
      <c r="B890" s="2">
        <v>-1.29</v>
      </c>
      <c r="C890" s="2">
        <v>29.3</v>
      </c>
      <c r="D890" s="2">
        <v>-7.57</v>
      </c>
      <c r="E890" s="2">
        <v>-46.09</v>
      </c>
      <c r="F890" s="2">
        <v>-15.12</v>
      </c>
      <c r="G890" s="2">
        <v>-6.24</v>
      </c>
      <c r="H890" s="2">
        <v>12.74</v>
      </c>
      <c r="I890" s="2">
        <v>46.83</v>
      </c>
      <c r="J890" s="2">
        <v>-3.85</v>
      </c>
      <c r="K890" s="2">
        <v>1.84</v>
      </c>
      <c r="L890" s="2">
        <v>1.68</v>
      </c>
      <c r="M890" s="2">
        <v>8.18</v>
      </c>
      <c r="N890" s="2">
        <v>35.630000000000003</v>
      </c>
      <c r="O890" s="2">
        <v>18.63</v>
      </c>
      <c r="P890" s="2">
        <v>73.8</v>
      </c>
      <c r="Q890" s="2">
        <v>9.15</v>
      </c>
      <c r="R890" s="2">
        <v>20.09</v>
      </c>
      <c r="S890" s="2">
        <v>3.02</v>
      </c>
      <c r="T890" s="2">
        <v>24.86</v>
      </c>
      <c r="U890" s="2">
        <v>12.48</v>
      </c>
      <c r="V890" s="2">
        <v>29.02</v>
      </c>
      <c r="W890" s="16">
        <f>'extended_recharge_2003-2015'!W26</f>
        <v>21.859235999999999</v>
      </c>
      <c r="X890" s="16">
        <f>'extended_recharge_2003-2015'!X26</f>
        <v>15.5687275</v>
      </c>
      <c r="Y890" s="16">
        <f>'extended_recharge_2003-2015'!Y26</f>
        <v>23.156936999999999</v>
      </c>
      <c r="Z890" s="16">
        <f>'extended_recharge_2003-2015'!Z26</f>
        <v>3.9643662000000002</v>
      </c>
      <c r="AA890" s="16">
        <f>'extended_recharge_2003-2015'!AA26</f>
        <v>4.0279464999999997</v>
      </c>
      <c r="AB890" s="16">
        <f>'extended_recharge_2003-2015'!AB26</f>
        <v>1.4555305000000001</v>
      </c>
      <c r="AC890" s="16">
        <f>'extended_recharge_2003-2015'!AC26</f>
        <v>2.2847602</v>
      </c>
      <c r="AD890" s="16">
        <f>'extended_recharge_2003-2015'!AD26</f>
        <v>2.3990909999999999</v>
      </c>
      <c r="AE890" s="16">
        <f>'extended_recharge_2003-2015'!AE26</f>
        <v>12.958983999999999</v>
      </c>
      <c r="AF890" s="16">
        <f>'extended_recharge_2003-2015'!AF26</f>
        <v>95.258930000000007</v>
      </c>
      <c r="AG890" s="16">
        <f>'extended_recharge_2003-2015'!AG26</f>
        <v>16.56625</v>
      </c>
    </row>
    <row r="891" spans="1:33" x14ac:dyDescent="0.2">
      <c r="A891" s="3">
        <v>35033</v>
      </c>
      <c r="B891" s="2">
        <v>-0.22</v>
      </c>
      <c r="C891" s="2">
        <v>26.26</v>
      </c>
      <c r="D891" s="2">
        <v>-1.88</v>
      </c>
      <c r="E891" s="2">
        <v>-22.7</v>
      </c>
      <c r="F891" s="2">
        <v>-11.71</v>
      </c>
      <c r="G891" s="2">
        <v>-2.3199999999999998</v>
      </c>
      <c r="H891" s="2">
        <v>14.13</v>
      </c>
      <c r="I891" s="2">
        <v>41.57</v>
      </c>
      <c r="J891" s="2">
        <v>-9.19</v>
      </c>
      <c r="K891" s="2">
        <v>-9.9600000000000009</v>
      </c>
      <c r="L891" s="2">
        <v>-19.02</v>
      </c>
      <c r="M891" s="2">
        <v>-19.440000000000001</v>
      </c>
      <c r="N891" s="2">
        <v>22.61</v>
      </c>
      <c r="O891" s="2">
        <v>23.23</v>
      </c>
      <c r="P891" s="2">
        <v>30.94</v>
      </c>
      <c r="Q891" s="2">
        <v>10.35</v>
      </c>
      <c r="R891" s="2">
        <v>18.39</v>
      </c>
      <c r="S891" s="2">
        <v>22.13</v>
      </c>
      <c r="T891" s="2">
        <v>13.6</v>
      </c>
      <c r="U891" s="2">
        <v>15.84</v>
      </c>
      <c r="V891" s="2">
        <v>22.7</v>
      </c>
      <c r="W891" s="16">
        <f>'extended_recharge_2003-2015'!W27</f>
        <v>15.86134</v>
      </c>
      <c r="X891" s="16">
        <f>'extended_recharge_2003-2015'!X27</f>
        <v>15.215648</v>
      </c>
      <c r="Y891" s="16">
        <f>'extended_recharge_2003-2015'!Y27</f>
        <v>22.107264000000001</v>
      </c>
      <c r="Z891" s="16">
        <f>'extended_recharge_2003-2015'!Z27</f>
        <v>6.041131</v>
      </c>
      <c r="AA891" s="16">
        <f>'extended_recharge_2003-2015'!AA27</f>
        <v>6.6585890000000001</v>
      </c>
      <c r="AB891" s="16">
        <f>'extended_recharge_2003-2015'!AB27</f>
        <v>1.9772114999999999</v>
      </c>
      <c r="AC891" s="16">
        <f>'extended_recharge_2003-2015'!AC27</f>
        <v>7.3222145999999997</v>
      </c>
      <c r="AD891" s="16">
        <f>'extended_recharge_2003-2015'!AD27</f>
        <v>2.2104374999999998</v>
      </c>
      <c r="AE891" s="16">
        <f>'extended_recharge_2003-2015'!AE27</f>
        <v>17.193847999999999</v>
      </c>
      <c r="AF891" s="16">
        <f>'extended_recharge_2003-2015'!AF27</f>
        <v>74.8476</v>
      </c>
      <c r="AG891" s="16">
        <f>'extended_recharge_2003-2015'!AG27</f>
        <v>12.866083</v>
      </c>
    </row>
    <row r="892" spans="1:33" x14ac:dyDescent="0.2">
      <c r="A892" s="3">
        <v>35064</v>
      </c>
      <c r="B892" s="2">
        <v>1.88</v>
      </c>
      <c r="C892" s="2">
        <v>34.049999999999997</v>
      </c>
      <c r="D892" s="2">
        <v>41.29</v>
      </c>
      <c r="E892" s="2">
        <v>89.66</v>
      </c>
      <c r="F892" s="2">
        <v>77.680000000000007</v>
      </c>
      <c r="G892" s="2">
        <v>96.93</v>
      </c>
      <c r="H892" s="2">
        <v>34.22</v>
      </c>
      <c r="I892" s="2">
        <v>50.11</v>
      </c>
      <c r="J892" s="2">
        <v>38.53</v>
      </c>
      <c r="K892" s="2">
        <v>25.72</v>
      </c>
      <c r="L892" s="2">
        <v>-2.39</v>
      </c>
      <c r="M892" s="2">
        <v>10.9</v>
      </c>
      <c r="N892" s="2">
        <v>28.06</v>
      </c>
      <c r="O892" s="2">
        <v>25.14</v>
      </c>
      <c r="P892" s="2">
        <v>38.33</v>
      </c>
      <c r="Q892" s="2">
        <v>0.77</v>
      </c>
      <c r="R892" s="2">
        <v>15.67</v>
      </c>
      <c r="S892" s="2">
        <v>45.77</v>
      </c>
      <c r="T892" s="2">
        <v>16.32</v>
      </c>
      <c r="U892" s="2">
        <v>12.77</v>
      </c>
      <c r="V892" s="2">
        <v>12.35</v>
      </c>
      <c r="W892" s="16">
        <f>'extended_recharge_2003-2015'!W28</f>
        <v>11.380694999999999</v>
      </c>
      <c r="X892" s="16">
        <f>'extended_recharge_2003-2015'!X28</f>
        <v>13.931168</v>
      </c>
      <c r="Y892" s="16">
        <f>'extended_recharge_2003-2015'!Y28</f>
        <v>16.215330000000002</v>
      </c>
      <c r="Z892" s="16">
        <f>'extended_recharge_2003-2015'!Z28</f>
        <v>5.7696433000000003</v>
      </c>
      <c r="AA892" s="16">
        <f>'extended_recharge_2003-2015'!AA28</f>
        <v>4.4719734000000004</v>
      </c>
      <c r="AB892" s="16">
        <f>'extended_recharge_2003-2015'!AB28</f>
        <v>1.6787635999999999</v>
      </c>
      <c r="AC892" s="16">
        <f>'extended_recharge_2003-2015'!AC28</f>
        <v>4.9078419999999996</v>
      </c>
      <c r="AD892" s="16">
        <f>'extended_recharge_2003-2015'!AD28</f>
        <v>2.1277746999999998</v>
      </c>
      <c r="AE892" s="16">
        <f>'extended_recharge_2003-2015'!AE28</f>
        <v>22.608699999999999</v>
      </c>
      <c r="AF892" s="16">
        <f>'extended_recharge_2003-2015'!AF28</f>
        <v>64.644419999999997</v>
      </c>
      <c r="AG892" s="16">
        <f>'extended_recharge_2003-2015'!AG28</f>
        <v>11.204782</v>
      </c>
    </row>
    <row r="893" spans="1:33" x14ac:dyDescent="0.2">
      <c r="A893" s="3">
        <v>35095</v>
      </c>
      <c r="B893" s="2">
        <v>-5.09</v>
      </c>
      <c r="C893" s="2">
        <v>34.29</v>
      </c>
      <c r="D893" s="2">
        <v>30.54</v>
      </c>
      <c r="E893" s="2">
        <v>54</v>
      </c>
      <c r="F893" s="2">
        <v>40.61</v>
      </c>
      <c r="G893" s="2">
        <v>97.57</v>
      </c>
      <c r="H893" s="2">
        <v>20.96</v>
      </c>
      <c r="I893" s="2">
        <v>39.78</v>
      </c>
      <c r="J893" s="2">
        <v>59.88</v>
      </c>
      <c r="K893" s="2">
        <v>46.47</v>
      </c>
      <c r="L893" s="2">
        <v>2.06</v>
      </c>
      <c r="M893" s="2">
        <v>8.7799999999999994</v>
      </c>
      <c r="N893" s="2">
        <v>38.869999999999997</v>
      </c>
      <c r="O893" s="2">
        <v>22.5</v>
      </c>
      <c r="P893" s="2">
        <v>51.71</v>
      </c>
      <c r="Q893" s="2">
        <v>-1.1299999999999999</v>
      </c>
      <c r="R893" s="2">
        <v>16.79</v>
      </c>
      <c r="S893" s="2">
        <v>56.77</v>
      </c>
      <c r="T893" s="2">
        <v>7.14</v>
      </c>
      <c r="U893" s="2">
        <v>13.8</v>
      </c>
      <c r="V893" s="2">
        <v>12.61</v>
      </c>
      <c r="W893" s="16">
        <f>'extended_recharge_2003-2015'!W29</f>
        <v>4.9353575999999997</v>
      </c>
      <c r="X893" s="16">
        <f>'extended_recharge_2003-2015'!X29</f>
        <v>15.553823</v>
      </c>
      <c r="Y893" s="16">
        <f>'extended_recharge_2003-2015'!Y29</f>
        <v>17.929482</v>
      </c>
      <c r="Z893" s="16">
        <f>'extended_recharge_2003-2015'!Z29</f>
        <v>6.0544032999999997</v>
      </c>
      <c r="AA893" s="16">
        <f>'extended_recharge_2003-2015'!AA29</f>
        <v>5.3860939999999999</v>
      </c>
      <c r="AB893" s="16">
        <f>'extended_recharge_2003-2015'!AB29</f>
        <v>2.1867192000000002</v>
      </c>
      <c r="AC893" s="16">
        <f>'extended_recharge_2003-2015'!AC29</f>
        <v>8.888852</v>
      </c>
      <c r="AD893" s="16">
        <f>'extended_recharge_2003-2015'!AD29</f>
        <v>2.0021092999999999</v>
      </c>
      <c r="AE893" s="16">
        <f>'extended_recharge_2003-2015'!AE29</f>
        <v>19.817509000000001</v>
      </c>
      <c r="AF893" s="16">
        <f>'extended_recharge_2003-2015'!AF29</f>
        <v>71.514610000000005</v>
      </c>
      <c r="AG893" s="16">
        <f>'extended_recharge_2003-2015'!AG29</f>
        <v>9.8034850000000002</v>
      </c>
    </row>
    <row r="894" spans="1:33" x14ac:dyDescent="0.2">
      <c r="A894" s="3">
        <v>35124</v>
      </c>
      <c r="B894" s="2">
        <v>11.06</v>
      </c>
      <c r="C894" s="2">
        <v>54.06</v>
      </c>
      <c r="D894" s="2">
        <v>56.99</v>
      </c>
      <c r="E894" s="2">
        <v>181.09</v>
      </c>
      <c r="F894" s="2">
        <v>212.97</v>
      </c>
      <c r="G894" s="2">
        <v>183.05</v>
      </c>
      <c r="H894" s="2">
        <v>42.29</v>
      </c>
      <c r="I894" s="2">
        <v>54.39</v>
      </c>
      <c r="J894" s="2">
        <v>117.99</v>
      </c>
      <c r="K894" s="2">
        <v>77.28</v>
      </c>
      <c r="L894" s="2">
        <v>67.02</v>
      </c>
      <c r="M894" s="2">
        <v>64.099999999999994</v>
      </c>
      <c r="N894" s="2">
        <v>71.13</v>
      </c>
      <c r="O894" s="2">
        <v>19.149999999999999</v>
      </c>
      <c r="P894" s="2">
        <v>96.25</v>
      </c>
      <c r="Q894" s="2">
        <v>-3.76</v>
      </c>
      <c r="R894" s="2">
        <v>18.829999999999998</v>
      </c>
      <c r="S894" s="2">
        <v>26.99</v>
      </c>
      <c r="T894" s="2">
        <v>36.64</v>
      </c>
      <c r="U894" s="2">
        <v>15.19</v>
      </c>
      <c r="V894" s="2">
        <v>22.42</v>
      </c>
      <c r="W894" s="16">
        <f>'extended_recharge_2003-2015'!W30</f>
        <v>0.79849060000000005</v>
      </c>
      <c r="X894" s="16">
        <f>'extended_recharge_2003-2015'!X30</f>
        <v>16.004372</v>
      </c>
      <c r="Y894" s="16">
        <f>'extended_recharge_2003-2015'!Y30</f>
        <v>17.645813</v>
      </c>
      <c r="Z894" s="16">
        <f>'extended_recharge_2003-2015'!Z30</f>
        <v>6.3568769999999999</v>
      </c>
      <c r="AA894" s="16">
        <f>'extended_recharge_2003-2015'!AA30</f>
        <v>4.5634183999999998</v>
      </c>
      <c r="AB894" s="16">
        <f>'extended_recharge_2003-2015'!AB30</f>
        <v>2.4099336</v>
      </c>
      <c r="AC894" s="16">
        <f>'extended_recharge_2003-2015'!AC30</f>
        <v>11.793771</v>
      </c>
      <c r="AD894" s="16">
        <f>'extended_recharge_2003-2015'!AD30</f>
        <v>3.3401608</v>
      </c>
      <c r="AE894" s="16">
        <f>'extended_recharge_2003-2015'!AE30</f>
        <v>17.28051</v>
      </c>
      <c r="AF894" s="16">
        <f>'extended_recharge_2003-2015'!AF30</f>
        <v>61.060634999999998</v>
      </c>
      <c r="AG894" s="16">
        <f>'extended_recharge_2003-2015'!AG30</f>
        <v>10.14274</v>
      </c>
    </row>
    <row r="895" spans="1:33" x14ac:dyDescent="0.2">
      <c r="A895" s="3">
        <v>35155</v>
      </c>
      <c r="B895" s="2">
        <v>13.2</v>
      </c>
      <c r="C895" s="2">
        <v>39.6</v>
      </c>
      <c r="D895" s="2">
        <v>-23.75</v>
      </c>
      <c r="E895" s="2">
        <v>-40.35</v>
      </c>
      <c r="F895" s="2">
        <v>-41.77</v>
      </c>
      <c r="G895" s="2">
        <v>-69.84</v>
      </c>
      <c r="H895" s="2">
        <v>14.59</v>
      </c>
      <c r="I895" s="2">
        <v>51.25</v>
      </c>
      <c r="J895" s="2">
        <v>28.89</v>
      </c>
      <c r="K895" s="2">
        <v>12.83</v>
      </c>
      <c r="L895" s="2">
        <v>41.46</v>
      </c>
      <c r="M895" s="2">
        <v>20.18</v>
      </c>
      <c r="N895" s="2">
        <v>49.4</v>
      </c>
      <c r="O895" s="2">
        <v>23.56</v>
      </c>
      <c r="P895" s="2">
        <v>54.06</v>
      </c>
      <c r="Q895" s="2">
        <v>15.26</v>
      </c>
      <c r="R895" s="2">
        <v>20.91</v>
      </c>
      <c r="S895" s="2">
        <v>14.49</v>
      </c>
      <c r="T895" s="2">
        <v>23.23</v>
      </c>
      <c r="U895" s="2">
        <v>16.149999999999999</v>
      </c>
      <c r="V895" s="2">
        <v>24.45</v>
      </c>
      <c r="W895" s="16">
        <f>'extended_recharge_2003-2015'!W31</f>
        <v>2.1805689E-2</v>
      </c>
      <c r="X895" s="16">
        <f>'extended_recharge_2003-2015'!X31</f>
        <v>15.5962</v>
      </c>
      <c r="Y895" s="16">
        <f>'extended_recharge_2003-2015'!Y31</f>
        <v>13.730309500000001</v>
      </c>
      <c r="Z895" s="16">
        <f>'extended_recharge_2003-2015'!Z31</f>
        <v>3.1255394999999999</v>
      </c>
      <c r="AA895" s="16">
        <f>'extended_recharge_2003-2015'!AA31</f>
        <v>3.6293801999999999</v>
      </c>
      <c r="AB895" s="16">
        <f>'extended_recharge_2003-2015'!AB31</f>
        <v>3.6443979999999998</v>
      </c>
      <c r="AC895" s="16">
        <f>'extended_recharge_2003-2015'!AC31</f>
        <v>8.8000620000000005</v>
      </c>
      <c r="AD895" s="16">
        <f>'extended_recharge_2003-2015'!AD31</f>
        <v>4.1659600000000001</v>
      </c>
      <c r="AE895" s="16">
        <f>'extended_recharge_2003-2015'!AE31</f>
        <v>12.837922000000001</v>
      </c>
      <c r="AF895" s="16">
        <f>'extended_recharge_2003-2015'!AF31</f>
        <v>68.64564</v>
      </c>
      <c r="AG895" s="16">
        <f>'extended_recharge_2003-2015'!AG31</f>
        <v>10.9058075</v>
      </c>
    </row>
    <row r="896" spans="1:33" x14ac:dyDescent="0.2">
      <c r="A896" s="3">
        <v>35185</v>
      </c>
      <c r="B896" s="2">
        <v>5.95</v>
      </c>
      <c r="C896" s="2">
        <v>26.75</v>
      </c>
      <c r="D896" s="2">
        <v>-4.3099999999999996</v>
      </c>
      <c r="E896" s="2">
        <v>-80.48</v>
      </c>
      <c r="F896" s="2">
        <v>-4.0999999999999996</v>
      </c>
      <c r="G896" s="2">
        <v>-52.25</v>
      </c>
      <c r="H896" s="2">
        <v>12.7</v>
      </c>
      <c r="I896" s="2">
        <v>51.01</v>
      </c>
      <c r="J896" s="2">
        <v>-10.79</v>
      </c>
      <c r="K896" s="2">
        <v>-12.95</v>
      </c>
      <c r="L896" s="2">
        <v>-22.85</v>
      </c>
      <c r="M896" s="2">
        <v>-14.61</v>
      </c>
      <c r="N896" s="2">
        <v>36.619999999999997</v>
      </c>
      <c r="O896" s="2">
        <v>30.3</v>
      </c>
      <c r="P896" s="2">
        <v>61.28</v>
      </c>
      <c r="Q896" s="2">
        <v>15.49</v>
      </c>
      <c r="R896" s="2">
        <v>17.91</v>
      </c>
      <c r="S896" s="2">
        <v>-9.1999999999999993</v>
      </c>
      <c r="T896" s="2">
        <v>25.27</v>
      </c>
      <c r="U896" s="2">
        <v>29.62</v>
      </c>
      <c r="V896" s="2">
        <v>28.89</v>
      </c>
      <c r="W896" s="16">
        <f>'extended_recharge_2003-2015'!W32</f>
        <v>0.74656579999999995</v>
      </c>
      <c r="X896" s="16">
        <f>'extended_recharge_2003-2015'!X32</f>
        <v>15.896027999999999</v>
      </c>
      <c r="Y896" s="16">
        <f>'extended_recharge_2003-2015'!Y32</f>
        <v>14.368701</v>
      </c>
      <c r="Z896" s="16">
        <f>'extended_recharge_2003-2015'!Z32</f>
        <v>1.7544219999999999</v>
      </c>
      <c r="AA896" s="16">
        <f>'extended_recharge_2003-2015'!AA32</f>
        <v>4.0531597000000001</v>
      </c>
      <c r="AB896" s="16">
        <f>'extended_recharge_2003-2015'!AB32</f>
        <v>2.0240103999999999</v>
      </c>
      <c r="AC896" s="16">
        <f>'extended_recharge_2003-2015'!AC32</f>
        <v>0.72709029999999997</v>
      </c>
      <c r="AD896" s="16">
        <f>'extended_recharge_2003-2015'!AD32</f>
        <v>5.8921742000000004</v>
      </c>
      <c r="AE896" s="16">
        <f>'extended_recharge_2003-2015'!AE32</f>
        <v>5.4455514000000003</v>
      </c>
      <c r="AF896" s="16">
        <f>'extended_recharge_2003-2015'!AF32</f>
        <v>85.243549999999999</v>
      </c>
      <c r="AG896" s="16">
        <f>'extended_recharge_2003-2015'!AG32</f>
        <v>14.360695</v>
      </c>
    </row>
    <row r="897" spans="1:33" x14ac:dyDescent="0.2">
      <c r="A897" s="3">
        <v>35216</v>
      </c>
      <c r="B897" s="2">
        <v>9.5</v>
      </c>
      <c r="C897" s="2">
        <v>36.58</v>
      </c>
      <c r="D897" s="2">
        <v>-3.78</v>
      </c>
      <c r="E897" s="2">
        <v>4.93</v>
      </c>
      <c r="F897" s="2">
        <v>4.8099999999999996</v>
      </c>
      <c r="G897" s="2">
        <v>-3.09</v>
      </c>
      <c r="H897" s="2">
        <v>24.66</v>
      </c>
      <c r="I897" s="2">
        <v>57.79</v>
      </c>
      <c r="J897" s="2">
        <v>10.18</v>
      </c>
      <c r="K897" s="2">
        <v>32.130000000000003</v>
      </c>
      <c r="L897" s="2">
        <v>7.88</v>
      </c>
      <c r="M897" s="2">
        <v>24.99</v>
      </c>
      <c r="N897" s="2">
        <v>45.76</v>
      </c>
      <c r="O897" s="2">
        <v>33.68</v>
      </c>
      <c r="P897" s="2">
        <v>117.11</v>
      </c>
      <c r="Q897" s="2">
        <v>15.56</v>
      </c>
      <c r="R897" s="2">
        <v>25.77</v>
      </c>
      <c r="S897" s="2">
        <v>-10.99</v>
      </c>
      <c r="T897" s="2">
        <v>52.14</v>
      </c>
      <c r="U897" s="2">
        <v>22.76</v>
      </c>
      <c r="V897" s="2">
        <v>34.729999999999997</v>
      </c>
      <c r="W897" s="16">
        <f>'extended_recharge_2003-2015'!W33</f>
        <v>4.7229285000000001</v>
      </c>
      <c r="X897" s="16">
        <f>'extended_recharge_2003-2015'!X33</f>
        <v>22.212067000000001</v>
      </c>
      <c r="Y897" s="16">
        <f>'extended_recharge_2003-2015'!Y33</f>
        <v>23.253822</v>
      </c>
      <c r="Z897" s="16">
        <f>'extended_recharge_2003-2015'!Z33</f>
        <v>-0.13088582000000001</v>
      </c>
      <c r="AA897" s="16">
        <f>'extended_recharge_2003-2015'!AA33</f>
        <v>1.7599340999999999</v>
      </c>
      <c r="AB897" s="16">
        <f>'extended_recharge_2003-2015'!AB33</f>
        <v>1.029074</v>
      </c>
      <c r="AC897" s="16">
        <f>'extended_recharge_2003-2015'!AC33</f>
        <v>-0.63560749999999999</v>
      </c>
      <c r="AD897" s="16">
        <f>'extended_recharge_2003-2015'!AD33</f>
        <v>7.893834</v>
      </c>
      <c r="AE897" s="16">
        <f>'extended_recharge_2003-2015'!AE33</f>
        <v>0.52221720000000005</v>
      </c>
      <c r="AF897" s="16">
        <f>'extended_recharge_2003-2015'!AF33</f>
        <v>92.955410000000001</v>
      </c>
      <c r="AG897" s="16">
        <f>'extended_recharge_2003-2015'!AG33</f>
        <v>17.959855999999998</v>
      </c>
    </row>
    <row r="898" spans="1:33" x14ac:dyDescent="0.2">
      <c r="A898" s="3">
        <v>35246</v>
      </c>
      <c r="B898" s="2">
        <v>8.0399999999999991</v>
      </c>
      <c r="C898" s="2">
        <v>29.96</v>
      </c>
      <c r="D898" s="2">
        <v>-5.03</v>
      </c>
      <c r="E898" s="2">
        <v>-12.83</v>
      </c>
      <c r="F898" s="2">
        <v>-43.67</v>
      </c>
      <c r="G898" s="2">
        <v>-31.78</v>
      </c>
      <c r="H898" s="2">
        <v>5.67</v>
      </c>
      <c r="I898" s="2">
        <v>38.659999999999997</v>
      </c>
      <c r="J898" s="2">
        <v>-39.68</v>
      </c>
      <c r="K898" s="2">
        <v>-1.21</v>
      </c>
      <c r="L898" s="2">
        <v>-27.27</v>
      </c>
      <c r="M898" s="2">
        <v>-18.14</v>
      </c>
      <c r="N898" s="2">
        <v>19.420000000000002</v>
      </c>
      <c r="O898" s="2">
        <v>32.15</v>
      </c>
      <c r="P898" s="2">
        <v>79.650000000000006</v>
      </c>
      <c r="Q898" s="2">
        <v>14.01</v>
      </c>
      <c r="R898" s="2">
        <v>34.28</v>
      </c>
      <c r="S898" s="2">
        <v>-18.649999999999999</v>
      </c>
      <c r="T898" s="2">
        <v>61.03</v>
      </c>
      <c r="U898" s="2">
        <v>19.16</v>
      </c>
      <c r="V898" s="2">
        <v>35.82</v>
      </c>
      <c r="W898" s="16">
        <f>'extended_recharge_2003-2015'!W34</f>
        <v>17.719653999999998</v>
      </c>
      <c r="X898" s="16">
        <f>'extended_recharge_2003-2015'!X34</f>
        <v>24.184736000000001</v>
      </c>
      <c r="Y898" s="16">
        <f>'extended_recharge_2003-2015'!Y34</f>
        <v>24.913767</v>
      </c>
      <c r="Z898" s="16">
        <f>'extended_recharge_2003-2015'!Z34</f>
        <v>0.50945704999999997</v>
      </c>
      <c r="AA898" s="16">
        <f>'extended_recharge_2003-2015'!AA34</f>
        <v>4.5262035999999997</v>
      </c>
      <c r="AB898" s="16">
        <f>'extended_recharge_2003-2015'!AB34</f>
        <v>1.7743945999999999</v>
      </c>
      <c r="AC898" s="16">
        <f>'extended_recharge_2003-2015'!AC34</f>
        <v>-2.8965109999999999E-2</v>
      </c>
      <c r="AD898" s="16">
        <f>'extended_recharge_2003-2015'!AD34</f>
        <v>9.7446149999999996</v>
      </c>
      <c r="AE898" s="16">
        <f>'extended_recharge_2003-2015'!AE34</f>
        <v>-1.9473612</v>
      </c>
      <c r="AF898" s="16">
        <f>'extended_recharge_2003-2015'!AF34</f>
        <v>96.2256</v>
      </c>
      <c r="AG898" s="16">
        <f>'extended_recharge_2003-2015'!AG34</f>
        <v>22.560898000000002</v>
      </c>
    </row>
    <row r="899" spans="1:33" x14ac:dyDescent="0.2">
      <c r="A899" s="3">
        <v>35277</v>
      </c>
      <c r="B899" s="2">
        <v>8.02</v>
      </c>
      <c r="C899" s="2">
        <v>29.13</v>
      </c>
      <c r="D899" s="2">
        <v>-0.68</v>
      </c>
      <c r="E899" s="2">
        <v>9.1</v>
      </c>
      <c r="F899" s="2">
        <v>20.62</v>
      </c>
      <c r="G899" s="2">
        <v>-7.47</v>
      </c>
      <c r="H899" s="2">
        <v>16.670000000000002</v>
      </c>
      <c r="I899" s="2">
        <v>45.31</v>
      </c>
      <c r="J899" s="2">
        <v>-28.73</v>
      </c>
      <c r="K899" s="2">
        <v>24.44</v>
      </c>
      <c r="L899" s="2">
        <v>-14.11</v>
      </c>
      <c r="M899" s="2">
        <v>0.19</v>
      </c>
      <c r="N899" s="2">
        <v>49.09</v>
      </c>
      <c r="O899" s="2">
        <v>42.96</v>
      </c>
      <c r="P899" s="2">
        <v>74.12</v>
      </c>
      <c r="Q899" s="2">
        <v>15.3</v>
      </c>
      <c r="R899" s="2">
        <v>38.159999999999997</v>
      </c>
      <c r="S899" s="2">
        <v>-17.91</v>
      </c>
      <c r="T899" s="2">
        <v>50.34</v>
      </c>
      <c r="U899" s="2">
        <v>23.36</v>
      </c>
      <c r="V899" s="2">
        <v>37.770000000000003</v>
      </c>
      <c r="W899" s="16">
        <f>'extended_recharge_2003-2015'!W35</f>
        <v>28.430720000000001</v>
      </c>
      <c r="X899" s="16">
        <f>'extended_recharge_2003-2015'!X35</f>
        <v>23.397874999999999</v>
      </c>
      <c r="Y899" s="16">
        <f>'extended_recharge_2003-2015'!Y35</f>
        <v>27.544751999999999</v>
      </c>
      <c r="Z899" s="16">
        <f>'extended_recharge_2003-2015'!Z35</f>
        <v>-0.50762779999999996</v>
      </c>
      <c r="AA899" s="16">
        <f>'extended_recharge_2003-2015'!AA35</f>
        <v>1.9190583000000001</v>
      </c>
      <c r="AB899" s="16">
        <f>'extended_recharge_2003-2015'!AB35</f>
        <v>0.97584360000000003</v>
      </c>
      <c r="AC899" s="16">
        <f>'extended_recharge_2003-2015'!AC35</f>
        <v>0.11822456000000001</v>
      </c>
      <c r="AD899" s="16">
        <f>'extended_recharge_2003-2015'!AD35</f>
        <v>9.7565159999999995</v>
      </c>
      <c r="AE899" s="16">
        <f>'extended_recharge_2003-2015'!AE35</f>
        <v>-2.8994626999999999</v>
      </c>
      <c r="AF899" s="16">
        <f>'extended_recharge_2003-2015'!AF35</f>
        <v>106.64406</v>
      </c>
      <c r="AG899" s="16">
        <f>'extended_recharge_2003-2015'!AG35</f>
        <v>24.408463999999999</v>
      </c>
    </row>
    <row r="900" spans="1:33" x14ac:dyDescent="0.2">
      <c r="A900" s="3">
        <v>35308</v>
      </c>
      <c r="B900" s="2">
        <v>7.01</v>
      </c>
      <c r="C900" s="2">
        <v>31.26</v>
      </c>
      <c r="D900" s="2">
        <v>-0.52</v>
      </c>
      <c r="E900" s="2">
        <v>11.81</v>
      </c>
      <c r="F900" s="2">
        <v>7.17</v>
      </c>
      <c r="G900" s="2">
        <v>8.9499999999999993</v>
      </c>
      <c r="H900" s="2">
        <v>17.940000000000001</v>
      </c>
      <c r="I900" s="2">
        <v>51.01</v>
      </c>
      <c r="J900" s="2">
        <v>-5.4</v>
      </c>
      <c r="K900" s="2">
        <v>31.76</v>
      </c>
      <c r="L900" s="2">
        <v>-7.96</v>
      </c>
      <c r="M900" s="2">
        <v>10.43</v>
      </c>
      <c r="N900" s="2">
        <v>55.24</v>
      </c>
      <c r="O900" s="2">
        <v>37.74</v>
      </c>
      <c r="P900" s="2">
        <v>84.83</v>
      </c>
      <c r="Q900" s="2">
        <v>11.56</v>
      </c>
      <c r="R900" s="2">
        <v>39.46</v>
      </c>
      <c r="S900" s="2">
        <v>17.5</v>
      </c>
      <c r="T900" s="2">
        <v>52.93</v>
      </c>
      <c r="U900" s="2">
        <v>23.32</v>
      </c>
      <c r="V900" s="2">
        <v>37.79</v>
      </c>
      <c r="W900" s="16">
        <f>'extended_recharge_2003-2015'!W36</f>
        <v>31.717704999999999</v>
      </c>
      <c r="X900" s="16">
        <f>'extended_recharge_2003-2015'!X36</f>
        <v>25.053325999999998</v>
      </c>
      <c r="Y900" s="16">
        <f>'extended_recharge_2003-2015'!Y36</f>
        <v>28.567115999999999</v>
      </c>
      <c r="Z900" s="16">
        <f>'extended_recharge_2003-2015'!Z36</f>
        <v>0.2237005</v>
      </c>
      <c r="AA900" s="16">
        <f>'extended_recharge_2003-2015'!AA36</f>
        <v>2.8164769999999999</v>
      </c>
      <c r="AB900" s="16">
        <f>'extended_recharge_2003-2015'!AB36</f>
        <v>1.6405433</v>
      </c>
      <c r="AC900" s="16">
        <f>'extended_recharge_2003-2015'!AC36</f>
        <v>1.7994941</v>
      </c>
      <c r="AD900" s="16">
        <f>'extended_recharge_2003-2015'!AD36</f>
        <v>6.6645760000000003</v>
      </c>
      <c r="AE900" s="16">
        <f>'extended_recharge_2003-2015'!AE36</f>
        <v>7.8463649999999996E-2</v>
      </c>
      <c r="AF900" s="16">
        <f>'extended_recharge_2003-2015'!AF36</f>
        <v>102.90687</v>
      </c>
      <c r="AG900" s="16">
        <f>'extended_recharge_2003-2015'!AG36</f>
        <v>24.794325000000001</v>
      </c>
    </row>
    <row r="901" spans="1:33" x14ac:dyDescent="0.2">
      <c r="A901" s="3">
        <v>35338</v>
      </c>
      <c r="B901" s="2">
        <v>3.63</v>
      </c>
      <c r="C901" s="2">
        <v>32.06</v>
      </c>
      <c r="D901" s="2">
        <v>0.89</v>
      </c>
      <c r="E901" s="2">
        <v>-10.84</v>
      </c>
      <c r="F901" s="2">
        <v>-4.66</v>
      </c>
      <c r="G901" s="2">
        <v>-1.96</v>
      </c>
      <c r="H901" s="2">
        <v>18.329999999999998</v>
      </c>
      <c r="I901" s="2">
        <v>50.19</v>
      </c>
      <c r="J901" s="2">
        <v>2.4500000000000002</v>
      </c>
      <c r="K901" s="2">
        <v>7.31</v>
      </c>
      <c r="L901" s="2">
        <v>-6.4</v>
      </c>
      <c r="M901" s="2">
        <v>9.91</v>
      </c>
      <c r="N901" s="2">
        <v>45.48</v>
      </c>
      <c r="O901" s="2">
        <v>28.07</v>
      </c>
      <c r="P901" s="2">
        <v>35.56</v>
      </c>
      <c r="Q901" s="2">
        <v>9.19</v>
      </c>
      <c r="R901" s="2">
        <v>31.89</v>
      </c>
      <c r="S901" s="2">
        <v>21.55</v>
      </c>
      <c r="T901" s="2">
        <v>14.13</v>
      </c>
      <c r="U901" s="2">
        <v>21.18</v>
      </c>
      <c r="V901" s="2">
        <v>26.43</v>
      </c>
      <c r="W901" s="16">
        <f>'extended_recharge_2003-2015'!W37</f>
        <v>26.508392000000001</v>
      </c>
      <c r="X901" s="16">
        <f>'extended_recharge_2003-2015'!X37</f>
        <v>19.924906</v>
      </c>
      <c r="Y901" s="16">
        <f>'extended_recharge_2003-2015'!Y37</f>
        <v>22.290866999999999</v>
      </c>
      <c r="Z901" s="16">
        <f>'extended_recharge_2003-2015'!Z37</f>
        <v>2.5301879999999999</v>
      </c>
      <c r="AA901" s="16">
        <f>'extended_recharge_2003-2015'!AA37</f>
        <v>4.2584695999999997</v>
      </c>
      <c r="AB901" s="16">
        <f>'extended_recharge_2003-2015'!AB37</f>
        <v>1.2599262</v>
      </c>
      <c r="AC901" s="16">
        <f>'extended_recharge_2003-2015'!AC37</f>
        <v>2.4439497000000001</v>
      </c>
      <c r="AD901" s="16">
        <f>'extended_recharge_2003-2015'!AD37</f>
        <v>4.5828600000000002</v>
      </c>
      <c r="AE901" s="16">
        <f>'extended_recharge_2003-2015'!AE37</f>
        <v>3.6731132999999998</v>
      </c>
      <c r="AF901" s="16">
        <f>'extended_recharge_2003-2015'!AF37</f>
        <v>98.176659999999998</v>
      </c>
      <c r="AG901" s="16">
        <f>'extended_recharge_2003-2015'!AG37</f>
        <v>20.138037000000001</v>
      </c>
    </row>
    <row r="902" spans="1:33" x14ac:dyDescent="0.2">
      <c r="A902" s="3">
        <v>35369</v>
      </c>
      <c r="B902" s="2">
        <v>0.56000000000000005</v>
      </c>
      <c r="C902" s="2">
        <v>25.14</v>
      </c>
      <c r="D902" s="2">
        <v>-2.95</v>
      </c>
      <c r="E902" s="2">
        <v>-26.4</v>
      </c>
      <c r="F902" s="2">
        <v>-0.94</v>
      </c>
      <c r="G902" s="2">
        <v>-7.41</v>
      </c>
      <c r="H902" s="2">
        <v>15.24</v>
      </c>
      <c r="I902" s="2">
        <v>44.1</v>
      </c>
      <c r="J902" s="2">
        <v>9.94</v>
      </c>
      <c r="K902" s="2">
        <v>13.45</v>
      </c>
      <c r="L902" s="2">
        <v>4.0599999999999996</v>
      </c>
      <c r="M902" s="2">
        <v>11.65</v>
      </c>
      <c r="N902" s="2">
        <v>37</v>
      </c>
      <c r="O902" s="2">
        <v>22.24</v>
      </c>
      <c r="P902" s="2">
        <v>45.26</v>
      </c>
      <c r="Q902" s="2">
        <v>5.19</v>
      </c>
      <c r="R902" s="2">
        <v>18.41</v>
      </c>
      <c r="S902" s="2">
        <v>15.58</v>
      </c>
      <c r="T902" s="2">
        <v>21.36</v>
      </c>
      <c r="U902" s="2">
        <v>11.99</v>
      </c>
      <c r="V902" s="2">
        <v>24.06</v>
      </c>
      <c r="W902" s="16">
        <f>'extended_recharge_2003-2015'!W38</f>
        <v>21.579231</v>
      </c>
      <c r="X902" s="16">
        <f>'extended_recharge_2003-2015'!X38</f>
        <v>19.940135999999999</v>
      </c>
      <c r="Y902" s="16">
        <f>'extended_recharge_2003-2015'!Y38</f>
        <v>20.415534999999998</v>
      </c>
      <c r="Z902" s="16">
        <f>'extended_recharge_2003-2015'!Z38</f>
        <v>4.5543839999999998</v>
      </c>
      <c r="AA902" s="16">
        <f>'extended_recharge_2003-2015'!AA38</f>
        <v>3.8855138</v>
      </c>
      <c r="AB902" s="16">
        <f>'extended_recharge_2003-2015'!AB38</f>
        <v>2.0107078999999999</v>
      </c>
      <c r="AC902" s="16">
        <f>'extended_recharge_2003-2015'!AC38</f>
        <v>6.2890170000000003</v>
      </c>
      <c r="AD902" s="16">
        <f>'extended_recharge_2003-2015'!AD38</f>
        <v>3.1869504000000002</v>
      </c>
      <c r="AE902" s="16">
        <f>'extended_recharge_2003-2015'!AE38</f>
        <v>11.531302</v>
      </c>
      <c r="AF902" s="16">
        <f>'extended_recharge_2003-2015'!AF38</f>
        <v>87.732830000000007</v>
      </c>
      <c r="AG902" s="16">
        <f>'extended_recharge_2003-2015'!AG38</f>
        <v>16.392240000000001</v>
      </c>
    </row>
    <row r="903" spans="1:33" x14ac:dyDescent="0.2">
      <c r="A903" s="3">
        <v>35399</v>
      </c>
      <c r="B903" s="2">
        <v>1.1399999999999999</v>
      </c>
      <c r="C903" s="2">
        <v>24.35</v>
      </c>
      <c r="D903" s="2">
        <v>8.61</v>
      </c>
      <c r="E903" s="2">
        <v>8.17</v>
      </c>
      <c r="F903" s="2">
        <v>11.22</v>
      </c>
      <c r="G903" s="2">
        <v>7.55</v>
      </c>
      <c r="H903" s="2">
        <v>19.559999999999999</v>
      </c>
      <c r="I903" s="2">
        <v>44.43</v>
      </c>
      <c r="J903" s="2">
        <v>15.42</v>
      </c>
      <c r="K903" s="2">
        <v>10.97</v>
      </c>
      <c r="L903" s="2">
        <v>1.79</v>
      </c>
      <c r="M903" s="2">
        <v>8.8800000000000008</v>
      </c>
      <c r="N903" s="2">
        <v>22.69</v>
      </c>
      <c r="O903" s="2">
        <v>22.41</v>
      </c>
      <c r="P903" s="2">
        <v>42.36</v>
      </c>
      <c r="Q903" s="2">
        <v>5.18</v>
      </c>
      <c r="R903" s="2">
        <v>17.170000000000002</v>
      </c>
      <c r="S903" s="2">
        <v>33.51</v>
      </c>
      <c r="T903" s="2">
        <v>11.95</v>
      </c>
      <c r="U903" s="2">
        <v>14.65</v>
      </c>
      <c r="V903" s="2">
        <v>23.75</v>
      </c>
      <c r="W903" s="16">
        <f>'extended_recharge_2003-2015'!W39</f>
        <v>15.596613</v>
      </c>
      <c r="X903" s="16">
        <f>'extended_recharge_2003-2015'!X39</f>
        <v>18.602385000000002</v>
      </c>
      <c r="Y903" s="16">
        <f>'extended_recharge_2003-2015'!Y39</f>
        <v>19.788588000000001</v>
      </c>
      <c r="Z903" s="16">
        <f>'extended_recharge_2003-2015'!Z39</f>
        <v>5.4137579999999996</v>
      </c>
      <c r="AA903" s="16">
        <f>'extended_recharge_2003-2015'!AA39</f>
        <v>3.9891320000000001</v>
      </c>
      <c r="AB903" s="16">
        <f>'extended_recharge_2003-2015'!AB39</f>
        <v>1.9997643000000001</v>
      </c>
      <c r="AC903" s="16">
        <f>'extended_recharge_2003-2015'!AC39</f>
        <v>6.3518869999999996</v>
      </c>
      <c r="AD903" s="16">
        <f>'extended_recharge_2003-2015'!AD39</f>
        <v>2.0293918</v>
      </c>
      <c r="AE903" s="16">
        <f>'extended_recharge_2003-2015'!AE39</f>
        <v>19.817198000000001</v>
      </c>
      <c r="AF903" s="16">
        <f>'extended_recharge_2003-2015'!AF39</f>
        <v>66.706440000000001</v>
      </c>
      <c r="AG903" s="16">
        <f>'extended_recharge_2003-2015'!AG39</f>
        <v>12.853126</v>
      </c>
    </row>
    <row r="904" spans="1:33" x14ac:dyDescent="0.2">
      <c r="A904" s="3">
        <v>35430</v>
      </c>
      <c r="B904" s="2">
        <v>10.08</v>
      </c>
      <c r="C904" s="2">
        <v>43.15</v>
      </c>
      <c r="D904" s="2">
        <v>56.61</v>
      </c>
      <c r="E904" s="2">
        <v>201.29</v>
      </c>
      <c r="F904" s="2">
        <v>223.61</v>
      </c>
      <c r="G904" s="2">
        <v>140.24</v>
      </c>
      <c r="H904" s="2">
        <v>63.15</v>
      </c>
      <c r="I904" s="2">
        <v>68.23</v>
      </c>
      <c r="J904" s="2">
        <v>144.86000000000001</v>
      </c>
      <c r="K904" s="2">
        <v>136.81</v>
      </c>
      <c r="L904" s="2">
        <v>95</v>
      </c>
      <c r="M904" s="2">
        <v>93.07</v>
      </c>
      <c r="N904" s="2">
        <v>136.1</v>
      </c>
      <c r="O904" s="2">
        <v>22.27</v>
      </c>
      <c r="P904" s="2">
        <v>127.51</v>
      </c>
      <c r="Q904" s="2">
        <v>-2.04</v>
      </c>
      <c r="R904" s="2">
        <v>17.739999999999998</v>
      </c>
      <c r="S904" s="2">
        <v>73.33</v>
      </c>
      <c r="T904" s="2">
        <v>31.04</v>
      </c>
      <c r="U904" s="2">
        <v>18.32</v>
      </c>
      <c r="V904" s="2">
        <v>22.56</v>
      </c>
      <c r="W904" s="16">
        <f>'extended_recharge_2003-2015'!W40</f>
        <v>11.838994</v>
      </c>
      <c r="X904" s="16">
        <f>'extended_recharge_2003-2015'!X40</f>
        <v>16.915603999999998</v>
      </c>
      <c r="Y904" s="16">
        <f>'extended_recharge_2003-2015'!Y40</f>
        <v>15.024004</v>
      </c>
      <c r="Z904" s="16">
        <f>'extended_recharge_2003-2015'!Z40</f>
        <v>6.1276307000000001</v>
      </c>
      <c r="AA904" s="16">
        <f>'extended_recharge_2003-2015'!AA40</f>
        <v>6.6558228000000002</v>
      </c>
      <c r="AB904" s="16">
        <f>'extended_recharge_2003-2015'!AB40</f>
        <v>3.0902297000000001</v>
      </c>
      <c r="AC904" s="16">
        <f>'extended_recharge_2003-2015'!AC40</f>
        <v>7.6869059999999996</v>
      </c>
      <c r="AD904" s="16">
        <f>'extended_recharge_2003-2015'!AD40</f>
        <v>1.4513593</v>
      </c>
      <c r="AE904" s="16">
        <f>'extended_recharge_2003-2015'!AE40</f>
        <v>29.778942000000001</v>
      </c>
      <c r="AF904" s="16">
        <f>'extended_recharge_2003-2015'!AF40</f>
        <v>60.726497999999999</v>
      </c>
      <c r="AG904" s="16">
        <f>'extended_recharge_2003-2015'!AG40</f>
        <v>11.199491500000001</v>
      </c>
    </row>
    <row r="905" spans="1:33" x14ac:dyDescent="0.2">
      <c r="A905" s="3">
        <v>35461</v>
      </c>
      <c r="B905" s="2">
        <v>13.6</v>
      </c>
      <c r="C905" s="2">
        <v>58.92</v>
      </c>
      <c r="D905" s="2">
        <v>88.78</v>
      </c>
      <c r="E905" s="2">
        <v>290.68</v>
      </c>
      <c r="F905" s="2">
        <v>347.2</v>
      </c>
      <c r="G905" s="2">
        <v>282.27</v>
      </c>
      <c r="H905" s="2">
        <v>9.33</v>
      </c>
      <c r="I905" s="2">
        <v>61.09</v>
      </c>
      <c r="J905" s="2">
        <v>167.41</v>
      </c>
      <c r="K905" s="2">
        <v>206.63</v>
      </c>
      <c r="L905" s="2">
        <v>116.94</v>
      </c>
      <c r="M905" s="2">
        <v>138.33000000000001</v>
      </c>
      <c r="N905" s="2">
        <v>264.27999999999997</v>
      </c>
      <c r="O905" s="2">
        <v>20.72</v>
      </c>
      <c r="P905" s="2">
        <v>256.97000000000003</v>
      </c>
      <c r="Q905" s="2">
        <v>12.15</v>
      </c>
      <c r="R905" s="2">
        <v>28.23</v>
      </c>
      <c r="S905" s="2">
        <v>146.22999999999999</v>
      </c>
      <c r="T905" s="2">
        <v>74.260000000000005</v>
      </c>
      <c r="U905" s="2">
        <v>27.26</v>
      </c>
      <c r="V905" s="2">
        <v>32.42</v>
      </c>
      <c r="W905" s="16">
        <f>'extended_recharge_2003-2015'!W41</f>
        <v>5.345288</v>
      </c>
      <c r="X905" s="16">
        <f>'extended_recharge_2003-2015'!X41</f>
        <v>18.43666</v>
      </c>
      <c r="Y905" s="16">
        <f>'extended_recharge_2003-2015'!Y41</f>
        <v>15.220254000000001</v>
      </c>
      <c r="Z905" s="16">
        <f>'extended_recharge_2003-2015'!Z41</f>
        <v>5.5225679999999997</v>
      </c>
      <c r="AA905" s="16">
        <f>'extended_recharge_2003-2015'!AA41</f>
        <v>6.6743145000000004</v>
      </c>
      <c r="AB905" s="16">
        <f>'extended_recharge_2003-2015'!AB41</f>
        <v>2.2053604</v>
      </c>
      <c r="AC905" s="16">
        <f>'extended_recharge_2003-2015'!AC41</f>
        <v>8.1170240000000007</v>
      </c>
      <c r="AD905" s="16">
        <f>'extended_recharge_2003-2015'!AD41</f>
        <v>1.8005928</v>
      </c>
      <c r="AE905" s="16">
        <f>'extended_recharge_2003-2015'!AE41</f>
        <v>29.469626999999999</v>
      </c>
      <c r="AF905" s="16">
        <f>'extended_recharge_2003-2015'!AF41</f>
        <v>68.047489999999996</v>
      </c>
      <c r="AG905" s="16">
        <f>'extended_recharge_2003-2015'!AG41</f>
        <v>9.8300520000000002</v>
      </c>
    </row>
    <row r="906" spans="1:33" x14ac:dyDescent="0.2">
      <c r="A906" s="3">
        <v>35489</v>
      </c>
      <c r="B906" s="2">
        <v>6.54</v>
      </c>
      <c r="C906" s="2">
        <v>29.55</v>
      </c>
      <c r="D906" s="2">
        <v>-40.79</v>
      </c>
      <c r="E906" s="2">
        <v>-167.41</v>
      </c>
      <c r="F906" s="2">
        <v>-195.84</v>
      </c>
      <c r="G906" s="2">
        <v>-67.989999999999995</v>
      </c>
      <c r="H906" s="2">
        <v>14.22</v>
      </c>
      <c r="I906" s="2">
        <v>60.15</v>
      </c>
      <c r="J906" s="2">
        <v>-1.22</v>
      </c>
      <c r="K906" s="2">
        <v>-52.62</v>
      </c>
      <c r="L906" s="2">
        <v>-6.06</v>
      </c>
      <c r="M906" s="2">
        <v>-27.93</v>
      </c>
      <c r="N906" s="2">
        <v>59.9</v>
      </c>
      <c r="O906" s="2">
        <v>22.07</v>
      </c>
      <c r="P906" s="2">
        <v>103.84</v>
      </c>
      <c r="Q906" s="2">
        <v>30.31</v>
      </c>
      <c r="R906" s="2">
        <v>36.11</v>
      </c>
      <c r="S906" s="2">
        <v>-15.12</v>
      </c>
      <c r="T906" s="2">
        <v>46.71</v>
      </c>
      <c r="U906" s="2">
        <v>26.22</v>
      </c>
      <c r="V906" s="2">
        <v>28.25</v>
      </c>
      <c r="W906" s="16">
        <f>'extended_recharge_2003-2015'!W42</f>
        <v>0.78166880000000005</v>
      </c>
      <c r="X906" s="16">
        <f>'extended_recharge_2003-2015'!X42</f>
        <v>17.601711000000002</v>
      </c>
      <c r="Y906" s="16">
        <f>'extended_recharge_2003-2015'!Y42</f>
        <v>14.814420999999999</v>
      </c>
      <c r="Z906" s="16">
        <f>'extended_recharge_2003-2015'!Z42</f>
        <v>4.8481864999999997</v>
      </c>
      <c r="AA906" s="16">
        <f>'extended_recharge_2003-2015'!AA42</f>
        <v>5.599513</v>
      </c>
      <c r="AB906" s="16">
        <f>'extended_recharge_2003-2015'!AB42</f>
        <v>2.4958897000000002</v>
      </c>
      <c r="AC906" s="16">
        <f>'extended_recharge_2003-2015'!AC42</f>
        <v>9.9204329999999992</v>
      </c>
      <c r="AD906" s="16">
        <f>'extended_recharge_2003-2015'!AD42</f>
        <v>2.6933959000000001</v>
      </c>
      <c r="AE906" s="16">
        <f>'extended_recharge_2003-2015'!AE42</f>
        <v>18.698774</v>
      </c>
      <c r="AF906" s="16">
        <f>'extended_recharge_2003-2015'!AF42</f>
        <v>61.333869999999997</v>
      </c>
      <c r="AG906" s="16">
        <f>'extended_recharge_2003-2015'!AG42</f>
        <v>10.037169</v>
      </c>
    </row>
    <row r="907" spans="1:33" x14ac:dyDescent="0.2">
      <c r="A907" s="3">
        <v>35520</v>
      </c>
      <c r="B907" s="2">
        <v>1.69</v>
      </c>
      <c r="C907" s="2">
        <v>24.4</v>
      </c>
      <c r="D907" s="2">
        <v>-26.58</v>
      </c>
      <c r="E907" s="2">
        <v>-103.77</v>
      </c>
      <c r="F907" s="2">
        <v>-112.4</v>
      </c>
      <c r="G907" s="2">
        <v>-102.82</v>
      </c>
      <c r="H907" s="2">
        <v>7.72</v>
      </c>
      <c r="I907" s="2">
        <v>51.67</v>
      </c>
      <c r="J907" s="2">
        <v>-42.09</v>
      </c>
      <c r="K907" s="2">
        <v>-86.41</v>
      </c>
      <c r="L907" s="2">
        <v>-70.97</v>
      </c>
      <c r="M907" s="2">
        <v>-68.27</v>
      </c>
      <c r="N907" s="2">
        <v>0.62</v>
      </c>
      <c r="O907" s="2">
        <v>23.35</v>
      </c>
      <c r="P907" s="2">
        <v>38</v>
      </c>
      <c r="Q907" s="2">
        <v>23.22</v>
      </c>
      <c r="R907" s="2">
        <v>41.24</v>
      </c>
      <c r="S907" s="2">
        <v>-6.78</v>
      </c>
      <c r="T907" s="2">
        <v>36.619999999999997</v>
      </c>
      <c r="U907" s="2">
        <v>19.649999999999999</v>
      </c>
      <c r="V907" s="2">
        <v>39.270000000000003</v>
      </c>
      <c r="W907" s="16">
        <f>'extended_recharge_2003-2015'!W43</f>
        <v>-5.466522E-2</v>
      </c>
      <c r="X907" s="16">
        <f>'extended_recharge_2003-2015'!X43</f>
        <v>18.44172</v>
      </c>
      <c r="Y907" s="16">
        <f>'extended_recharge_2003-2015'!Y43</f>
        <v>13.10005</v>
      </c>
      <c r="Z907" s="16">
        <f>'extended_recharge_2003-2015'!Z43</f>
        <v>3.4169160999999999</v>
      </c>
      <c r="AA907" s="16">
        <f>'extended_recharge_2003-2015'!AA43</f>
        <v>5.2409986999999996</v>
      </c>
      <c r="AB907" s="16">
        <f>'extended_recharge_2003-2015'!AB43</f>
        <v>3.0089435999999998</v>
      </c>
      <c r="AC907" s="16">
        <f>'extended_recharge_2003-2015'!AC43</f>
        <v>6.4668770000000002</v>
      </c>
      <c r="AD907" s="16">
        <f>'extended_recharge_2003-2015'!AD43</f>
        <v>4.1749735000000001</v>
      </c>
      <c r="AE907" s="16">
        <f>'extended_recharge_2003-2015'!AE43</f>
        <v>17.573996999999999</v>
      </c>
      <c r="AF907" s="16">
        <f>'extended_recharge_2003-2015'!AF43</f>
        <v>68.45899</v>
      </c>
      <c r="AG907" s="16">
        <f>'extended_recharge_2003-2015'!AG43</f>
        <v>10.740536000000001</v>
      </c>
    </row>
    <row r="908" spans="1:33" x14ac:dyDescent="0.2">
      <c r="A908" s="3">
        <v>35550</v>
      </c>
      <c r="B908" s="2">
        <v>3.35</v>
      </c>
      <c r="C908" s="2">
        <v>26.26</v>
      </c>
      <c r="D908" s="2">
        <v>12.3</v>
      </c>
      <c r="E908" s="2">
        <v>-41.87</v>
      </c>
      <c r="F908" s="2">
        <v>-7.36</v>
      </c>
      <c r="G908" s="2">
        <v>-54.76</v>
      </c>
      <c r="H908" s="2">
        <v>6.23</v>
      </c>
      <c r="I908" s="2">
        <v>58.2</v>
      </c>
      <c r="J908" s="2">
        <v>-44.36</v>
      </c>
      <c r="K908" s="2">
        <v>-36.340000000000003</v>
      </c>
      <c r="L908" s="2">
        <v>-49.59</v>
      </c>
      <c r="M908" s="2">
        <v>-27.87</v>
      </c>
      <c r="N908" s="2">
        <v>30.23</v>
      </c>
      <c r="O908" s="2">
        <v>31.11</v>
      </c>
      <c r="P908" s="2">
        <v>34.130000000000003</v>
      </c>
      <c r="Q908" s="2">
        <v>10.82</v>
      </c>
      <c r="R908" s="2">
        <v>36.590000000000003</v>
      </c>
      <c r="S908" s="2">
        <v>-26.3</v>
      </c>
      <c r="T908" s="2">
        <v>20.51</v>
      </c>
      <c r="U908" s="2">
        <v>17.989999999999998</v>
      </c>
      <c r="V908" s="2">
        <v>27.51</v>
      </c>
      <c r="W908" s="16">
        <f>'extended_recharge_2003-2015'!W44</f>
        <v>0.65026534000000003</v>
      </c>
      <c r="X908" s="16">
        <f>'extended_recharge_2003-2015'!X44</f>
        <v>19.232054000000002</v>
      </c>
      <c r="Y908" s="16">
        <f>'extended_recharge_2003-2015'!Y44</f>
        <v>15.600076</v>
      </c>
      <c r="Z908" s="16">
        <f>'extended_recharge_2003-2015'!Z44</f>
        <v>0.92241110000000004</v>
      </c>
      <c r="AA908" s="16">
        <f>'extended_recharge_2003-2015'!AA44</f>
        <v>3.7225904000000001</v>
      </c>
      <c r="AB908" s="16">
        <f>'extended_recharge_2003-2015'!AB44</f>
        <v>2.5959215000000002</v>
      </c>
      <c r="AC908" s="16">
        <f>'extended_recharge_2003-2015'!AC44</f>
        <v>0.84569289999999997</v>
      </c>
      <c r="AD908" s="16">
        <f>'extended_recharge_2003-2015'!AD44</f>
        <v>6.4161770000000002</v>
      </c>
      <c r="AE908" s="16">
        <f>'extended_recharge_2003-2015'!AE44</f>
        <v>7.2475877000000004</v>
      </c>
      <c r="AF908" s="16">
        <f>'extended_recharge_2003-2015'!AF44</f>
        <v>86.715230000000005</v>
      </c>
      <c r="AG908" s="16">
        <f>'extended_recharge_2003-2015'!AG44</f>
        <v>14.555692000000001</v>
      </c>
    </row>
    <row r="909" spans="1:33" x14ac:dyDescent="0.2">
      <c r="A909" s="3">
        <v>35581</v>
      </c>
      <c r="B909" s="2">
        <v>4.0999999999999996</v>
      </c>
      <c r="C909" s="2">
        <v>25.59</v>
      </c>
      <c r="D909" s="2">
        <v>-1</v>
      </c>
      <c r="E909" s="2">
        <v>-13.39</v>
      </c>
      <c r="F909" s="2">
        <v>-3.41</v>
      </c>
      <c r="G909" s="2">
        <v>-19</v>
      </c>
      <c r="H909" s="2">
        <v>13.35</v>
      </c>
      <c r="I909" s="2">
        <v>36.4</v>
      </c>
      <c r="J909" s="2">
        <v>-21.89</v>
      </c>
      <c r="K909" s="2">
        <v>7.78</v>
      </c>
      <c r="L909" s="2">
        <v>-9.85</v>
      </c>
      <c r="M909" s="2">
        <v>0.34</v>
      </c>
      <c r="N909" s="2">
        <v>32.15</v>
      </c>
      <c r="O909" s="2">
        <v>32.32</v>
      </c>
      <c r="P909" s="2">
        <v>84.27</v>
      </c>
      <c r="Q909" s="2">
        <v>11.58</v>
      </c>
      <c r="R909" s="2">
        <v>25.06</v>
      </c>
      <c r="S909" s="2">
        <v>-8.6</v>
      </c>
      <c r="T909" s="2">
        <v>42.11</v>
      </c>
      <c r="U909" s="2">
        <v>17.649999999999999</v>
      </c>
      <c r="V909" s="2">
        <v>36.22</v>
      </c>
      <c r="W909" s="16">
        <f>'extended_recharge_2003-2015'!W45</f>
        <v>5.8526993000000003</v>
      </c>
      <c r="X909" s="16">
        <f>'extended_recharge_2003-2015'!X45</f>
        <v>23.286311999999999</v>
      </c>
      <c r="Y909" s="16">
        <f>'extended_recharge_2003-2015'!Y45</f>
        <v>20.007650000000002</v>
      </c>
      <c r="Z909" s="16">
        <f>'extended_recharge_2003-2015'!Z45</f>
        <v>0.70074855999999996</v>
      </c>
      <c r="AA909" s="16">
        <f>'extended_recharge_2003-2015'!AA45</f>
        <v>4.8324655999999999</v>
      </c>
      <c r="AB909" s="16">
        <f>'extended_recharge_2003-2015'!AB45</f>
        <v>1.5260081000000001</v>
      </c>
      <c r="AC909" s="16">
        <f>'extended_recharge_2003-2015'!AC45</f>
        <v>0.56987049999999995</v>
      </c>
      <c r="AD909" s="16">
        <f>'extended_recharge_2003-2015'!AD45</f>
        <v>8.3437640000000002</v>
      </c>
      <c r="AE909" s="16">
        <f>'extended_recharge_2003-2015'!AE45</f>
        <v>1.3637897000000001</v>
      </c>
      <c r="AF909" s="16">
        <f>'extended_recharge_2003-2015'!AF45</f>
        <v>95.203445000000002</v>
      </c>
      <c r="AG909" s="16">
        <f>'extended_recharge_2003-2015'!AG45</f>
        <v>18.096616999999998</v>
      </c>
    </row>
    <row r="910" spans="1:33" x14ac:dyDescent="0.2">
      <c r="A910" s="3">
        <v>35611</v>
      </c>
      <c r="B910" s="2">
        <v>6.89</v>
      </c>
      <c r="C910" s="2">
        <v>31.49</v>
      </c>
      <c r="D910" s="2">
        <v>6.96</v>
      </c>
      <c r="E910" s="2">
        <v>12.03</v>
      </c>
      <c r="F910" s="2">
        <v>22.58</v>
      </c>
      <c r="G910" s="2">
        <v>-0.59</v>
      </c>
      <c r="H910" s="2">
        <v>22.64</v>
      </c>
      <c r="I910" s="2">
        <v>42.75</v>
      </c>
      <c r="J910" s="2">
        <v>-22.72</v>
      </c>
      <c r="K910" s="2">
        <v>24.2</v>
      </c>
      <c r="L910" s="2">
        <v>-11.31</v>
      </c>
      <c r="M910" s="2">
        <v>0.32</v>
      </c>
      <c r="N910" s="2">
        <v>42.85</v>
      </c>
      <c r="O910" s="2">
        <v>25.01</v>
      </c>
      <c r="P910" s="2">
        <v>83.79</v>
      </c>
      <c r="Q910" s="2">
        <v>12.56</v>
      </c>
      <c r="R910" s="2">
        <v>32.450000000000003</v>
      </c>
      <c r="S910" s="2">
        <v>-23.53</v>
      </c>
      <c r="T910" s="2">
        <v>67.319999999999993</v>
      </c>
      <c r="U910" s="2">
        <v>15.51</v>
      </c>
      <c r="V910" s="2">
        <v>37.83</v>
      </c>
      <c r="W910" s="16">
        <f>'extended_recharge_2003-2015'!W46</f>
        <v>19.610302000000001</v>
      </c>
      <c r="X910" s="16">
        <f>'extended_recharge_2003-2015'!X46</f>
        <v>23.798708000000001</v>
      </c>
      <c r="Y910" s="16">
        <f>'extended_recharge_2003-2015'!Y46</f>
        <v>21.222853000000001</v>
      </c>
      <c r="Z910" s="16">
        <f>'extended_recharge_2003-2015'!Z46</f>
        <v>0.20849841999999999</v>
      </c>
      <c r="AA910" s="16">
        <f>'extended_recharge_2003-2015'!AA46</f>
        <v>3.3535821000000001</v>
      </c>
      <c r="AB910" s="16">
        <f>'extended_recharge_2003-2015'!AB46</f>
        <v>1.7010221000000001</v>
      </c>
      <c r="AC910" s="16">
        <f>'extended_recharge_2003-2015'!AC46</f>
        <v>0.26700037999999998</v>
      </c>
      <c r="AD910" s="16">
        <f>'extended_recharge_2003-2015'!AD46</f>
        <v>9.8085850000000008</v>
      </c>
      <c r="AE910" s="16">
        <f>'extended_recharge_2003-2015'!AE46</f>
        <v>-0.94747870000000001</v>
      </c>
      <c r="AF910" s="16">
        <f>'extended_recharge_2003-2015'!AF46</f>
        <v>98.815470000000005</v>
      </c>
      <c r="AG910" s="16">
        <f>'extended_recharge_2003-2015'!AG46</f>
        <v>22.720151999999999</v>
      </c>
    </row>
    <row r="911" spans="1:33" x14ac:dyDescent="0.2">
      <c r="A911" s="3">
        <v>35642</v>
      </c>
      <c r="B911" s="2">
        <v>6.84</v>
      </c>
      <c r="C911" s="2">
        <v>29.56</v>
      </c>
      <c r="D911" s="2">
        <v>8.75</v>
      </c>
      <c r="E911" s="2">
        <v>18.260000000000002</v>
      </c>
      <c r="F911" s="2">
        <v>42.86</v>
      </c>
      <c r="G911" s="2">
        <v>3.62</v>
      </c>
      <c r="H911" s="2">
        <v>27.25</v>
      </c>
      <c r="I911" s="2">
        <v>48.35</v>
      </c>
      <c r="J911" s="2">
        <v>-17.13</v>
      </c>
      <c r="K911" s="2">
        <v>37.479999999999997</v>
      </c>
      <c r="L911" s="2">
        <v>-11.38</v>
      </c>
      <c r="M911" s="2">
        <v>12.22</v>
      </c>
      <c r="N911" s="2">
        <v>57.64</v>
      </c>
      <c r="O911" s="2">
        <v>38.799999999999997</v>
      </c>
      <c r="P911" s="2">
        <v>73.58</v>
      </c>
      <c r="Q911" s="2">
        <v>15.52</v>
      </c>
      <c r="R911" s="2">
        <v>35.93</v>
      </c>
      <c r="S911" s="2">
        <v>-0.85</v>
      </c>
      <c r="T911" s="2">
        <v>55.59</v>
      </c>
      <c r="U911" s="2">
        <v>22.08</v>
      </c>
      <c r="V911" s="2">
        <v>42.6</v>
      </c>
      <c r="W911" s="16">
        <f>'extended_recharge_2003-2015'!W47</f>
        <v>29.536760000000001</v>
      </c>
      <c r="X911" s="16">
        <f>'extended_recharge_2003-2015'!X47</f>
        <v>22.128433000000001</v>
      </c>
      <c r="Y911" s="16">
        <f>'extended_recharge_2003-2015'!Y47</f>
        <v>26.005547</v>
      </c>
      <c r="Z911" s="16">
        <f>'extended_recharge_2003-2015'!Z47</f>
        <v>0.74521243999999998</v>
      </c>
      <c r="AA911" s="16">
        <f>'extended_recharge_2003-2015'!AA47</f>
        <v>3.2475475999999999</v>
      </c>
      <c r="AB911" s="16">
        <f>'extended_recharge_2003-2015'!AB47</f>
        <v>0.66335129999999998</v>
      </c>
      <c r="AC911" s="16">
        <f>'extended_recharge_2003-2015'!AC47</f>
        <v>1.3179734999999999</v>
      </c>
      <c r="AD911" s="16">
        <f>'extended_recharge_2003-2015'!AD47</f>
        <v>8.6375720000000005</v>
      </c>
      <c r="AE911" s="16">
        <f>'extended_recharge_2003-2015'!AE47</f>
        <v>-1.2179797000000001</v>
      </c>
      <c r="AF911" s="16">
        <f>'extended_recharge_2003-2015'!AF47</f>
        <v>107.99888</v>
      </c>
      <c r="AG911" s="16">
        <f>'extended_recharge_2003-2015'!AG47</f>
        <v>24.788864</v>
      </c>
    </row>
    <row r="912" spans="1:33" x14ac:dyDescent="0.2">
      <c r="A912" s="3">
        <v>35673</v>
      </c>
      <c r="B912" s="2">
        <v>4.42</v>
      </c>
      <c r="C912" s="2">
        <v>30.77</v>
      </c>
      <c r="D912" s="2">
        <v>3.54</v>
      </c>
      <c r="E912" s="2">
        <v>2.4</v>
      </c>
      <c r="F912" s="2">
        <v>8.42</v>
      </c>
      <c r="G912" s="2">
        <v>9.93</v>
      </c>
      <c r="H912" s="2">
        <v>18.989999999999998</v>
      </c>
      <c r="I912" s="2">
        <v>53.37</v>
      </c>
      <c r="J912" s="2">
        <v>-1.53</v>
      </c>
      <c r="K912" s="2">
        <v>42.86</v>
      </c>
      <c r="L912" s="2">
        <v>-4.5</v>
      </c>
      <c r="M912" s="2">
        <v>12.49</v>
      </c>
      <c r="N912" s="2">
        <v>61.44</v>
      </c>
      <c r="O912" s="2">
        <v>30.93</v>
      </c>
      <c r="P912" s="2">
        <v>88.45</v>
      </c>
      <c r="Q912" s="2">
        <v>11.37</v>
      </c>
      <c r="R912" s="2">
        <v>37.24</v>
      </c>
      <c r="S912" s="2">
        <v>7.66</v>
      </c>
      <c r="T912" s="2">
        <v>57.3</v>
      </c>
      <c r="U912" s="2">
        <v>24.37</v>
      </c>
      <c r="V912" s="2">
        <v>41.48</v>
      </c>
      <c r="W912" s="16">
        <f>'extended_recharge_2003-2015'!W48</f>
        <v>29.749285</v>
      </c>
      <c r="X912" s="16">
        <f>'extended_recharge_2003-2015'!X48</f>
        <v>23.745273999999998</v>
      </c>
      <c r="Y912" s="16">
        <f>'extended_recharge_2003-2015'!Y48</f>
        <v>26.933558000000001</v>
      </c>
      <c r="Z912" s="16">
        <f>'extended_recharge_2003-2015'!Z48</f>
        <v>1.3171238999999999</v>
      </c>
      <c r="AA912" s="16">
        <f>'extended_recharge_2003-2015'!AA48</f>
        <v>2.6080274999999999</v>
      </c>
      <c r="AB912" s="16">
        <f>'extended_recharge_2003-2015'!AB48</f>
        <v>0.81609326999999998</v>
      </c>
      <c r="AC912" s="16">
        <f>'extended_recharge_2003-2015'!AC48</f>
        <v>3.5735218999999998</v>
      </c>
      <c r="AD912" s="16">
        <f>'extended_recharge_2003-2015'!AD48</f>
        <v>6.5543680000000002</v>
      </c>
      <c r="AE912" s="16">
        <f>'extended_recharge_2003-2015'!AE48</f>
        <v>-1.3327817</v>
      </c>
      <c r="AF912" s="16">
        <f>'extended_recharge_2003-2015'!AF48</f>
        <v>108.62554</v>
      </c>
      <c r="AG912" s="16">
        <f>'extended_recharge_2003-2015'!AG48</f>
        <v>24.484055999999999</v>
      </c>
    </row>
    <row r="913" spans="1:33" x14ac:dyDescent="0.2">
      <c r="A913" s="3">
        <v>35703</v>
      </c>
      <c r="B913" s="2">
        <v>1.79</v>
      </c>
      <c r="C913" s="2">
        <v>31.13</v>
      </c>
      <c r="D913" s="2">
        <v>1.79</v>
      </c>
      <c r="E913" s="2">
        <v>-12.75</v>
      </c>
      <c r="F913" s="2">
        <v>-2.97</v>
      </c>
      <c r="G913" s="2">
        <v>-2.16</v>
      </c>
      <c r="H913" s="2">
        <v>20.100000000000001</v>
      </c>
      <c r="I913" s="2">
        <v>54.3</v>
      </c>
      <c r="J913" s="2">
        <v>7.25</v>
      </c>
      <c r="K913" s="2">
        <v>10.06</v>
      </c>
      <c r="L913" s="2">
        <v>2.57</v>
      </c>
      <c r="M913" s="2">
        <v>10.29</v>
      </c>
      <c r="N913" s="2">
        <v>47.82</v>
      </c>
      <c r="O913" s="2">
        <v>28.5</v>
      </c>
      <c r="P913" s="2">
        <v>52.58</v>
      </c>
      <c r="Q913" s="2">
        <v>12.01</v>
      </c>
      <c r="R913" s="2">
        <v>32.53</v>
      </c>
      <c r="S913" s="2">
        <v>8.8000000000000007</v>
      </c>
      <c r="T913" s="2">
        <v>13.04</v>
      </c>
      <c r="U913" s="2">
        <v>21.96</v>
      </c>
      <c r="V913" s="2">
        <v>18.75</v>
      </c>
      <c r="W913" s="16">
        <f>'extended_recharge_2003-2015'!W49</f>
        <v>25.197496000000001</v>
      </c>
      <c r="X913" s="16">
        <f>'extended_recharge_2003-2015'!X49</f>
        <v>19.707664000000001</v>
      </c>
      <c r="Y913" s="16">
        <f>'extended_recharge_2003-2015'!Y49</f>
        <v>21.598759000000001</v>
      </c>
      <c r="Z913" s="16">
        <f>'extended_recharge_2003-2015'!Z49</f>
        <v>1.7708858000000001</v>
      </c>
      <c r="AA913" s="16">
        <f>'extended_recharge_2003-2015'!AA49</f>
        <v>3.0777510000000001</v>
      </c>
      <c r="AB913" s="16">
        <f>'extended_recharge_2003-2015'!AB49</f>
        <v>0.24171192999999999</v>
      </c>
      <c r="AC913" s="16">
        <f>'extended_recharge_2003-2015'!AC49</f>
        <v>3.7822049</v>
      </c>
      <c r="AD913" s="16">
        <f>'extended_recharge_2003-2015'!AD49</f>
        <v>3.8936858000000001</v>
      </c>
      <c r="AE913" s="16">
        <f>'extended_recharge_2003-2015'!AE49</f>
        <v>2.1301397999999998</v>
      </c>
      <c r="AF913" s="16">
        <f>'extended_recharge_2003-2015'!AF49</f>
        <v>99.607020000000006</v>
      </c>
      <c r="AG913" s="16">
        <f>'extended_recharge_2003-2015'!AG49</f>
        <v>20.197915999999999</v>
      </c>
    </row>
    <row r="914" spans="1:33" x14ac:dyDescent="0.2">
      <c r="A914" s="3">
        <v>35734</v>
      </c>
      <c r="B914" s="2">
        <v>-0.03</v>
      </c>
      <c r="C914" s="2">
        <v>19.440000000000001</v>
      </c>
      <c r="D914" s="2">
        <v>-8.94</v>
      </c>
      <c r="E914" s="2">
        <v>-24.97</v>
      </c>
      <c r="F914" s="2">
        <v>8.67</v>
      </c>
      <c r="G914" s="2">
        <v>0.37</v>
      </c>
      <c r="H914" s="2">
        <v>19.059999999999999</v>
      </c>
      <c r="I914" s="2">
        <v>49.8</v>
      </c>
      <c r="J914" s="2">
        <v>1.7</v>
      </c>
      <c r="K914" s="2">
        <v>3.15</v>
      </c>
      <c r="L914" s="2">
        <v>12.83</v>
      </c>
      <c r="M914" s="2">
        <v>8.8800000000000008</v>
      </c>
      <c r="N914" s="2">
        <v>37.75</v>
      </c>
      <c r="O914" s="2">
        <v>14.97</v>
      </c>
      <c r="P914" s="2">
        <v>56.78</v>
      </c>
      <c r="Q914" s="2">
        <v>6.99</v>
      </c>
      <c r="R914" s="2">
        <v>20.329999999999998</v>
      </c>
      <c r="S914" s="2">
        <v>-13.58</v>
      </c>
      <c r="T914" s="2">
        <v>18.399999999999999</v>
      </c>
      <c r="U914" s="2">
        <v>14.46</v>
      </c>
      <c r="V914" s="2">
        <v>24.94</v>
      </c>
      <c r="W914" s="16">
        <f>'extended_recharge_2003-2015'!W50</f>
        <v>20.830249999999999</v>
      </c>
      <c r="X914" s="16">
        <f>'extended_recharge_2003-2015'!X50</f>
        <v>18.799257000000001</v>
      </c>
      <c r="Y914" s="16">
        <f>'extended_recharge_2003-2015'!Y50</f>
        <v>21.150732000000001</v>
      </c>
      <c r="Z914" s="16">
        <f>'extended_recharge_2003-2015'!Z50</f>
        <v>4.1548065999999997</v>
      </c>
      <c r="AA914" s="16">
        <f>'extended_recharge_2003-2015'!AA50</f>
        <v>4.8955460000000004</v>
      </c>
      <c r="AB914" s="16">
        <f>'extended_recharge_2003-2015'!AB50</f>
        <v>1.7387098000000001</v>
      </c>
      <c r="AC914" s="16">
        <f>'extended_recharge_2003-2015'!AC50</f>
        <v>5.0920120000000004</v>
      </c>
      <c r="AD914" s="16">
        <f>'extended_recharge_2003-2015'!AD50</f>
        <v>2.5543013000000001</v>
      </c>
      <c r="AE914" s="16">
        <f>'extended_recharge_2003-2015'!AE50</f>
        <v>9.3822379999999992</v>
      </c>
      <c r="AF914" s="16">
        <f>'extended_recharge_2003-2015'!AF50</f>
        <v>92.035749999999993</v>
      </c>
      <c r="AG914" s="16">
        <f>'extended_recharge_2003-2015'!AG50</f>
        <v>16.683416000000001</v>
      </c>
    </row>
    <row r="915" spans="1:33" x14ac:dyDescent="0.2">
      <c r="A915" s="3">
        <v>35764</v>
      </c>
      <c r="B915" s="2">
        <v>0.87</v>
      </c>
      <c r="C915" s="2">
        <v>30.88</v>
      </c>
      <c r="D915" s="2">
        <v>31.46</v>
      </c>
      <c r="E915" s="2">
        <v>54.05</v>
      </c>
      <c r="F915" s="2">
        <v>34.85</v>
      </c>
      <c r="G915" s="2">
        <v>45.7</v>
      </c>
      <c r="H915" s="2">
        <v>26.31</v>
      </c>
      <c r="I915" s="2">
        <v>53.03</v>
      </c>
      <c r="J915" s="2">
        <v>25.71</v>
      </c>
      <c r="K915" s="2">
        <v>29.48</v>
      </c>
      <c r="L915" s="2">
        <v>-2.2599999999999998</v>
      </c>
      <c r="M915" s="2">
        <v>15.51</v>
      </c>
      <c r="N915" s="2">
        <v>34.090000000000003</v>
      </c>
      <c r="O915" s="2">
        <v>21.16</v>
      </c>
      <c r="P915" s="2">
        <v>45.56</v>
      </c>
      <c r="Q915" s="2">
        <v>1.94</v>
      </c>
      <c r="R915" s="2">
        <v>16.13</v>
      </c>
      <c r="S915" s="2">
        <v>21.58</v>
      </c>
      <c r="T915" s="2">
        <v>13.95</v>
      </c>
      <c r="U915" s="2">
        <v>14.38</v>
      </c>
      <c r="V915" s="2">
        <v>20.14</v>
      </c>
      <c r="W915" s="16">
        <f>'extended_recharge_2003-2015'!W51</f>
        <v>15.987</v>
      </c>
      <c r="X915" s="16">
        <f>'extended_recharge_2003-2015'!X51</f>
        <v>15.538951000000001</v>
      </c>
      <c r="Y915" s="16">
        <f>'extended_recharge_2003-2015'!Y51</f>
        <v>20.707048</v>
      </c>
      <c r="Z915" s="16">
        <f>'extended_recharge_2003-2015'!Z51</f>
        <v>6.4903069999999996</v>
      </c>
      <c r="AA915" s="16">
        <f>'extended_recharge_2003-2015'!AA51</f>
        <v>3.7606160000000002</v>
      </c>
      <c r="AB915" s="16">
        <f>'extended_recharge_2003-2015'!AB51</f>
        <v>2.2092930000000002</v>
      </c>
      <c r="AC915" s="16">
        <f>'extended_recharge_2003-2015'!AC51</f>
        <v>7.5816374</v>
      </c>
      <c r="AD915" s="16">
        <f>'extended_recharge_2003-2015'!AD51</f>
        <v>1.9968815</v>
      </c>
      <c r="AE915" s="16">
        <f>'extended_recharge_2003-2015'!AE51</f>
        <v>22.712956999999999</v>
      </c>
      <c r="AF915" s="16">
        <f>'extended_recharge_2003-2015'!AF51</f>
        <v>70.926010000000005</v>
      </c>
      <c r="AG915" s="16">
        <f>'extended_recharge_2003-2015'!AG51</f>
        <v>13.173899</v>
      </c>
    </row>
    <row r="916" spans="1:33" x14ac:dyDescent="0.2">
      <c r="A916" s="3">
        <v>35795</v>
      </c>
      <c r="B916" s="2">
        <v>-0.31</v>
      </c>
      <c r="C916" s="2">
        <v>29.51</v>
      </c>
      <c r="D916" s="2">
        <v>20.37</v>
      </c>
      <c r="E916" s="2">
        <v>27.41</v>
      </c>
      <c r="F916" s="2">
        <v>21.59</v>
      </c>
      <c r="G916" s="2">
        <v>26.52</v>
      </c>
      <c r="H916" s="2">
        <v>15.64</v>
      </c>
      <c r="I916" s="2">
        <v>48.7</v>
      </c>
      <c r="J916" s="2">
        <v>21.48</v>
      </c>
      <c r="K916" s="2">
        <v>13.83</v>
      </c>
      <c r="L916" s="2">
        <v>-8.92</v>
      </c>
      <c r="M916" s="2">
        <v>1.3</v>
      </c>
      <c r="N916" s="2">
        <v>20.92</v>
      </c>
      <c r="O916" s="2">
        <v>20.91</v>
      </c>
      <c r="P916" s="2">
        <v>37.81</v>
      </c>
      <c r="Q916" s="2">
        <v>4.74</v>
      </c>
      <c r="R916" s="2">
        <v>16.899999999999999</v>
      </c>
      <c r="S916" s="2">
        <v>33.29</v>
      </c>
      <c r="T916" s="2">
        <v>19.28</v>
      </c>
      <c r="U916" s="2">
        <v>14.88</v>
      </c>
      <c r="V916" s="2">
        <v>7.83</v>
      </c>
      <c r="W916" s="16">
        <f>'extended_recharge_2003-2015'!W52</f>
        <v>11.572996</v>
      </c>
      <c r="X916" s="16">
        <f>'extended_recharge_2003-2015'!X52</f>
        <v>13.669717</v>
      </c>
      <c r="Y916" s="16">
        <f>'extended_recharge_2003-2015'!Y52</f>
        <v>17.404104</v>
      </c>
      <c r="Z916" s="16">
        <f>'extended_recharge_2003-2015'!Z52</f>
        <v>3.3847146000000001</v>
      </c>
      <c r="AA916" s="16">
        <f>'extended_recharge_2003-2015'!AA52</f>
        <v>3.0557596999999999</v>
      </c>
      <c r="AB916" s="16">
        <f>'extended_recharge_2003-2015'!AB52</f>
        <v>1.9606908999999999</v>
      </c>
      <c r="AC916" s="16">
        <f>'extended_recharge_2003-2015'!AC52</f>
        <v>5.4308968000000002</v>
      </c>
      <c r="AD916" s="16">
        <f>'extended_recharge_2003-2015'!AD52</f>
        <v>1.8314433999999999</v>
      </c>
      <c r="AE916" s="16">
        <f>'extended_recharge_2003-2015'!AE52</f>
        <v>26.025621000000001</v>
      </c>
      <c r="AF916" s="16">
        <f>'extended_recharge_2003-2015'!AF52</f>
        <v>64.149699999999996</v>
      </c>
      <c r="AG916" s="16">
        <f>'extended_recharge_2003-2015'!AG52</f>
        <v>11.630489000000001</v>
      </c>
    </row>
    <row r="917" spans="1:33" x14ac:dyDescent="0.2">
      <c r="A917" s="3">
        <v>35826</v>
      </c>
      <c r="B917" s="2">
        <v>4.12</v>
      </c>
      <c r="C917" s="2">
        <v>50.69</v>
      </c>
      <c r="D917" s="2">
        <v>79.59</v>
      </c>
      <c r="E917" s="2">
        <v>243.64</v>
      </c>
      <c r="F917" s="2">
        <v>194.81</v>
      </c>
      <c r="G917" s="2">
        <v>184.17</v>
      </c>
      <c r="H917" s="2">
        <v>38.94</v>
      </c>
      <c r="I917" s="2">
        <v>55.81</v>
      </c>
      <c r="J917" s="2">
        <v>122.36</v>
      </c>
      <c r="K917" s="2">
        <v>89.22</v>
      </c>
      <c r="L917" s="2">
        <v>43.57</v>
      </c>
      <c r="M917" s="2">
        <v>43.47</v>
      </c>
      <c r="N917" s="2">
        <v>67.040000000000006</v>
      </c>
      <c r="O917" s="2">
        <v>15.28</v>
      </c>
      <c r="P917" s="2">
        <v>90.44</v>
      </c>
      <c r="Q917" s="2">
        <v>-5.51</v>
      </c>
      <c r="R917" s="2">
        <v>19</v>
      </c>
      <c r="S917" s="2">
        <v>64.540000000000006</v>
      </c>
      <c r="T917" s="2">
        <v>13.84</v>
      </c>
      <c r="U917" s="2">
        <v>16.18</v>
      </c>
      <c r="V917" s="2">
        <v>17.829999999999998</v>
      </c>
      <c r="W917" s="16">
        <f>'extended_recharge_2003-2015'!W53</f>
        <v>4.7531429999999997</v>
      </c>
      <c r="X917" s="16">
        <f>'extended_recharge_2003-2015'!X53</f>
        <v>14.247154</v>
      </c>
      <c r="Y917" s="16">
        <f>'extended_recharge_2003-2015'!Y53</f>
        <v>15.907087000000001</v>
      </c>
      <c r="Z917" s="16">
        <f>'extended_recharge_2003-2015'!Z53</f>
        <v>3.4781439999999999</v>
      </c>
      <c r="AA917" s="16">
        <f>'extended_recharge_2003-2015'!AA53</f>
        <v>2.7742149999999999</v>
      </c>
      <c r="AB917" s="16">
        <f>'extended_recharge_2003-2015'!AB53</f>
        <v>1.8461068</v>
      </c>
      <c r="AC917" s="16">
        <f>'extended_recharge_2003-2015'!AC53</f>
        <v>6.8096027000000001</v>
      </c>
      <c r="AD917" s="16">
        <f>'extended_recharge_2003-2015'!AD53</f>
        <v>1.8782361999999999</v>
      </c>
      <c r="AE917" s="16">
        <f>'extended_recharge_2003-2015'!AE53</f>
        <v>26.318548</v>
      </c>
      <c r="AF917" s="16">
        <f>'extended_recharge_2003-2015'!AF53</f>
        <v>69.876630000000006</v>
      </c>
      <c r="AG917" s="16">
        <f>'extended_recharge_2003-2015'!AG53</f>
        <v>9.6372959999999992</v>
      </c>
    </row>
    <row r="918" spans="1:33" x14ac:dyDescent="0.2">
      <c r="A918" s="3">
        <v>35854</v>
      </c>
      <c r="B918" s="2">
        <v>17.41</v>
      </c>
      <c r="C918" s="2">
        <v>92</v>
      </c>
      <c r="D918" s="2">
        <v>149.69999999999999</v>
      </c>
      <c r="E918" s="2">
        <v>379.65</v>
      </c>
      <c r="F918" s="2">
        <v>338.77</v>
      </c>
      <c r="G918" s="2">
        <v>336.69</v>
      </c>
      <c r="H918" s="2">
        <v>22.18</v>
      </c>
      <c r="I918" s="2">
        <v>67.52</v>
      </c>
      <c r="J918" s="2">
        <v>195.57</v>
      </c>
      <c r="K918" s="2">
        <v>213.6</v>
      </c>
      <c r="L918" s="2">
        <v>80.52</v>
      </c>
      <c r="M918" s="2">
        <v>120.16</v>
      </c>
      <c r="N918" s="2">
        <v>224.05</v>
      </c>
      <c r="O918" s="2">
        <v>20.02</v>
      </c>
      <c r="P918" s="2">
        <v>317.68</v>
      </c>
      <c r="Q918" s="2">
        <v>0.6</v>
      </c>
      <c r="R918" s="2">
        <v>26.49</v>
      </c>
      <c r="S918" s="2">
        <v>147.53</v>
      </c>
      <c r="T918" s="2">
        <v>256.43</v>
      </c>
      <c r="U918" s="2">
        <v>19.55</v>
      </c>
      <c r="V918" s="2">
        <v>71.95</v>
      </c>
      <c r="W918" s="16">
        <f>'extended_recharge_2003-2015'!W54</f>
        <v>0.47706156999999999</v>
      </c>
      <c r="X918" s="16">
        <f>'extended_recharge_2003-2015'!X54</f>
        <v>14.224351</v>
      </c>
      <c r="Y918" s="16">
        <f>'extended_recharge_2003-2015'!Y54</f>
        <v>17.708566999999999</v>
      </c>
      <c r="Z918" s="16">
        <f>'extended_recharge_2003-2015'!Z54</f>
        <v>4.9439172999999998</v>
      </c>
      <c r="AA918" s="16">
        <f>'extended_recharge_2003-2015'!AA54</f>
        <v>5.8599667999999996</v>
      </c>
      <c r="AB918" s="16">
        <f>'extended_recharge_2003-2015'!AB54</f>
        <v>2.922228</v>
      </c>
      <c r="AC918" s="16">
        <f>'extended_recharge_2003-2015'!AC54</f>
        <v>7.807328</v>
      </c>
      <c r="AD918" s="16">
        <f>'extended_recharge_2003-2015'!AD54</f>
        <v>2.3978956</v>
      </c>
      <c r="AE918" s="16">
        <f>'extended_recharge_2003-2015'!AE54</f>
        <v>22.224947</v>
      </c>
      <c r="AF918" s="16">
        <f>'extended_recharge_2003-2015'!AF54</f>
        <v>63.940964000000001</v>
      </c>
      <c r="AG918" s="16">
        <f>'extended_recharge_2003-2015'!AG54</f>
        <v>9.8762240000000006</v>
      </c>
    </row>
    <row r="919" spans="1:33" x14ac:dyDescent="0.2">
      <c r="A919" s="3">
        <v>35885</v>
      </c>
      <c r="B919" s="2">
        <v>19.649999999999999</v>
      </c>
      <c r="C919" s="2">
        <v>55.92</v>
      </c>
      <c r="D919" s="2">
        <v>-36.869999999999997</v>
      </c>
      <c r="E919" s="2">
        <v>-113.84</v>
      </c>
      <c r="F919" s="2">
        <v>-45.76</v>
      </c>
      <c r="G919" s="2">
        <v>-42.22</v>
      </c>
      <c r="H919" s="2">
        <v>38.049999999999997</v>
      </c>
      <c r="I919" s="2">
        <v>73.099999999999994</v>
      </c>
      <c r="J919" s="2">
        <v>16.64</v>
      </c>
      <c r="K919" s="2">
        <v>-57.78</v>
      </c>
      <c r="L919" s="2">
        <v>-2.73</v>
      </c>
      <c r="M919" s="2">
        <v>-16.760000000000002</v>
      </c>
      <c r="N919" s="2">
        <v>28.82</v>
      </c>
      <c r="O919" s="2">
        <v>26.47</v>
      </c>
      <c r="P919" s="2">
        <v>156.38999999999999</v>
      </c>
      <c r="Q919" s="2">
        <v>16</v>
      </c>
      <c r="R919" s="2">
        <v>32.450000000000003</v>
      </c>
      <c r="S919" s="2">
        <v>94.92</v>
      </c>
      <c r="T919" s="2">
        <v>65.45</v>
      </c>
      <c r="U919" s="2">
        <v>18.190000000000001</v>
      </c>
      <c r="V919" s="2">
        <v>29.64</v>
      </c>
      <c r="W919" s="16">
        <f>'extended_recharge_2003-2015'!W55</f>
        <v>0.14648920000000001</v>
      </c>
      <c r="X919" s="16">
        <f>'extended_recharge_2003-2015'!X55</f>
        <v>14.65743</v>
      </c>
      <c r="Y919" s="16">
        <f>'extended_recharge_2003-2015'!Y55</f>
        <v>14.2011</v>
      </c>
      <c r="Z919" s="16">
        <f>'extended_recharge_2003-2015'!Z55</f>
        <v>2.3022513</v>
      </c>
      <c r="AA919" s="16">
        <f>'extended_recharge_2003-2015'!AA55</f>
        <v>6.6281860000000004</v>
      </c>
      <c r="AB919" s="16">
        <f>'extended_recharge_2003-2015'!AB55</f>
        <v>2.3078080000000001</v>
      </c>
      <c r="AC919" s="16">
        <f>'extended_recharge_2003-2015'!AC55</f>
        <v>5.4259380000000004</v>
      </c>
      <c r="AD919" s="16">
        <f>'extended_recharge_2003-2015'!AD55</f>
        <v>3.676358</v>
      </c>
      <c r="AE919" s="16">
        <f>'extended_recharge_2003-2015'!AE55</f>
        <v>11.769496</v>
      </c>
      <c r="AF919" s="16">
        <f>'extended_recharge_2003-2015'!AF55</f>
        <v>70.232420000000005</v>
      </c>
      <c r="AG919" s="16">
        <f>'extended_recharge_2003-2015'!AG55</f>
        <v>10.458726</v>
      </c>
    </row>
    <row r="920" spans="1:33" x14ac:dyDescent="0.2">
      <c r="A920" s="3">
        <v>35915</v>
      </c>
      <c r="B920" s="2">
        <v>12.56</v>
      </c>
      <c r="C920" s="2">
        <v>44.37</v>
      </c>
      <c r="D920" s="2">
        <v>-21.58</v>
      </c>
      <c r="E920" s="2">
        <v>-123.44</v>
      </c>
      <c r="F920" s="2">
        <v>-44.65</v>
      </c>
      <c r="G920" s="2">
        <v>-140.03</v>
      </c>
      <c r="H920" s="2">
        <v>19.940000000000001</v>
      </c>
      <c r="I920" s="2">
        <v>65.67</v>
      </c>
      <c r="J920" s="2">
        <v>-1.52</v>
      </c>
      <c r="K920" s="2">
        <v>18.690000000000001</v>
      </c>
      <c r="L920" s="2">
        <v>1.24</v>
      </c>
      <c r="M920" s="2">
        <v>9.6199999999999992</v>
      </c>
      <c r="N920" s="2">
        <v>97.43</v>
      </c>
      <c r="O920" s="2">
        <v>30.29</v>
      </c>
      <c r="P920" s="2">
        <v>112.24</v>
      </c>
      <c r="Q920" s="2">
        <v>27.6</v>
      </c>
      <c r="R920" s="2">
        <v>44.26</v>
      </c>
      <c r="S920" s="2">
        <v>35.69</v>
      </c>
      <c r="T920" s="2">
        <v>51.27</v>
      </c>
      <c r="U920" s="2">
        <v>25.41</v>
      </c>
      <c r="V920" s="2">
        <v>39.19</v>
      </c>
      <c r="W920" s="16">
        <f>'extended_recharge_2003-2015'!W56</f>
        <v>0.6907742</v>
      </c>
      <c r="X920" s="16">
        <f>'extended_recharge_2003-2015'!X56</f>
        <v>13.492793000000001</v>
      </c>
      <c r="Y920" s="16">
        <f>'extended_recharge_2003-2015'!Y56</f>
        <v>16.161190000000001</v>
      </c>
      <c r="Z920" s="16">
        <f>'extended_recharge_2003-2015'!Z56</f>
        <v>1.1640942999999999</v>
      </c>
      <c r="AA920" s="16">
        <f>'extended_recharge_2003-2015'!AA56</f>
        <v>5.1096120000000003</v>
      </c>
      <c r="AB920" s="16">
        <f>'extended_recharge_2003-2015'!AB56</f>
        <v>1.8939469</v>
      </c>
      <c r="AC920" s="16">
        <f>'extended_recharge_2003-2015'!AC56</f>
        <v>1.6840858000000001</v>
      </c>
      <c r="AD920" s="16">
        <f>'extended_recharge_2003-2015'!AD56</f>
        <v>5.9186170000000002</v>
      </c>
      <c r="AE920" s="16">
        <f>'extended_recharge_2003-2015'!AE56</f>
        <v>4.9947590000000002</v>
      </c>
      <c r="AF920" s="16">
        <f>'extended_recharge_2003-2015'!AF56</f>
        <v>85.999459999999999</v>
      </c>
      <c r="AG920" s="16">
        <f>'extended_recharge_2003-2015'!AG56</f>
        <v>14.249969999999999</v>
      </c>
    </row>
    <row r="921" spans="1:33" x14ac:dyDescent="0.2">
      <c r="A921" s="3">
        <v>35946</v>
      </c>
      <c r="B921" s="2">
        <v>14.94</v>
      </c>
      <c r="C921" s="2">
        <v>50.51</v>
      </c>
      <c r="D921" s="2">
        <v>-0.09</v>
      </c>
      <c r="E921" s="2">
        <v>-7.33</v>
      </c>
      <c r="F921" s="2">
        <v>-9.34</v>
      </c>
      <c r="G921" s="2">
        <v>-37.32</v>
      </c>
      <c r="H921" s="2">
        <v>34.67</v>
      </c>
      <c r="I921" s="2">
        <v>71.180000000000007</v>
      </c>
      <c r="J921" s="2">
        <v>12.94</v>
      </c>
      <c r="K921" s="2">
        <v>37.729999999999997</v>
      </c>
      <c r="L921" s="2">
        <v>-3.26</v>
      </c>
      <c r="M921" s="2">
        <v>7.87</v>
      </c>
      <c r="N921" s="2">
        <v>63.09</v>
      </c>
      <c r="O921" s="2">
        <v>23.07</v>
      </c>
      <c r="P921" s="2">
        <v>135.61000000000001</v>
      </c>
      <c r="Q921" s="2">
        <v>21.58</v>
      </c>
      <c r="R921" s="2">
        <v>40.49</v>
      </c>
      <c r="S921" s="2">
        <v>32.29</v>
      </c>
      <c r="T921" s="2">
        <v>101.81</v>
      </c>
      <c r="U921" s="2">
        <v>22.65</v>
      </c>
      <c r="V921" s="2">
        <v>49.93</v>
      </c>
      <c r="W921" s="16">
        <f>'extended_recharge_2003-2015'!W57</f>
        <v>5.4408107000000001</v>
      </c>
      <c r="X921" s="16">
        <f>'extended_recharge_2003-2015'!X57</f>
        <v>16.635254</v>
      </c>
      <c r="Y921" s="16">
        <f>'extended_recharge_2003-2015'!Y57</f>
        <v>18.963684000000001</v>
      </c>
      <c r="Z921" s="16">
        <f>'extended_recharge_2003-2015'!Z57</f>
        <v>1.8804672</v>
      </c>
      <c r="AA921" s="16">
        <f>'extended_recharge_2003-2015'!AA57</f>
        <v>4.8689833</v>
      </c>
      <c r="AB921" s="16">
        <f>'extended_recharge_2003-2015'!AB57</f>
        <v>2.2309508</v>
      </c>
      <c r="AC921" s="16">
        <f>'extended_recharge_2003-2015'!AC57</f>
        <v>0.48119876</v>
      </c>
      <c r="AD921" s="16">
        <f>'extended_recharge_2003-2015'!AD57</f>
        <v>8.5629390000000001</v>
      </c>
      <c r="AE921" s="16">
        <f>'extended_recharge_2003-2015'!AE57</f>
        <v>2.6484450000000002</v>
      </c>
      <c r="AF921" s="16">
        <f>'extended_recharge_2003-2015'!AF57</f>
        <v>94.032880000000006</v>
      </c>
      <c r="AG921" s="16">
        <f>'extended_recharge_2003-2015'!AG57</f>
        <v>17.670670000000001</v>
      </c>
    </row>
    <row r="922" spans="1:33" x14ac:dyDescent="0.2">
      <c r="A922" s="3">
        <v>35976</v>
      </c>
      <c r="B922" s="2">
        <v>13.65</v>
      </c>
      <c r="C922" s="2">
        <v>41.14</v>
      </c>
      <c r="D922" s="2">
        <v>2.52</v>
      </c>
      <c r="E922" s="2">
        <v>-37.53</v>
      </c>
      <c r="F922" s="2">
        <v>6.05</v>
      </c>
      <c r="G922" s="2">
        <v>-16.28</v>
      </c>
      <c r="H922" s="2">
        <v>19.05</v>
      </c>
      <c r="I922" s="2">
        <v>60.07</v>
      </c>
      <c r="J922" s="2">
        <v>-4.2</v>
      </c>
      <c r="K922" s="2">
        <v>49.93</v>
      </c>
      <c r="L922" s="2">
        <v>10.88</v>
      </c>
      <c r="M922" s="2">
        <v>23.24</v>
      </c>
      <c r="N922" s="2">
        <v>77.91</v>
      </c>
      <c r="O922" s="2">
        <v>19.940000000000001</v>
      </c>
      <c r="P922" s="2">
        <v>116.87</v>
      </c>
      <c r="Q922" s="2">
        <v>17.5</v>
      </c>
      <c r="R922" s="2">
        <v>39.369999999999997</v>
      </c>
      <c r="S922" s="2">
        <v>18.37</v>
      </c>
      <c r="T922" s="2">
        <v>121.43</v>
      </c>
      <c r="U922" s="2">
        <v>17.43</v>
      </c>
      <c r="V922" s="2">
        <v>55.64</v>
      </c>
      <c r="W922" s="16">
        <f>'extended_recharge_2003-2015'!W58</f>
        <v>18.556234</v>
      </c>
      <c r="X922" s="16">
        <f>'extended_recharge_2003-2015'!X58</f>
        <v>16.388435000000001</v>
      </c>
      <c r="Y922" s="16">
        <f>'extended_recharge_2003-2015'!Y58</f>
        <v>19.983706999999999</v>
      </c>
      <c r="Z922" s="16">
        <f>'extended_recharge_2003-2015'!Z58</f>
        <v>1.0146930000000001</v>
      </c>
      <c r="AA922" s="16">
        <f>'extended_recharge_2003-2015'!AA58</f>
        <v>3.3321570999999999</v>
      </c>
      <c r="AB922" s="16">
        <f>'extended_recharge_2003-2015'!AB58</f>
        <v>1.5785819000000001</v>
      </c>
      <c r="AC922" s="16">
        <f>'extended_recharge_2003-2015'!AC58</f>
        <v>-4.527569E-2</v>
      </c>
      <c r="AD922" s="16">
        <f>'extended_recharge_2003-2015'!AD58</f>
        <v>10.488925</v>
      </c>
      <c r="AE922" s="16">
        <f>'extended_recharge_2003-2015'!AE58</f>
        <v>-0.40342453</v>
      </c>
      <c r="AF922" s="16">
        <f>'extended_recharge_2003-2015'!AF58</f>
        <v>99.627399999999994</v>
      </c>
      <c r="AG922" s="16">
        <f>'extended_recharge_2003-2015'!AG58</f>
        <v>22.669537999999999</v>
      </c>
    </row>
    <row r="923" spans="1:33" x14ac:dyDescent="0.2">
      <c r="A923" s="3">
        <v>36007</v>
      </c>
      <c r="B923" s="2">
        <v>10.52</v>
      </c>
      <c r="C923" s="2">
        <v>36.17</v>
      </c>
      <c r="D923" s="2">
        <v>-2.62</v>
      </c>
      <c r="E923" s="2">
        <v>-53.35</v>
      </c>
      <c r="F923" s="2">
        <v>-40.15</v>
      </c>
      <c r="G923" s="2">
        <v>-23.99</v>
      </c>
      <c r="H923" s="2">
        <v>8.65</v>
      </c>
      <c r="I923" s="2">
        <v>57.2</v>
      </c>
      <c r="J923" s="2">
        <v>-26.06</v>
      </c>
      <c r="K923" s="2">
        <v>10.5</v>
      </c>
      <c r="L923" s="2">
        <v>1.23</v>
      </c>
      <c r="M923" s="2">
        <v>3.43</v>
      </c>
      <c r="N923" s="2">
        <v>52.58</v>
      </c>
      <c r="O923" s="2">
        <v>32.200000000000003</v>
      </c>
      <c r="P923" s="2">
        <v>106.93</v>
      </c>
      <c r="Q923" s="2">
        <v>19.510000000000002</v>
      </c>
      <c r="R923" s="2">
        <v>40.86</v>
      </c>
      <c r="S923" s="2">
        <v>-18.41</v>
      </c>
      <c r="T923" s="2">
        <v>88.96</v>
      </c>
      <c r="U923" s="2">
        <v>19.79</v>
      </c>
      <c r="V923" s="2">
        <v>55.05</v>
      </c>
      <c r="W923" s="16">
        <f>'extended_recharge_2003-2015'!W59</f>
        <v>28.304995999999999</v>
      </c>
      <c r="X923" s="16">
        <f>'extended_recharge_2003-2015'!X59</f>
        <v>15.361340999999999</v>
      </c>
      <c r="Y923" s="16">
        <f>'extended_recharge_2003-2015'!Y59</f>
        <v>23.404810000000001</v>
      </c>
      <c r="Z923" s="16">
        <f>'extended_recharge_2003-2015'!Z59</f>
        <v>1.6662996999999999</v>
      </c>
      <c r="AA923" s="16">
        <f>'extended_recharge_2003-2015'!AA59</f>
        <v>3.5330140000000001</v>
      </c>
      <c r="AB923" s="16">
        <f>'extended_recharge_2003-2015'!AB59</f>
        <v>1.1160144000000001</v>
      </c>
      <c r="AC923" s="16">
        <f>'extended_recharge_2003-2015'!AC59</f>
        <v>1.2813272</v>
      </c>
      <c r="AD923" s="16">
        <f>'extended_recharge_2003-2015'!AD59</f>
        <v>9.4603900000000003</v>
      </c>
      <c r="AE923" s="16">
        <f>'extended_recharge_2003-2015'!AE59</f>
        <v>-1.5210797</v>
      </c>
      <c r="AF923" s="16">
        <f>'extended_recharge_2003-2015'!AF59</f>
        <v>109.130394</v>
      </c>
      <c r="AG923" s="16">
        <f>'extended_recharge_2003-2015'!AG59</f>
        <v>24.815514</v>
      </c>
    </row>
    <row r="924" spans="1:33" x14ac:dyDescent="0.2">
      <c r="A924" s="3">
        <v>36038</v>
      </c>
      <c r="B924" s="2">
        <v>9.17</v>
      </c>
      <c r="C924" s="2">
        <v>36.68</v>
      </c>
      <c r="D924" s="2">
        <v>1.18</v>
      </c>
      <c r="E924" s="2">
        <v>-31.87</v>
      </c>
      <c r="F924" s="2">
        <v>-7.81</v>
      </c>
      <c r="G924" s="2">
        <v>6.7</v>
      </c>
      <c r="H924" s="2">
        <v>17.12</v>
      </c>
      <c r="I924" s="2">
        <v>61.43</v>
      </c>
      <c r="J924" s="2">
        <v>-33.409999999999997</v>
      </c>
      <c r="K924" s="2">
        <v>-44.52</v>
      </c>
      <c r="L924" s="2">
        <v>-17.440000000000001</v>
      </c>
      <c r="M924" s="2">
        <v>-19.649999999999999</v>
      </c>
      <c r="N924" s="2">
        <v>21.55</v>
      </c>
      <c r="O924" s="2">
        <v>23.61</v>
      </c>
      <c r="P924" s="2">
        <v>61.47</v>
      </c>
      <c r="Q924" s="2">
        <v>14.63</v>
      </c>
      <c r="R924" s="2">
        <v>43.74</v>
      </c>
      <c r="S924" s="2">
        <v>-25.46</v>
      </c>
      <c r="T924" s="2">
        <v>47.1</v>
      </c>
      <c r="U924" s="2">
        <v>23.99</v>
      </c>
      <c r="V924" s="2">
        <v>49.05</v>
      </c>
      <c r="W924" s="16">
        <f>'extended_recharge_2003-2015'!W60</f>
        <v>30.459682000000001</v>
      </c>
      <c r="X924" s="16">
        <f>'extended_recharge_2003-2015'!X60</f>
        <v>16.260876</v>
      </c>
      <c r="Y924" s="16">
        <f>'extended_recharge_2003-2015'!Y60</f>
        <v>25.614988</v>
      </c>
      <c r="Z924" s="16">
        <f>'extended_recharge_2003-2015'!Z60</f>
        <v>1.9190394</v>
      </c>
      <c r="AA924" s="16">
        <f>'extended_recharge_2003-2015'!AA60</f>
        <v>3.2169306</v>
      </c>
      <c r="AB924" s="16">
        <f>'extended_recharge_2003-2015'!AB60</f>
        <v>1.4935025</v>
      </c>
      <c r="AC924" s="16">
        <f>'extended_recharge_2003-2015'!AC60</f>
        <v>1.8075985000000001</v>
      </c>
      <c r="AD924" s="16">
        <f>'extended_recharge_2003-2015'!AD60</f>
        <v>5.7788310000000003</v>
      </c>
      <c r="AE924" s="16">
        <f>'extended_recharge_2003-2015'!AE60</f>
        <v>9.8681850000000002E-2</v>
      </c>
      <c r="AF924" s="16">
        <f>'extended_recharge_2003-2015'!AF60</f>
        <v>109.92901999999999</v>
      </c>
      <c r="AG924" s="16">
        <f>'extended_recharge_2003-2015'!AG60</f>
        <v>23.975088</v>
      </c>
    </row>
    <row r="925" spans="1:33" x14ac:dyDescent="0.2">
      <c r="A925" s="3">
        <v>36068</v>
      </c>
      <c r="B925" s="2">
        <v>6.31</v>
      </c>
      <c r="C925" s="2">
        <v>36.67</v>
      </c>
      <c r="D925" s="2">
        <v>2.33</v>
      </c>
      <c r="E925" s="2">
        <v>-28.95</v>
      </c>
      <c r="F925" s="2">
        <v>-3.43</v>
      </c>
      <c r="G925" s="2">
        <v>-2.0099999999999998</v>
      </c>
      <c r="H925" s="2">
        <v>23.6</v>
      </c>
      <c r="I925" s="2">
        <v>57.74</v>
      </c>
      <c r="J925" s="2">
        <v>-14.5</v>
      </c>
      <c r="K925" s="2">
        <v>-13.87</v>
      </c>
      <c r="L925" s="2">
        <v>-3.26</v>
      </c>
      <c r="M925" s="2">
        <v>3.05</v>
      </c>
      <c r="N925" s="2">
        <v>39.340000000000003</v>
      </c>
      <c r="O925" s="2">
        <v>23.48</v>
      </c>
      <c r="P925" s="2">
        <v>17.23</v>
      </c>
      <c r="Q925" s="2">
        <v>18.14</v>
      </c>
      <c r="R925" s="2">
        <v>35.950000000000003</v>
      </c>
      <c r="S925" s="2">
        <v>4.3600000000000003</v>
      </c>
      <c r="T925" s="2">
        <v>14.09</v>
      </c>
      <c r="U925" s="2">
        <v>25.3</v>
      </c>
      <c r="V925" s="2">
        <v>32.909999999999997</v>
      </c>
      <c r="W925" s="16">
        <f>'extended_recharge_2003-2015'!W61</f>
        <v>25.433056000000001</v>
      </c>
      <c r="X925" s="16">
        <f>'extended_recharge_2003-2015'!X61</f>
        <v>10.279662</v>
      </c>
      <c r="Y925" s="16">
        <f>'extended_recharge_2003-2015'!Y61</f>
        <v>17.974751999999999</v>
      </c>
      <c r="Z925" s="16">
        <f>'extended_recharge_2003-2015'!Z61</f>
        <v>4.0030950000000001</v>
      </c>
      <c r="AA925" s="16">
        <f>'extended_recharge_2003-2015'!AA61</f>
        <v>5.7913832999999997</v>
      </c>
      <c r="AB925" s="16">
        <f>'extended_recharge_2003-2015'!AB61</f>
        <v>2.1655562000000002</v>
      </c>
      <c r="AC925" s="16">
        <f>'extended_recharge_2003-2015'!AC61</f>
        <v>5.3376416999999998</v>
      </c>
      <c r="AD925" s="16">
        <f>'extended_recharge_2003-2015'!AD61</f>
        <v>4.3848269999999996</v>
      </c>
      <c r="AE925" s="16">
        <f>'extended_recharge_2003-2015'!AE61</f>
        <v>2.0738289999999999</v>
      </c>
      <c r="AF925" s="16">
        <f>'extended_recharge_2003-2015'!AF61</f>
        <v>100.69391</v>
      </c>
      <c r="AG925" s="16">
        <f>'extended_recharge_2003-2015'!AG61</f>
        <v>20.169577</v>
      </c>
    </row>
    <row r="926" spans="1:33" x14ac:dyDescent="0.2">
      <c r="A926" s="3">
        <v>36099</v>
      </c>
      <c r="B926" s="2">
        <v>3.19</v>
      </c>
      <c r="C926" s="2">
        <v>30.15</v>
      </c>
      <c r="D926" s="2">
        <v>0.01</v>
      </c>
      <c r="E926" s="2">
        <v>-33.909999999999997</v>
      </c>
      <c r="F926" s="2">
        <v>-25.3</v>
      </c>
      <c r="G926" s="2">
        <v>-3.95</v>
      </c>
      <c r="H926" s="2">
        <v>16.71</v>
      </c>
      <c r="I926" s="2">
        <v>51.81</v>
      </c>
      <c r="J926" s="2">
        <v>-4</v>
      </c>
      <c r="K926" s="2">
        <v>-2.02</v>
      </c>
      <c r="L926" s="2">
        <v>-8.9499999999999993</v>
      </c>
      <c r="M926" s="2">
        <v>-0.79</v>
      </c>
      <c r="N926" s="2">
        <v>43.72</v>
      </c>
      <c r="O926" s="2">
        <v>19.260000000000002</v>
      </c>
      <c r="P926" s="2">
        <v>65.400000000000006</v>
      </c>
      <c r="Q926" s="2">
        <v>12.87</v>
      </c>
      <c r="R926" s="2">
        <v>20.13</v>
      </c>
      <c r="S926" s="2">
        <v>-9.5</v>
      </c>
      <c r="T926" s="2">
        <v>8.94</v>
      </c>
      <c r="U926" s="2">
        <v>14.67</v>
      </c>
      <c r="V926" s="2">
        <v>34.299999999999997</v>
      </c>
      <c r="W926" s="16">
        <f>'extended_recharge_2003-2015'!W62</f>
        <v>20.955677000000001</v>
      </c>
      <c r="X926" s="16">
        <f>'extended_recharge_2003-2015'!X62</f>
        <v>10.8205385</v>
      </c>
      <c r="Y926" s="16">
        <f>'extended_recharge_2003-2015'!Y62</f>
        <v>17.904862999999999</v>
      </c>
      <c r="Z926" s="16">
        <f>'extended_recharge_2003-2015'!Z62</f>
        <v>3.8680053000000001</v>
      </c>
      <c r="AA926" s="16">
        <f>'extended_recharge_2003-2015'!AA62</f>
        <v>3.8563185</v>
      </c>
      <c r="AB926" s="16">
        <f>'extended_recharge_2003-2015'!AB62</f>
        <v>1.6829911</v>
      </c>
      <c r="AC926" s="16">
        <f>'extended_recharge_2003-2015'!AC62</f>
        <v>5.7770299999999999</v>
      </c>
      <c r="AD926" s="16">
        <f>'extended_recharge_2003-2015'!AD62</f>
        <v>3.0416186000000001</v>
      </c>
      <c r="AE926" s="16">
        <f>'extended_recharge_2003-2015'!AE62</f>
        <v>10.116578000000001</v>
      </c>
      <c r="AF926" s="16">
        <f>'extended_recharge_2003-2015'!AF62</f>
        <v>95.101219999999998</v>
      </c>
      <c r="AG926" s="16">
        <f>'extended_recharge_2003-2015'!AG62</f>
        <v>16.502565000000001</v>
      </c>
    </row>
    <row r="927" spans="1:33" x14ac:dyDescent="0.2">
      <c r="A927" s="3">
        <v>36129</v>
      </c>
      <c r="B927" s="2">
        <v>7.4</v>
      </c>
      <c r="C927" s="2">
        <v>35.51</v>
      </c>
      <c r="D927" s="2">
        <v>27.78</v>
      </c>
      <c r="E927" s="2">
        <v>46.96</v>
      </c>
      <c r="F927" s="2">
        <v>16.95</v>
      </c>
      <c r="G927" s="2">
        <v>27.18</v>
      </c>
      <c r="H927" s="2">
        <v>30.62</v>
      </c>
      <c r="I927" s="2">
        <v>56.16</v>
      </c>
      <c r="J927" s="2">
        <v>-0.67</v>
      </c>
      <c r="K927" s="2">
        <v>-2.41</v>
      </c>
      <c r="L927" s="2">
        <v>-28.08</v>
      </c>
      <c r="M927" s="2">
        <v>-10.01</v>
      </c>
      <c r="N927" s="2">
        <v>30.74</v>
      </c>
      <c r="O927" s="2">
        <v>24.27</v>
      </c>
      <c r="P927" s="2">
        <v>69.73</v>
      </c>
      <c r="Q927" s="2">
        <v>9.1</v>
      </c>
      <c r="R927" s="2">
        <v>20.260000000000002</v>
      </c>
      <c r="S927" s="2">
        <v>9.11</v>
      </c>
      <c r="T927" s="2">
        <v>6.33</v>
      </c>
      <c r="U927" s="2">
        <v>23.9</v>
      </c>
      <c r="V927" s="2">
        <v>32.299999999999997</v>
      </c>
      <c r="W927" s="16">
        <f>'extended_recharge_2003-2015'!W63</f>
        <v>16.176141999999999</v>
      </c>
      <c r="X927" s="16">
        <f>'extended_recharge_2003-2015'!X63</f>
        <v>8.6834089999999993</v>
      </c>
      <c r="Y927" s="16">
        <f>'extended_recharge_2003-2015'!Y63</f>
        <v>15.3517685</v>
      </c>
      <c r="Z927" s="16">
        <f>'extended_recharge_2003-2015'!Z63</f>
        <v>4.6804705000000002</v>
      </c>
      <c r="AA927" s="16">
        <f>'extended_recharge_2003-2015'!AA63</f>
        <v>4.2030963999999997</v>
      </c>
      <c r="AB927" s="16">
        <f>'extended_recharge_2003-2015'!AB63</f>
        <v>1.8521882999999999</v>
      </c>
      <c r="AC927" s="16">
        <f>'extended_recharge_2003-2015'!AC63</f>
        <v>5.3776735999999996</v>
      </c>
      <c r="AD927" s="16">
        <f>'extended_recharge_2003-2015'!AD63</f>
        <v>1.9004207</v>
      </c>
      <c r="AE927" s="16">
        <f>'extended_recharge_2003-2015'!AE63</f>
        <v>16.800194000000001</v>
      </c>
      <c r="AF927" s="16">
        <f>'extended_recharge_2003-2015'!AF63</f>
        <v>74.649445</v>
      </c>
      <c r="AG927" s="16">
        <f>'extended_recharge_2003-2015'!AG63</f>
        <v>12.970008999999999</v>
      </c>
    </row>
    <row r="928" spans="1:33" x14ac:dyDescent="0.2">
      <c r="A928" s="3">
        <v>36160</v>
      </c>
      <c r="B928" s="2">
        <v>7.51</v>
      </c>
      <c r="C928" s="2">
        <v>32.72</v>
      </c>
      <c r="D928" s="2">
        <v>11.02</v>
      </c>
      <c r="E928" s="2">
        <v>19.8</v>
      </c>
      <c r="F928" s="2">
        <v>63.41</v>
      </c>
      <c r="G928" s="2">
        <v>34.46</v>
      </c>
      <c r="H928" s="2">
        <v>32.64</v>
      </c>
      <c r="I928" s="2">
        <v>55.72</v>
      </c>
      <c r="J928" s="2">
        <v>10.52</v>
      </c>
      <c r="K928" s="2">
        <v>13.18</v>
      </c>
      <c r="L928" s="2">
        <v>0.71</v>
      </c>
      <c r="M928" s="2">
        <v>11</v>
      </c>
      <c r="N928" s="2">
        <v>34.93</v>
      </c>
      <c r="O928" s="2">
        <v>26.47</v>
      </c>
      <c r="P928" s="2">
        <v>81.33</v>
      </c>
      <c r="Q928" s="2">
        <v>8.09</v>
      </c>
      <c r="R928" s="2">
        <v>19.5</v>
      </c>
      <c r="S928" s="2">
        <v>-0.02</v>
      </c>
      <c r="T928" s="2">
        <v>5.16</v>
      </c>
      <c r="U928" s="2">
        <v>18.21</v>
      </c>
      <c r="V928" s="2">
        <v>23.41</v>
      </c>
      <c r="W928" s="16">
        <f>'extended_recharge_2003-2015'!W64</f>
        <v>11.82841</v>
      </c>
      <c r="X928" s="16">
        <f>'extended_recharge_2003-2015'!X64</f>
        <v>8.4702214999999992</v>
      </c>
      <c r="Y928" s="16">
        <f>'extended_recharge_2003-2015'!Y64</f>
        <v>13.169453000000001</v>
      </c>
      <c r="Z928" s="16">
        <f>'extended_recharge_2003-2015'!Z64</f>
        <v>5.5798826000000004</v>
      </c>
      <c r="AA928" s="16">
        <f>'extended_recharge_2003-2015'!AA64</f>
        <v>7.9959946000000004</v>
      </c>
      <c r="AB928" s="16">
        <f>'extended_recharge_2003-2015'!AB64</f>
        <v>2.2077277</v>
      </c>
      <c r="AC928" s="16">
        <f>'extended_recharge_2003-2015'!AC64</f>
        <v>6.9972405000000002</v>
      </c>
      <c r="AD928" s="16">
        <f>'extended_recharge_2003-2015'!AD64</f>
        <v>2.0184099999999998</v>
      </c>
      <c r="AE928" s="16">
        <f>'extended_recharge_2003-2015'!AE64</f>
        <v>24.851607999999999</v>
      </c>
      <c r="AF928" s="16">
        <f>'extended_recharge_2003-2015'!AF64</f>
        <v>66.129499999999993</v>
      </c>
      <c r="AG928" s="16">
        <f>'extended_recharge_2003-2015'!AG64</f>
        <v>11.092750000000001</v>
      </c>
    </row>
    <row r="929" spans="1:33" x14ac:dyDescent="0.2">
      <c r="A929" s="3">
        <v>36191</v>
      </c>
      <c r="B929" s="2">
        <v>-2.12</v>
      </c>
      <c r="C929" s="2">
        <v>28.63</v>
      </c>
      <c r="D929" s="2">
        <v>3.56</v>
      </c>
      <c r="E929" s="2">
        <v>-14.85</v>
      </c>
      <c r="F929" s="2">
        <v>5.15</v>
      </c>
      <c r="G929" s="2">
        <v>16.73</v>
      </c>
      <c r="H929" s="2">
        <v>17.16</v>
      </c>
      <c r="I929" s="2">
        <v>50.2</v>
      </c>
      <c r="J929" s="2">
        <v>38.86</v>
      </c>
      <c r="K929" s="2">
        <v>42.84</v>
      </c>
      <c r="L929" s="2">
        <v>19.37</v>
      </c>
      <c r="M929" s="2">
        <v>18.329999999999998</v>
      </c>
      <c r="N929" s="2">
        <v>38.33</v>
      </c>
      <c r="O929" s="2">
        <v>19.329999999999998</v>
      </c>
      <c r="P929" s="2">
        <v>121.7</v>
      </c>
      <c r="Q929" s="2">
        <v>-1.59</v>
      </c>
      <c r="R929" s="2">
        <v>15.73</v>
      </c>
      <c r="S929" s="2">
        <v>108.73</v>
      </c>
      <c r="T929" s="2">
        <v>32.96</v>
      </c>
      <c r="U929" s="2">
        <v>15.99</v>
      </c>
      <c r="V929" s="2">
        <v>20.6</v>
      </c>
      <c r="W929" s="16">
        <f>'extended_recharge_2003-2015'!W65</f>
        <v>4.8249936</v>
      </c>
      <c r="X929" s="16">
        <f>'extended_recharge_2003-2015'!X65</f>
        <v>9.4908850000000005</v>
      </c>
      <c r="Y929" s="16">
        <f>'extended_recharge_2003-2015'!Y65</f>
        <v>13.552949</v>
      </c>
      <c r="Z929" s="16">
        <f>'extended_recharge_2003-2015'!Z65</f>
        <v>4.0021462000000003</v>
      </c>
      <c r="AA929" s="16">
        <f>'extended_recharge_2003-2015'!AA65</f>
        <v>5.0719799999999999</v>
      </c>
      <c r="AB929" s="16">
        <f>'extended_recharge_2003-2015'!AB65</f>
        <v>1.8868008000000001</v>
      </c>
      <c r="AC929" s="16">
        <f>'extended_recharge_2003-2015'!AC65</f>
        <v>4.5401449999999999</v>
      </c>
      <c r="AD929" s="16">
        <f>'extended_recharge_2003-2015'!AD65</f>
        <v>2.4799484999999999</v>
      </c>
      <c r="AE929" s="16">
        <f>'extended_recharge_2003-2015'!AE65</f>
        <v>27.336359000000002</v>
      </c>
      <c r="AF929" s="16">
        <f>'extended_recharge_2003-2015'!AF65</f>
        <v>75.379760000000005</v>
      </c>
      <c r="AG929" s="16">
        <f>'extended_recharge_2003-2015'!AG65</f>
        <v>10.022779</v>
      </c>
    </row>
    <row r="930" spans="1:33" x14ac:dyDescent="0.2">
      <c r="A930" s="3">
        <v>36219</v>
      </c>
      <c r="B930" s="2">
        <v>4.66</v>
      </c>
      <c r="C930" s="2">
        <v>37.24</v>
      </c>
      <c r="D930" s="2">
        <v>43.72</v>
      </c>
      <c r="E930" s="2">
        <v>112.08</v>
      </c>
      <c r="F930" s="2">
        <v>122.17</v>
      </c>
      <c r="G930" s="2">
        <v>159.31</v>
      </c>
      <c r="H930" s="2">
        <v>32.68</v>
      </c>
      <c r="I930" s="2">
        <v>64.59</v>
      </c>
      <c r="J930" s="2">
        <v>70.83</v>
      </c>
      <c r="K930" s="2">
        <v>20.88</v>
      </c>
      <c r="L930" s="2">
        <v>50.42</v>
      </c>
      <c r="M930" s="2">
        <v>33.270000000000003</v>
      </c>
      <c r="N930" s="2">
        <v>28.67</v>
      </c>
      <c r="O930" s="2">
        <v>15.2</v>
      </c>
      <c r="P930" s="2">
        <v>18.07</v>
      </c>
      <c r="Q930" s="2">
        <v>4.51</v>
      </c>
      <c r="R930" s="2">
        <v>17.649999999999999</v>
      </c>
      <c r="S930" s="2">
        <v>-10.24</v>
      </c>
      <c r="T930" s="2">
        <v>3.7</v>
      </c>
      <c r="U930" s="2">
        <v>21.26</v>
      </c>
      <c r="V930" s="2">
        <v>27.92</v>
      </c>
      <c r="W930" s="16">
        <f>'extended_recharge_2003-2015'!W66</f>
        <v>0.48991240000000003</v>
      </c>
      <c r="X930" s="16">
        <f>'extended_recharge_2003-2015'!X66</f>
        <v>10.562476</v>
      </c>
      <c r="Y930" s="16">
        <f>'extended_recharge_2003-2015'!Y66</f>
        <v>13.708271999999999</v>
      </c>
      <c r="Z930" s="16">
        <f>'extended_recharge_2003-2015'!Z66</f>
        <v>3.3974937999999999</v>
      </c>
      <c r="AA930" s="16">
        <f>'extended_recharge_2003-2015'!AA66</f>
        <v>3.9794654999999999</v>
      </c>
      <c r="AB930" s="16">
        <f>'extended_recharge_2003-2015'!AB66</f>
        <v>1.9963888000000001</v>
      </c>
      <c r="AC930" s="16">
        <f>'extended_recharge_2003-2015'!AC66</f>
        <v>4.6837286999999996</v>
      </c>
      <c r="AD930" s="16">
        <f>'extended_recharge_2003-2015'!AD66</f>
        <v>2.5993998</v>
      </c>
      <c r="AE930" s="16">
        <f>'extended_recharge_2003-2015'!AE66</f>
        <v>19.994672999999999</v>
      </c>
      <c r="AF930" s="16">
        <f>'extended_recharge_2003-2015'!AF66</f>
        <v>68.646680000000003</v>
      </c>
      <c r="AG930" s="16">
        <f>'extended_recharge_2003-2015'!AG66</f>
        <v>10.074571000000001</v>
      </c>
    </row>
    <row r="931" spans="1:33" x14ac:dyDescent="0.2">
      <c r="A931" s="3">
        <v>36250</v>
      </c>
      <c r="B931" s="2">
        <v>11.25</v>
      </c>
      <c r="C931" s="2">
        <v>31.74</v>
      </c>
      <c r="D931" s="2">
        <v>6.47</v>
      </c>
      <c r="E931" s="2">
        <v>-3.05</v>
      </c>
      <c r="F931" s="2">
        <v>-16.63</v>
      </c>
      <c r="G931" s="2">
        <v>40.98</v>
      </c>
      <c r="H931" s="2">
        <v>21.88</v>
      </c>
      <c r="I931" s="2">
        <v>57.42</v>
      </c>
      <c r="J931" s="2">
        <v>0.89</v>
      </c>
      <c r="K931" s="2">
        <v>-1.03</v>
      </c>
      <c r="L931" s="2">
        <v>-11.61</v>
      </c>
      <c r="M931" s="2">
        <v>-3.46</v>
      </c>
      <c r="N931" s="2">
        <v>26.86</v>
      </c>
      <c r="O931" s="2">
        <v>18.04</v>
      </c>
      <c r="P931" s="2">
        <v>55.22</v>
      </c>
      <c r="Q931" s="2">
        <v>3.96</v>
      </c>
      <c r="R931" s="2">
        <v>14.71</v>
      </c>
      <c r="S931" s="2">
        <v>-7.21</v>
      </c>
      <c r="T931" s="2">
        <v>29.56</v>
      </c>
      <c r="U931" s="2">
        <v>9.66</v>
      </c>
      <c r="V931" s="2">
        <v>24.62</v>
      </c>
      <c r="W931" s="16">
        <f>'extended_recharge_2003-2015'!W67</f>
        <v>1.22543285E-2</v>
      </c>
      <c r="X931" s="16">
        <f>'extended_recharge_2003-2015'!X67</f>
        <v>10.044262</v>
      </c>
      <c r="Y931" s="16">
        <f>'extended_recharge_2003-2015'!Y67</f>
        <v>10.380474</v>
      </c>
      <c r="Z931" s="16">
        <f>'extended_recharge_2003-2015'!Z67</f>
        <v>2.7632759</v>
      </c>
      <c r="AA931" s="16">
        <f>'extended_recharge_2003-2015'!AA67</f>
        <v>4.1671139999999998</v>
      </c>
      <c r="AB931" s="16">
        <f>'extended_recharge_2003-2015'!AB67</f>
        <v>2.7079775000000001</v>
      </c>
      <c r="AC931" s="16">
        <f>'extended_recharge_2003-2015'!AC67</f>
        <v>4.6016729999999999</v>
      </c>
      <c r="AD931" s="16">
        <f>'extended_recharge_2003-2015'!AD67</f>
        <v>3.3717245999999998</v>
      </c>
      <c r="AE931" s="16">
        <f>'extended_recharge_2003-2015'!AE67</f>
        <v>14.001264000000001</v>
      </c>
      <c r="AF931" s="16">
        <f>'extended_recharge_2003-2015'!AF67</f>
        <v>74.826583999999997</v>
      </c>
      <c r="AG931" s="16">
        <f>'extended_recharge_2003-2015'!AG67</f>
        <v>10.637453000000001</v>
      </c>
    </row>
    <row r="932" spans="1:33" x14ac:dyDescent="0.2">
      <c r="A932" s="3">
        <v>36280</v>
      </c>
      <c r="B932" s="2">
        <v>5.01</v>
      </c>
      <c r="C932" s="2">
        <v>24.59</v>
      </c>
      <c r="D932" s="2">
        <v>-1.69</v>
      </c>
      <c r="E932" s="2">
        <v>-54.06</v>
      </c>
      <c r="F932" s="2">
        <v>-31.57</v>
      </c>
      <c r="G932" s="2">
        <v>-75.36</v>
      </c>
      <c r="H932" s="2">
        <v>6.84</v>
      </c>
      <c r="I932" s="2">
        <v>55.26</v>
      </c>
      <c r="J932" s="2">
        <v>-11.25</v>
      </c>
      <c r="K932" s="2">
        <v>11.45</v>
      </c>
      <c r="L932" s="2">
        <v>-16.66</v>
      </c>
      <c r="M932" s="2">
        <v>0.87</v>
      </c>
      <c r="N932" s="2">
        <v>16.21</v>
      </c>
      <c r="O932" s="2">
        <v>25.66</v>
      </c>
      <c r="P932" s="2">
        <v>18.420000000000002</v>
      </c>
      <c r="Q932" s="2">
        <v>2.75</v>
      </c>
      <c r="R932" s="2">
        <v>18.239999999999998</v>
      </c>
      <c r="S932" s="2">
        <v>5.85</v>
      </c>
      <c r="T932" s="2">
        <v>20.98</v>
      </c>
      <c r="U932" s="2">
        <v>12.79</v>
      </c>
      <c r="V932" s="2">
        <v>17.66</v>
      </c>
      <c r="W932" s="16">
        <f>'extended_recharge_2003-2015'!W68</f>
        <v>0.21119818000000001</v>
      </c>
      <c r="X932" s="16">
        <f>'extended_recharge_2003-2015'!X68</f>
        <v>10.016667999999999</v>
      </c>
      <c r="Y932" s="16">
        <f>'extended_recharge_2003-2015'!Y68</f>
        <v>11.961518</v>
      </c>
      <c r="Z932" s="16">
        <f>'extended_recharge_2003-2015'!Z68</f>
        <v>1.5383367999999999</v>
      </c>
      <c r="AA932" s="16">
        <f>'extended_recharge_2003-2015'!AA68</f>
        <v>3.4664478000000001</v>
      </c>
      <c r="AB932" s="16">
        <f>'extended_recharge_2003-2015'!AB68</f>
        <v>1.923465</v>
      </c>
      <c r="AC932" s="16">
        <f>'extended_recharge_2003-2015'!AC68</f>
        <v>1.9779472</v>
      </c>
      <c r="AD932" s="16">
        <f>'extended_recharge_2003-2015'!AD68</f>
        <v>5.4350389999999997</v>
      </c>
      <c r="AE932" s="16">
        <f>'extended_recharge_2003-2015'!AE68</f>
        <v>5.5174265</v>
      </c>
      <c r="AF932" s="16">
        <f>'extended_recharge_2003-2015'!AF68</f>
        <v>92.47063</v>
      </c>
      <c r="AG932" s="16">
        <f>'extended_recharge_2003-2015'!AG68</f>
        <v>14.313955999999999</v>
      </c>
    </row>
    <row r="933" spans="1:33" x14ac:dyDescent="0.2">
      <c r="A933" s="3">
        <v>36311</v>
      </c>
      <c r="B933" s="2">
        <v>6.05</v>
      </c>
      <c r="C933" s="2">
        <v>22.32</v>
      </c>
      <c r="D933" s="2">
        <v>-9.3800000000000008</v>
      </c>
      <c r="E933" s="2">
        <v>-26.1</v>
      </c>
      <c r="F933" s="2">
        <v>-15.91</v>
      </c>
      <c r="G933" s="2">
        <v>-32.090000000000003</v>
      </c>
      <c r="H933" s="2">
        <v>3.27</v>
      </c>
      <c r="I933" s="2">
        <v>51.58</v>
      </c>
      <c r="J933" s="2">
        <v>-18.809999999999999</v>
      </c>
      <c r="K933" s="2">
        <v>15.7</v>
      </c>
      <c r="L933" s="2">
        <v>-5.61</v>
      </c>
      <c r="M933" s="2">
        <v>1.44</v>
      </c>
      <c r="N933" s="2">
        <v>37.44</v>
      </c>
      <c r="O933" s="2">
        <v>21.25</v>
      </c>
      <c r="P933" s="2">
        <v>53.99</v>
      </c>
      <c r="Q933" s="2">
        <v>-0.11</v>
      </c>
      <c r="R933" s="2">
        <v>17.38</v>
      </c>
      <c r="S933" s="2">
        <v>-22.6</v>
      </c>
      <c r="T933" s="2">
        <v>45.28</v>
      </c>
      <c r="U933" s="2">
        <v>13.5</v>
      </c>
      <c r="V933" s="2">
        <v>40.89</v>
      </c>
      <c r="W933" s="16">
        <f>'extended_recharge_2003-2015'!W69</f>
        <v>5.4967885000000001</v>
      </c>
      <c r="X933" s="16">
        <f>'extended_recharge_2003-2015'!X69</f>
        <v>12.054316999999999</v>
      </c>
      <c r="Y933" s="16">
        <f>'extended_recharge_2003-2015'!Y69</f>
        <v>14.869854</v>
      </c>
      <c r="Z933" s="16">
        <f>'extended_recharge_2003-2015'!Z69</f>
        <v>1.471376</v>
      </c>
      <c r="AA933" s="16">
        <f>'extended_recharge_2003-2015'!AA69</f>
        <v>4.1676080000000004</v>
      </c>
      <c r="AB933" s="16">
        <f>'extended_recharge_2003-2015'!AB69</f>
        <v>1.2776282999999999</v>
      </c>
      <c r="AC933" s="16">
        <f>'extended_recharge_2003-2015'!AC69</f>
        <v>0.42309343999999999</v>
      </c>
      <c r="AD933" s="16">
        <f>'extended_recharge_2003-2015'!AD69</f>
        <v>8.4387790000000003</v>
      </c>
      <c r="AE933" s="16">
        <f>'extended_recharge_2003-2015'!AE69</f>
        <v>0.93180423999999995</v>
      </c>
      <c r="AF933" s="16">
        <f>'extended_recharge_2003-2015'!AF69</f>
        <v>95.946539999999999</v>
      </c>
      <c r="AG933" s="16">
        <f>'extended_recharge_2003-2015'!AG69</f>
        <v>17.72214</v>
      </c>
    </row>
    <row r="934" spans="1:33" x14ac:dyDescent="0.2">
      <c r="A934" s="3">
        <v>36341</v>
      </c>
      <c r="B934" s="2">
        <v>6.34</v>
      </c>
      <c r="C934" s="2">
        <v>27.17</v>
      </c>
      <c r="D934" s="2">
        <v>-1.01</v>
      </c>
      <c r="E934" s="2">
        <v>-16.350000000000001</v>
      </c>
      <c r="F934" s="2">
        <v>6.91</v>
      </c>
      <c r="G934" s="2">
        <v>-14.89</v>
      </c>
      <c r="H934" s="2">
        <v>14.08</v>
      </c>
      <c r="I934" s="2">
        <v>41.37</v>
      </c>
      <c r="J934" s="2">
        <v>-28.71</v>
      </c>
      <c r="K934" s="2">
        <v>20.18</v>
      </c>
      <c r="L934" s="2">
        <v>-12.11</v>
      </c>
      <c r="M934" s="2">
        <v>-4.97</v>
      </c>
      <c r="N934" s="2">
        <v>39.9</v>
      </c>
      <c r="O934" s="2">
        <v>19.88</v>
      </c>
      <c r="P934" s="2">
        <v>62.98</v>
      </c>
      <c r="Q934" s="2">
        <v>6.73</v>
      </c>
      <c r="R934" s="2">
        <v>23.5</v>
      </c>
      <c r="S934" s="2">
        <v>-12.81</v>
      </c>
      <c r="T934" s="2">
        <v>62.68</v>
      </c>
      <c r="U934" s="2">
        <v>15.32</v>
      </c>
      <c r="V934" s="2">
        <v>48.58</v>
      </c>
      <c r="W934" s="16">
        <f>'extended_recharge_2003-2015'!W70</f>
        <v>19.460909000000001</v>
      </c>
      <c r="X934" s="16">
        <f>'extended_recharge_2003-2015'!X70</f>
        <v>11.31955</v>
      </c>
      <c r="Y934" s="16">
        <f>'extended_recharge_2003-2015'!Y70</f>
        <v>15.924982999999999</v>
      </c>
      <c r="Z934" s="16">
        <f>'extended_recharge_2003-2015'!Z70</f>
        <v>0.68399732999999996</v>
      </c>
      <c r="AA934" s="16">
        <f>'extended_recharge_2003-2015'!AA70</f>
        <v>2.8491464</v>
      </c>
      <c r="AB934" s="16">
        <f>'extended_recharge_2003-2015'!AB70</f>
        <v>0.74449295000000004</v>
      </c>
      <c r="AC934" s="16">
        <f>'extended_recharge_2003-2015'!AC70</f>
        <v>0.89329829999999999</v>
      </c>
      <c r="AD934" s="16">
        <f>'extended_recharge_2003-2015'!AD70</f>
        <v>9.8268599999999999</v>
      </c>
      <c r="AE934" s="16">
        <f>'extended_recharge_2003-2015'!AE70</f>
        <v>0.22994423999999999</v>
      </c>
      <c r="AF934" s="16">
        <f>'extended_recharge_2003-2015'!AF70</f>
        <v>102.80459999999999</v>
      </c>
      <c r="AG934" s="16">
        <f>'extended_recharge_2003-2015'!AG70</f>
        <v>22.371725000000001</v>
      </c>
    </row>
    <row r="935" spans="1:33" x14ac:dyDescent="0.2">
      <c r="A935" s="3">
        <v>36372</v>
      </c>
      <c r="B935" s="2">
        <v>6.56</v>
      </c>
      <c r="C935" s="2">
        <v>26.19</v>
      </c>
      <c r="D935" s="2">
        <v>0.49</v>
      </c>
      <c r="E935" s="2">
        <v>-2.25</v>
      </c>
      <c r="F935" s="2">
        <v>50.24</v>
      </c>
      <c r="G935" s="2">
        <v>13.63</v>
      </c>
      <c r="H935" s="2">
        <v>25.94</v>
      </c>
      <c r="I935" s="2">
        <v>49.71</v>
      </c>
      <c r="J935" s="2">
        <v>-18.75</v>
      </c>
      <c r="K935" s="2">
        <v>37.64</v>
      </c>
      <c r="L935" s="2">
        <v>-8.27</v>
      </c>
      <c r="M935" s="2">
        <v>11.46</v>
      </c>
      <c r="N935" s="2">
        <v>57.89</v>
      </c>
      <c r="O935" s="2">
        <v>30.38</v>
      </c>
      <c r="P935" s="2">
        <v>72.56</v>
      </c>
      <c r="Q935" s="2">
        <v>7.96</v>
      </c>
      <c r="R935" s="2">
        <v>26.03</v>
      </c>
      <c r="S935" s="2">
        <v>-11.1</v>
      </c>
      <c r="T935" s="2">
        <v>56.24</v>
      </c>
      <c r="U935" s="2">
        <v>22.38</v>
      </c>
      <c r="V935" s="2">
        <v>48.77</v>
      </c>
      <c r="W935" s="16">
        <f>'extended_recharge_2003-2015'!W71</f>
        <v>28.779033999999999</v>
      </c>
      <c r="X935" s="16">
        <f>'extended_recharge_2003-2015'!X71</f>
        <v>11.983677999999999</v>
      </c>
      <c r="Y935" s="16">
        <f>'extended_recharge_2003-2015'!Y71</f>
        <v>19.777056000000002</v>
      </c>
      <c r="Z935" s="16">
        <f>'extended_recharge_2003-2015'!Z71</f>
        <v>1.5260990000000001</v>
      </c>
      <c r="AA935" s="16">
        <f>'extended_recharge_2003-2015'!AA71</f>
        <v>2.7792431999999998</v>
      </c>
      <c r="AB935" s="16">
        <f>'extended_recharge_2003-2015'!AB71</f>
        <v>0.29781750000000001</v>
      </c>
      <c r="AC935" s="16">
        <f>'extended_recharge_2003-2015'!AC71</f>
        <v>0.60849629999999999</v>
      </c>
      <c r="AD935" s="16">
        <f>'extended_recharge_2003-2015'!AD71</f>
        <v>8.3655889999999999</v>
      </c>
      <c r="AE935" s="16">
        <f>'extended_recharge_2003-2015'!AE71</f>
        <v>-1.6920626999999999</v>
      </c>
      <c r="AF935" s="16">
        <f>'extended_recharge_2003-2015'!AF71</f>
        <v>111.38875</v>
      </c>
      <c r="AG935" s="16">
        <f>'extended_recharge_2003-2015'!AG71</f>
        <v>25.066452000000002</v>
      </c>
    </row>
    <row r="936" spans="1:33" x14ac:dyDescent="0.2">
      <c r="A936" s="3">
        <v>36403</v>
      </c>
      <c r="B936" s="2">
        <v>4.5199999999999996</v>
      </c>
      <c r="C936" s="2">
        <v>26.5</v>
      </c>
      <c r="D936" s="2">
        <v>1.27</v>
      </c>
      <c r="E936" s="2">
        <v>-13.37</v>
      </c>
      <c r="F936" s="2">
        <v>-3.13</v>
      </c>
      <c r="G936" s="2">
        <v>10.01</v>
      </c>
      <c r="H936" s="2">
        <v>18.16</v>
      </c>
      <c r="I936" s="2">
        <v>52.68</v>
      </c>
      <c r="J936" s="2">
        <v>-6.74</v>
      </c>
      <c r="K936" s="2">
        <v>33.29</v>
      </c>
      <c r="L936" s="2">
        <v>-4.46</v>
      </c>
      <c r="M936" s="2">
        <v>12.48</v>
      </c>
      <c r="N936" s="2">
        <v>53.39</v>
      </c>
      <c r="O936" s="2">
        <v>19.45</v>
      </c>
      <c r="P936" s="2">
        <v>68.94</v>
      </c>
      <c r="Q936" s="2">
        <v>5.6</v>
      </c>
      <c r="R936" s="2">
        <v>26.11</v>
      </c>
      <c r="S936" s="2">
        <v>-4.45</v>
      </c>
      <c r="T936" s="2">
        <v>48.32</v>
      </c>
      <c r="U936" s="2">
        <v>26.35</v>
      </c>
      <c r="V936" s="2">
        <v>43.43</v>
      </c>
      <c r="W936" s="16">
        <f>'extended_recharge_2003-2015'!W72</f>
        <v>31.205438999999998</v>
      </c>
      <c r="X936" s="16">
        <f>'extended_recharge_2003-2015'!X72</f>
        <v>12.247674</v>
      </c>
      <c r="Y936" s="16">
        <f>'extended_recharge_2003-2015'!Y72</f>
        <v>21.91581</v>
      </c>
      <c r="Z936" s="16">
        <f>'extended_recharge_2003-2015'!Z72</f>
        <v>2.2599623000000002</v>
      </c>
      <c r="AA936" s="16">
        <f>'extended_recharge_2003-2015'!AA72</f>
        <v>3.4522363999999999</v>
      </c>
      <c r="AB936" s="16">
        <f>'extended_recharge_2003-2015'!AB72</f>
        <v>0.58313550000000003</v>
      </c>
      <c r="AC936" s="16">
        <f>'extended_recharge_2003-2015'!AC72</f>
        <v>3.2336586</v>
      </c>
      <c r="AD936" s="16">
        <f>'extended_recharge_2003-2015'!AD72</f>
        <v>5.3316039999999996</v>
      </c>
      <c r="AE936" s="16">
        <f>'extended_recharge_2003-2015'!AE72</f>
        <v>5.0639093000000003E-2</v>
      </c>
      <c r="AF936" s="16">
        <f>'extended_recharge_2003-2015'!AF72</f>
        <v>108.328835</v>
      </c>
      <c r="AG936" s="16">
        <f>'extended_recharge_2003-2015'!AG72</f>
        <v>24.572787999999999</v>
      </c>
    </row>
    <row r="937" spans="1:33" x14ac:dyDescent="0.2">
      <c r="A937" s="3">
        <v>36433</v>
      </c>
      <c r="B937" s="2">
        <v>2.25</v>
      </c>
      <c r="C937" s="2">
        <v>27.37</v>
      </c>
      <c r="D937" s="2">
        <v>3.11</v>
      </c>
      <c r="E937" s="2">
        <v>-17.03</v>
      </c>
      <c r="F937" s="2">
        <v>-2.2799999999999998</v>
      </c>
      <c r="G937" s="2">
        <v>5.25</v>
      </c>
      <c r="H937" s="2">
        <v>21.36</v>
      </c>
      <c r="I937" s="2">
        <v>53.63</v>
      </c>
      <c r="J937" s="2">
        <v>3.56</v>
      </c>
      <c r="K937" s="2">
        <v>8.36</v>
      </c>
      <c r="L937" s="2">
        <v>-6.43</v>
      </c>
      <c r="M937" s="2">
        <v>9.81</v>
      </c>
      <c r="N937" s="2">
        <v>43.98</v>
      </c>
      <c r="O937" s="2">
        <v>24.18</v>
      </c>
      <c r="P937" s="2">
        <v>26.66</v>
      </c>
      <c r="Q937" s="2">
        <v>7.15</v>
      </c>
      <c r="R937" s="2">
        <v>24.27</v>
      </c>
      <c r="S937" s="2">
        <v>-2.86</v>
      </c>
      <c r="T937" s="2">
        <v>13.63</v>
      </c>
      <c r="U937" s="2">
        <v>21.71</v>
      </c>
      <c r="V937" s="2">
        <v>25.97</v>
      </c>
      <c r="W937" s="16">
        <f>'extended_recharge_2003-2015'!W73</f>
        <v>25.531488</v>
      </c>
      <c r="X937" s="16">
        <f>'extended_recharge_2003-2015'!X73</f>
        <v>7.7122440000000001</v>
      </c>
      <c r="Y937" s="16">
        <f>'extended_recharge_2003-2015'!Y73</f>
        <v>15.539502000000001</v>
      </c>
      <c r="Z937" s="16">
        <f>'extended_recharge_2003-2015'!Z73</f>
        <v>2.9673280000000002</v>
      </c>
      <c r="AA937" s="16">
        <f>'extended_recharge_2003-2015'!AA73</f>
        <v>3.3311532000000001</v>
      </c>
      <c r="AB937" s="16">
        <f>'extended_recharge_2003-2015'!AB73</f>
        <v>1.6524540999999999</v>
      </c>
      <c r="AC937" s="16">
        <f>'extended_recharge_2003-2015'!AC73</f>
        <v>4.3105599999999997</v>
      </c>
      <c r="AD937" s="16">
        <f>'extended_recharge_2003-2015'!AD73</f>
        <v>4.1970530000000004</v>
      </c>
      <c r="AE937" s="16">
        <f>'extended_recharge_2003-2015'!AE73</f>
        <v>2.9336788999999999</v>
      </c>
      <c r="AF937" s="16">
        <f>'extended_recharge_2003-2015'!AF73</f>
        <v>100.98421500000001</v>
      </c>
      <c r="AG937" s="16">
        <f>'extended_recharge_2003-2015'!AG73</f>
        <v>20.510033</v>
      </c>
    </row>
    <row r="938" spans="1:33" x14ac:dyDescent="0.2">
      <c r="A938" s="3">
        <v>36464</v>
      </c>
      <c r="B938" s="2">
        <v>0.35</v>
      </c>
      <c r="C938" s="2">
        <v>22.93</v>
      </c>
      <c r="D938" s="2">
        <v>1.91</v>
      </c>
      <c r="E938" s="2">
        <v>-13.43</v>
      </c>
      <c r="F938" s="2">
        <v>-1.34</v>
      </c>
      <c r="G938" s="2">
        <v>1.44</v>
      </c>
      <c r="H938" s="2">
        <v>19.27</v>
      </c>
      <c r="I938" s="2">
        <v>49.63</v>
      </c>
      <c r="J938" s="2">
        <v>0.25</v>
      </c>
      <c r="K938" s="2">
        <v>7.07</v>
      </c>
      <c r="L938" s="2">
        <v>1.3</v>
      </c>
      <c r="M938" s="2">
        <v>9.1300000000000008</v>
      </c>
      <c r="N938" s="2">
        <v>37.99</v>
      </c>
      <c r="O938" s="2">
        <v>17.98</v>
      </c>
      <c r="P938" s="2">
        <v>55.93</v>
      </c>
      <c r="Q938" s="2">
        <v>-0.7</v>
      </c>
      <c r="R938" s="2">
        <v>14.59</v>
      </c>
      <c r="S938" s="2">
        <v>-12.61</v>
      </c>
      <c r="T938" s="2">
        <v>25.68</v>
      </c>
      <c r="U938" s="2">
        <v>14.98</v>
      </c>
      <c r="V938" s="2">
        <v>21.32</v>
      </c>
      <c r="W938" s="16">
        <f>'extended_recharge_2003-2015'!W74</f>
        <v>21.810805999999999</v>
      </c>
      <c r="X938" s="16">
        <f>'extended_recharge_2003-2015'!X74</f>
        <v>8.3611020000000007</v>
      </c>
      <c r="Y938" s="16">
        <f>'extended_recharge_2003-2015'!Y74</f>
        <v>16.160429000000001</v>
      </c>
      <c r="Z938" s="16">
        <f>'extended_recharge_2003-2015'!Z74</f>
        <v>4.7386670000000004</v>
      </c>
      <c r="AA938" s="16">
        <f>'extended_recharge_2003-2015'!AA74</f>
        <v>3.5867045000000002</v>
      </c>
      <c r="AB938" s="16">
        <f>'extended_recharge_2003-2015'!AB74</f>
        <v>1.2770773</v>
      </c>
      <c r="AC938" s="16">
        <f>'extended_recharge_2003-2015'!AC74</f>
        <v>4.8562975000000002</v>
      </c>
      <c r="AD938" s="16">
        <f>'extended_recharge_2003-2015'!AD74</f>
        <v>3.2676457999999999</v>
      </c>
      <c r="AE938" s="16">
        <f>'extended_recharge_2003-2015'!AE74</f>
        <v>8.3130210000000009</v>
      </c>
      <c r="AF938" s="16">
        <f>'extended_recharge_2003-2015'!AF74</f>
        <v>93.020256000000003</v>
      </c>
      <c r="AG938" s="16">
        <f>'extended_recharge_2003-2015'!AG74</f>
        <v>16.565570000000001</v>
      </c>
    </row>
    <row r="939" spans="1:33" x14ac:dyDescent="0.2">
      <c r="A939" s="3">
        <v>36494</v>
      </c>
      <c r="B939" s="2">
        <v>1.63</v>
      </c>
      <c r="C939" s="2">
        <v>23.47</v>
      </c>
      <c r="D939" s="2">
        <v>15.17</v>
      </c>
      <c r="E939" s="2">
        <v>23.47</v>
      </c>
      <c r="F939" s="2">
        <v>2.62</v>
      </c>
      <c r="G939" s="2">
        <v>12.67</v>
      </c>
      <c r="H939" s="2">
        <v>21.85</v>
      </c>
      <c r="I939" s="2">
        <v>45.29</v>
      </c>
      <c r="J939" s="2">
        <v>9.51</v>
      </c>
      <c r="K939" s="2">
        <v>3.78</v>
      </c>
      <c r="L939" s="2">
        <v>-7.78</v>
      </c>
      <c r="M939" s="2">
        <v>-0.7</v>
      </c>
      <c r="N939" s="2">
        <v>21.74</v>
      </c>
      <c r="O939" s="2">
        <v>21.72</v>
      </c>
      <c r="P939" s="2">
        <v>35.71</v>
      </c>
      <c r="Q939" s="2">
        <v>3.51</v>
      </c>
      <c r="R939" s="2">
        <v>12.41</v>
      </c>
      <c r="S939" s="2">
        <v>-9.65</v>
      </c>
      <c r="T939" s="2">
        <v>14.21</v>
      </c>
      <c r="U939" s="2">
        <v>15.45</v>
      </c>
      <c r="V939" s="2">
        <v>18.22</v>
      </c>
      <c r="W939" s="16">
        <f>'extended_recharge_2003-2015'!W75</f>
        <v>14.973948500000001</v>
      </c>
      <c r="X939" s="16">
        <f>'extended_recharge_2003-2015'!X75</f>
        <v>6.3750415</v>
      </c>
      <c r="Y939" s="16">
        <f>'extended_recharge_2003-2015'!Y75</f>
        <v>13.248623</v>
      </c>
      <c r="Z939" s="16">
        <f>'extended_recharge_2003-2015'!Z75</f>
        <v>5.6744304000000003</v>
      </c>
      <c r="AA939" s="16">
        <f>'extended_recharge_2003-2015'!AA75</f>
        <v>4.54406</v>
      </c>
      <c r="AB939" s="16">
        <f>'extended_recharge_2003-2015'!AB75</f>
        <v>1.5283366</v>
      </c>
      <c r="AC939" s="16">
        <f>'extended_recharge_2003-2015'!AC75</f>
        <v>4.5155479999999999</v>
      </c>
      <c r="AD939" s="16">
        <f>'extended_recharge_2003-2015'!AD75</f>
        <v>2.2550485</v>
      </c>
      <c r="AE939" s="16">
        <f>'extended_recharge_2003-2015'!AE75</f>
        <v>17.291159</v>
      </c>
      <c r="AF939" s="16">
        <f>'extended_recharge_2003-2015'!AF75</f>
        <v>68.487174999999993</v>
      </c>
      <c r="AG939" s="16">
        <f>'extended_recharge_2003-2015'!AG75</f>
        <v>13.023016999999999</v>
      </c>
    </row>
    <row r="940" spans="1:33" x14ac:dyDescent="0.2">
      <c r="A940" s="3">
        <v>36525</v>
      </c>
      <c r="B940" s="2">
        <v>1.48</v>
      </c>
      <c r="C940" s="2">
        <v>17.760000000000002</v>
      </c>
      <c r="D940" s="2">
        <v>3.99</v>
      </c>
      <c r="E940" s="2">
        <v>2.74</v>
      </c>
      <c r="F940" s="2">
        <v>-4.6399999999999997</v>
      </c>
      <c r="G940" s="2">
        <v>2.0099999999999998</v>
      </c>
      <c r="H940" s="2">
        <v>19.7</v>
      </c>
      <c r="I940" s="2">
        <v>42.52</v>
      </c>
      <c r="J940" s="2">
        <v>4.8899999999999997</v>
      </c>
      <c r="K940" s="2">
        <v>3.07</v>
      </c>
      <c r="L940" s="2">
        <v>-6.03</v>
      </c>
      <c r="M940" s="2">
        <v>-0.93</v>
      </c>
      <c r="N940" s="2">
        <v>21.06</v>
      </c>
      <c r="O940" s="2">
        <v>21.65</v>
      </c>
      <c r="P940" s="2">
        <v>32.49</v>
      </c>
      <c r="Q940" s="2">
        <v>5.39</v>
      </c>
      <c r="R940" s="2">
        <v>12.49</v>
      </c>
      <c r="S940" s="2">
        <v>-19.72</v>
      </c>
      <c r="T940" s="2">
        <v>13.61</v>
      </c>
      <c r="U940" s="2">
        <v>15.85</v>
      </c>
      <c r="V940" s="2">
        <v>15.96</v>
      </c>
      <c r="W940" s="16">
        <f>'extended_recharge_2003-2015'!W76</f>
        <v>11.374566</v>
      </c>
      <c r="X940" s="16">
        <f>'extended_recharge_2003-2015'!X76</f>
        <v>6.2990250000000003</v>
      </c>
      <c r="Y940" s="16">
        <f>'extended_recharge_2003-2015'!Y76</f>
        <v>11.724733000000001</v>
      </c>
      <c r="Z940" s="16">
        <f>'extended_recharge_2003-2015'!Z76</f>
        <v>4.1752719999999997</v>
      </c>
      <c r="AA940" s="16">
        <f>'extended_recharge_2003-2015'!AA76</f>
        <v>2.7800180000000001</v>
      </c>
      <c r="AB940" s="16">
        <f>'extended_recharge_2003-2015'!AB76</f>
        <v>1.9996805</v>
      </c>
      <c r="AC940" s="16">
        <f>'extended_recharge_2003-2015'!AC76</f>
        <v>5.7739630000000002</v>
      </c>
      <c r="AD940" s="16">
        <f>'extended_recharge_2003-2015'!AD76</f>
        <v>1.9693954</v>
      </c>
      <c r="AE940" s="16">
        <f>'extended_recharge_2003-2015'!AE76</f>
        <v>29.827262999999999</v>
      </c>
      <c r="AF940" s="16">
        <f>'extended_recharge_2003-2015'!AF76</f>
        <v>63.246139999999997</v>
      </c>
      <c r="AG940" s="16">
        <f>'extended_recharge_2003-2015'!AG76</f>
        <v>11.331403999999999</v>
      </c>
    </row>
    <row r="941" spans="1:33" x14ac:dyDescent="0.2">
      <c r="A941" s="3">
        <v>36556</v>
      </c>
      <c r="B941" s="2">
        <v>-4.0599999999999996</v>
      </c>
      <c r="C941" s="2">
        <v>26.02</v>
      </c>
      <c r="D941" s="2">
        <v>32.89</v>
      </c>
      <c r="E941" s="2">
        <v>67.540000000000006</v>
      </c>
      <c r="F941" s="2">
        <v>57.8</v>
      </c>
      <c r="G941" s="2">
        <v>64.239999999999995</v>
      </c>
      <c r="H941" s="2">
        <v>29.74</v>
      </c>
      <c r="I941" s="2">
        <v>50.64</v>
      </c>
      <c r="J941" s="2">
        <v>48.51</v>
      </c>
      <c r="K941" s="2">
        <v>56.29</v>
      </c>
      <c r="L941" s="2">
        <v>6.48</v>
      </c>
      <c r="M941" s="2">
        <v>14.59</v>
      </c>
      <c r="N941" s="2">
        <v>41.67</v>
      </c>
      <c r="O941" s="2">
        <v>19.52</v>
      </c>
      <c r="P941" s="2">
        <v>38.5</v>
      </c>
      <c r="Q941" s="2">
        <v>-5.82</v>
      </c>
      <c r="R941" s="2">
        <v>7.89</v>
      </c>
      <c r="S941" s="2">
        <v>-11.29</v>
      </c>
      <c r="T941" s="2">
        <v>15.99</v>
      </c>
      <c r="U941" s="2">
        <v>13.81</v>
      </c>
      <c r="V941" s="2">
        <v>16.55</v>
      </c>
      <c r="W941" s="16">
        <f>'extended_recharge_2003-2015'!W77</f>
        <v>4.2508809999999997</v>
      </c>
      <c r="X941" s="16">
        <f>'extended_recharge_2003-2015'!X77</f>
        <v>7.4435700000000002</v>
      </c>
      <c r="Y941" s="16">
        <f>'extended_recharge_2003-2015'!Y77</f>
        <v>12.6722</v>
      </c>
      <c r="Z941" s="16">
        <f>'extended_recharge_2003-2015'!Z77</f>
        <v>2.8138052999999998</v>
      </c>
      <c r="AA941" s="16">
        <f>'extended_recharge_2003-2015'!AA77</f>
        <v>4.5572065999999998</v>
      </c>
      <c r="AB941" s="16">
        <f>'extended_recharge_2003-2015'!AB77</f>
        <v>1.8836299999999999</v>
      </c>
      <c r="AC941" s="16">
        <f>'extended_recharge_2003-2015'!AC77</f>
        <v>6.0640162999999996</v>
      </c>
      <c r="AD941" s="16">
        <f>'extended_recharge_2003-2015'!AD77</f>
        <v>2.039901</v>
      </c>
      <c r="AE941" s="16">
        <f>'extended_recharge_2003-2015'!AE77</f>
        <v>27.123407</v>
      </c>
      <c r="AF941" s="16">
        <f>'extended_recharge_2003-2015'!AF77</f>
        <v>71.466480000000004</v>
      </c>
      <c r="AG941" s="16">
        <f>'extended_recharge_2003-2015'!AG77</f>
        <v>9.7649790000000003</v>
      </c>
    </row>
    <row r="942" spans="1:33" x14ac:dyDescent="0.2">
      <c r="A942" s="3">
        <v>36585</v>
      </c>
      <c r="B942" s="2">
        <v>7.16</v>
      </c>
      <c r="C942" s="2">
        <v>39.57</v>
      </c>
      <c r="D942" s="2">
        <v>61.52</v>
      </c>
      <c r="E942" s="2">
        <v>213.76</v>
      </c>
      <c r="F942" s="2">
        <v>169.24</v>
      </c>
      <c r="G942" s="2">
        <v>158.24</v>
      </c>
      <c r="H942" s="2">
        <v>31.81</v>
      </c>
      <c r="I942" s="2">
        <v>60.25</v>
      </c>
      <c r="J942" s="2">
        <v>111.87</v>
      </c>
      <c r="K942" s="2">
        <v>90.67</v>
      </c>
      <c r="L942" s="2">
        <v>44.93</v>
      </c>
      <c r="M942" s="2">
        <v>52.2</v>
      </c>
      <c r="N942" s="2">
        <v>63.79</v>
      </c>
      <c r="O942" s="2">
        <v>21.98</v>
      </c>
      <c r="P942" s="2">
        <v>107.32</v>
      </c>
      <c r="Q942" s="2">
        <v>-4.82</v>
      </c>
      <c r="R942" s="2">
        <v>8.86</v>
      </c>
      <c r="S942" s="2">
        <v>57.37</v>
      </c>
      <c r="T942" s="2">
        <v>27.67</v>
      </c>
      <c r="U942" s="2">
        <v>14.79</v>
      </c>
      <c r="V942" s="2">
        <v>15.18</v>
      </c>
      <c r="W942" s="16">
        <f>'extended_recharge_2003-2015'!W78</f>
        <v>0.59629600000000005</v>
      </c>
      <c r="X942" s="16">
        <f>'extended_recharge_2003-2015'!X78</f>
        <v>8.6364470000000004</v>
      </c>
      <c r="Y942" s="16">
        <f>'extended_recharge_2003-2015'!Y78</f>
        <v>13.143955999999999</v>
      </c>
      <c r="Z942" s="16">
        <f>'extended_recharge_2003-2015'!Z78</f>
        <v>1.7748170000000001</v>
      </c>
      <c r="AA942" s="16">
        <f>'extended_recharge_2003-2015'!AA78</f>
        <v>1.8905696999999999</v>
      </c>
      <c r="AB942" s="16">
        <f>'extended_recharge_2003-2015'!AB78</f>
        <v>1.6942162999999999</v>
      </c>
      <c r="AC942" s="16">
        <f>'extended_recharge_2003-2015'!AC78</f>
        <v>5.0190979999999996</v>
      </c>
      <c r="AD942" s="16">
        <f>'extended_recharge_2003-2015'!AD78</f>
        <v>3.0561235</v>
      </c>
      <c r="AE942" s="16">
        <f>'extended_recharge_2003-2015'!AE78</f>
        <v>21.707204999999998</v>
      </c>
      <c r="AF942" s="16">
        <f>'extended_recharge_2003-2015'!AF78</f>
        <v>66.451369999999997</v>
      </c>
      <c r="AG942" s="16">
        <f>'extended_recharge_2003-2015'!AG78</f>
        <v>10.109505</v>
      </c>
    </row>
    <row r="943" spans="1:33" x14ac:dyDescent="0.2">
      <c r="A943" s="3">
        <v>36616</v>
      </c>
      <c r="B943" s="2">
        <v>12.29</v>
      </c>
      <c r="C943" s="2">
        <v>28.88</v>
      </c>
      <c r="D943" s="2">
        <v>-11.64</v>
      </c>
      <c r="E943" s="2">
        <v>1.72</v>
      </c>
      <c r="F943" s="2">
        <v>55.46</v>
      </c>
      <c r="G943" s="2">
        <v>-10.3</v>
      </c>
      <c r="H943" s="2">
        <v>9.9600000000000009</v>
      </c>
      <c r="I943" s="2">
        <v>55.29</v>
      </c>
      <c r="J943" s="2">
        <v>14.25</v>
      </c>
      <c r="K943" s="2">
        <v>1.42</v>
      </c>
      <c r="L943" s="2">
        <v>36.340000000000003</v>
      </c>
      <c r="M943" s="2">
        <v>22.54</v>
      </c>
      <c r="N943" s="2">
        <v>41.3</v>
      </c>
      <c r="O943" s="2">
        <v>20.93</v>
      </c>
      <c r="P943" s="2">
        <v>40.03</v>
      </c>
      <c r="Q943" s="2">
        <v>10.23</v>
      </c>
      <c r="R943" s="2">
        <v>16.13</v>
      </c>
      <c r="S943" s="2">
        <v>5.67</v>
      </c>
      <c r="T943" s="2">
        <v>28.93</v>
      </c>
      <c r="U943" s="2">
        <v>12.59</v>
      </c>
      <c r="V943" s="2">
        <v>39.15</v>
      </c>
      <c r="W943" s="16">
        <f>'extended_recharge_2003-2015'!W79</f>
        <v>8.473456E-2</v>
      </c>
      <c r="X943" s="16">
        <f>'extended_recharge_2003-2015'!X79</f>
        <v>8.6382820000000002</v>
      </c>
      <c r="Y943" s="16">
        <f>'extended_recharge_2003-2015'!Y79</f>
        <v>11.111875</v>
      </c>
      <c r="Z943" s="16">
        <f>'extended_recharge_2003-2015'!Z79</f>
        <v>1.6473769</v>
      </c>
      <c r="AA943" s="16">
        <f>'extended_recharge_2003-2015'!AA79</f>
        <v>3.3202379</v>
      </c>
      <c r="AB943" s="16">
        <f>'extended_recharge_2003-2015'!AB79</f>
        <v>1.9138771999999999</v>
      </c>
      <c r="AC943" s="16">
        <f>'extended_recharge_2003-2015'!AC79</f>
        <v>3.4617909999999998</v>
      </c>
      <c r="AD943" s="16">
        <f>'extended_recharge_2003-2015'!AD79</f>
        <v>4.0569972999999999</v>
      </c>
      <c r="AE943" s="16">
        <f>'extended_recharge_2003-2015'!AE79</f>
        <v>14.093057</v>
      </c>
      <c r="AF943" s="16">
        <f>'extended_recharge_2003-2015'!AF79</f>
        <v>70.931880000000007</v>
      </c>
      <c r="AG943" s="16">
        <f>'extended_recharge_2003-2015'!AG79</f>
        <v>10.806661</v>
      </c>
    </row>
    <row r="944" spans="1:33" x14ac:dyDescent="0.2">
      <c r="A944" s="3">
        <v>36646</v>
      </c>
      <c r="B944" s="2">
        <v>2.3199999999999998</v>
      </c>
      <c r="C944" s="2">
        <v>19.809999999999999</v>
      </c>
      <c r="D944" s="2">
        <v>-5.44</v>
      </c>
      <c r="E944" s="2">
        <v>-85.13</v>
      </c>
      <c r="F944" s="2">
        <v>-51.53</v>
      </c>
      <c r="G944" s="2">
        <v>-58.45</v>
      </c>
      <c r="H944" s="2">
        <v>16.559999999999999</v>
      </c>
      <c r="I944" s="2">
        <v>50.6</v>
      </c>
      <c r="J944" s="2">
        <v>-23.43</v>
      </c>
      <c r="K944" s="2">
        <v>-18.170000000000002</v>
      </c>
      <c r="L944" s="2">
        <v>-26.7</v>
      </c>
      <c r="M944" s="2">
        <v>-20.190000000000001</v>
      </c>
      <c r="N944" s="2">
        <v>22.22</v>
      </c>
      <c r="O944" s="2">
        <v>22.77</v>
      </c>
      <c r="P944" s="2">
        <v>26.42</v>
      </c>
      <c r="Q944" s="2">
        <v>9.23</v>
      </c>
      <c r="R944" s="2">
        <v>19.18</v>
      </c>
      <c r="S944" s="2">
        <v>-20.47</v>
      </c>
      <c r="T944" s="2">
        <v>21.16</v>
      </c>
      <c r="U944" s="2">
        <v>21.83</v>
      </c>
      <c r="V944" s="2">
        <v>19.87</v>
      </c>
      <c r="W944" s="16">
        <f>'extended_recharge_2003-2015'!W80</f>
        <v>0.19799003000000001</v>
      </c>
      <c r="X944" s="16">
        <f>'extended_recharge_2003-2015'!X80</f>
        <v>9.8542419999999993</v>
      </c>
      <c r="Y944" s="16">
        <f>'extended_recharge_2003-2015'!Y80</f>
        <v>16.276634000000001</v>
      </c>
      <c r="Z944" s="16">
        <f>'extended_recharge_2003-2015'!Z80</f>
        <v>0.81196950000000001</v>
      </c>
      <c r="AA944" s="16">
        <f>'extended_recharge_2003-2015'!AA80</f>
        <v>5.4152969999999998</v>
      </c>
      <c r="AB944" s="16">
        <f>'extended_recharge_2003-2015'!AB80</f>
        <v>1.6301607</v>
      </c>
      <c r="AC944" s="16">
        <f>'extended_recharge_2003-2015'!AC80</f>
        <v>1.6643589000000001</v>
      </c>
      <c r="AD944" s="16">
        <f>'extended_recharge_2003-2015'!AD80</f>
        <v>5.7479987000000001</v>
      </c>
      <c r="AE944" s="16">
        <f>'extended_recharge_2003-2015'!AE80</f>
        <v>6.4734860000000003</v>
      </c>
      <c r="AF944" s="16">
        <f>'extended_recharge_2003-2015'!AF80</f>
        <v>90.721540000000005</v>
      </c>
      <c r="AG944" s="16">
        <f>'extended_recharge_2003-2015'!AG80</f>
        <v>14.243857999999999</v>
      </c>
    </row>
    <row r="945" spans="1:33" x14ac:dyDescent="0.2">
      <c r="A945" s="3">
        <v>36677</v>
      </c>
      <c r="B945" s="2">
        <v>4.3899999999999997</v>
      </c>
      <c r="C945" s="2">
        <v>21.42</v>
      </c>
      <c r="D945" s="2">
        <v>-7.24</v>
      </c>
      <c r="E945" s="2">
        <v>-42.16</v>
      </c>
      <c r="F945" s="2">
        <v>-28.48</v>
      </c>
      <c r="G945" s="2">
        <v>-16.62</v>
      </c>
      <c r="H945" s="2">
        <v>10.8</v>
      </c>
      <c r="I945" s="2">
        <v>50.89</v>
      </c>
      <c r="J945" s="2">
        <v>-18.04</v>
      </c>
      <c r="K945" s="2">
        <v>12.83</v>
      </c>
      <c r="L945" s="2">
        <v>-5.51</v>
      </c>
      <c r="M945" s="2">
        <v>-2.8</v>
      </c>
      <c r="N945" s="2">
        <v>36.270000000000003</v>
      </c>
      <c r="O945" s="2">
        <v>23.65</v>
      </c>
      <c r="P945" s="2">
        <v>65.58</v>
      </c>
      <c r="Q945" s="2">
        <v>6.2</v>
      </c>
      <c r="R945" s="2">
        <v>20.41</v>
      </c>
      <c r="S945" s="2">
        <v>-28.3</v>
      </c>
      <c r="T945" s="2">
        <v>30.34</v>
      </c>
      <c r="U945" s="2">
        <v>16.54</v>
      </c>
      <c r="V945" s="2">
        <v>41.02</v>
      </c>
      <c r="W945" s="16">
        <f>'extended_recharge_2003-2015'!W81</f>
        <v>6.0520896999999998</v>
      </c>
      <c r="X945" s="16">
        <f>'extended_recharge_2003-2015'!X81</f>
        <v>12.380053</v>
      </c>
      <c r="Y945" s="16">
        <f>'extended_recharge_2003-2015'!Y81</f>
        <v>20.410119999999999</v>
      </c>
      <c r="Z945" s="16">
        <f>'extended_recharge_2003-2015'!Z81</f>
        <v>1.8977326999999999</v>
      </c>
      <c r="AA945" s="16">
        <f>'extended_recharge_2003-2015'!AA81</f>
        <v>6.3636939999999997</v>
      </c>
      <c r="AB945" s="16">
        <f>'extended_recharge_2003-2015'!AB81</f>
        <v>2.2574049999999999</v>
      </c>
      <c r="AC945" s="16">
        <f>'extended_recharge_2003-2015'!AC81</f>
        <v>1.9369981000000001</v>
      </c>
      <c r="AD945" s="16">
        <f>'extended_recharge_2003-2015'!AD81</f>
        <v>7.9773990000000001</v>
      </c>
      <c r="AE945" s="16">
        <f>'extended_recharge_2003-2015'!AE81</f>
        <v>0.81696360000000001</v>
      </c>
      <c r="AF945" s="16">
        <f>'extended_recharge_2003-2015'!AF81</f>
        <v>96.845749999999995</v>
      </c>
      <c r="AG945" s="16">
        <f>'extended_recharge_2003-2015'!AG81</f>
        <v>17.423338000000001</v>
      </c>
    </row>
    <row r="946" spans="1:33" x14ac:dyDescent="0.2">
      <c r="A946" s="3">
        <v>36707</v>
      </c>
      <c r="B946" s="2">
        <v>5.4</v>
      </c>
      <c r="C946" s="2">
        <v>24.66</v>
      </c>
      <c r="D946" s="2">
        <v>-2.82</v>
      </c>
      <c r="E946" s="2">
        <v>-25.31</v>
      </c>
      <c r="F946" s="2">
        <v>8.0299999999999994</v>
      </c>
      <c r="G946" s="2">
        <v>-11.15</v>
      </c>
      <c r="H946" s="2">
        <v>17.59</v>
      </c>
      <c r="I946" s="2">
        <v>40.26</v>
      </c>
      <c r="J946" s="2">
        <v>-26.38</v>
      </c>
      <c r="K946" s="2">
        <v>22.29</v>
      </c>
      <c r="L946" s="2">
        <v>-12.07</v>
      </c>
      <c r="M946" s="2">
        <v>2.35</v>
      </c>
      <c r="N946" s="2">
        <v>45.59</v>
      </c>
      <c r="O946" s="2">
        <v>24.99</v>
      </c>
      <c r="P946" s="2">
        <v>98.32</v>
      </c>
      <c r="Q946" s="2">
        <v>11.73</v>
      </c>
      <c r="R946" s="2">
        <v>31.33</v>
      </c>
      <c r="S946" s="2">
        <v>-27.07</v>
      </c>
      <c r="T946" s="2">
        <v>51.71</v>
      </c>
      <c r="U946" s="2">
        <v>16.899999999999999</v>
      </c>
      <c r="V946" s="2">
        <v>47.92</v>
      </c>
      <c r="W946" s="16">
        <f>'extended_recharge_2003-2015'!W82</f>
        <v>18.033881999999998</v>
      </c>
      <c r="X946" s="16">
        <f>'extended_recharge_2003-2015'!X82</f>
        <v>10.257804</v>
      </c>
      <c r="Y946" s="16">
        <f>'extended_recharge_2003-2015'!Y82</f>
        <v>19.733044</v>
      </c>
      <c r="Z946" s="16">
        <f>'extended_recharge_2003-2015'!Z82</f>
        <v>0.95210799999999995</v>
      </c>
      <c r="AA946" s="16">
        <f>'extended_recharge_2003-2015'!AA82</f>
        <v>6.2413980000000002</v>
      </c>
      <c r="AB946" s="16">
        <f>'extended_recharge_2003-2015'!AB82</f>
        <v>1.6534051999999999</v>
      </c>
      <c r="AC946" s="16">
        <f>'extended_recharge_2003-2015'!AC82</f>
        <v>1.6812658</v>
      </c>
      <c r="AD946" s="16">
        <f>'extended_recharge_2003-2015'!AD82</f>
        <v>9.7483939999999993</v>
      </c>
      <c r="AE946" s="16">
        <f>'extended_recharge_2003-2015'!AE82</f>
        <v>-1.7469207</v>
      </c>
      <c r="AF946" s="16">
        <f>'extended_recharge_2003-2015'!AF82</f>
        <v>103.23549</v>
      </c>
      <c r="AG946" s="16">
        <f>'extended_recharge_2003-2015'!AG82</f>
        <v>22.39021</v>
      </c>
    </row>
    <row r="947" spans="1:33" x14ac:dyDescent="0.2">
      <c r="A947" s="3">
        <v>36738</v>
      </c>
      <c r="B947" s="2">
        <v>6.26</v>
      </c>
      <c r="C947" s="2">
        <v>23.93</v>
      </c>
      <c r="D947" s="2">
        <v>6.94</v>
      </c>
      <c r="E947" s="2">
        <v>-3.23</v>
      </c>
      <c r="F947" s="2">
        <v>29.22</v>
      </c>
      <c r="G947" s="2">
        <v>12.79</v>
      </c>
      <c r="H947" s="2">
        <v>25.24</v>
      </c>
      <c r="I947" s="2">
        <v>46.5</v>
      </c>
      <c r="J947" s="2">
        <v>-19.28</v>
      </c>
      <c r="K947" s="2">
        <v>36.68</v>
      </c>
      <c r="L947" s="2">
        <v>-10.93</v>
      </c>
      <c r="M947" s="2">
        <v>13.21</v>
      </c>
      <c r="N947" s="2">
        <v>53.93</v>
      </c>
      <c r="O947" s="2">
        <v>35.53</v>
      </c>
      <c r="P947" s="2">
        <v>87.64</v>
      </c>
      <c r="Q947" s="2">
        <v>6.77</v>
      </c>
      <c r="R947" s="2">
        <v>30.81</v>
      </c>
      <c r="S947" s="2">
        <v>-5.0999999999999996</v>
      </c>
      <c r="T947" s="2">
        <v>51.3</v>
      </c>
      <c r="U947" s="2">
        <v>28.12</v>
      </c>
      <c r="V947" s="2">
        <v>45.86</v>
      </c>
      <c r="W947" s="16">
        <f>'extended_recharge_2003-2015'!W83</f>
        <v>29.056795000000001</v>
      </c>
      <c r="X947" s="16">
        <f>'extended_recharge_2003-2015'!X83</f>
        <v>10.7952175</v>
      </c>
      <c r="Y947" s="16">
        <f>'extended_recharge_2003-2015'!Y83</f>
        <v>23.747516999999998</v>
      </c>
      <c r="Z947" s="16">
        <f>'extended_recharge_2003-2015'!Z83</f>
        <v>1.6697348000000001</v>
      </c>
      <c r="AA947" s="16">
        <f>'extended_recharge_2003-2015'!AA83</f>
        <v>3.6098970000000001</v>
      </c>
      <c r="AB947" s="16">
        <f>'extended_recharge_2003-2015'!AB83</f>
        <v>1.1373991000000001</v>
      </c>
      <c r="AC947" s="16">
        <f>'extended_recharge_2003-2015'!AC83</f>
        <v>2.8742801999999998</v>
      </c>
      <c r="AD947" s="16">
        <f>'extended_recharge_2003-2015'!AD83</f>
        <v>8.2050660000000004</v>
      </c>
      <c r="AE947" s="16">
        <f>'extended_recharge_2003-2015'!AE83</f>
        <v>-1.7359688</v>
      </c>
      <c r="AF947" s="16">
        <f>'extended_recharge_2003-2015'!AF83</f>
        <v>115.16956</v>
      </c>
      <c r="AG947" s="16">
        <f>'extended_recharge_2003-2015'!AG83</f>
        <v>24.610109999999999</v>
      </c>
    </row>
    <row r="948" spans="1:33" x14ac:dyDescent="0.2">
      <c r="A948" s="3">
        <v>36769</v>
      </c>
      <c r="B948" s="2">
        <v>3.97</v>
      </c>
      <c r="C948" s="2">
        <v>24.15</v>
      </c>
      <c r="D948" s="2">
        <v>2.88</v>
      </c>
      <c r="E948" s="2">
        <v>-12.98</v>
      </c>
      <c r="F948" s="2">
        <v>6.56</v>
      </c>
      <c r="G948" s="2">
        <v>10.19</v>
      </c>
      <c r="H948" s="2">
        <v>19.14</v>
      </c>
      <c r="I948" s="2">
        <v>50.85</v>
      </c>
      <c r="J948" s="2">
        <v>-6.03</v>
      </c>
      <c r="K948" s="2">
        <v>30.41</v>
      </c>
      <c r="L948" s="2">
        <v>1.58</v>
      </c>
      <c r="M948" s="2">
        <v>17.600000000000001</v>
      </c>
      <c r="N948" s="2">
        <v>56.81</v>
      </c>
      <c r="O948" s="2">
        <v>23.4</v>
      </c>
      <c r="P948" s="2">
        <v>61.28</v>
      </c>
      <c r="Q948" s="2">
        <v>10.88</v>
      </c>
      <c r="R948" s="2">
        <v>30.21</v>
      </c>
      <c r="S948" s="2">
        <v>0.5</v>
      </c>
      <c r="T948" s="2">
        <v>42.79</v>
      </c>
      <c r="U948" s="2">
        <v>27.61</v>
      </c>
      <c r="V948" s="2">
        <v>37.83</v>
      </c>
      <c r="W948" s="16">
        <f>'extended_recharge_2003-2015'!W84</f>
        <v>30.838352</v>
      </c>
      <c r="X948" s="16">
        <f>'extended_recharge_2003-2015'!X84</f>
        <v>10.476872</v>
      </c>
      <c r="Y948" s="16">
        <f>'extended_recharge_2003-2015'!Y84</f>
        <v>24.688482</v>
      </c>
      <c r="Z948" s="16">
        <f>'extended_recharge_2003-2015'!Z84</f>
        <v>2.1289280000000002</v>
      </c>
      <c r="AA948" s="16">
        <f>'extended_recharge_2003-2015'!AA84</f>
        <v>4.0079985000000002</v>
      </c>
      <c r="AB948" s="16">
        <f>'extended_recharge_2003-2015'!AB84</f>
        <v>2.0254582999999999</v>
      </c>
      <c r="AC948" s="16">
        <f>'extended_recharge_2003-2015'!AC84</f>
        <v>3.6286763999999998</v>
      </c>
      <c r="AD948" s="16">
        <f>'extended_recharge_2003-2015'!AD84</f>
        <v>6.5776614999999996</v>
      </c>
      <c r="AE948" s="16">
        <f>'extended_recharge_2003-2015'!AE84</f>
        <v>-1.9856123E-2</v>
      </c>
      <c r="AF948" s="16">
        <f>'extended_recharge_2003-2015'!AF84</f>
        <v>102.754166</v>
      </c>
      <c r="AG948" s="16">
        <f>'extended_recharge_2003-2015'!AG84</f>
        <v>24.307196000000001</v>
      </c>
    </row>
    <row r="949" spans="1:33" x14ac:dyDescent="0.2">
      <c r="A949" s="3">
        <v>36799</v>
      </c>
      <c r="B949" s="2">
        <v>0.87</v>
      </c>
      <c r="C949" s="2">
        <v>25.7</v>
      </c>
      <c r="D949" s="2">
        <v>1.3</v>
      </c>
      <c r="E949" s="2">
        <v>-23.11</v>
      </c>
      <c r="F949" s="2">
        <v>-5.24</v>
      </c>
      <c r="G949" s="2">
        <v>5.41</v>
      </c>
      <c r="H949" s="2">
        <v>20.54</v>
      </c>
      <c r="I949" s="2">
        <v>52.7</v>
      </c>
      <c r="J949" s="2">
        <v>5.08</v>
      </c>
      <c r="K949" s="2">
        <v>10.39</v>
      </c>
      <c r="L949" s="2">
        <v>-3.18</v>
      </c>
      <c r="M949" s="2">
        <v>9.58</v>
      </c>
      <c r="N949" s="2">
        <v>43.77</v>
      </c>
      <c r="O949" s="2">
        <v>22.71</v>
      </c>
      <c r="P949" s="2">
        <v>25.13</v>
      </c>
      <c r="Q949" s="2">
        <v>11.04</v>
      </c>
      <c r="R949" s="2">
        <v>24.83</v>
      </c>
      <c r="S949" s="2">
        <v>-4.71</v>
      </c>
      <c r="T949" s="2">
        <v>12.79</v>
      </c>
      <c r="U949" s="2">
        <v>20.64</v>
      </c>
      <c r="V949" s="2">
        <v>20.51</v>
      </c>
      <c r="W949" s="16">
        <f>'extended_recharge_2003-2015'!W85</f>
        <v>26.217227999999999</v>
      </c>
      <c r="X949" s="16">
        <f>'extended_recharge_2003-2015'!X85</f>
        <v>7.3715706000000001</v>
      </c>
      <c r="Y949" s="16">
        <f>'extended_recharge_2003-2015'!Y85</f>
        <v>19.501004999999999</v>
      </c>
      <c r="Z949" s="16">
        <f>'extended_recharge_2003-2015'!Z85</f>
        <v>2.3378033999999999</v>
      </c>
      <c r="AA949" s="16">
        <f>'extended_recharge_2003-2015'!AA85</f>
        <v>3.0358596000000002</v>
      </c>
      <c r="AB949" s="16">
        <f>'extended_recharge_2003-2015'!AB85</f>
        <v>1.0250725999999999</v>
      </c>
      <c r="AC949" s="16">
        <f>'extended_recharge_2003-2015'!AC85</f>
        <v>3.7856133000000001</v>
      </c>
      <c r="AD949" s="16">
        <f>'extended_recharge_2003-2015'!AD85</f>
        <v>4.5489740000000003</v>
      </c>
      <c r="AE949" s="16">
        <f>'extended_recharge_2003-2015'!AE85</f>
        <v>2.5664144000000002</v>
      </c>
      <c r="AF949" s="16">
        <f>'extended_recharge_2003-2015'!AF85</f>
        <v>98.356575000000007</v>
      </c>
      <c r="AG949" s="16">
        <f>'extended_recharge_2003-2015'!AG85</f>
        <v>20.427488</v>
      </c>
    </row>
    <row r="950" spans="1:33" x14ac:dyDescent="0.2">
      <c r="A950" s="3">
        <v>36830</v>
      </c>
      <c r="B950" s="2">
        <v>0.31</v>
      </c>
      <c r="C950" s="2">
        <v>22.54</v>
      </c>
      <c r="D950" s="2">
        <v>1.91</v>
      </c>
      <c r="E950" s="2">
        <v>-5.32</v>
      </c>
      <c r="F950" s="2">
        <v>-0.97</v>
      </c>
      <c r="G950" s="2">
        <v>11.44</v>
      </c>
      <c r="H950" s="2">
        <v>19.23</v>
      </c>
      <c r="I950" s="2">
        <v>47.83</v>
      </c>
      <c r="J950" s="2">
        <v>17.32</v>
      </c>
      <c r="K950" s="2">
        <v>20.83</v>
      </c>
      <c r="L950" s="2">
        <v>3.63</v>
      </c>
      <c r="M950" s="2">
        <v>14.29</v>
      </c>
      <c r="N950" s="2">
        <v>41.61</v>
      </c>
      <c r="O950" s="2">
        <v>13.62</v>
      </c>
      <c r="P950" s="2">
        <v>36.979999999999997</v>
      </c>
      <c r="Q950" s="2">
        <v>2.12</v>
      </c>
      <c r="R950" s="2">
        <v>8.8000000000000007</v>
      </c>
      <c r="S950" s="2">
        <v>-7.89</v>
      </c>
      <c r="T950" s="2">
        <v>17.68</v>
      </c>
      <c r="U950" s="2">
        <v>11.19</v>
      </c>
      <c r="V950" s="2">
        <v>12.36</v>
      </c>
      <c r="W950" s="16">
        <f>'extended_recharge_2003-2015'!W86</f>
        <v>21.28134</v>
      </c>
      <c r="X950" s="16">
        <f>'extended_recharge_2003-2015'!X86</f>
        <v>8.1262740000000004</v>
      </c>
      <c r="Y950" s="16">
        <f>'extended_recharge_2003-2015'!Y86</f>
        <v>19.513641</v>
      </c>
      <c r="Z950" s="16">
        <f>'extended_recharge_2003-2015'!Z86</f>
        <v>2.7095389999999999</v>
      </c>
      <c r="AA950" s="16">
        <f>'extended_recharge_2003-2015'!AA86</f>
        <v>2.0224285000000002</v>
      </c>
      <c r="AB950" s="16">
        <f>'extended_recharge_2003-2015'!AB86</f>
        <v>1.0971</v>
      </c>
      <c r="AC950" s="16">
        <f>'extended_recharge_2003-2015'!AC86</f>
        <v>3.6448144999999998</v>
      </c>
      <c r="AD950" s="16">
        <f>'extended_recharge_2003-2015'!AD86</f>
        <v>3.3621265999999999</v>
      </c>
      <c r="AE950" s="16">
        <f>'extended_recharge_2003-2015'!AE86</f>
        <v>9.3643874999999994</v>
      </c>
      <c r="AF950" s="16">
        <f>'extended_recharge_2003-2015'!AF86</f>
        <v>85.971149999999994</v>
      </c>
      <c r="AG950" s="16">
        <f>'extended_recharge_2003-2015'!AG86</f>
        <v>16.689133000000002</v>
      </c>
    </row>
    <row r="951" spans="1:33" x14ac:dyDescent="0.2">
      <c r="A951" s="3">
        <v>36860</v>
      </c>
      <c r="B951" s="2">
        <v>-0.63</v>
      </c>
      <c r="C951" s="2">
        <v>15.62</v>
      </c>
      <c r="D951" s="2">
        <v>-1.21</v>
      </c>
      <c r="E951" s="2">
        <v>-13.66</v>
      </c>
      <c r="F951" s="2">
        <v>-12.07</v>
      </c>
      <c r="G951" s="2">
        <v>1.19</v>
      </c>
      <c r="H951" s="2">
        <v>16.13</v>
      </c>
      <c r="I951" s="2">
        <v>44.83</v>
      </c>
      <c r="J951" s="2">
        <v>0.92</v>
      </c>
      <c r="K951" s="2">
        <v>-6.27</v>
      </c>
      <c r="L951" s="2">
        <v>-11.74</v>
      </c>
      <c r="M951" s="2">
        <v>-6.81</v>
      </c>
      <c r="N951" s="2">
        <v>17.05</v>
      </c>
      <c r="O951" s="2">
        <v>20.3</v>
      </c>
      <c r="P951" s="2">
        <v>31.9</v>
      </c>
      <c r="Q951" s="2">
        <v>9.6</v>
      </c>
      <c r="R951" s="2">
        <v>14.58</v>
      </c>
      <c r="S951" s="2">
        <v>-5.39</v>
      </c>
      <c r="T951" s="2">
        <v>13.1</v>
      </c>
      <c r="U951" s="2">
        <v>14.18</v>
      </c>
      <c r="V951" s="2">
        <v>16.84</v>
      </c>
      <c r="W951" s="16">
        <f>'extended_recharge_2003-2015'!W87</f>
        <v>15.440258999999999</v>
      </c>
      <c r="X951" s="16">
        <f>'extended_recharge_2003-2015'!X87</f>
        <v>7.5923265999999998</v>
      </c>
      <c r="Y951" s="16">
        <f>'extended_recharge_2003-2015'!Y87</f>
        <v>16.720585</v>
      </c>
      <c r="Z951" s="16">
        <f>'extended_recharge_2003-2015'!Z87</f>
        <v>4.6405114999999997</v>
      </c>
      <c r="AA951" s="16">
        <f>'extended_recharge_2003-2015'!AA87</f>
        <v>3.6100051</v>
      </c>
      <c r="AB951" s="16">
        <f>'extended_recharge_2003-2015'!AB87</f>
        <v>1.4520974</v>
      </c>
      <c r="AC951" s="16">
        <f>'extended_recharge_2003-2015'!AC87</f>
        <v>4.7898430000000003</v>
      </c>
      <c r="AD951" s="16">
        <f>'extended_recharge_2003-2015'!AD87</f>
        <v>2.3621208999999999</v>
      </c>
      <c r="AE951" s="16">
        <f>'extended_recharge_2003-2015'!AE87</f>
        <v>19.926828</v>
      </c>
      <c r="AF951" s="16">
        <f>'extended_recharge_2003-2015'!AF87</f>
        <v>65.761030000000005</v>
      </c>
      <c r="AG951" s="16">
        <f>'extended_recharge_2003-2015'!AG87</f>
        <v>13.101976000000001</v>
      </c>
    </row>
    <row r="952" spans="1:33" x14ac:dyDescent="0.2">
      <c r="A952" s="3">
        <v>36891</v>
      </c>
      <c r="B952" s="2">
        <v>-0.66</v>
      </c>
      <c r="C952" s="2">
        <v>15.95</v>
      </c>
      <c r="D952" s="2">
        <v>0.26</v>
      </c>
      <c r="E952" s="2">
        <v>-6.56</v>
      </c>
      <c r="F952" s="2">
        <v>-4.71</v>
      </c>
      <c r="G952" s="2">
        <v>4.95</v>
      </c>
      <c r="H952" s="2">
        <v>17.66</v>
      </c>
      <c r="I952" s="2">
        <v>42.98</v>
      </c>
      <c r="J952" s="2">
        <v>2.2799999999999998</v>
      </c>
      <c r="K952" s="2">
        <v>-0.21</v>
      </c>
      <c r="L952" s="2">
        <v>-7.11</v>
      </c>
      <c r="M952" s="2">
        <v>-2.12</v>
      </c>
      <c r="N952" s="2">
        <v>21.52</v>
      </c>
      <c r="O952" s="2">
        <v>22.68</v>
      </c>
      <c r="P952" s="2">
        <v>31.66</v>
      </c>
      <c r="Q952" s="2">
        <v>8.58</v>
      </c>
      <c r="R952" s="2">
        <v>13.7</v>
      </c>
      <c r="S952" s="2">
        <v>-9.81</v>
      </c>
      <c r="T952" s="2">
        <v>13.43</v>
      </c>
      <c r="U952" s="2">
        <v>15.51</v>
      </c>
      <c r="V952" s="2">
        <v>16.420000000000002</v>
      </c>
      <c r="W952" s="16">
        <f>'extended_recharge_2003-2015'!W88</f>
        <v>11.060191</v>
      </c>
      <c r="X952" s="16">
        <f>'extended_recharge_2003-2015'!X88</f>
        <v>6.8783364000000002</v>
      </c>
      <c r="Y952" s="16">
        <f>'extended_recharge_2003-2015'!Y88</f>
        <v>14.230653999999999</v>
      </c>
      <c r="Z952" s="16">
        <f>'extended_recharge_2003-2015'!Z88</f>
        <v>4.0819729999999996</v>
      </c>
      <c r="AA952" s="16">
        <f>'extended_recharge_2003-2015'!AA88</f>
        <v>2.3097048</v>
      </c>
      <c r="AB952" s="16">
        <f>'extended_recharge_2003-2015'!AB88</f>
        <v>1.3791343</v>
      </c>
      <c r="AC952" s="16">
        <f>'extended_recharge_2003-2015'!AC88</f>
        <v>5.0901079999999999</v>
      </c>
      <c r="AD952" s="16">
        <f>'extended_recharge_2003-2015'!AD88</f>
        <v>1.7399804999999999</v>
      </c>
      <c r="AE952" s="16">
        <f>'extended_recharge_2003-2015'!AE88</f>
        <v>25.123868999999999</v>
      </c>
      <c r="AF952" s="16">
        <f>'extended_recharge_2003-2015'!AF88</f>
        <v>62.323869999999999</v>
      </c>
      <c r="AG952" s="16">
        <f>'extended_recharge_2003-2015'!AG88</f>
        <v>11.295356</v>
      </c>
    </row>
    <row r="953" spans="1:33" x14ac:dyDescent="0.2">
      <c r="A953" s="3">
        <v>36922</v>
      </c>
      <c r="B953" s="2">
        <v>-5.33</v>
      </c>
      <c r="C953" s="2">
        <v>23.66</v>
      </c>
      <c r="D953" s="2">
        <v>30.27</v>
      </c>
      <c r="E953" s="2">
        <v>43.08</v>
      </c>
      <c r="F953" s="2">
        <v>39.58</v>
      </c>
      <c r="G953" s="2">
        <v>36.04</v>
      </c>
      <c r="H953" s="2">
        <v>22.96</v>
      </c>
      <c r="I953" s="2">
        <v>43.58</v>
      </c>
      <c r="J953" s="2">
        <v>22.08</v>
      </c>
      <c r="K953" s="2">
        <v>45.12</v>
      </c>
      <c r="L953" s="2">
        <v>-3.19</v>
      </c>
      <c r="M953" s="2">
        <v>12.56</v>
      </c>
      <c r="N953" s="2">
        <v>39.299999999999997</v>
      </c>
      <c r="O953" s="2">
        <v>14.67</v>
      </c>
      <c r="P953" s="2">
        <v>57.68</v>
      </c>
      <c r="Q953" s="2">
        <v>-3.67</v>
      </c>
      <c r="R953" s="2">
        <v>7.96</v>
      </c>
      <c r="S953" s="2">
        <v>-10.86</v>
      </c>
      <c r="T953" s="2">
        <v>16.149999999999999</v>
      </c>
      <c r="U953" s="2">
        <v>12.4</v>
      </c>
      <c r="V953" s="2">
        <v>11.9</v>
      </c>
      <c r="W953" s="16">
        <f>'extended_recharge_2003-2015'!W89</f>
        <v>4.9037848000000004</v>
      </c>
      <c r="X953" s="16">
        <f>'extended_recharge_2003-2015'!X89</f>
        <v>7.9619527000000003</v>
      </c>
      <c r="Y953" s="16">
        <f>'extended_recharge_2003-2015'!Y89</f>
        <v>14.157916</v>
      </c>
      <c r="Z953" s="16">
        <f>'extended_recharge_2003-2015'!Z89</f>
        <v>3.6375644</v>
      </c>
      <c r="AA953" s="16">
        <f>'extended_recharge_2003-2015'!AA89</f>
        <v>2.8751907000000001</v>
      </c>
      <c r="AB953" s="16">
        <f>'extended_recharge_2003-2015'!AB89</f>
        <v>2.1268973</v>
      </c>
      <c r="AC953" s="16">
        <f>'extended_recharge_2003-2015'!AC89</f>
        <v>3.9097550000000001</v>
      </c>
      <c r="AD953" s="16">
        <f>'extended_recharge_2003-2015'!AD89</f>
        <v>1.6963634000000001</v>
      </c>
      <c r="AE953" s="16">
        <f>'extended_recharge_2003-2015'!AE89</f>
        <v>29.269316</v>
      </c>
      <c r="AF953" s="16">
        <f>'extended_recharge_2003-2015'!AF89</f>
        <v>72.639600000000002</v>
      </c>
      <c r="AG953" s="16">
        <f>'extended_recharge_2003-2015'!AG89</f>
        <v>9.6969159999999999</v>
      </c>
    </row>
    <row r="954" spans="1:33" x14ac:dyDescent="0.2">
      <c r="A954" s="3">
        <v>36950</v>
      </c>
      <c r="B954" s="2">
        <v>-6.67</v>
      </c>
      <c r="C954" s="2">
        <v>23.4</v>
      </c>
      <c r="D954" s="2">
        <v>23.78</v>
      </c>
      <c r="E954" s="2">
        <v>34.51</v>
      </c>
      <c r="F954" s="2">
        <v>24.04</v>
      </c>
      <c r="G954" s="2">
        <v>70.42</v>
      </c>
      <c r="H954" s="2">
        <v>18.93</v>
      </c>
      <c r="I954" s="2">
        <v>41.48</v>
      </c>
      <c r="J954" s="2">
        <v>26.02</v>
      </c>
      <c r="K954" s="2">
        <v>14.08</v>
      </c>
      <c r="L954" s="2">
        <v>3.39</v>
      </c>
      <c r="M954" s="2">
        <v>9.08</v>
      </c>
      <c r="N954" s="2">
        <v>25.37</v>
      </c>
      <c r="O954" s="2">
        <v>15.83</v>
      </c>
      <c r="P954" s="2">
        <v>49.28</v>
      </c>
      <c r="Q954" s="2">
        <v>-1.39</v>
      </c>
      <c r="R954" s="2">
        <v>8.19</v>
      </c>
      <c r="S954" s="2">
        <v>-22.58</v>
      </c>
      <c r="T954" s="2">
        <v>28.59</v>
      </c>
      <c r="U954" s="2">
        <v>12.27</v>
      </c>
      <c r="V954" s="2">
        <v>11.5</v>
      </c>
      <c r="W954" s="16">
        <f>'extended_recharge_2003-2015'!W90</f>
        <v>0.96311086000000001</v>
      </c>
      <c r="X954" s="16">
        <f>'extended_recharge_2003-2015'!X90</f>
        <v>9.4346099999999993</v>
      </c>
      <c r="Y954" s="16">
        <f>'extended_recharge_2003-2015'!Y90</f>
        <v>13.537091</v>
      </c>
      <c r="Z954" s="16">
        <f>'extended_recharge_2003-2015'!Z90</f>
        <v>2.1714951999999998</v>
      </c>
      <c r="AA954" s="16">
        <f>'extended_recharge_2003-2015'!AA90</f>
        <v>3.5053331999999999</v>
      </c>
      <c r="AB954" s="16">
        <f>'extended_recharge_2003-2015'!AB90</f>
        <v>2.7673466000000002</v>
      </c>
      <c r="AC954" s="16">
        <f>'extended_recharge_2003-2015'!AC90</f>
        <v>2.9750649999999998</v>
      </c>
      <c r="AD954" s="16">
        <f>'extended_recharge_2003-2015'!AD90</f>
        <v>2.3199529999999999</v>
      </c>
      <c r="AE954" s="16">
        <f>'extended_recharge_2003-2015'!AE90</f>
        <v>23.048846999999999</v>
      </c>
      <c r="AF954" s="16">
        <f>'extended_recharge_2003-2015'!AF90</f>
        <v>67.538160000000005</v>
      </c>
      <c r="AG954" s="16">
        <f>'extended_recharge_2003-2015'!AG90</f>
        <v>9.8971710000000002</v>
      </c>
    </row>
    <row r="955" spans="1:33" x14ac:dyDescent="0.2">
      <c r="A955" s="3">
        <v>36981</v>
      </c>
      <c r="B955" s="2">
        <v>1.51</v>
      </c>
      <c r="C955" s="2">
        <v>25.88</v>
      </c>
      <c r="D955" s="2">
        <v>1.78</v>
      </c>
      <c r="E955" s="2">
        <v>5.88</v>
      </c>
      <c r="F955" s="2">
        <v>11.05</v>
      </c>
      <c r="G955" s="2">
        <v>-6.2</v>
      </c>
      <c r="H955" s="2">
        <v>16.95</v>
      </c>
      <c r="I955" s="2">
        <v>43.73</v>
      </c>
      <c r="J955" s="2">
        <v>5.44</v>
      </c>
      <c r="K955" s="2">
        <v>12.87</v>
      </c>
      <c r="L955" s="2">
        <v>-5.66</v>
      </c>
      <c r="M955" s="2">
        <v>4.75</v>
      </c>
      <c r="N955" s="2">
        <v>29.37</v>
      </c>
      <c r="O955" s="2">
        <v>13.38</v>
      </c>
      <c r="P955" s="2">
        <v>43.86</v>
      </c>
      <c r="Q955" s="2">
        <v>3.47</v>
      </c>
      <c r="R955" s="2">
        <v>8.9600000000000009</v>
      </c>
      <c r="S955" s="2">
        <v>-13.64</v>
      </c>
      <c r="T955" s="2">
        <v>20.05</v>
      </c>
      <c r="U955" s="2">
        <v>10.95</v>
      </c>
      <c r="V955" s="2">
        <v>24.94</v>
      </c>
      <c r="W955" s="16">
        <f>'extended_recharge_2003-2015'!W91</f>
        <v>-0.40271214</v>
      </c>
      <c r="X955" s="16">
        <f>'extended_recharge_2003-2015'!X91</f>
        <v>9.3969989999999992</v>
      </c>
      <c r="Y955" s="16">
        <f>'extended_recharge_2003-2015'!Y91</f>
        <v>13.312201999999999</v>
      </c>
      <c r="Z955" s="16">
        <f>'extended_recharge_2003-2015'!Z91</f>
        <v>2.1928800000000002</v>
      </c>
      <c r="AA955" s="16">
        <f>'extended_recharge_2003-2015'!AA91</f>
        <v>5.6769857000000004</v>
      </c>
      <c r="AB955" s="16">
        <f>'extended_recharge_2003-2015'!AB91</f>
        <v>3.4966504999999999</v>
      </c>
      <c r="AC955" s="16">
        <f>'extended_recharge_2003-2015'!AC91</f>
        <v>3.5662908999999998</v>
      </c>
      <c r="AD955" s="16">
        <f>'extended_recharge_2003-2015'!AD91</f>
        <v>3.5126947999999998</v>
      </c>
      <c r="AE955" s="16">
        <f>'extended_recharge_2003-2015'!AE91</f>
        <v>13.997673000000001</v>
      </c>
      <c r="AF955" s="16">
        <f>'extended_recharge_2003-2015'!AF91</f>
        <v>72.043809999999993</v>
      </c>
      <c r="AG955" s="16">
        <f>'extended_recharge_2003-2015'!AG91</f>
        <v>10.644479</v>
      </c>
    </row>
    <row r="956" spans="1:33" x14ac:dyDescent="0.2">
      <c r="A956" s="3">
        <v>37011</v>
      </c>
      <c r="B956" s="2">
        <v>1.93</v>
      </c>
      <c r="C956" s="2">
        <v>14.97</v>
      </c>
      <c r="D956" s="2">
        <v>3.04</v>
      </c>
      <c r="E956" s="2">
        <v>-23.46</v>
      </c>
      <c r="F956" s="2">
        <v>15.82</v>
      </c>
      <c r="G956" s="2">
        <v>-18.57</v>
      </c>
      <c r="H956" s="2">
        <v>11.88</v>
      </c>
      <c r="I956" s="2">
        <v>44.64</v>
      </c>
      <c r="J956" s="2">
        <v>0.75</v>
      </c>
      <c r="K956" s="2">
        <v>4.93</v>
      </c>
      <c r="L956" s="2">
        <v>13.56</v>
      </c>
      <c r="M956" s="2">
        <v>5.13</v>
      </c>
      <c r="N956" s="2">
        <v>9.1</v>
      </c>
      <c r="O956" s="2">
        <v>19.64</v>
      </c>
      <c r="P956" s="2">
        <v>25.83</v>
      </c>
      <c r="Q956" s="2">
        <v>1.23</v>
      </c>
      <c r="R956" s="2">
        <v>11.23</v>
      </c>
      <c r="S956" s="2">
        <v>6.65</v>
      </c>
      <c r="T956" s="2">
        <v>20.93</v>
      </c>
      <c r="U956" s="2">
        <v>9.6199999999999992</v>
      </c>
      <c r="V956" s="2">
        <v>18.05</v>
      </c>
      <c r="W956" s="16">
        <f>'extended_recharge_2003-2015'!W92</f>
        <v>0.21161553</v>
      </c>
      <c r="X956" s="16">
        <f>'extended_recharge_2003-2015'!X92</f>
        <v>11.864599999999999</v>
      </c>
      <c r="Y956" s="16">
        <f>'extended_recharge_2003-2015'!Y92</f>
        <v>16.675364999999999</v>
      </c>
      <c r="Z956" s="16">
        <f>'extended_recharge_2003-2015'!Z92</f>
        <v>1.1515099</v>
      </c>
      <c r="AA956" s="16">
        <f>'extended_recharge_2003-2015'!AA92</f>
        <v>4.4505986999999996</v>
      </c>
      <c r="AB956" s="16">
        <f>'extended_recharge_2003-2015'!AB92</f>
        <v>1.7756289999999999</v>
      </c>
      <c r="AC956" s="16">
        <f>'extended_recharge_2003-2015'!AC92</f>
        <v>2.2579760000000002</v>
      </c>
      <c r="AD956" s="16">
        <f>'extended_recharge_2003-2015'!AD92</f>
        <v>5.0544539999999998</v>
      </c>
      <c r="AE956" s="16">
        <f>'extended_recharge_2003-2015'!AE92</f>
        <v>7.1493726000000004</v>
      </c>
      <c r="AF956" s="16">
        <f>'extended_recharge_2003-2015'!AF92</f>
        <v>90.980680000000007</v>
      </c>
      <c r="AG956" s="16">
        <f>'extended_recharge_2003-2015'!AG92</f>
        <v>14.171409000000001</v>
      </c>
    </row>
    <row r="957" spans="1:33" x14ac:dyDescent="0.2">
      <c r="A957" s="3">
        <v>37042</v>
      </c>
      <c r="B957" s="2">
        <v>3.72</v>
      </c>
      <c r="C957" s="2">
        <v>18.89</v>
      </c>
      <c r="D957" s="2">
        <v>-3.5</v>
      </c>
      <c r="E957" s="2">
        <v>-5.98</v>
      </c>
      <c r="F957" s="2">
        <v>10.15</v>
      </c>
      <c r="G957" s="2">
        <v>-6.37</v>
      </c>
      <c r="H957" s="2">
        <v>12.51</v>
      </c>
      <c r="I957" s="2">
        <v>41.83</v>
      </c>
      <c r="J957" s="2">
        <v>-3.52</v>
      </c>
      <c r="K957" s="2">
        <v>26.74</v>
      </c>
      <c r="L957" s="2">
        <v>15.77</v>
      </c>
      <c r="M957" s="2">
        <v>13.13</v>
      </c>
      <c r="N957" s="2">
        <v>42.36</v>
      </c>
      <c r="O957" s="2">
        <v>18.89</v>
      </c>
      <c r="P957" s="2">
        <v>48.18</v>
      </c>
      <c r="Q957" s="2">
        <v>-3.56</v>
      </c>
      <c r="R957" s="2">
        <v>13.73</v>
      </c>
      <c r="S957" s="2">
        <v>-6.21</v>
      </c>
      <c r="T957" s="2">
        <v>27.2</v>
      </c>
      <c r="U957" s="2">
        <v>13.97</v>
      </c>
      <c r="V957" s="2">
        <v>29.31</v>
      </c>
      <c r="W957" s="16">
        <f>'extended_recharge_2003-2015'!W93</f>
        <v>5.6550750000000001</v>
      </c>
      <c r="X957" s="16">
        <f>'extended_recharge_2003-2015'!X93</f>
        <v>13.15217</v>
      </c>
      <c r="Y957" s="16">
        <f>'extended_recharge_2003-2015'!Y93</f>
        <v>21.798690000000001</v>
      </c>
      <c r="Z957" s="16">
        <f>'extended_recharge_2003-2015'!Z93</f>
        <v>0.60502610000000001</v>
      </c>
      <c r="AA957" s="16">
        <f>'extended_recharge_2003-2015'!AA93</f>
        <v>3.8954735</v>
      </c>
      <c r="AB957" s="16">
        <f>'extended_recharge_2003-2015'!AB93</f>
        <v>1.2485888000000001</v>
      </c>
      <c r="AC957" s="16">
        <f>'extended_recharge_2003-2015'!AC93</f>
        <v>2.1934903000000001</v>
      </c>
      <c r="AD957" s="16">
        <f>'extended_recharge_2003-2015'!AD93</f>
        <v>7.3890666999999999</v>
      </c>
      <c r="AE957" s="16">
        <f>'extended_recharge_2003-2015'!AE93</f>
        <v>0.64056413999999995</v>
      </c>
      <c r="AF957" s="16">
        <f>'extended_recharge_2003-2015'!AF93</f>
        <v>96.706969999999998</v>
      </c>
      <c r="AG957" s="16">
        <f>'extended_recharge_2003-2015'!AG93</f>
        <v>17.726507000000002</v>
      </c>
    </row>
    <row r="958" spans="1:33" x14ac:dyDescent="0.2">
      <c r="A958" s="3">
        <v>37072</v>
      </c>
      <c r="B958" s="2">
        <v>5.99</v>
      </c>
      <c r="C958" s="2">
        <v>23.05</v>
      </c>
      <c r="D958" s="2">
        <v>-1.31</v>
      </c>
      <c r="E958" s="2">
        <v>7.57</v>
      </c>
      <c r="F958" s="2">
        <v>22.96</v>
      </c>
      <c r="G958" s="2">
        <v>8.6</v>
      </c>
      <c r="H958" s="2">
        <v>21.06</v>
      </c>
      <c r="I958" s="2">
        <v>40.31</v>
      </c>
      <c r="J958" s="2">
        <v>-12.65</v>
      </c>
      <c r="K958" s="2">
        <v>18.39</v>
      </c>
      <c r="L958" s="2">
        <v>-12.48</v>
      </c>
      <c r="M958" s="2">
        <v>2.5099999999999998</v>
      </c>
      <c r="N958" s="2">
        <v>39.15</v>
      </c>
      <c r="O958" s="2">
        <v>21.94</v>
      </c>
      <c r="P958" s="2">
        <v>92.13</v>
      </c>
      <c r="Q958" s="2">
        <v>8.74</v>
      </c>
      <c r="R958" s="2">
        <v>20.11</v>
      </c>
      <c r="S958" s="2">
        <v>-16.86</v>
      </c>
      <c r="T958" s="2">
        <v>47.3</v>
      </c>
      <c r="U958" s="2">
        <v>17.7</v>
      </c>
      <c r="V958" s="2">
        <v>58.68</v>
      </c>
      <c r="W958" s="16">
        <f>'extended_recharge_2003-2015'!W94</f>
        <v>17.587475000000001</v>
      </c>
      <c r="X958" s="16">
        <f>'extended_recharge_2003-2015'!X94</f>
        <v>11.421253</v>
      </c>
      <c r="Y958" s="16">
        <f>'extended_recharge_2003-2015'!Y94</f>
        <v>22.072141999999999</v>
      </c>
      <c r="Z958" s="16">
        <f>'extended_recharge_2003-2015'!Z94</f>
        <v>0.96258867000000004</v>
      </c>
      <c r="AA958" s="16">
        <f>'extended_recharge_2003-2015'!AA94</f>
        <v>4.6337669999999997</v>
      </c>
      <c r="AB958" s="16">
        <f>'extended_recharge_2003-2015'!AB94</f>
        <v>2.0379722</v>
      </c>
      <c r="AC958" s="16">
        <f>'extended_recharge_2003-2015'!AC94</f>
        <v>2.9037112999999999</v>
      </c>
      <c r="AD958" s="16">
        <f>'extended_recharge_2003-2015'!AD94</f>
        <v>9.2830259999999996</v>
      </c>
      <c r="AE958" s="16">
        <f>'extended_recharge_2003-2015'!AE94</f>
        <v>-0.17914179</v>
      </c>
      <c r="AF958" s="16">
        <f>'extended_recharge_2003-2015'!AF94</f>
        <v>103.44243</v>
      </c>
      <c r="AG958" s="16">
        <f>'extended_recharge_2003-2015'!AG94</f>
        <v>22.571178</v>
      </c>
    </row>
    <row r="959" spans="1:33" x14ac:dyDescent="0.2">
      <c r="A959" s="3">
        <v>37103</v>
      </c>
      <c r="B959" s="2">
        <v>6.12</v>
      </c>
      <c r="C959" s="2">
        <v>21.93</v>
      </c>
      <c r="D959" s="2">
        <v>1.37</v>
      </c>
      <c r="E959" s="2">
        <v>14.03</v>
      </c>
      <c r="F959" s="2">
        <v>27.92</v>
      </c>
      <c r="G959" s="2">
        <v>22.04</v>
      </c>
      <c r="H959" s="2">
        <v>22.08</v>
      </c>
      <c r="I959" s="2">
        <v>44.41</v>
      </c>
      <c r="J959" s="2">
        <v>-14.2</v>
      </c>
      <c r="K959" s="2">
        <v>28.57</v>
      </c>
      <c r="L959" s="2">
        <v>0.03</v>
      </c>
      <c r="M959" s="2">
        <v>12.87</v>
      </c>
      <c r="N959" s="2">
        <v>52.18</v>
      </c>
      <c r="O959" s="2">
        <v>31.79</v>
      </c>
      <c r="P959" s="2">
        <v>64.959999999999994</v>
      </c>
      <c r="Q959" s="2">
        <v>5.68</v>
      </c>
      <c r="R959" s="2">
        <v>20.85</v>
      </c>
      <c r="S959" s="2">
        <v>0.04</v>
      </c>
      <c r="T959" s="2">
        <v>46.44</v>
      </c>
      <c r="U959" s="2">
        <v>23.09</v>
      </c>
      <c r="V959" s="2">
        <v>55.69</v>
      </c>
      <c r="W959" s="16">
        <f>'extended_recharge_2003-2015'!W95</f>
        <v>29.076971</v>
      </c>
      <c r="X959" s="16">
        <f>'extended_recharge_2003-2015'!X95</f>
        <v>12.001791000000001</v>
      </c>
      <c r="Y959" s="16">
        <f>'extended_recharge_2003-2015'!Y95</f>
        <v>24.834980000000002</v>
      </c>
      <c r="Z959" s="16">
        <f>'extended_recharge_2003-2015'!Z95</f>
        <v>2.0539855999999999</v>
      </c>
      <c r="AA959" s="16">
        <f>'extended_recharge_2003-2015'!AA95</f>
        <v>3.6879217999999998</v>
      </c>
      <c r="AB959" s="16">
        <f>'extended_recharge_2003-2015'!AB95</f>
        <v>1.7660294000000001</v>
      </c>
      <c r="AC959" s="16">
        <f>'extended_recharge_2003-2015'!AC95</f>
        <v>1.6900644</v>
      </c>
      <c r="AD959" s="16">
        <f>'extended_recharge_2003-2015'!AD95</f>
        <v>9.1210229999999992</v>
      </c>
      <c r="AE959" s="16">
        <f>'extended_recharge_2003-2015'!AE95</f>
        <v>-0.15324792000000001</v>
      </c>
      <c r="AF959" s="16">
        <f>'extended_recharge_2003-2015'!AF95</f>
        <v>113.366806</v>
      </c>
      <c r="AG959" s="16">
        <f>'extended_recharge_2003-2015'!AG95</f>
        <v>24.770672000000001</v>
      </c>
    </row>
    <row r="960" spans="1:33" x14ac:dyDescent="0.2">
      <c r="A960" s="3">
        <v>37134</v>
      </c>
      <c r="B960" s="2">
        <v>3.48</v>
      </c>
      <c r="C960" s="2">
        <v>22.25</v>
      </c>
      <c r="D960" s="2">
        <v>-2.88</v>
      </c>
      <c r="E960" s="2">
        <v>-2.13</v>
      </c>
      <c r="F960" s="2">
        <v>22.82</v>
      </c>
      <c r="G960" s="2">
        <v>18.05</v>
      </c>
      <c r="H960" s="2">
        <v>19.16</v>
      </c>
      <c r="I960" s="2">
        <v>48.05</v>
      </c>
      <c r="J960" s="2">
        <v>-5.47</v>
      </c>
      <c r="K960" s="2">
        <v>34.07</v>
      </c>
      <c r="L960" s="2">
        <v>0.57999999999999996</v>
      </c>
      <c r="M960" s="2">
        <v>14</v>
      </c>
      <c r="N960" s="2">
        <v>56.36</v>
      </c>
      <c r="O960" s="2">
        <v>21.66</v>
      </c>
      <c r="P960" s="2">
        <v>58.29</v>
      </c>
      <c r="Q960" s="2">
        <v>2.46</v>
      </c>
      <c r="R960" s="2">
        <v>17.920000000000002</v>
      </c>
      <c r="S960" s="2">
        <v>-4.9000000000000004</v>
      </c>
      <c r="T960" s="2">
        <v>40.200000000000003</v>
      </c>
      <c r="U960" s="2">
        <v>23.29</v>
      </c>
      <c r="V960" s="2">
        <v>41.3</v>
      </c>
      <c r="W960" s="16">
        <f>'extended_recharge_2003-2015'!W96</f>
        <v>30.718527000000002</v>
      </c>
      <c r="X960" s="16">
        <f>'extended_recharge_2003-2015'!X96</f>
        <v>10.821363</v>
      </c>
      <c r="Y960" s="16">
        <f>'extended_recharge_2003-2015'!Y96</f>
        <v>24.394821</v>
      </c>
      <c r="Z960" s="16">
        <f>'extended_recharge_2003-2015'!Z96</f>
        <v>2.5795292999999999</v>
      </c>
      <c r="AA960" s="16">
        <f>'extended_recharge_2003-2015'!AA96</f>
        <v>2.6028660000000001</v>
      </c>
      <c r="AB960" s="16">
        <f>'extended_recharge_2003-2015'!AB96</f>
        <v>1.1812984</v>
      </c>
      <c r="AC960" s="16">
        <f>'extended_recharge_2003-2015'!AC96</f>
        <v>2.6425014</v>
      </c>
      <c r="AD960" s="16">
        <f>'extended_recharge_2003-2015'!AD96</f>
        <v>7.2408675999999996</v>
      </c>
      <c r="AE960" s="16">
        <f>'extended_recharge_2003-2015'!AE96</f>
        <v>1.7886164</v>
      </c>
      <c r="AF960" s="16">
        <f>'extended_recharge_2003-2015'!AF96</f>
        <v>107.284615</v>
      </c>
      <c r="AG960" s="16">
        <f>'extended_recharge_2003-2015'!AG96</f>
        <v>24.476997000000001</v>
      </c>
    </row>
    <row r="961" spans="1:33" x14ac:dyDescent="0.2">
      <c r="A961" s="3">
        <v>37164</v>
      </c>
      <c r="B961" s="2">
        <v>0.84</v>
      </c>
      <c r="C961" s="2">
        <v>24.08</v>
      </c>
      <c r="D961" s="2">
        <v>1.01</v>
      </c>
      <c r="E961" s="2">
        <v>-7.91</v>
      </c>
      <c r="F961" s="2">
        <v>11.13</v>
      </c>
      <c r="G961" s="2">
        <v>10.84</v>
      </c>
      <c r="H961" s="2">
        <v>20.83</v>
      </c>
      <c r="I961" s="2">
        <v>48.95</v>
      </c>
      <c r="J961" s="2">
        <v>7.23</v>
      </c>
      <c r="K961" s="2">
        <v>6.35</v>
      </c>
      <c r="L961" s="2">
        <v>-2.19</v>
      </c>
      <c r="M961" s="2">
        <v>8.5299999999999994</v>
      </c>
      <c r="N961" s="2">
        <v>41.1</v>
      </c>
      <c r="O961" s="2">
        <v>20.69</v>
      </c>
      <c r="P961" s="2">
        <v>26.36</v>
      </c>
      <c r="Q961" s="2">
        <v>7.79</v>
      </c>
      <c r="R961" s="2">
        <v>20.28</v>
      </c>
      <c r="S961" s="2">
        <v>-10.79</v>
      </c>
      <c r="T961" s="2">
        <v>10.86</v>
      </c>
      <c r="U961" s="2">
        <v>16.57</v>
      </c>
      <c r="V961" s="2">
        <v>21.31</v>
      </c>
      <c r="W961" s="16">
        <f>'extended_recharge_2003-2015'!W97</f>
        <v>26.560794999999999</v>
      </c>
      <c r="X961" s="16">
        <f>'extended_recharge_2003-2015'!X97</f>
        <v>7.2990813000000001</v>
      </c>
      <c r="Y961" s="16">
        <f>'extended_recharge_2003-2015'!Y97</f>
        <v>19.240632999999999</v>
      </c>
      <c r="Z961" s="16">
        <f>'extended_recharge_2003-2015'!Z97</f>
        <v>2.520956</v>
      </c>
      <c r="AA961" s="16">
        <f>'extended_recharge_2003-2015'!AA97</f>
        <v>2.8153540000000001</v>
      </c>
      <c r="AB961" s="16">
        <f>'extended_recharge_2003-2015'!AB97</f>
        <v>1.0359613000000001</v>
      </c>
      <c r="AC961" s="16">
        <f>'extended_recharge_2003-2015'!AC97</f>
        <v>4.5474724999999996</v>
      </c>
      <c r="AD961" s="16">
        <f>'extended_recharge_2003-2015'!AD97</f>
        <v>4.9726129999999999</v>
      </c>
      <c r="AE961" s="16">
        <f>'extended_recharge_2003-2015'!AE97</f>
        <v>3.9801383000000001</v>
      </c>
      <c r="AF961" s="16">
        <f>'extended_recharge_2003-2015'!AF97</f>
        <v>98.133349999999993</v>
      </c>
      <c r="AG961" s="16">
        <f>'extended_recharge_2003-2015'!AG97</f>
        <v>20.995867000000001</v>
      </c>
    </row>
    <row r="962" spans="1:33" x14ac:dyDescent="0.2">
      <c r="A962" s="3">
        <v>37195</v>
      </c>
      <c r="B962" s="2">
        <v>-1.51</v>
      </c>
      <c r="C962" s="2">
        <v>17.98</v>
      </c>
      <c r="D962" s="2">
        <v>-4.71</v>
      </c>
      <c r="E962" s="2">
        <v>-12.8</v>
      </c>
      <c r="F962" s="2">
        <v>3.23</v>
      </c>
      <c r="G962" s="2">
        <v>5.85</v>
      </c>
      <c r="H962" s="2">
        <v>16.940000000000001</v>
      </c>
      <c r="I962" s="2">
        <v>44.85</v>
      </c>
      <c r="J962" s="2">
        <v>8.5299999999999994</v>
      </c>
      <c r="K962" s="2">
        <v>10.94</v>
      </c>
      <c r="L962" s="2">
        <v>6.37</v>
      </c>
      <c r="M962" s="2">
        <v>9.85</v>
      </c>
      <c r="N962" s="2">
        <v>30.51</v>
      </c>
      <c r="O962" s="2">
        <v>16.82</v>
      </c>
      <c r="P962" s="2">
        <v>41.83</v>
      </c>
      <c r="Q962" s="2">
        <v>1.97</v>
      </c>
      <c r="R962" s="2">
        <v>11.35</v>
      </c>
      <c r="S962" s="2">
        <v>-16.25</v>
      </c>
      <c r="T962" s="2">
        <v>14.67</v>
      </c>
      <c r="U962" s="2">
        <v>12.16</v>
      </c>
      <c r="V962" s="2">
        <v>20.9</v>
      </c>
      <c r="W962" s="16">
        <f>'extended_recharge_2003-2015'!W98</f>
        <v>21.389482000000001</v>
      </c>
      <c r="X962" s="16">
        <f>'extended_recharge_2003-2015'!X98</f>
        <v>7.7144193999999997</v>
      </c>
      <c r="Y962" s="16">
        <f>'extended_recharge_2003-2015'!Y98</f>
        <v>17.098516</v>
      </c>
      <c r="Z962" s="16">
        <f>'extended_recharge_2003-2015'!Z98</f>
        <v>2.9646509000000001</v>
      </c>
      <c r="AA962" s="16">
        <f>'extended_recharge_2003-2015'!AA98</f>
        <v>3.2180102000000002</v>
      </c>
      <c r="AB962" s="16">
        <f>'extended_recharge_2003-2015'!AB98</f>
        <v>1.3309411</v>
      </c>
      <c r="AC962" s="16">
        <f>'extended_recharge_2003-2015'!AC98</f>
        <v>4.2339487</v>
      </c>
      <c r="AD962" s="16">
        <f>'extended_recharge_2003-2015'!AD98</f>
        <v>3.3247848000000002</v>
      </c>
      <c r="AE962" s="16">
        <f>'extended_recharge_2003-2015'!AE98</f>
        <v>9.5246420000000001</v>
      </c>
      <c r="AF962" s="16">
        <f>'extended_recharge_2003-2015'!AF98</f>
        <v>86.906220000000005</v>
      </c>
      <c r="AG962" s="16">
        <f>'extended_recharge_2003-2015'!AG98</f>
        <v>16.510157</v>
      </c>
    </row>
    <row r="963" spans="1:33" x14ac:dyDescent="0.2">
      <c r="A963" s="3">
        <v>37225</v>
      </c>
      <c r="B963" s="2">
        <v>-0.96</v>
      </c>
      <c r="C963" s="2">
        <v>25.29</v>
      </c>
      <c r="D963" s="2">
        <v>34.17</v>
      </c>
      <c r="E963" s="2">
        <v>49.85</v>
      </c>
      <c r="F963" s="2">
        <v>36.71</v>
      </c>
      <c r="G963" s="2">
        <v>46.24</v>
      </c>
      <c r="H963" s="2">
        <v>25.41</v>
      </c>
      <c r="I963" s="2">
        <v>45.89</v>
      </c>
      <c r="J963" s="2">
        <v>17.21</v>
      </c>
      <c r="K963" s="2">
        <v>14.96</v>
      </c>
      <c r="L963" s="2">
        <v>-5.25</v>
      </c>
      <c r="M963" s="2">
        <v>5.03</v>
      </c>
      <c r="N963" s="2">
        <v>25.68</v>
      </c>
      <c r="O963" s="2">
        <v>17.2</v>
      </c>
      <c r="P963" s="2">
        <v>37.229999999999997</v>
      </c>
      <c r="Q963" s="2">
        <v>-2.88</v>
      </c>
      <c r="R963" s="2">
        <v>9.8000000000000007</v>
      </c>
      <c r="S963" s="2">
        <v>3.85</v>
      </c>
      <c r="T963" s="2">
        <v>12.65</v>
      </c>
      <c r="U963" s="2">
        <v>12.13</v>
      </c>
      <c r="V963" s="2">
        <v>15.62</v>
      </c>
      <c r="W963" s="16">
        <f>'extended_recharge_2003-2015'!W99</f>
        <v>16.388721</v>
      </c>
      <c r="X963" s="16">
        <f>'extended_recharge_2003-2015'!X99</f>
        <v>6.160622</v>
      </c>
      <c r="Y963" s="16">
        <f>'extended_recharge_2003-2015'!Y99</f>
        <v>14.665445999999999</v>
      </c>
      <c r="Z963" s="16">
        <f>'extended_recharge_2003-2015'!Z99</f>
        <v>4.0241069999999999</v>
      </c>
      <c r="AA963" s="16">
        <f>'extended_recharge_2003-2015'!AA99</f>
        <v>3.3259118000000001</v>
      </c>
      <c r="AB963" s="16">
        <f>'extended_recharge_2003-2015'!AB99</f>
        <v>1.5057031000000001</v>
      </c>
      <c r="AC963" s="16">
        <f>'extended_recharge_2003-2015'!AC99</f>
        <v>4.2819649999999996</v>
      </c>
      <c r="AD963" s="16">
        <f>'extended_recharge_2003-2015'!AD99</f>
        <v>2.1728418</v>
      </c>
      <c r="AE963" s="16">
        <f>'extended_recharge_2003-2015'!AE99</f>
        <v>20.011178999999998</v>
      </c>
      <c r="AF963" s="16">
        <f>'extended_recharge_2003-2015'!AF99</f>
        <v>65.493449999999996</v>
      </c>
      <c r="AG963" s="16">
        <f>'extended_recharge_2003-2015'!AG99</f>
        <v>13.154899</v>
      </c>
    </row>
    <row r="964" spans="1:33" x14ac:dyDescent="0.2">
      <c r="A964" s="3">
        <v>37256</v>
      </c>
      <c r="B964" s="2">
        <v>-0.37</v>
      </c>
      <c r="C964" s="2">
        <v>29.53</v>
      </c>
      <c r="D964" s="2">
        <v>54.94</v>
      </c>
      <c r="E964" s="2">
        <v>94.9</v>
      </c>
      <c r="F964" s="2">
        <v>75.180000000000007</v>
      </c>
      <c r="G964" s="2">
        <v>131.01</v>
      </c>
      <c r="H964" s="2">
        <v>28.77</v>
      </c>
      <c r="I964" s="2">
        <v>48.33</v>
      </c>
      <c r="J964" s="2">
        <v>68.61</v>
      </c>
      <c r="K964" s="2">
        <v>50.3</v>
      </c>
      <c r="L964" s="2">
        <v>2.75</v>
      </c>
      <c r="M964" s="2">
        <v>22.87</v>
      </c>
      <c r="N964" s="2">
        <v>37.21</v>
      </c>
      <c r="O964" s="2">
        <v>17.78</v>
      </c>
      <c r="P964" s="2">
        <v>56.54</v>
      </c>
      <c r="Q964" s="2">
        <v>-2.29</v>
      </c>
      <c r="R964" s="2">
        <v>10.6</v>
      </c>
      <c r="S964" s="2">
        <v>27.73</v>
      </c>
      <c r="T964" s="2">
        <v>12</v>
      </c>
      <c r="U964" s="2">
        <v>12.88</v>
      </c>
      <c r="V964" s="2">
        <v>15.27</v>
      </c>
      <c r="W964" s="16">
        <f>'extended_recharge_2003-2015'!W100</f>
        <v>10.987000999999999</v>
      </c>
      <c r="X964" s="16">
        <f>'extended_recharge_2003-2015'!X100</f>
        <v>3.7748225</v>
      </c>
      <c r="Y964" s="16">
        <f>'extended_recharge_2003-2015'!Y100</f>
        <v>9.5401159999999994</v>
      </c>
      <c r="Z964" s="16">
        <f>'extended_recharge_2003-2015'!Z100</f>
        <v>4.4887670000000002</v>
      </c>
      <c r="AA964" s="16">
        <f>'extended_recharge_2003-2015'!AA100</f>
        <v>3.8504044999999998</v>
      </c>
      <c r="AB964" s="16">
        <f>'extended_recharge_2003-2015'!AB100</f>
        <v>1.7061442</v>
      </c>
      <c r="AC964" s="16">
        <f>'extended_recharge_2003-2015'!AC100</f>
        <v>4.1383257000000002</v>
      </c>
      <c r="AD964" s="16">
        <f>'extended_recharge_2003-2015'!AD100</f>
        <v>2.2154457999999999</v>
      </c>
      <c r="AE964" s="16">
        <f>'extended_recharge_2003-2015'!AE100</f>
        <v>28.627721999999999</v>
      </c>
      <c r="AF964" s="16">
        <f>'extended_recharge_2003-2015'!AF100</f>
        <v>66.345249999999993</v>
      </c>
      <c r="AG964" s="16">
        <f>'extended_recharge_2003-2015'!AG100</f>
        <v>11.567195</v>
      </c>
    </row>
    <row r="965" spans="1:33" x14ac:dyDescent="0.2">
      <c r="A965" s="3">
        <v>37287</v>
      </c>
      <c r="B965" s="2">
        <v>-3.06</v>
      </c>
      <c r="C965" s="2">
        <v>31.61</v>
      </c>
      <c r="D965" s="2">
        <v>21.52</v>
      </c>
      <c r="E965" s="2">
        <v>37.450000000000003</v>
      </c>
      <c r="F965" s="2">
        <v>57.6</v>
      </c>
      <c r="G965" s="2">
        <v>52.37</v>
      </c>
      <c r="H965" s="2">
        <v>11.17</v>
      </c>
      <c r="I965" s="2">
        <v>37.590000000000003</v>
      </c>
      <c r="J965" s="2">
        <v>10.52</v>
      </c>
      <c r="K965" s="2">
        <v>-8.5399999999999991</v>
      </c>
      <c r="L965" s="2">
        <v>-14.55</v>
      </c>
      <c r="M965" s="2">
        <v>-13.98</v>
      </c>
      <c r="N965" s="2">
        <v>13.42</v>
      </c>
      <c r="O965" s="2">
        <v>19.13</v>
      </c>
      <c r="P965" s="2">
        <v>27.26</v>
      </c>
      <c r="Q965" s="2">
        <v>1.72</v>
      </c>
      <c r="R965" s="2">
        <v>14.18</v>
      </c>
      <c r="S965" s="2">
        <v>-13.51</v>
      </c>
      <c r="T965" s="2">
        <v>12.44</v>
      </c>
      <c r="U965" s="2">
        <v>11.44</v>
      </c>
      <c r="V965" s="2">
        <v>20.47</v>
      </c>
      <c r="W965" s="16">
        <f>'extended_recharge_2003-2015'!W101</f>
        <v>4.5458302000000002</v>
      </c>
      <c r="X965" s="16">
        <f>'extended_recharge_2003-2015'!X101</f>
        <v>4.8228235000000002</v>
      </c>
      <c r="Y965" s="16">
        <f>'extended_recharge_2003-2015'!Y101</f>
        <v>10.122653</v>
      </c>
      <c r="Z965" s="16">
        <f>'extended_recharge_2003-2015'!Z101</f>
        <v>3.9298617999999998</v>
      </c>
      <c r="AA965" s="16">
        <f>'extended_recharge_2003-2015'!AA101</f>
        <v>5.6399220000000003</v>
      </c>
      <c r="AB965" s="16">
        <f>'extended_recharge_2003-2015'!AB101</f>
        <v>2.7756891000000001</v>
      </c>
      <c r="AC965" s="16">
        <f>'extended_recharge_2003-2015'!AC101</f>
        <v>3.9438890999999998</v>
      </c>
      <c r="AD965" s="16">
        <f>'extended_recharge_2003-2015'!AD101</f>
        <v>2.5321075999999998</v>
      </c>
      <c r="AE965" s="16">
        <f>'extended_recharge_2003-2015'!AE101</f>
        <v>31.644452999999999</v>
      </c>
      <c r="AF965" s="16">
        <f>'extended_recharge_2003-2015'!AF101</f>
        <v>73.630619999999993</v>
      </c>
      <c r="AG965" s="16">
        <f>'extended_recharge_2003-2015'!AG101</f>
        <v>9.9376010000000008</v>
      </c>
    </row>
    <row r="966" spans="1:33" x14ac:dyDescent="0.2">
      <c r="A966" s="3">
        <v>37315</v>
      </c>
      <c r="B966" s="2">
        <v>0.6</v>
      </c>
      <c r="C966" s="2">
        <v>19.809999999999999</v>
      </c>
      <c r="D966" s="2">
        <v>-13.9</v>
      </c>
      <c r="E966" s="2">
        <v>-46.6</v>
      </c>
      <c r="F966" s="2">
        <v>-9.99</v>
      </c>
      <c r="G966" s="2">
        <v>-36.31</v>
      </c>
      <c r="H966" s="2">
        <v>10.72</v>
      </c>
      <c r="I966" s="2">
        <v>40.19</v>
      </c>
      <c r="J966" s="2">
        <v>-2.59</v>
      </c>
      <c r="K966" s="2">
        <v>-6.36</v>
      </c>
      <c r="L966" s="2">
        <v>-5.63</v>
      </c>
      <c r="M966" s="2">
        <v>-4.8099999999999996</v>
      </c>
      <c r="N966" s="2">
        <v>23.15</v>
      </c>
      <c r="O966" s="2">
        <v>23.8</v>
      </c>
      <c r="P966" s="2">
        <v>37.549999999999997</v>
      </c>
      <c r="Q966" s="2">
        <v>4.25</v>
      </c>
      <c r="R966" s="2">
        <v>17.600000000000001</v>
      </c>
      <c r="S966" s="2">
        <v>-24.89</v>
      </c>
      <c r="T966" s="2">
        <v>14.88</v>
      </c>
      <c r="U966" s="2">
        <v>10.63</v>
      </c>
      <c r="V966" s="2">
        <v>17.53</v>
      </c>
      <c r="W966" s="16">
        <f>'extended_recharge_2003-2015'!W102</f>
        <v>0.28020825999999999</v>
      </c>
      <c r="X966" s="16">
        <f>'extended_recharge_2003-2015'!X102</f>
        <v>5.2992990000000004</v>
      </c>
      <c r="Y966" s="16">
        <f>'extended_recharge_2003-2015'!Y102</f>
        <v>8.7809209999999993</v>
      </c>
      <c r="Z966" s="16">
        <f>'extended_recharge_2003-2015'!Z102</f>
        <v>2.7949955000000002</v>
      </c>
      <c r="AA966" s="16">
        <f>'extended_recharge_2003-2015'!AA102</f>
        <v>5.8974104000000001</v>
      </c>
      <c r="AB966" s="16">
        <f>'extended_recharge_2003-2015'!AB102</f>
        <v>3.3517744999999999</v>
      </c>
      <c r="AC966" s="16">
        <f>'extended_recharge_2003-2015'!AC102</f>
        <v>3.3077953</v>
      </c>
      <c r="AD966" s="16">
        <f>'extended_recharge_2003-2015'!AD102</f>
        <v>3.3934785999999999</v>
      </c>
      <c r="AE966" s="16">
        <f>'extended_recharge_2003-2015'!AE102</f>
        <v>24.200925999999999</v>
      </c>
      <c r="AF966" s="16">
        <f>'extended_recharge_2003-2015'!AF102</f>
        <v>69.136600000000001</v>
      </c>
      <c r="AG966" s="16">
        <f>'extended_recharge_2003-2015'!AG102</f>
        <v>10.054398000000001</v>
      </c>
    </row>
    <row r="967" spans="1:33" x14ac:dyDescent="0.2">
      <c r="A967" s="3">
        <v>37346</v>
      </c>
      <c r="B967" s="2">
        <v>2.4300000000000002</v>
      </c>
      <c r="C967" s="2">
        <v>21.25</v>
      </c>
      <c r="D967" s="2">
        <v>-3.22</v>
      </c>
      <c r="E967" s="2">
        <v>-6.41</v>
      </c>
      <c r="F967" s="2">
        <v>12.07</v>
      </c>
      <c r="G967" s="2">
        <v>-15.09</v>
      </c>
      <c r="H967" s="2">
        <v>19.63</v>
      </c>
      <c r="I967" s="2">
        <v>46.15</v>
      </c>
      <c r="J967" s="2">
        <v>10.3</v>
      </c>
      <c r="K967" s="2">
        <v>23.3</v>
      </c>
      <c r="L967" s="2">
        <v>4.8099999999999996</v>
      </c>
      <c r="M967" s="2">
        <v>12.27</v>
      </c>
      <c r="N967" s="2">
        <v>41.86</v>
      </c>
      <c r="O967" s="2">
        <v>15.15</v>
      </c>
      <c r="P967" s="2">
        <v>87.9</v>
      </c>
      <c r="Q967" s="2">
        <v>0.32</v>
      </c>
      <c r="R967" s="2">
        <v>8.41</v>
      </c>
      <c r="S967" s="2">
        <v>-17.32</v>
      </c>
      <c r="T967" s="2">
        <v>23.2</v>
      </c>
      <c r="U967" s="2">
        <v>5.63</v>
      </c>
      <c r="V967" s="2">
        <v>24.57</v>
      </c>
      <c r="W967" s="16">
        <f>'extended_recharge_2003-2015'!W103</f>
        <v>-0.71749437000000005</v>
      </c>
      <c r="X967" s="16">
        <f>'extended_recharge_2003-2015'!X103</f>
        <v>4.2201256999999996</v>
      </c>
      <c r="Y967" s="16">
        <f>'extended_recharge_2003-2015'!Y103</f>
        <v>7.5092109999999996</v>
      </c>
      <c r="Z967" s="16">
        <f>'extended_recharge_2003-2015'!Z103</f>
        <v>2.8246066999999999</v>
      </c>
      <c r="AA967" s="16">
        <f>'extended_recharge_2003-2015'!AA103</f>
        <v>5.5308237</v>
      </c>
      <c r="AB967" s="16">
        <f>'extended_recharge_2003-2015'!AB103</f>
        <v>2.0130469999999998</v>
      </c>
      <c r="AC967" s="16">
        <f>'extended_recharge_2003-2015'!AC103</f>
        <v>3.7612456999999999</v>
      </c>
      <c r="AD967" s="16">
        <f>'extended_recharge_2003-2015'!AD103</f>
        <v>4.1422650000000001</v>
      </c>
      <c r="AE967" s="16">
        <f>'extended_recharge_2003-2015'!AE103</f>
        <v>12.740481000000001</v>
      </c>
      <c r="AF967" s="16">
        <f>'extended_recharge_2003-2015'!AF103</f>
        <v>73.808234999999996</v>
      </c>
      <c r="AG967" s="16">
        <f>'extended_recharge_2003-2015'!AG103</f>
        <v>10.935264</v>
      </c>
    </row>
    <row r="968" spans="1:33" x14ac:dyDescent="0.2">
      <c r="A968" s="3">
        <v>37376</v>
      </c>
      <c r="B968" s="2">
        <v>1.89</v>
      </c>
      <c r="C968" s="2">
        <v>21.7</v>
      </c>
      <c r="D968" s="2">
        <v>6.26</v>
      </c>
      <c r="E968" s="2">
        <v>-22.5</v>
      </c>
      <c r="F968" s="2">
        <v>20.53</v>
      </c>
      <c r="G968" s="2">
        <v>-19.05</v>
      </c>
      <c r="H968" s="2">
        <v>13.18</v>
      </c>
      <c r="I968" s="2">
        <v>45.18</v>
      </c>
      <c r="J968" s="2">
        <v>0.7</v>
      </c>
      <c r="K968" s="2">
        <v>16.14</v>
      </c>
      <c r="L968" s="2">
        <v>22.57</v>
      </c>
      <c r="M968" s="2">
        <v>15.14</v>
      </c>
      <c r="N968" s="2">
        <v>38.19</v>
      </c>
      <c r="O968" s="2">
        <v>19.850000000000001</v>
      </c>
      <c r="P968" s="2">
        <v>39.369999999999997</v>
      </c>
      <c r="Q968" s="2">
        <v>-3.46</v>
      </c>
      <c r="R968" s="2">
        <v>18.48</v>
      </c>
      <c r="S968" s="2">
        <v>0.59</v>
      </c>
      <c r="T968" s="2">
        <v>17.309999999999999</v>
      </c>
      <c r="U968" s="2">
        <v>15.15</v>
      </c>
      <c r="V968" s="2">
        <v>25.12</v>
      </c>
      <c r="W968" s="16">
        <f>'extended_recharge_2003-2015'!W104</f>
        <v>0.50586945000000005</v>
      </c>
      <c r="X968" s="16">
        <f>'extended_recharge_2003-2015'!X104</f>
        <v>5.2720130000000003</v>
      </c>
      <c r="Y968" s="16">
        <f>'extended_recharge_2003-2015'!Y104</f>
        <v>11.616377</v>
      </c>
      <c r="Z968" s="16">
        <f>'extended_recharge_2003-2015'!Z104</f>
        <v>0.94872350000000005</v>
      </c>
      <c r="AA968" s="16">
        <f>'extended_recharge_2003-2015'!AA104</f>
        <v>4.0601563000000001</v>
      </c>
      <c r="AB968" s="16">
        <f>'extended_recharge_2003-2015'!AB104</f>
        <v>1.2928816000000001</v>
      </c>
      <c r="AC968" s="16">
        <f>'extended_recharge_2003-2015'!AC104</f>
        <v>1.9610852999999999</v>
      </c>
      <c r="AD968" s="16">
        <f>'extended_recharge_2003-2015'!AD104</f>
        <v>5.6922516999999999</v>
      </c>
      <c r="AE968" s="16">
        <f>'extended_recharge_2003-2015'!AE104</f>
        <v>5.5933770000000003</v>
      </c>
      <c r="AF968" s="16">
        <f>'extended_recharge_2003-2015'!AF104</f>
        <v>90.802899999999994</v>
      </c>
      <c r="AG968" s="16">
        <f>'extended_recharge_2003-2015'!AG104</f>
        <v>14.200125</v>
      </c>
    </row>
    <row r="969" spans="1:33" x14ac:dyDescent="0.2">
      <c r="A969" s="3">
        <v>37407</v>
      </c>
      <c r="B969" s="2">
        <v>5.38</v>
      </c>
      <c r="C969" s="2">
        <v>21.4</v>
      </c>
      <c r="D969" s="2">
        <v>1.34</v>
      </c>
      <c r="E969" s="2">
        <v>3.86</v>
      </c>
      <c r="F969" s="2">
        <v>6.28</v>
      </c>
      <c r="G969" s="2">
        <v>5</v>
      </c>
      <c r="H969" s="2">
        <v>15.83</v>
      </c>
      <c r="I969" s="2">
        <v>48.03</v>
      </c>
      <c r="J969" s="2">
        <v>3.34</v>
      </c>
      <c r="K969" s="2">
        <v>30.83</v>
      </c>
      <c r="L969" s="2">
        <v>6.92</v>
      </c>
      <c r="M969" s="2">
        <v>13.36</v>
      </c>
      <c r="N969" s="2">
        <v>37.700000000000003</v>
      </c>
      <c r="O969" s="2">
        <v>23.19</v>
      </c>
      <c r="P969" s="2">
        <v>68.11</v>
      </c>
      <c r="Q969" s="2">
        <v>-3.66</v>
      </c>
      <c r="R969" s="2">
        <v>14.93</v>
      </c>
      <c r="S969" s="2">
        <v>-5.87</v>
      </c>
      <c r="T969" s="2">
        <v>27.18</v>
      </c>
      <c r="U969" s="2">
        <v>16.05</v>
      </c>
      <c r="V969" s="2">
        <v>33.26</v>
      </c>
      <c r="W969" s="16">
        <f>'extended_recharge_2003-2015'!W105</f>
        <v>5.0524259999999996</v>
      </c>
      <c r="X969" s="16">
        <f>'extended_recharge_2003-2015'!X105</f>
        <v>5.8556103999999998</v>
      </c>
      <c r="Y969" s="16">
        <f>'extended_recharge_2003-2015'!Y105</f>
        <v>13.636296</v>
      </c>
      <c r="Z969" s="16">
        <f>'extended_recharge_2003-2015'!Z105</f>
        <v>0.65652790000000005</v>
      </c>
      <c r="AA969" s="16">
        <f>'extended_recharge_2003-2015'!AA105</f>
        <v>3.5195340000000002</v>
      </c>
      <c r="AB969" s="16">
        <f>'extended_recharge_2003-2015'!AB105</f>
        <v>1.2125615999999999</v>
      </c>
      <c r="AC969" s="16">
        <f>'extended_recharge_2003-2015'!AC105</f>
        <v>3.1134107000000002</v>
      </c>
      <c r="AD969" s="16">
        <f>'extended_recharge_2003-2015'!AD105</f>
        <v>7.7292047000000004</v>
      </c>
      <c r="AE969" s="16">
        <f>'extended_recharge_2003-2015'!AE105</f>
        <v>0.15408014</v>
      </c>
      <c r="AF969" s="16">
        <f>'extended_recharge_2003-2015'!AF105</f>
        <v>101.28081</v>
      </c>
      <c r="AG969" s="16">
        <f>'extended_recharge_2003-2015'!AG105</f>
        <v>17.853590000000001</v>
      </c>
    </row>
    <row r="970" spans="1:33" x14ac:dyDescent="0.2">
      <c r="A970" s="3">
        <v>37437</v>
      </c>
      <c r="B970" s="2">
        <v>6.57</v>
      </c>
      <c r="C970" s="2">
        <v>24.72</v>
      </c>
      <c r="D970" s="2">
        <v>0.21</v>
      </c>
      <c r="E970" s="2">
        <v>1.44</v>
      </c>
      <c r="F970" s="2">
        <v>31.05</v>
      </c>
      <c r="G970" s="2">
        <v>7.35</v>
      </c>
      <c r="H970" s="2">
        <v>20.25</v>
      </c>
      <c r="I970" s="2">
        <v>42.3</v>
      </c>
      <c r="J970" s="2">
        <v>-10.01</v>
      </c>
      <c r="K970" s="2">
        <v>22.83</v>
      </c>
      <c r="L970" s="2">
        <v>-7.42</v>
      </c>
      <c r="M970" s="2">
        <v>7.56</v>
      </c>
      <c r="N970" s="2">
        <v>36.42</v>
      </c>
      <c r="O970" s="2">
        <v>27.31</v>
      </c>
      <c r="P970" s="2">
        <v>103.55</v>
      </c>
      <c r="Q970" s="2">
        <v>8.19</v>
      </c>
      <c r="R970" s="2">
        <v>20.21</v>
      </c>
      <c r="S970" s="2">
        <v>-11.47</v>
      </c>
      <c r="T970" s="2">
        <v>48.56</v>
      </c>
      <c r="U970" s="2">
        <v>25.12</v>
      </c>
      <c r="V970" s="2">
        <v>53.63</v>
      </c>
      <c r="W970" s="16">
        <f>'extended_recharge_2003-2015'!W106</f>
        <v>17.939897999999999</v>
      </c>
      <c r="X970" s="16">
        <f>'extended_recharge_2003-2015'!X106</f>
        <v>4.872052</v>
      </c>
      <c r="Y970" s="16">
        <f>'extended_recharge_2003-2015'!Y106</f>
        <v>13.744612</v>
      </c>
      <c r="Z970" s="16">
        <f>'extended_recharge_2003-2015'!Z106</f>
        <v>1.2488873</v>
      </c>
      <c r="AA970" s="16">
        <f>'extended_recharge_2003-2015'!AA106</f>
        <v>3.8835397</v>
      </c>
      <c r="AB970" s="16">
        <f>'extended_recharge_2003-2015'!AB106</f>
        <v>1.3735265000000001</v>
      </c>
      <c r="AC970" s="16">
        <f>'extended_recharge_2003-2015'!AC106</f>
        <v>3.5179011999999998</v>
      </c>
      <c r="AD970" s="16">
        <f>'extended_recharge_2003-2015'!AD106</f>
        <v>10.876469</v>
      </c>
      <c r="AE970" s="16">
        <f>'extended_recharge_2003-2015'!AE106</f>
        <v>-2.5055006</v>
      </c>
      <c r="AF970" s="16">
        <f>'extended_recharge_2003-2015'!AF106</f>
        <v>104.806274</v>
      </c>
      <c r="AG970" s="16">
        <f>'extended_recharge_2003-2015'!AG106</f>
        <v>22.515588999999999</v>
      </c>
    </row>
    <row r="971" spans="1:33" x14ac:dyDescent="0.2">
      <c r="A971" s="3">
        <v>37468</v>
      </c>
      <c r="B971" s="2">
        <v>6.84</v>
      </c>
      <c r="C971" s="2">
        <v>24.58</v>
      </c>
      <c r="D971" s="2">
        <v>3.83</v>
      </c>
      <c r="E971" s="2">
        <v>6.19</v>
      </c>
      <c r="F971" s="2">
        <v>40.22</v>
      </c>
      <c r="G971" s="2">
        <v>21.52</v>
      </c>
      <c r="H971" s="2">
        <v>23.74</v>
      </c>
      <c r="I971" s="2">
        <v>45.85</v>
      </c>
      <c r="J971" s="2">
        <v>-10.73</v>
      </c>
      <c r="K971" s="2">
        <v>27.44</v>
      </c>
      <c r="L971" s="2">
        <v>2.4</v>
      </c>
      <c r="M971" s="2">
        <v>15.87</v>
      </c>
      <c r="N971" s="2">
        <v>51.8</v>
      </c>
      <c r="O971" s="2">
        <v>37.270000000000003</v>
      </c>
      <c r="P971" s="2">
        <v>116.52</v>
      </c>
      <c r="Q971" s="2">
        <v>3.63</v>
      </c>
      <c r="R971" s="2">
        <v>22.31</v>
      </c>
      <c r="S971" s="2">
        <v>-10.65</v>
      </c>
      <c r="T971" s="2">
        <v>43.64</v>
      </c>
      <c r="U971" s="2">
        <v>36.520000000000003</v>
      </c>
      <c r="V971" s="2">
        <v>51.52</v>
      </c>
      <c r="W971" s="16">
        <f>'extended_recharge_2003-2015'!W107</f>
        <v>29.349534999999999</v>
      </c>
      <c r="X971" s="16">
        <f>'extended_recharge_2003-2015'!X107</f>
        <v>6.1090549999999997</v>
      </c>
      <c r="Y971" s="16">
        <f>'extended_recharge_2003-2015'!Y107</f>
        <v>16.257631</v>
      </c>
      <c r="Z971" s="16">
        <f>'extended_recharge_2003-2015'!Z107</f>
        <v>1.3923417</v>
      </c>
      <c r="AA971" s="16">
        <f>'extended_recharge_2003-2015'!AA107</f>
        <v>3.2742121000000002</v>
      </c>
      <c r="AB971" s="16">
        <f>'extended_recharge_2003-2015'!AB107</f>
        <v>1.1814416999999999</v>
      </c>
      <c r="AC971" s="16">
        <f>'extended_recharge_2003-2015'!AC107</f>
        <v>2.7388682000000002</v>
      </c>
      <c r="AD971" s="16">
        <f>'extended_recharge_2003-2015'!AD107</f>
        <v>10.905366000000001</v>
      </c>
      <c r="AE971" s="16">
        <f>'extended_recharge_2003-2015'!AE107</f>
        <v>0.23493432</v>
      </c>
      <c r="AF971" s="16">
        <f>'extended_recharge_2003-2015'!AF107</f>
        <v>118.400375</v>
      </c>
      <c r="AG971" s="16">
        <f>'extended_recharge_2003-2015'!AG107</f>
        <v>24.652977</v>
      </c>
    </row>
    <row r="972" spans="1:33" x14ac:dyDescent="0.2">
      <c r="A972" s="3">
        <v>37499</v>
      </c>
      <c r="B972" s="2">
        <v>4.12</v>
      </c>
      <c r="C972" s="2">
        <v>24</v>
      </c>
      <c r="D972" s="2">
        <v>3.09</v>
      </c>
      <c r="E972" s="2">
        <v>-4.78</v>
      </c>
      <c r="F972" s="2">
        <v>19.170000000000002</v>
      </c>
      <c r="G972" s="2">
        <v>21.95</v>
      </c>
      <c r="H972" s="2">
        <v>16.37</v>
      </c>
      <c r="I972" s="2">
        <v>48.92</v>
      </c>
      <c r="J972" s="2">
        <v>-5.21</v>
      </c>
      <c r="K972" s="2">
        <v>31.22</v>
      </c>
      <c r="L972" s="2">
        <v>-1.42</v>
      </c>
      <c r="M972" s="2">
        <v>14.38</v>
      </c>
      <c r="N972" s="2">
        <v>52.6</v>
      </c>
      <c r="O972" s="2">
        <v>27.93</v>
      </c>
      <c r="P972" s="2">
        <v>97.16</v>
      </c>
      <c r="Q972" s="2">
        <v>1.73</v>
      </c>
      <c r="R972" s="2">
        <v>21.11</v>
      </c>
      <c r="S972" s="2">
        <v>-13.06</v>
      </c>
      <c r="T972" s="2">
        <v>37.93</v>
      </c>
      <c r="U972" s="2">
        <v>15.76</v>
      </c>
      <c r="V972" s="2">
        <v>40.33</v>
      </c>
      <c r="W972" s="16">
        <f>'extended_recharge_2003-2015'!W108</f>
        <v>30.205454</v>
      </c>
      <c r="X972" s="16">
        <f>'extended_recharge_2003-2015'!X108</f>
        <v>6.0287714000000001</v>
      </c>
      <c r="Y972" s="16">
        <f>'extended_recharge_2003-2015'!Y108</f>
        <v>16.313040000000001</v>
      </c>
      <c r="Z972" s="16">
        <f>'extended_recharge_2003-2015'!Z108</f>
        <v>2.5782745</v>
      </c>
      <c r="AA972" s="16">
        <f>'extended_recharge_2003-2015'!AA108</f>
        <v>3.153276</v>
      </c>
      <c r="AB972" s="16">
        <f>'extended_recharge_2003-2015'!AB108</f>
        <v>1.1991364</v>
      </c>
      <c r="AC972" s="16">
        <f>'extended_recharge_2003-2015'!AC108</f>
        <v>1.7809235999999999</v>
      </c>
      <c r="AD972" s="16">
        <f>'extended_recharge_2003-2015'!AD108</f>
        <v>7.3563004000000003</v>
      </c>
      <c r="AE972" s="16">
        <f>'extended_recharge_2003-2015'!AE108</f>
        <v>2.1250186000000002</v>
      </c>
      <c r="AF972" s="16">
        <f>'extended_recharge_2003-2015'!AF108</f>
        <v>104.50266999999999</v>
      </c>
      <c r="AG972" s="16">
        <f>'extended_recharge_2003-2015'!AG108</f>
        <v>24.05658</v>
      </c>
    </row>
    <row r="973" spans="1:33" x14ac:dyDescent="0.2">
      <c r="A973" s="3">
        <v>37529</v>
      </c>
      <c r="B973" s="2">
        <v>0.45</v>
      </c>
      <c r="C973" s="2">
        <v>25.16</v>
      </c>
      <c r="D973" s="2">
        <v>0.49</v>
      </c>
      <c r="E973" s="2">
        <v>-13.86</v>
      </c>
      <c r="F973" s="2">
        <v>8.44</v>
      </c>
      <c r="G973" s="2">
        <v>10.97</v>
      </c>
      <c r="H973" s="2">
        <v>19.71</v>
      </c>
      <c r="I973" s="2">
        <v>49.5</v>
      </c>
      <c r="J973" s="2">
        <v>5.89</v>
      </c>
      <c r="K973" s="2">
        <v>2.75</v>
      </c>
      <c r="L973" s="2">
        <v>-2.41</v>
      </c>
      <c r="M973" s="2">
        <v>8.84</v>
      </c>
      <c r="N973" s="2">
        <v>34.19</v>
      </c>
      <c r="O973" s="2">
        <v>21.75</v>
      </c>
      <c r="P973" s="2">
        <v>30.1</v>
      </c>
      <c r="Q973" s="2">
        <v>6.34</v>
      </c>
      <c r="R973" s="2">
        <v>20.12</v>
      </c>
      <c r="S973" s="2">
        <v>-11.56</v>
      </c>
      <c r="T973" s="2">
        <v>11.14</v>
      </c>
      <c r="U973" s="2">
        <v>15.64</v>
      </c>
      <c r="V973" s="2">
        <v>22.16</v>
      </c>
      <c r="W973" s="16">
        <f>'extended_recharge_2003-2015'!W109</f>
        <v>26.320893999999999</v>
      </c>
      <c r="X973" s="16">
        <f>'extended_recharge_2003-2015'!X109</f>
        <v>4.0264316000000004</v>
      </c>
      <c r="Y973" s="16">
        <f>'extended_recharge_2003-2015'!Y109</f>
        <v>12.823342999999999</v>
      </c>
      <c r="Z973" s="16">
        <f>'extended_recharge_2003-2015'!Z109</f>
        <v>3.0859983</v>
      </c>
      <c r="AA973" s="16">
        <f>'extended_recharge_2003-2015'!AA109</f>
        <v>4.1375054999999996</v>
      </c>
      <c r="AB973" s="16">
        <f>'extended_recharge_2003-2015'!AB109</f>
        <v>1.0907887000000001</v>
      </c>
      <c r="AC973" s="16">
        <f>'extended_recharge_2003-2015'!AC109</f>
        <v>4.3919410000000001</v>
      </c>
      <c r="AD973" s="16">
        <f>'extended_recharge_2003-2015'!AD109</f>
        <v>4.2425556000000002</v>
      </c>
      <c r="AE973" s="16">
        <f>'extended_recharge_2003-2015'!AE109</f>
        <v>2.6232038000000002</v>
      </c>
      <c r="AF973" s="16">
        <f>'extended_recharge_2003-2015'!AF109</f>
        <v>100.11563</v>
      </c>
      <c r="AG973" s="16">
        <f>'extended_recharge_2003-2015'!AG109</f>
        <v>20.400528000000001</v>
      </c>
    </row>
    <row r="974" spans="1:33" x14ac:dyDescent="0.2">
      <c r="A974" s="3">
        <v>37560</v>
      </c>
      <c r="B974" s="2">
        <v>0.74</v>
      </c>
      <c r="C974" s="2">
        <v>22.63</v>
      </c>
      <c r="D974" s="2">
        <v>1.5</v>
      </c>
      <c r="E974" s="2">
        <v>-12.89</v>
      </c>
      <c r="F974" s="2">
        <v>3.35</v>
      </c>
      <c r="G974" s="2">
        <v>8.8000000000000007</v>
      </c>
      <c r="H974" s="2">
        <v>16.09</v>
      </c>
      <c r="I974" s="2">
        <v>40.07</v>
      </c>
      <c r="J974" s="2">
        <v>1.3</v>
      </c>
      <c r="K974" s="2">
        <v>7.96</v>
      </c>
      <c r="L974" s="2">
        <v>7.39</v>
      </c>
      <c r="M974" s="2">
        <v>10.58</v>
      </c>
      <c r="N974" s="2">
        <v>35.4</v>
      </c>
      <c r="O974" s="2">
        <v>19.63</v>
      </c>
      <c r="P974" s="2">
        <v>53.11</v>
      </c>
      <c r="Q974" s="2">
        <v>3.17</v>
      </c>
      <c r="R974" s="2">
        <v>13.63</v>
      </c>
      <c r="S974" s="2">
        <v>-13.67</v>
      </c>
      <c r="T974" s="2">
        <v>14.09</v>
      </c>
      <c r="U974" s="2">
        <v>11.79</v>
      </c>
      <c r="V974" s="2">
        <v>20.6</v>
      </c>
      <c r="W974" s="16">
        <f>'extended_recharge_2003-2015'!W110</f>
        <v>21.744606000000001</v>
      </c>
      <c r="X974" s="16">
        <f>'extended_recharge_2003-2015'!X110</f>
        <v>4.9568047999999996</v>
      </c>
      <c r="Y974" s="16">
        <f>'extended_recharge_2003-2015'!Y110</f>
        <v>14.031297</v>
      </c>
      <c r="Z974" s="16">
        <f>'extended_recharge_2003-2015'!Z110</f>
        <v>4.9895496000000001</v>
      </c>
      <c r="AA974" s="16">
        <f>'extended_recharge_2003-2015'!AA110</f>
        <v>3.9108550000000002</v>
      </c>
      <c r="AB974" s="16">
        <f>'extended_recharge_2003-2015'!AB110</f>
        <v>1.9879355000000001</v>
      </c>
      <c r="AC974" s="16">
        <f>'extended_recharge_2003-2015'!AC110</f>
        <v>5.07369</v>
      </c>
      <c r="AD974" s="16">
        <f>'extended_recharge_2003-2015'!AD110</f>
        <v>3.22221</v>
      </c>
      <c r="AE974" s="16">
        <f>'extended_recharge_2003-2015'!AE110</f>
        <v>9.7130019999999995</v>
      </c>
      <c r="AF974" s="16">
        <f>'extended_recharge_2003-2015'!AF110</f>
        <v>89.106250000000003</v>
      </c>
      <c r="AG974" s="16">
        <f>'extended_recharge_2003-2015'!AG110</f>
        <v>16.568832</v>
      </c>
    </row>
    <row r="975" spans="1:33" x14ac:dyDescent="0.2">
      <c r="A975" s="3">
        <v>37590</v>
      </c>
      <c r="B975" s="2">
        <v>-0.27</v>
      </c>
      <c r="C975" s="2">
        <v>18.57</v>
      </c>
      <c r="D975" s="2">
        <v>7.38</v>
      </c>
      <c r="E975" s="2">
        <v>11.53</v>
      </c>
      <c r="F975" s="2">
        <v>8.39</v>
      </c>
      <c r="G975" s="2">
        <v>21.91</v>
      </c>
      <c r="H975" s="2">
        <v>18.68</v>
      </c>
      <c r="I975" s="2">
        <v>41.18</v>
      </c>
      <c r="J975" s="2">
        <v>14.14</v>
      </c>
      <c r="K975" s="2">
        <v>20.96</v>
      </c>
      <c r="L975" s="2">
        <v>-1.99</v>
      </c>
      <c r="M975" s="2">
        <v>9.1999999999999993</v>
      </c>
      <c r="N975" s="2">
        <v>29.05</v>
      </c>
      <c r="O975" s="2">
        <v>18.45</v>
      </c>
      <c r="P975" s="2">
        <v>48.07</v>
      </c>
      <c r="Q975" s="2">
        <v>-2.6</v>
      </c>
      <c r="R975" s="2">
        <v>9.98</v>
      </c>
      <c r="S975" s="2">
        <v>38.6</v>
      </c>
      <c r="T975" s="2">
        <v>10.07</v>
      </c>
      <c r="U975" s="2">
        <v>11.07</v>
      </c>
      <c r="V975" s="2">
        <v>18.66</v>
      </c>
      <c r="W975" s="16">
        <f>'extended_recharge_2003-2015'!W111</f>
        <v>15.987462000000001</v>
      </c>
      <c r="X975" s="16">
        <f>'extended_recharge_2003-2015'!X111</f>
        <v>4.0302239999999996</v>
      </c>
      <c r="Y975" s="16">
        <f>'extended_recharge_2003-2015'!Y111</f>
        <v>13.008141999999999</v>
      </c>
      <c r="Z975" s="16">
        <f>'extended_recharge_2003-2015'!Z111</f>
        <v>6.3229610000000003</v>
      </c>
      <c r="AA975" s="16">
        <f>'extended_recharge_2003-2015'!AA111</f>
        <v>4.4156994999999997</v>
      </c>
      <c r="AB975" s="16">
        <f>'extended_recharge_2003-2015'!AB111</f>
        <v>2.4846906999999998</v>
      </c>
      <c r="AC975" s="16">
        <f>'extended_recharge_2003-2015'!AC111</f>
        <v>5.4170730000000002</v>
      </c>
      <c r="AD975" s="16">
        <f>'extended_recharge_2003-2015'!AD111</f>
        <v>2.1452936999999999</v>
      </c>
      <c r="AE975" s="16">
        <f>'extended_recharge_2003-2015'!AE111</f>
        <v>24.529973999999999</v>
      </c>
      <c r="AF975" s="16">
        <f>'extended_recharge_2003-2015'!AF111</f>
        <v>62.521039999999999</v>
      </c>
      <c r="AG975" s="16">
        <f>'extended_recharge_2003-2015'!AG111</f>
        <v>13.143393</v>
      </c>
    </row>
    <row r="976" spans="1:33" x14ac:dyDescent="0.2">
      <c r="A976" s="3">
        <v>37621</v>
      </c>
      <c r="B976" s="2">
        <v>2.91</v>
      </c>
      <c r="C976" s="2">
        <v>38.26</v>
      </c>
      <c r="D976" s="2">
        <v>79.38</v>
      </c>
      <c r="E976" s="2">
        <v>174.37</v>
      </c>
      <c r="F976" s="2">
        <v>120.62</v>
      </c>
      <c r="G976" s="2">
        <v>178.07</v>
      </c>
      <c r="H976" s="2">
        <v>46.55</v>
      </c>
      <c r="I976" s="2">
        <v>50.74</v>
      </c>
      <c r="J976" s="2">
        <v>83.05</v>
      </c>
      <c r="K976" s="2">
        <v>63.55</v>
      </c>
      <c r="L976" s="2">
        <v>4.12</v>
      </c>
      <c r="M976" s="2">
        <v>28.1</v>
      </c>
      <c r="N976" s="2">
        <v>41.03</v>
      </c>
      <c r="O976" s="2">
        <v>18.38</v>
      </c>
      <c r="P976" s="2">
        <v>47</v>
      </c>
      <c r="Q976" s="2">
        <v>-4.29</v>
      </c>
      <c r="R976" s="2">
        <v>10.28</v>
      </c>
      <c r="S976" s="2">
        <v>8.24</v>
      </c>
      <c r="T976" s="2">
        <v>11.55</v>
      </c>
      <c r="U976" s="2">
        <v>10.71</v>
      </c>
      <c r="V976" s="2">
        <v>17.510000000000002</v>
      </c>
      <c r="W976" s="16">
        <f>'extended_recharge_2003-2015'!W112</f>
        <v>11.145066999999999</v>
      </c>
      <c r="X976" s="16">
        <f>'extended_recharge_2003-2015'!X112</f>
        <v>3.6918730000000002</v>
      </c>
      <c r="Y976" s="16">
        <f>'extended_recharge_2003-2015'!Y112</f>
        <v>11.163150999999999</v>
      </c>
      <c r="Z976" s="16">
        <f>'extended_recharge_2003-2015'!Z112</f>
        <v>4.0027803999999998</v>
      </c>
      <c r="AA976" s="16">
        <f>'extended_recharge_2003-2015'!AA112</f>
        <v>4.7853656000000004</v>
      </c>
      <c r="AB976" s="16">
        <f>'extended_recharge_2003-2015'!AB112</f>
        <v>2.4370560000000001</v>
      </c>
      <c r="AC976" s="16">
        <f>'extended_recharge_2003-2015'!AC112</f>
        <v>5.2588444000000001</v>
      </c>
      <c r="AD976" s="16">
        <f>'extended_recharge_2003-2015'!AD112</f>
        <v>1.6420026999999999</v>
      </c>
      <c r="AE976" s="16">
        <f>'extended_recharge_2003-2015'!AE112</f>
        <v>27.097280000000001</v>
      </c>
      <c r="AF976" s="16">
        <f>'extended_recharge_2003-2015'!AF112</f>
        <v>59.517090000000003</v>
      </c>
      <c r="AG976" s="16">
        <f>'extended_recharge_2003-2015'!AG112</f>
        <v>11.195430999999999</v>
      </c>
    </row>
    <row r="977" spans="1:33" x14ac:dyDescent="0.2">
      <c r="A977" s="3">
        <v>37652</v>
      </c>
      <c r="B977" s="2">
        <v>2.27</v>
      </c>
      <c r="C977" s="2">
        <v>38.22</v>
      </c>
      <c r="D977" s="2">
        <v>23.07</v>
      </c>
      <c r="E977" s="2">
        <v>58.06</v>
      </c>
      <c r="F977" s="2">
        <v>47.31</v>
      </c>
      <c r="G977" s="2">
        <v>53.03</v>
      </c>
      <c r="H977" s="2">
        <v>17.739999999999998</v>
      </c>
      <c r="I977" s="2">
        <v>40.79</v>
      </c>
      <c r="J977" s="2">
        <v>-0.51</v>
      </c>
      <c r="K977" s="2">
        <v>-18.55</v>
      </c>
      <c r="L977" s="2">
        <v>-12.88</v>
      </c>
      <c r="M977" s="2">
        <v>-21.52</v>
      </c>
      <c r="N977" s="2">
        <v>10.87</v>
      </c>
      <c r="O977" s="2">
        <v>16.489999999999998</v>
      </c>
      <c r="P977" s="2">
        <v>28.43</v>
      </c>
      <c r="Q977" s="2">
        <v>3.48</v>
      </c>
      <c r="R977" s="2">
        <v>14.23</v>
      </c>
      <c r="S977" s="2">
        <v>-24.6</v>
      </c>
      <c r="T977" s="2">
        <v>10.31</v>
      </c>
      <c r="U977" s="2">
        <v>10.89</v>
      </c>
      <c r="V977" s="2">
        <v>25.37</v>
      </c>
      <c r="W977" s="16">
        <f>'extended_recharge_2003-2015'!W113</f>
        <v>5.1014813999999999</v>
      </c>
      <c r="X977" s="16">
        <f>'extended_recharge_2003-2015'!X113</f>
        <v>3.6460202000000002</v>
      </c>
      <c r="Y977" s="16">
        <f>'extended_recharge_2003-2015'!Y113</f>
        <v>11.088549</v>
      </c>
      <c r="Z977" s="16">
        <f>'extended_recharge_2003-2015'!Z113</f>
        <v>4.3981104000000002</v>
      </c>
      <c r="AA977" s="16">
        <f>'extended_recharge_2003-2015'!AA113</f>
        <v>4.8459450000000004</v>
      </c>
      <c r="AB977" s="16">
        <f>'extended_recharge_2003-2015'!AB113</f>
        <v>2.6892939999999999</v>
      </c>
      <c r="AC977" s="16">
        <f>'extended_recharge_2003-2015'!AC113</f>
        <v>4.6936159999999996</v>
      </c>
      <c r="AD977" s="16">
        <f>'extended_recharge_2003-2015'!AD113</f>
        <v>1.7285804</v>
      </c>
      <c r="AE977" s="16">
        <f>'extended_recharge_2003-2015'!AE113</f>
        <v>28.301722999999999</v>
      </c>
      <c r="AF977" s="16">
        <f>'extended_recharge_2003-2015'!AF113</f>
        <v>65.015940000000001</v>
      </c>
      <c r="AG977" s="16">
        <f>'extended_recharge_2003-2015'!AG113</f>
        <v>9.8339929999999995</v>
      </c>
    </row>
    <row r="978" spans="1:33" x14ac:dyDescent="0.2">
      <c r="A978" s="3">
        <v>37680</v>
      </c>
      <c r="B978" s="2">
        <v>4.32</v>
      </c>
      <c r="C978" s="2">
        <v>27.77</v>
      </c>
      <c r="D978" s="2">
        <v>-17.02</v>
      </c>
      <c r="E978" s="2">
        <v>-56.92</v>
      </c>
      <c r="F978" s="2">
        <v>0.8</v>
      </c>
      <c r="G978" s="2">
        <v>-32.880000000000003</v>
      </c>
      <c r="H978" s="2">
        <v>10.41</v>
      </c>
      <c r="I978" s="2">
        <v>40.53</v>
      </c>
      <c r="J978" s="2">
        <v>-0.9</v>
      </c>
      <c r="K978" s="2">
        <v>5.77</v>
      </c>
      <c r="L978" s="2">
        <v>-2.06</v>
      </c>
      <c r="M978" s="2">
        <v>0.64</v>
      </c>
      <c r="N978" s="2">
        <v>27.96</v>
      </c>
      <c r="O978" s="2">
        <v>13.9</v>
      </c>
      <c r="P978" s="2">
        <v>46.88</v>
      </c>
      <c r="Q978" s="2">
        <v>-1.51</v>
      </c>
      <c r="R978" s="2">
        <v>12.56</v>
      </c>
      <c r="S978" s="2">
        <v>-18</v>
      </c>
      <c r="T978" s="2">
        <v>16.239999999999998</v>
      </c>
      <c r="U978" s="2">
        <v>8.7100000000000009</v>
      </c>
      <c r="V978" s="2">
        <v>11</v>
      </c>
      <c r="W978" s="16">
        <f>'extended_recharge_2003-2015'!W114</f>
        <v>0.77537184999999997</v>
      </c>
      <c r="X978" s="16">
        <f>'extended_recharge_2003-2015'!X114</f>
        <v>5.2178082000000003</v>
      </c>
      <c r="Y978" s="16">
        <f>'extended_recharge_2003-2015'!Y114</f>
        <v>12.333062</v>
      </c>
      <c r="Z978" s="16">
        <f>'extended_recharge_2003-2015'!Z114</f>
        <v>3.5004569999999999</v>
      </c>
      <c r="AA978" s="16">
        <f>'extended_recharge_2003-2015'!AA114</f>
        <v>5.0004416000000003</v>
      </c>
      <c r="AB978" s="16">
        <f>'extended_recharge_2003-2015'!AB114</f>
        <v>3.2144455999999999</v>
      </c>
      <c r="AC978" s="16">
        <f>'extended_recharge_2003-2015'!AC114</f>
        <v>5.5676093</v>
      </c>
      <c r="AD978" s="16">
        <f>'extended_recharge_2003-2015'!AD114</f>
        <v>2.0178653999999998</v>
      </c>
      <c r="AE978" s="16">
        <f>'extended_recharge_2003-2015'!AE114</f>
        <v>25.063393000000001</v>
      </c>
      <c r="AF978" s="16">
        <f>'extended_recharge_2003-2015'!AF114</f>
        <v>63.029246999999998</v>
      </c>
      <c r="AG978" s="16">
        <f>'extended_recharge_2003-2015'!AG114</f>
        <v>10.030756</v>
      </c>
    </row>
    <row r="979" spans="1:33" x14ac:dyDescent="0.2">
      <c r="A979" s="3">
        <v>37711</v>
      </c>
      <c r="B979" s="2">
        <v>2.09</v>
      </c>
      <c r="C979" s="2">
        <v>25.91</v>
      </c>
      <c r="D979" s="2">
        <v>-8.35</v>
      </c>
      <c r="E979" s="2">
        <v>-29.31</v>
      </c>
      <c r="F979" s="2">
        <v>-9.86</v>
      </c>
      <c r="G979" s="2">
        <v>-20.440000000000001</v>
      </c>
      <c r="H979" s="2">
        <v>9.5500000000000007</v>
      </c>
      <c r="I979" s="2">
        <v>41.51</v>
      </c>
      <c r="J979" s="2">
        <v>4.1500000000000004</v>
      </c>
      <c r="K979" s="2">
        <v>10.99</v>
      </c>
      <c r="L979" s="2">
        <v>2.38</v>
      </c>
      <c r="M979" s="2">
        <v>8.89</v>
      </c>
      <c r="N979" s="2">
        <v>25.08</v>
      </c>
      <c r="O979" s="2">
        <v>8.23</v>
      </c>
      <c r="P979" s="2">
        <v>72.5</v>
      </c>
      <c r="Q979" s="2">
        <v>0.18</v>
      </c>
      <c r="R979" s="2">
        <v>7.49</v>
      </c>
      <c r="S979" s="2">
        <v>-19.38</v>
      </c>
      <c r="T979" s="2">
        <v>24.26</v>
      </c>
      <c r="U979" s="2">
        <v>6.88</v>
      </c>
      <c r="V979" s="2">
        <v>21.77</v>
      </c>
      <c r="W979" s="16">
        <f>'extended_recharge_2003-2015'!W115</f>
        <v>-0.15962796000000001</v>
      </c>
      <c r="X979" s="16">
        <f>'extended_recharge_2003-2015'!X115</f>
        <v>5.7764473000000001</v>
      </c>
      <c r="Y979" s="16">
        <f>'extended_recharge_2003-2015'!Y115</f>
        <v>13.289827000000001</v>
      </c>
      <c r="Z979" s="16">
        <f>'extended_recharge_2003-2015'!Z115</f>
        <v>2.1259749999999999</v>
      </c>
      <c r="AA979" s="16">
        <f>'extended_recharge_2003-2015'!AA115</f>
        <v>3.9041226</v>
      </c>
      <c r="AB979" s="16">
        <f>'extended_recharge_2003-2015'!AB115</f>
        <v>2.1513162000000001</v>
      </c>
      <c r="AC979" s="16">
        <f>'extended_recharge_2003-2015'!AC115</f>
        <v>3.7824170000000001</v>
      </c>
      <c r="AD979" s="16">
        <f>'extended_recharge_2003-2015'!AD115</f>
        <v>2.975428</v>
      </c>
      <c r="AE979" s="16">
        <f>'extended_recharge_2003-2015'!AE115</f>
        <v>14.420304</v>
      </c>
      <c r="AF979" s="16">
        <f>'extended_recharge_2003-2015'!AF115</f>
        <v>69.710260000000005</v>
      </c>
      <c r="AG979" s="16">
        <f>'extended_recharge_2003-2015'!AG115</f>
        <v>10.933445000000001</v>
      </c>
    </row>
    <row r="980" spans="1:33" x14ac:dyDescent="0.2">
      <c r="A980" s="3">
        <v>37741</v>
      </c>
      <c r="B980" s="2">
        <v>5.89</v>
      </c>
      <c r="C980" s="2">
        <v>29.79</v>
      </c>
      <c r="D980" s="2">
        <v>19.53</v>
      </c>
      <c r="E980" s="2">
        <v>18.87</v>
      </c>
      <c r="F980" s="2">
        <v>33.92</v>
      </c>
      <c r="G980" s="2">
        <v>2.58</v>
      </c>
      <c r="H980" s="2">
        <v>22.16</v>
      </c>
      <c r="I980" s="2">
        <v>48.4</v>
      </c>
      <c r="J980" s="2">
        <v>18.79</v>
      </c>
      <c r="K980" s="2">
        <v>19.5</v>
      </c>
      <c r="L980" s="2">
        <v>21.09</v>
      </c>
      <c r="M980" s="2">
        <v>21.17</v>
      </c>
      <c r="N980" s="2">
        <v>32.18</v>
      </c>
      <c r="O980" s="2">
        <v>18.190000000000001</v>
      </c>
      <c r="P980" s="2">
        <v>40.659999999999997</v>
      </c>
      <c r="Q980" s="2">
        <v>-1.71</v>
      </c>
      <c r="R980" s="2">
        <v>10.92</v>
      </c>
      <c r="S980" s="2">
        <v>-2.61</v>
      </c>
      <c r="T980" s="2">
        <v>19.5</v>
      </c>
      <c r="U980" s="2">
        <v>6.13</v>
      </c>
      <c r="V980" s="2">
        <v>16.88</v>
      </c>
      <c r="W980" s="16">
        <f>'extended_recharge_2003-2015'!W116</f>
        <v>0.65031313999999996</v>
      </c>
      <c r="X980" s="16">
        <f>'extended_recharge_2003-2015'!X116</f>
        <v>6.3741783999999999</v>
      </c>
      <c r="Y980" s="16">
        <f>'extended_recharge_2003-2015'!Y116</f>
        <v>15.123449000000001</v>
      </c>
      <c r="Z980" s="16">
        <f>'extended_recharge_2003-2015'!Z116</f>
        <v>1.1818738</v>
      </c>
      <c r="AA980" s="16">
        <f>'extended_recharge_2003-2015'!AA116</f>
        <v>3.9091206000000001</v>
      </c>
      <c r="AB980" s="16">
        <f>'extended_recharge_2003-2015'!AB116</f>
        <v>1.3134475999999999</v>
      </c>
      <c r="AC980" s="16">
        <f>'extended_recharge_2003-2015'!AC116</f>
        <v>2.1773289999999998</v>
      </c>
      <c r="AD980" s="16">
        <f>'extended_recharge_2003-2015'!AD116</f>
        <v>4.7039559999999998</v>
      </c>
      <c r="AE980" s="16">
        <f>'extended_recharge_2003-2015'!AE116</f>
        <v>6.8076340000000002</v>
      </c>
      <c r="AF980" s="16">
        <f>'extended_recharge_2003-2015'!AF116</f>
        <v>85.293059999999997</v>
      </c>
      <c r="AG980" s="16">
        <f>'extended_recharge_2003-2015'!AG116</f>
        <v>13.966100000000001</v>
      </c>
    </row>
    <row r="981" spans="1:33" x14ac:dyDescent="0.2">
      <c r="A981" s="3">
        <v>37772</v>
      </c>
      <c r="B981" s="2">
        <v>10.1</v>
      </c>
      <c r="C981" s="2">
        <v>31.65</v>
      </c>
      <c r="D981" s="2">
        <v>-4.76</v>
      </c>
      <c r="E981" s="2">
        <v>27.13</v>
      </c>
      <c r="F981" s="2">
        <v>42.91</v>
      </c>
      <c r="G981" s="2">
        <v>5.62</v>
      </c>
      <c r="H981" s="2">
        <v>23.99</v>
      </c>
      <c r="I981" s="2">
        <v>46.13</v>
      </c>
      <c r="J981" s="2">
        <v>4.4000000000000004</v>
      </c>
      <c r="K981" s="2">
        <v>20.39</v>
      </c>
      <c r="L981" s="2">
        <v>8.67</v>
      </c>
      <c r="M981" s="2">
        <v>12.47</v>
      </c>
      <c r="N981" s="2">
        <v>37.39</v>
      </c>
      <c r="O981" s="2">
        <v>18</v>
      </c>
      <c r="P981" s="2">
        <v>91.68</v>
      </c>
      <c r="Q981" s="2">
        <v>-4.25</v>
      </c>
      <c r="R981" s="2">
        <v>16.100000000000001</v>
      </c>
      <c r="S981" s="2">
        <v>10.15</v>
      </c>
      <c r="T981" s="2">
        <v>25.77</v>
      </c>
      <c r="U981" s="2">
        <v>17</v>
      </c>
      <c r="V981" s="2">
        <v>39.19</v>
      </c>
      <c r="W981" s="16">
        <f>'extended_recharge_2003-2015'!W117</f>
        <v>5.2090540000000001</v>
      </c>
      <c r="X981" s="16">
        <f>'extended_recharge_2003-2015'!X117</f>
        <v>6.7377440000000002</v>
      </c>
      <c r="Y981" s="16">
        <f>'extended_recharge_2003-2015'!Y117</f>
        <v>18.153282000000001</v>
      </c>
      <c r="Z981" s="16">
        <f>'extended_recharge_2003-2015'!Z117</f>
        <v>1.3073752000000001</v>
      </c>
      <c r="AA981" s="16">
        <f>'extended_recharge_2003-2015'!AA117</f>
        <v>6.6728443999999998</v>
      </c>
      <c r="AB981" s="16">
        <f>'extended_recharge_2003-2015'!AB117</f>
        <v>2.0644095</v>
      </c>
      <c r="AC981" s="16">
        <f>'extended_recharge_2003-2015'!AC117</f>
        <v>2.8863626</v>
      </c>
      <c r="AD981" s="16">
        <f>'extended_recharge_2003-2015'!AD117</f>
        <v>7.5179577000000002</v>
      </c>
      <c r="AE981" s="16">
        <f>'extended_recharge_2003-2015'!AE117</f>
        <v>1.2987417999999999</v>
      </c>
      <c r="AF981" s="16">
        <f>'extended_recharge_2003-2015'!AF117</f>
        <v>95.776300000000006</v>
      </c>
      <c r="AG981" s="16">
        <f>'extended_recharge_2003-2015'!AG117</f>
        <v>17.620853</v>
      </c>
    </row>
    <row r="982" spans="1:33" x14ac:dyDescent="0.2">
      <c r="A982" s="3">
        <v>37802</v>
      </c>
      <c r="B982" s="2">
        <v>6.2</v>
      </c>
      <c r="C982" s="2">
        <v>23.4</v>
      </c>
      <c r="D982" s="2">
        <v>-1.93</v>
      </c>
      <c r="E982" s="2">
        <v>-18.54</v>
      </c>
      <c r="F982" s="2">
        <v>9.4499999999999993</v>
      </c>
      <c r="G982" s="2">
        <v>-14.53</v>
      </c>
      <c r="H982" s="2">
        <v>13.31</v>
      </c>
      <c r="I982" s="2">
        <v>43.43</v>
      </c>
      <c r="J982" s="2">
        <v>-14.28</v>
      </c>
      <c r="K982" s="2">
        <v>21.42</v>
      </c>
      <c r="L982" s="2">
        <v>14.59</v>
      </c>
      <c r="M982" s="2">
        <v>10.35</v>
      </c>
      <c r="N982" s="2">
        <v>40.619999999999997</v>
      </c>
      <c r="O982" s="2">
        <v>24.2</v>
      </c>
      <c r="P982" s="2">
        <v>125.99</v>
      </c>
      <c r="Q982" s="2">
        <v>7.25</v>
      </c>
      <c r="R982" s="2">
        <v>22.87</v>
      </c>
      <c r="S982" s="2">
        <v>-8.9</v>
      </c>
      <c r="T982" s="2">
        <v>49.84</v>
      </c>
      <c r="U982" s="2">
        <v>16.72</v>
      </c>
      <c r="V982" s="2">
        <v>57.55</v>
      </c>
      <c r="W982" s="16">
        <f>'extended_recharge_2003-2015'!W118</f>
        <v>18.404935999999999</v>
      </c>
      <c r="X982" s="16">
        <f>'extended_recharge_2003-2015'!X118</f>
        <v>4.7361126000000002</v>
      </c>
      <c r="Y982" s="16">
        <f>'extended_recharge_2003-2015'!Y118</f>
        <v>18.164214999999999</v>
      </c>
      <c r="Z982" s="16">
        <f>'extended_recharge_2003-2015'!Z118</f>
        <v>1.1019933</v>
      </c>
      <c r="AA982" s="16">
        <f>'extended_recharge_2003-2015'!AA118</f>
        <v>4.9697449999999996</v>
      </c>
      <c r="AB982" s="16">
        <f>'extended_recharge_2003-2015'!AB118</f>
        <v>2.1608347999999999</v>
      </c>
      <c r="AC982" s="16">
        <f>'extended_recharge_2003-2015'!AC118</f>
        <v>3.1335468</v>
      </c>
      <c r="AD982" s="16">
        <f>'extended_recharge_2003-2015'!AD118</f>
        <v>9.5443079999999991</v>
      </c>
      <c r="AE982" s="16">
        <f>'extended_recharge_2003-2015'!AE118</f>
        <v>5.3971814999999998E-3</v>
      </c>
      <c r="AF982" s="16">
        <f>'extended_recharge_2003-2015'!AF118</f>
        <v>102.38314</v>
      </c>
      <c r="AG982" s="16">
        <f>'extended_recharge_2003-2015'!AG118</f>
        <v>22.506525</v>
      </c>
    </row>
    <row r="983" spans="1:33" x14ac:dyDescent="0.2">
      <c r="A983" s="3">
        <v>37833</v>
      </c>
      <c r="B983" s="2">
        <v>6.36</v>
      </c>
      <c r="C983" s="2">
        <v>25.2</v>
      </c>
      <c r="D983" s="2">
        <v>1.19</v>
      </c>
      <c r="E983" s="2">
        <v>4.6500000000000004</v>
      </c>
      <c r="F983" s="2">
        <v>46.58</v>
      </c>
      <c r="G983" s="2">
        <v>12.56</v>
      </c>
      <c r="H983" s="2">
        <v>21.82</v>
      </c>
      <c r="I983" s="2">
        <v>48</v>
      </c>
      <c r="J983" s="2">
        <v>-15.18</v>
      </c>
      <c r="K983" s="2">
        <v>23.14</v>
      </c>
      <c r="L983" s="2">
        <v>-2.33</v>
      </c>
      <c r="M983" s="2">
        <v>17.62</v>
      </c>
      <c r="N983" s="2">
        <v>46.66</v>
      </c>
      <c r="O983" s="2">
        <v>37.43</v>
      </c>
      <c r="P983" s="2">
        <v>115.95</v>
      </c>
      <c r="Q983" s="2">
        <v>5.5</v>
      </c>
      <c r="R983" s="2">
        <v>24.98</v>
      </c>
      <c r="S983" s="2">
        <v>-13.6</v>
      </c>
      <c r="T983" s="2">
        <v>45.28</v>
      </c>
      <c r="U983" s="2">
        <v>25.74</v>
      </c>
      <c r="V983" s="2">
        <v>53.1</v>
      </c>
      <c r="W983" s="16">
        <f>'extended_recharge_2003-2015'!W119</f>
        <v>29.796564</v>
      </c>
      <c r="X983" s="16">
        <f>'extended_recharge_2003-2015'!X119</f>
        <v>6.7119799999999996</v>
      </c>
      <c r="Y983" s="16">
        <f>'extended_recharge_2003-2015'!Y119</f>
        <v>21.603459999999998</v>
      </c>
      <c r="Z983" s="16">
        <f>'extended_recharge_2003-2015'!Z119</f>
        <v>1.6211355999999999</v>
      </c>
      <c r="AA983" s="16">
        <f>'extended_recharge_2003-2015'!AA119</f>
        <v>3.7606760000000001</v>
      </c>
      <c r="AB983" s="16">
        <f>'extended_recharge_2003-2015'!AB119</f>
        <v>1.0407028</v>
      </c>
      <c r="AC983" s="16">
        <f>'extended_recharge_2003-2015'!AC119</f>
        <v>2.5362724999999999</v>
      </c>
      <c r="AD983" s="16">
        <f>'extended_recharge_2003-2015'!AD119</f>
        <v>9.7813060000000007</v>
      </c>
      <c r="AE983" s="16">
        <f>'extended_recharge_2003-2015'!AE119</f>
        <v>-0.35703911999999999</v>
      </c>
      <c r="AF983" s="16">
        <f>'extended_recharge_2003-2015'!AF119</f>
        <v>108.75677</v>
      </c>
      <c r="AG983" s="16">
        <f>'extended_recharge_2003-2015'!AG119</f>
        <v>25.163360000000001</v>
      </c>
    </row>
    <row r="984" spans="1:33" x14ac:dyDescent="0.2">
      <c r="A984" s="3">
        <v>37864</v>
      </c>
      <c r="B984" s="2">
        <v>4.5</v>
      </c>
      <c r="C984" s="2">
        <v>27.22</v>
      </c>
      <c r="D984" s="2">
        <v>0.97</v>
      </c>
      <c r="E984" s="2">
        <v>-9.25</v>
      </c>
      <c r="F984" s="2">
        <v>0.68</v>
      </c>
      <c r="G984" s="2">
        <v>17.739999999999998</v>
      </c>
      <c r="H984" s="2">
        <v>16.12</v>
      </c>
      <c r="I984" s="2">
        <v>49.29</v>
      </c>
      <c r="J984" s="2">
        <v>-4.3899999999999997</v>
      </c>
      <c r="K984" s="2">
        <v>16.850000000000001</v>
      </c>
      <c r="L984" s="2">
        <v>-0.97</v>
      </c>
      <c r="M984" s="2">
        <v>17.170000000000002</v>
      </c>
      <c r="N984" s="2">
        <v>52.54</v>
      </c>
      <c r="O984" s="2">
        <v>29.64</v>
      </c>
      <c r="P984" s="2">
        <v>98.52</v>
      </c>
      <c r="Q984" s="2">
        <v>2.08</v>
      </c>
      <c r="R984" s="2">
        <v>25.03</v>
      </c>
      <c r="S984" s="2">
        <v>-3.37</v>
      </c>
      <c r="T984" s="2">
        <v>37.78</v>
      </c>
      <c r="U984" s="2">
        <v>27.17</v>
      </c>
      <c r="V984" s="2">
        <v>45.73</v>
      </c>
      <c r="W984" s="16">
        <f>'extended_recharge_2003-2015'!W120</f>
        <v>30.237534</v>
      </c>
      <c r="X984" s="16">
        <f>'extended_recharge_2003-2015'!X120</f>
        <v>5.328119</v>
      </c>
      <c r="Y984" s="16">
        <f>'extended_recharge_2003-2015'!Y120</f>
        <v>22.569994000000001</v>
      </c>
      <c r="Z984" s="16">
        <f>'extended_recharge_2003-2015'!Z120</f>
        <v>1.8537899</v>
      </c>
      <c r="AA984" s="16">
        <f>'extended_recharge_2003-2015'!AA120</f>
        <v>3.6961694</v>
      </c>
      <c r="AB984" s="16">
        <f>'extended_recharge_2003-2015'!AB120</f>
        <v>0.70466300000000004</v>
      </c>
      <c r="AC984" s="16">
        <f>'extended_recharge_2003-2015'!AC120</f>
        <v>3.2914626999999999</v>
      </c>
      <c r="AD984" s="16">
        <f>'extended_recharge_2003-2015'!AD120</f>
        <v>7.2008676999999999</v>
      </c>
      <c r="AE984" s="16">
        <f>'extended_recharge_2003-2015'!AE120</f>
        <v>-1.4346966000000001</v>
      </c>
      <c r="AF984" s="16">
        <f>'extended_recharge_2003-2015'!AF120</f>
        <v>101.95246</v>
      </c>
      <c r="AG984" s="16">
        <f>'extended_recharge_2003-2015'!AG120</f>
        <v>23.718472999999999</v>
      </c>
    </row>
    <row r="985" spans="1:33" x14ac:dyDescent="0.2">
      <c r="A985" s="3">
        <v>37894</v>
      </c>
      <c r="B985" s="2">
        <v>1.23</v>
      </c>
      <c r="C985" s="2">
        <v>26.96</v>
      </c>
      <c r="D985" s="2">
        <v>1.21</v>
      </c>
      <c r="E985" s="2">
        <v>-16.420000000000002</v>
      </c>
      <c r="F985" s="2">
        <v>-3.35</v>
      </c>
      <c r="G985" s="2">
        <v>5.45</v>
      </c>
      <c r="H985" s="2">
        <v>17.12</v>
      </c>
      <c r="I985" s="2">
        <v>47.61</v>
      </c>
      <c r="J985" s="2">
        <v>2.04</v>
      </c>
      <c r="K985" s="2">
        <v>7.16</v>
      </c>
      <c r="L985" s="2">
        <v>1.01</v>
      </c>
      <c r="M985" s="2">
        <v>10.74</v>
      </c>
      <c r="N985" s="2">
        <v>38.130000000000003</v>
      </c>
      <c r="O985" s="2">
        <v>24.34</v>
      </c>
      <c r="P985" s="2">
        <v>36.81</v>
      </c>
      <c r="Q985" s="2">
        <v>6.45</v>
      </c>
      <c r="R985" s="2">
        <v>23.16</v>
      </c>
      <c r="S985" s="2">
        <v>-7.59</v>
      </c>
      <c r="T985" s="2">
        <v>11</v>
      </c>
      <c r="U985" s="2">
        <v>17.440000000000001</v>
      </c>
      <c r="V985" s="2">
        <v>21.23</v>
      </c>
      <c r="W985" s="16">
        <f>'extended_recharge_2003-2015'!W121</f>
        <v>26.839758</v>
      </c>
      <c r="X985" s="16">
        <f>'extended_recharge_2003-2015'!X121</f>
        <v>3.5017779999999998</v>
      </c>
      <c r="Y985" s="16">
        <f>'extended_recharge_2003-2015'!Y121</f>
        <v>20.074681999999999</v>
      </c>
      <c r="Z985" s="16">
        <f>'extended_recharge_2003-2015'!Z121</f>
        <v>4.4280559999999998</v>
      </c>
      <c r="AA985" s="16">
        <f>'extended_recharge_2003-2015'!AA121</f>
        <v>4.6429879999999999</v>
      </c>
      <c r="AB985" s="16">
        <f>'extended_recharge_2003-2015'!AB121</f>
        <v>0.79127259999999999</v>
      </c>
      <c r="AC985" s="16">
        <f>'extended_recharge_2003-2015'!AC121</f>
        <v>3.5981714999999999</v>
      </c>
      <c r="AD985" s="16">
        <f>'extended_recharge_2003-2015'!AD121</f>
        <v>5.2462735</v>
      </c>
      <c r="AE985" s="16">
        <f>'extended_recharge_2003-2015'!AE121</f>
        <v>2.5813096</v>
      </c>
      <c r="AF985" s="16">
        <f>'extended_recharge_2003-2015'!AF121</f>
        <v>94.587670000000003</v>
      </c>
      <c r="AG985" s="16">
        <f>'extended_recharge_2003-2015'!AG121</f>
        <v>20.527806999999999</v>
      </c>
    </row>
    <row r="986" spans="1:33" x14ac:dyDescent="0.2">
      <c r="A986" s="3">
        <v>37925</v>
      </c>
      <c r="B986" s="14">
        <f>'extended_recharge_2003-2015'!B122</f>
        <v>1.3685628999999999</v>
      </c>
      <c r="C986" s="14">
        <f>'extended_recharge_2003-2015'!C122</f>
        <v>26.754107999999999</v>
      </c>
      <c r="D986" s="14">
        <f>'extended_recharge_2003-2015'!D122</f>
        <v>2.2593985000000001</v>
      </c>
      <c r="E986" s="14">
        <f>'extended_recharge_2003-2015'!E122</f>
        <v>-3.5846507999999999</v>
      </c>
      <c r="F986" s="14">
        <f>'extended_recharge_2003-2015'!F122</f>
        <v>4.8185089999999997</v>
      </c>
      <c r="G986" s="14">
        <f>'extended_recharge_2003-2015'!G122</f>
        <v>36.090237000000002</v>
      </c>
      <c r="H986" s="14">
        <f>'extended_recharge_2003-2015'!H122</f>
        <v>18.054736999999999</v>
      </c>
      <c r="I986" s="14">
        <f>'extended_recharge_2003-2015'!I122</f>
        <v>46.652557000000002</v>
      </c>
      <c r="J986" s="14">
        <f>'extended_recharge_2003-2015'!J122</f>
        <v>21.625952000000002</v>
      </c>
      <c r="K986" s="14">
        <f>'extended_recharge_2003-2015'!K122</f>
        <v>18.659613</v>
      </c>
      <c r="L986" s="14">
        <f>'extended_recharge_2003-2015'!L122</f>
        <v>25.528210000000001</v>
      </c>
      <c r="M986" s="14">
        <f>'extended_recharge_2003-2015'!M122</f>
        <v>14.989055</v>
      </c>
      <c r="N986" s="14">
        <f>'extended_recharge_2003-2015'!N122</f>
        <v>51.093389999999999</v>
      </c>
      <c r="O986" s="14">
        <f>'extended_recharge_2003-2015'!O122</f>
        <v>21.103441</v>
      </c>
      <c r="P986" s="14">
        <f>'extended_recharge_2003-2015'!P122</f>
        <v>64.503720000000001</v>
      </c>
      <c r="Q986" s="14">
        <f>'extended_recharge_2003-2015'!Q122</f>
        <v>4.8935905000000002</v>
      </c>
      <c r="R986" s="14">
        <f>'extended_recharge_2003-2015'!R122</f>
        <v>18.228694999999998</v>
      </c>
      <c r="S986" s="14">
        <f>'extended_recharge_2003-2015'!S122</f>
        <v>19.31541</v>
      </c>
      <c r="T986" s="14">
        <f>'extended_recharge_2003-2015'!T122</f>
        <v>19.36185</v>
      </c>
      <c r="U986" s="14">
        <f>'extended_recharge_2003-2015'!U122</f>
        <v>15.315272999999999</v>
      </c>
      <c r="V986" s="15">
        <f>'extended_recharge_2003-2015'!V122</f>
        <v>24.403262999999999</v>
      </c>
      <c r="W986" s="16">
        <f>'extended_recharge_2003-2015'!W122</f>
        <v>22.200682</v>
      </c>
      <c r="X986" s="16">
        <f>'extended_recharge_2003-2015'!X122</f>
        <v>4.9927564000000002</v>
      </c>
      <c r="Y986" s="16">
        <f>'extended_recharge_2003-2015'!Y122</f>
        <v>20.492958000000002</v>
      </c>
      <c r="Z986" s="16">
        <f>'extended_recharge_2003-2015'!Z122</f>
        <v>5.3987125999999996</v>
      </c>
      <c r="AA986" s="16">
        <f>'extended_recharge_2003-2015'!AA122</f>
        <v>8.0322300000000002</v>
      </c>
      <c r="AB986" s="16">
        <f>'extended_recharge_2003-2015'!AB122</f>
        <v>3.9211159000000002</v>
      </c>
      <c r="AC986" s="16">
        <f>'extended_recharge_2003-2015'!AC122</f>
        <v>6.2909670000000002</v>
      </c>
      <c r="AD986" s="16">
        <f>'extended_recharge_2003-2015'!AD122</f>
        <v>3.7047430000000001</v>
      </c>
      <c r="AE986" s="16">
        <f>'extended_recharge_2003-2015'!AE122</f>
        <v>13.215246</v>
      </c>
      <c r="AF986" s="16">
        <f>'extended_recharge_2003-2015'!AF122</f>
        <v>86.430404999999993</v>
      </c>
      <c r="AG986" s="16">
        <f>'extended_recharge_2003-2015'!AG122</f>
        <v>16.525621000000001</v>
      </c>
    </row>
    <row r="987" spans="1:33" x14ac:dyDescent="0.2">
      <c r="A987" s="3">
        <v>37955</v>
      </c>
      <c r="B987" s="14">
        <f>'extended_recharge_2003-2015'!B123</f>
        <v>-0.17777371</v>
      </c>
      <c r="C987" s="14">
        <f>'extended_recharge_2003-2015'!C123</f>
        <v>27.228287000000002</v>
      </c>
      <c r="D987" s="14">
        <f>'extended_recharge_2003-2015'!D123</f>
        <v>19.277822</v>
      </c>
      <c r="E987" s="14">
        <f>'extended_recharge_2003-2015'!E123</f>
        <v>18.565145000000001</v>
      </c>
      <c r="F987" s="14">
        <f>'extended_recharge_2003-2015'!F123</f>
        <v>18.07959</v>
      </c>
      <c r="G987" s="14">
        <f>'extended_recharge_2003-2015'!G123</f>
        <v>53.426555999999998</v>
      </c>
      <c r="H987" s="14">
        <f>'extended_recharge_2003-2015'!H123</f>
        <v>20.897732000000001</v>
      </c>
      <c r="I987" s="14">
        <f>'extended_recharge_2003-2015'!I123</f>
        <v>49.707245</v>
      </c>
      <c r="J987" s="14">
        <f>'extended_recharge_2003-2015'!J123</f>
        <v>33.445847000000001</v>
      </c>
      <c r="K987" s="14">
        <f>'extended_recharge_2003-2015'!K123</f>
        <v>15.520018</v>
      </c>
      <c r="L987" s="14">
        <f>'extended_recharge_2003-2015'!L123</f>
        <v>16.101717000000001</v>
      </c>
      <c r="M987" s="14">
        <f>'extended_recharge_2003-2015'!M123</f>
        <v>9.9353890000000007</v>
      </c>
      <c r="N987" s="14">
        <f>'extended_recharge_2003-2015'!N123</f>
        <v>51.023699999999998</v>
      </c>
      <c r="O987" s="14">
        <f>'extended_recharge_2003-2015'!O123</f>
        <v>20.84394</v>
      </c>
      <c r="P987" s="14">
        <f>'extended_recharge_2003-2015'!P123</f>
        <v>70.103939999999994</v>
      </c>
      <c r="Q987" s="14">
        <f>'extended_recharge_2003-2015'!Q123</f>
        <v>4.7206545000000002</v>
      </c>
      <c r="R987" s="14">
        <f>'extended_recharge_2003-2015'!R123</f>
        <v>19.810274</v>
      </c>
      <c r="S987" s="14">
        <f>'extended_recharge_2003-2015'!S123</f>
        <v>28.633769999999998</v>
      </c>
      <c r="T987" s="14">
        <f>'extended_recharge_2003-2015'!T123</f>
        <v>21.576971</v>
      </c>
      <c r="U987" s="14">
        <f>'extended_recharge_2003-2015'!U123</f>
        <v>11.184931000000001</v>
      </c>
      <c r="V987" s="15">
        <f>'extended_recharge_2003-2015'!V123</f>
        <v>20.428719999999998</v>
      </c>
      <c r="W987" s="16">
        <f>'extended_recharge_2003-2015'!W123</f>
        <v>15.925618</v>
      </c>
      <c r="X987" s="16">
        <f>'extended_recharge_2003-2015'!X123</f>
        <v>4.3662809999999999</v>
      </c>
      <c r="Y987" s="16">
        <f>'extended_recharge_2003-2015'!Y123</f>
        <v>18.378409999999999</v>
      </c>
      <c r="Z987" s="16">
        <f>'extended_recharge_2003-2015'!Z123</f>
        <v>6.6019397</v>
      </c>
      <c r="AA987" s="16">
        <f>'extended_recharge_2003-2015'!AA123</f>
        <v>8.3838004999999995</v>
      </c>
      <c r="AB987" s="16">
        <f>'extended_recharge_2003-2015'!AB123</f>
        <v>2.9371328000000001</v>
      </c>
      <c r="AC987" s="16">
        <f>'extended_recharge_2003-2015'!AC123</f>
        <v>6.9304785999999998</v>
      </c>
      <c r="AD987" s="16">
        <f>'extended_recharge_2003-2015'!AD123</f>
        <v>2.4642599999999999</v>
      </c>
      <c r="AE987" s="16">
        <f>'extended_recharge_2003-2015'!AE123</f>
        <v>22.923231000000001</v>
      </c>
      <c r="AF987" s="16">
        <f>'extended_recharge_2003-2015'!AF123</f>
        <v>64.670929999999998</v>
      </c>
      <c r="AG987" s="16">
        <f>'extended_recharge_2003-2015'!AG123</f>
        <v>12.980929</v>
      </c>
    </row>
    <row r="988" spans="1:33" x14ac:dyDescent="0.2">
      <c r="A988" s="3">
        <v>37986</v>
      </c>
      <c r="B988" s="14">
        <f>'extended_recharge_2003-2015'!B124</f>
        <v>0.74819212999999996</v>
      </c>
      <c r="C988" s="14">
        <f>'extended_recharge_2003-2015'!C124</f>
        <v>29.684435000000001</v>
      </c>
      <c r="D988" s="14">
        <f>'extended_recharge_2003-2015'!D124</f>
        <v>27.01362</v>
      </c>
      <c r="E988" s="14">
        <f>'extended_recharge_2003-2015'!E124</f>
        <v>45.347250000000003</v>
      </c>
      <c r="F988" s="14">
        <f>'extended_recharge_2003-2015'!F124</f>
        <v>24.606016</v>
      </c>
      <c r="G988" s="14">
        <f>'extended_recharge_2003-2015'!G124</f>
        <v>74.148200000000003</v>
      </c>
      <c r="H988" s="14">
        <f>'extended_recharge_2003-2015'!H124</f>
        <v>24.533842</v>
      </c>
      <c r="I988" s="14">
        <f>'extended_recharge_2003-2015'!I124</f>
        <v>46.093162999999997</v>
      </c>
      <c r="J988" s="14">
        <f>'extended_recharge_2003-2015'!J124</f>
        <v>39.202103000000001</v>
      </c>
      <c r="K988" s="14">
        <f>'extended_recharge_2003-2015'!K124</f>
        <v>21.589897000000001</v>
      </c>
      <c r="L988" s="14">
        <f>'extended_recharge_2003-2015'!L124</f>
        <v>7.672148</v>
      </c>
      <c r="M988" s="14">
        <f>'extended_recharge_2003-2015'!M124</f>
        <v>10.357313</v>
      </c>
      <c r="N988" s="14">
        <f>'extended_recharge_2003-2015'!N124</f>
        <v>40.613010000000003</v>
      </c>
      <c r="O988" s="14">
        <f>'extended_recharge_2003-2015'!O124</f>
        <v>18.363921999999999</v>
      </c>
      <c r="P988" s="14">
        <f>'extended_recharge_2003-2015'!P124</f>
        <v>38.996723000000003</v>
      </c>
      <c r="Q988" s="14">
        <f>'extended_recharge_2003-2015'!Q124</f>
        <v>2.2771610999999998</v>
      </c>
      <c r="R988" s="14">
        <f>'extended_recharge_2003-2015'!R124</f>
        <v>12.565557500000001</v>
      </c>
      <c r="S988" s="14">
        <f>'extended_recharge_2003-2015'!S124</f>
        <v>28.275137000000001</v>
      </c>
      <c r="T988" s="14">
        <f>'extended_recharge_2003-2015'!T124</f>
        <v>10.710248</v>
      </c>
      <c r="U988" s="14">
        <f>'extended_recharge_2003-2015'!U124</f>
        <v>10.788595000000001</v>
      </c>
      <c r="V988" s="15">
        <f>'extended_recharge_2003-2015'!V124</f>
        <v>18.099262</v>
      </c>
      <c r="W988" s="16">
        <f>'extended_recharge_2003-2015'!W124</f>
        <v>11.350642000000001</v>
      </c>
      <c r="X988" s="16">
        <f>'extended_recharge_2003-2015'!X124</f>
        <v>4.1911974000000001</v>
      </c>
      <c r="Y988" s="16">
        <f>'extended_recharge_2003-2015'!Y124</f>
        <v>16.182896</v>
      </c>
      <c r="Z988" s="16">
        <f>'extended_recharge_2003-2015'!Z124</f>
        <v>4.6168003000000004</v>
      </c>
      <c r="AA988" s="16">
        <f>'extended_recharge_2003-2015'!AA124</f>
        <v>2.6816203999999999</v>
      </c>
      <c r="AB988" s="16">
        <f>'extended_recharge_2003-2015'!AB124</f>
        <v>2.8687092999999999</v>
      </c>
      <c r="AC988" s="16">
        <f>'extended_recharge_2003-2015'!AC124</f>
        <v>4.3336170000000003</v>
      </c>
      <c r="AD988" s="16">
        <f>'extended_recharge_2003-2015'!AD124</f>
        <v>2.0411098000000001</v>
      </c>
      <c r="AE988" s="16">
        <f>'extended_recharge_2003-2015'!AE124</f>
        <v>24.195473</v>
      </c>
      <c r="AF988" s="16">
        <f>'extended_recharge_2003-2015'!AF124</f>
        <v>59.628982999999998</v>
      </c>
      <c r="AG988" s="16">
        <f>'extended_recharge_2003-2015'!AG124</f>
        <v>11.109076</v>
      </c>
    </row>
    <row r="989" spans="1:33" x14ac:dyDescent="0.2">
      <c r="A989" s="3">
        <v>38017</v>
      </c>
      <c r="B989" s="14">
        <f>'extended_recharge_2003-2015'!B125</f>
        <v>0.49646722999999998</v>
      </c>
      <c r="C989" s="14">
        <f>'extended_recharge_2003-2015'!C125</f>
        <v>30.536335000000001</v>
      </c>
      <c r="D989" s="14">
        <f>'extended_recharge_2003-2015'!D125</f>
        <v>8.3776060000000001</v>
      </c>
      <c r="E989" s="14">
        <f>'extended_recharge_2003-2015'!E125</f>
        <v>5.9171550000000002</v>
      </c>
      <c r="F989" s="14">
        <f>'extended_recharge_2003-2015'!F125</f>
        <v>23.295614</v>
      </c>
      <c r="G989" s="14">
        <f>'extended_recharge_2003-2015'!G125</f>
        <v>26.38841</v>
      </c>
      <c r="H989" s="14">
        <f>'extended_recharge_2003-2015'!H125</f>
        <v>12.626642</v>
      </c>
      <c r="I989" s="14">
        <f>'extended_recharge_2003-2015'!I125</f>
        <v>42.501860000000001</v>
      </c>
      <c r="J989" s="14">
        <f>'extended_recharge_2003-2015'!J125</f>
        <v>22.032419999999998</v>
      </c>
      <c r="K989" s="14">
        <f>'extended_recharge_2003-2015'!K125</f>
        <v>8.5013819999999996</v>
      </c>
      <c r="L989" s="14">
        <f>'extended_recharge_2003-2015'!L125</f>
        <v>4.0888084999999998</v>
      </c>
      <c r="M989" s="14">
        <f>'extended_recharge_2003-2015'!M125</f>
        <v>5.0835575999999998</v>
      </c>
      <c r="N989" s="14">
        <f>'extended_recharge_2003-2015'!N125</f>
        <v>37.016517999999998</v>
      </c>
      <c r="O989" s="14">
        <f>'extended_recharge_2003-2015'!O125</f>
        <v>18.390339999999998</v>
      </c>
      <c r="P989" s="14">
        <f>'extended_recharge_2003-2015'!P125</f>
        <v>24.489767000000001</v>
      </c>
      <c r="Q989" s="14">
        <f>'extended_recharge_2003-2015'!Q125</f>
        <v>4.8052387000000003</v>
      </c>
      <c r="R989" s="14">
        <f>'extended_recharge_2003-2015'!R125</f>
        <v>15.781370000000001</v>
      </c>
      <c r="S989" s="14">
        <f>'extended_recharge_2003-2015'!S125</f>
        <v>7.7350310000000002</v>
      </c>
      <c r="T989" s="14">
        <f>'extended_recharge_2003-2015'!T125</f>
        <v>16.129069999999999</v>
      </c>
      <c r="U989" s="14">
        <f>'extended_recharge_2003-2015'!U125</f>
        <v>9.5884494999999994</v>
      </c>
      <c r="V989" s="15">
        <f>'extended_recharge_2003-2015'!V125</f>
        <v>23.030038999999999</v>
      </c>
      <c r="W989" s="16">
        <f>'extended_recharge_2003-2015'!W125</f>
        <v>4.3016290000000001</v>
      </c>
      <c r="X989" s="16">
        <f>'extended_recharge_2003-2015'!X125</f>
        <v>4.4383692999999997</v>
      </c>
      <c r="Y989" s="16">
        <f>'extended_recharge_2003-2015'!Y125</f>
        <v>15.79832</v>
      </c>
      <c r="Z989" s="16">
        <f>'extended_recharge_2003-2015'!Z125</f>
        <v>3.9974414999999999</v>
      </c>
      <c r="AA989" s="16">
        <f>'extended_recharge_2003-2015'!AA125</f>
        <v>3.7096412000000001</v>
      </c>
      <c r="AB989" s="16">
        <f>'extended_recharge_2003-2015'!AB125</f>
        <v>2.3389920000000002</v>
      </c>
      <c r="AC989" s="16">
        <f>'extended_recharge_2003-2015'!AC125</f>
        <v>5.4301662000000004</v>
      </c>
      <c r="AD989" s="16">
        <f>'extended_recharge_2003-2015'!AD125</f>
        <v>1.8474847000000001</v>
      </c>
      <c r="AE989" s="16">
        <f>'extended_recharge_2003-2015'!AE125</f>
        <v>27.085570000000001</v>
      </c>
      <c r="AF989" s="16">
        <f>'extended_recharge_2003-2015'!AF125</f>
        <v>69.071759999999998</v>
      </c>
      <c r="AG989" s="16">
        <f>'extended_recharge_2003-2015'!AG125</f>
        <v>9.7608689999999996</v>
      </c>
    </row>
    <row r="990" spans="1:33" x14ac:dyDescent="0.2">
      <c r="A990" s="3">
        <v>38046</v>
      </c>
      <c r="B990" s="14">
        <f>'extended_recharge_2003-2015'!B126</f>
        <v>2.8808509999999999E-2</v>
      </c>
      <c r="C990" s="14">
        <f>'extended_recharge_2003-2015'!C126</f>
        <v>22.510693</v>
      </c>
      <c r="D990" s="14">
        <f>'extended_recharge_2003-2015'!D126</f>
        <v>-11.776415999999999</v>
      </c>
      <c r="E990" s="14">
        <f>'extended_recharge_2003-2015'!E126</f>
        <v>-32.985332</v>
      </c>
      <c r="F990" s="14">
        <f>'extended_recharge_2003-2015'!F126</f>
        <v>6.1283640000000004</v>
      </c>
      <c r="G990" s="14">
        <f>'extended_recharge_2003-2015'!G126</f>
        <v>-11.829907</v>
      </c>
      <c r="H990" s="14">
        <f>'extended_recharge_2003-2015'!H126</f>
        <v>11.644066</v>
      </c>
      <c r="I990" s="14">
        <f>'extended_recharge_2003-2015'!I126</f>
        <v>37.581000000000003</v>
      </c>
      <c r="J990" s="14">
        <f>'extended_recharge_2003-2015'!J126</f>
        <v>7.654941</v>
      </c>
      <c r="K990" s="14">
        <f>'extended_recharge_2003-2015'!K126</f>
        <v>-1.2123984000000001</v>
      </c>
      <c r="L990" s="14">
        <f>'extended_recharge_2003-2015'!L126</f>
        <v>1.8711684</v>
      </c>
      <c r="M990" s="14">
        <f>'extended_recharge_2003-2015'!M126</f>
        <v>-0.68583804000000004</v>
      </c>
      <c r="N990" s="14">
        <f>'extended_recharge_2003-2015'!N126</f>
        <v>30.467442999999999</v>
      </c>
      <c r="O990" s="14">
        <f>'extended_recharge_2003-2015'!O126</f>
        <v>20.550858000000002</v>
      </c>
      <c r="P990" s="14">
        <f>'extended_recharge_2003-2015'!P126</f>
        <v>15.834975</v>
      </c>
      <c r="Q990" s="14">
        <f>'extended_recharge_2003-2015'!Q126</f>
        <v>2.9783080000000002</v>
      </c>
      <c r="R990" s="14">
        <f>'extended_recharge_2003-2015'!R126</f>
        <v>15.7003</v>
      </c>
      <c r="S990" s="14">
        <f>'extended_recharge_2003-2015'!S126</f>
        <v>-11.041370000000001</v>
      </c>
      <c r="T990" s="14">
        <f>'extended_recharge_2003-2015'!T126</f>
        <v>19.370943</v>
      </c>
      <c r="U990" s="14">
        <f>'extended_recharge_2003-2015'!U126</f>
        <v>9.1572220000000009</v>
      </c>
      <c r="V990" s="15">
        <f>'extended_recharge_2003-2015'!V126</f>
        <v>19.440021999999999</v>
      </c>
      <c r="W990" s="16">
        <f>'extended_recharge_2003-2015'!W126</f>
        <v>-2.4928827000000001E-2</v>
      </c>
      <c r="X990" s="16">
        <f>'extended_recharge_2003-2015'!X126</f>
        <v>5.7592809999999997</v>
      </c>
      <c r="Y990" s="16">
        <f>'extended_recharge_2003-2015'!Y126</f>
        <v>16.256668000000001</v>
      </c>
      <c r="Z990" s="16">
        <f>'extended_recharge_2003-2015'!Z126</f>
        <v>2.3412820999999999</v>
      </c>
      <c r="AA990" s="16">
        <f>'extended_recharge_2003-2015'!AA126</f>
        <v>3.3113928000000001</v>
      </c>
      <c r="AB990" s="16">
        <f>'extended_recharge_2003-2015'!AB126</f>
        <v>1.8873991999999999</v>
      </c>
      <c r="AC990" s="16">
        <f>'extended_recharge_2003-2015'!AC126</f>
        <v>4.5491675999999996</v>
      </c>
      <c r="AD990" s="16">
        <f>'extended_recharge_2003-2015'!AD126</f>
        <v>2.1206124000000002</v>
      </c>
      <c r="AE990" s="16">
        <f>'extended_recharge_2003-2015'!AE126</f>
        <v>20.986381999999999</v>
      </c>
      <c r="AF990" s="16">
        <f>'extended_recharge_2003-2015'!AF126</f>
        <v>66.903180000000006</v>
      </c>
      <c r="AG990" s="16">
        <f>'extended_recharge_2003-2015'!AG126</f>
        <v>10.230556</v>
      </c>
    </row>
    <row r="991" spans="1:33" x14ac:dyDescent="0.2">
      <c r="A991" s="3">
        <v>38077</v>
      </c>
      <c r="B991" s="14">
        <f>'extended_recharge_2003-2015'!B127</f>
        <v>0.52750300000000006</v>
      </c>
      <c r="C991" s="14">
        <f>'extended_recharge_2003-2015'!C127</f>
        <v>21.323226999999999</v>
      </c>
      <c r="D991" s="14">
        <f>'extended_recharge_2003-2015'!D127</f>
        <v>-6.6888385000000001</v>
      </c>
      <c r="E991" s="14">
        <f>'extended_recharge_2003-2015'!E127</f>
        <v>-27.566749999999999</v>
      </c>
      <c r="F991" s="14">
        <f>'extended_recharge_2003-2015'!F127</f>
        <v>0.21121762999999999</v>
      </c>
      <c r="G991" s="14">
        <f>'extended_recharge_2003-2015'!G127</f>
        <v>-10.3750105</v>
      </c>
      <c r="H991" s="14">
        <f>'extended_recharge_2003-2015'!H127</f>
        <v>13.491072000000001</v>
      </c>
      <c r="I991" s="14">
        <f>'extended_recharge_2003-2015'!I127</f>
        <v>38.357379999999999</v>
      </c>
      <c r="J991" s="14">
        <f>'extended_recharge_2003-2015'!J127</f>
        <v>8.2716019999999997</v>
      </c>
      <c r="K991" s="14">
        <f>'extended_recharge_2003-2015'!K127</f>
        <v>7.6414970000000002</v>
      </c>
      <c r="L991" s="14">
        <f>'extended_recharge_2003-2015'!L127</f>
        <v>6.4518319999999996</v>
      </c>
      <c r="M991" s="14">
        <f>'extended_recharge_2003-2015'!M127</f>
        <v>5.2390299999999996</v>
      </c>
      <c r="N991" s="14">
        <f>'extended_recharge_2003-2015'!N127</f>
        <v>32.600932999999998</v>
      </c>
      <c r="O991" s="14">
        <f>'extended_recharge_2003-2015'!O127</f>
        <v>14.41661</v>
      </c>
      <c r="P991" s="14">
        <f>'extended_recharge_2003-2015'!P127</f>
        <v>51.766277000000002</v>
      </c>
      <c r="Q991" s="14">
        <f>'extended_recharge_2003-2015'!Q127</f>
        <v>3.9241128000000001</v>
      </c>
      <c r="R991" s="14">
        <f>'extended_recharge_2003-2015'!R127</f>
        <v>14.822520000000001</v>
      </c>
      <c r="S991" s="14">
        <f>'extended_recharge_2003-2015'!S127</f>
        <v>-2.9277232</v>
      </c>
      <c r="T991" s="14">
        <f>'extended_recharge_2003-2015'!T127</f>
        <v>14.881299</v>
      </c>
      <c r="U991" s="14">
        <f>'extended_recharge_2003-2015'!U127</f>
        <v>9.6376439999999999</v>
      </c>
      <c r="V991" s="15">
        <f>'extended_recharge_2003-2015'!V127</f>
        <v>21.906459999999999</v>
      </c>
      <c r="W991" s="16">
        <f>'extended_recharge_2003-2015'!W127</f>
        <v>0.21657879999999999</v>
      </c>
      <c r="X991" s="16">
        <f>'extended_recharge_2003-2015'!X127</f>
        <v>5.7690882999999999</v>
      </c>
      <c r="Y991" s="16">
        <f>'extended_recharge_2003-2015'!Y127</f>
        <v>16.427351000000002</v>
      </c>
      <c r="Z991" s="16">
        <f>'extended_recharge_2003-2015'!Z127</f>
        <v>1.6092287000000001</v>
      </c>
      <c r="AA991" s="16">
        <f>'extended_recharge_2003-2015'!AA127</f>
        <v>3.7750599999999999</v>
      </c>
      <c r="AB991" s="16">
        <f>'extended_recharge_2003-2015'!AB127</f>
        <v>1.5831983999999999</v>
      </c>
      <c r="AC991" s="16">
        <f>'extended_recharge_2003-2015'!AC127</f>
        <v>3.3864130000000001</v>
      </c>
      <c r="AD991" s="16">
        <f>'extended_recharge_2003-2015'!AD127</f>
        <v>3.4758089999999999</v>
      </c>
      <c r="AE991" s="16">
        <f>'extended_recharge_2003-2015'!AE127</f>
        <v>11.152900000000001</v>
      </c>
      <c r="AF991" s="16">
        <f>'extended_recharge_2003-2015'!AF127</f>
        <v>73.212969999999999</v>
      </c>
      <c r="AG991" s="16">
        <f>'extended_recharge_2003-2015'!AG127</f>
        <v>10.967705</v>
      </c>
    </row>
    <row r="992" spans="1:33" x14ac:dyDescent="0.2">
      <c r="A992" s="3">
        <v>38107</v>
      </c>
      <c r="B992" s="14">
        <f>'extended_recharge_2003-2015'!B128</f>
        <v>3.1096374999999998</v>
      </c>
      <c r="C992" s="14">
        <f>'extended_recharge_2003-2015'!C128</f>
        <v>23.665929999999999</v>
      </c>
      <c r="D992" s="14">
        <f>'extended_recharge_2003-2015'!D128</f>
        <v>8.7445350000000005E-2</v>
      </c>
      <c r="E992" s="14">
        <f>'extended_recharge_2003-2015'!E128</f>
        <v>8.9544060000000005</v>
      </c>
      <c r="F992" s="14">
        <f>'extended_recharge_2003-2015'!F128</f>
        <v>20.100529999999999</v>
      </c>
      <c r="G992" s="14">
        <f>'extended_recharge_2003-2015'!G128</f>
        <v>1.9513419000000001</v>
      </c>
      <c r="H992" s="14">
        <f>'extended_recharge_2003-2015'!H128</f>
        <v>15.09849</v>
      </c>
      <c r="I992" s="14">
        <f>'extended_recharge_2003-2015'!I128</f>
        <v>45.460116999999997</v>
      </c>
      <c r="J992" s="14">
        <f>'extended_recharge_2003-2015'!J128</f>
        <v>4.8020186000000002</v>
      </c>
      <c r="K992" s="14">
        <f>'extended_recharge_2003-2015'!K128</f>
        <v>3.9308991</v>
      </c>
      <c r="L992" s="14">
        <f>'extended_recharge_2003-2015'!L128</f>
        <v>8.4530410000000007</v>
      </c>
      <c r="M992" s="14">
        <f>'extended_recharge_2003-2015'!M128</f>
        <v>6.8393660000000001</v>
      </c>
      <c r="N992" s="14">
        <f>'extended_recharge_2003-2015'!N128</f>
        <v>29.791436999999998</v>
      </c>
      <c r="O992" s="14">
        <f>'extended_recharge_2003-2015'!O128</f>
        <v>19.763071</v>
      </c>
      <c r="P992" s="14">
        <f>'extended_recharge_2003-2015'!P128</f>
        <v>47.627173999999997</v>
      </c>
      <c r="Q992" s="14">
        <f>'extended_recharge_2003-2015'!Q128</f>
        <v>3.4075457999999998</v>
      </c>
      <c r="R992" s="14">
        <f>'extended_recharge_2003-2015'!R128</f>
        <v>17.017813</v>
      </c>
      <c r="S992" s="14">
        <f>'extended_recharge_2003-2015'!S128</f>
        <v>4.0415134000000004</v>
      </c>
      <c r="T992" s="14">
        <f>'extended_recharge_2003-2015'!T128</f>
        <v>21.335491000000001</v>
      </c>
      <c r="U992" s="14">
        <f>'extended_recharge_2003-2015'!U128</f>
        <v>11.647738</v>
      </c>
      <c r="V992" s="15">
        <f>'extended_recharge_2003-2015'!V128</f>
        <v>21.366479999999999</v>
      </c>
      <c r="W992" s="16">
        <f>'extended_recharge_2003-2015'!W128</f>
        <v>0.73969775000000004</v>
      </c>
      <c r="X992" s="16">
        <f>'extended_recharge_2003-2015'!X128</f>
        <v>6.8970203000000003</v>
      </c>
      <c r="Y992" s="16">
        <f>'extended_recharge_2003-2015'!Y128</f>
        <v>18.407779999999999</v>
      </c>
      <c r="Z992" s="16">
        <f>'extended_recharge_2003-2015'!Z128</f>
        <v>1.0473104</v>
      </c>
      <c r="AA992" s="16">
        <f>'extended_recharge_2003-2015'!AA128</f>
        <v>4.1598386999999999</v>
      </c>
      <c r="AB992" s="16">
        <f>'extended_recharge_2003-2015'!AB128</f>
        <v>0.89538260000000003</v>
      </c>
      <c r="AC992" s="16">
        <f>'extended_recharge_2003-2015'!AC128</f>
        <v>2.5851698000000001</v>
      </c>
      <c r="AD992" s="16">
        <f>'extended_recharge_2003-2015'!AD128</f>
        <v>4.1821637000000003</v>
      </c>
      <c r="AE992" s="16">
        <f>'extended_recharge_2003-2015'!AE128</f>
        <v>7.2633229999999998</v>
      </c>
      <c r="AF992" s="16">
        <f>'extended_recharge_2003-2015'!AF128</f>
        <v>91.888885000000002</v>
      </c>
      <c r="AG992" s="16">
        <f>'extended_recharge_2003-2015'!AG128</f>
        <v>14.486623</v>
      </c>
    </row>
    <row r="993" spans="1:33" x14ac:dyDescent="0.2">
      <c r="A993" s="3">
        <v>38138</v>
      </c>
      <c r="B993" s="14">
        <f>'extended_recharge_2003-2015'!B129</f>
        <v>6.5686564000000001</v>
      </c>
      <c r="C993" s="14">
        <f>'extended_recharge_2003-2015'!C129</f>
        <v>25.347760999999998</v>
      </c>
      <c r="D993" s="14">
        <f>'extended_recharge_2003-2015'!D129</f>
        <v>-0.11472826999999999</v>
      </c>
      <c r="E993" s="14">
        <f>'extended_recharge_2003-2015'!E129</f>
        <v>4.3350109999999997</v>
      </c>
      <c r="F993" s="14">
        <f>'extended_recharge_2003-2015'!F129</f>
        <v>15.387978</v>
      </c>
      <c r="G993" s="14">
        <f>'extended_recharge_2003-2015'!G129</f>
        <v>11.963944</v>
      </c>
      <c r="H993" s="14">
        <f>'extended_recharge_2003-2015'!H129</f>
        <v>18.020244999999999</v>
      </c>
      <c r="I993" s="14">
        <f>'extended_recharge_2003-2015'!I129</f>
        <v>43.54448</v>
      </c>
      <c r="J993" s="14">
        <f>'extended_recharge_2003-2015'!J129</f>
        <v>2.4442210000000002</v>
      </c>
      <c r="K993" s="14">
        <f>'extended_recharge_2003-2015'!K129</f>
        <v>12.153316</v>
      </c>
      <c r="L993" s="14">
        <f>'extended_recharge_2003-2015'!L129</f>
        <v>2.5720534000000002</v>
      </c>
      <c r="M993" s="14">
        <f>'extended_recharge_2003-2015'!M129</f>
        <v>3.7902912999999998</v>
      </c>
      <c r="N993" s="14">
        <f>'extended_recharge_2003-2015'!N129</f>
        <v>33.702601999999999</v>
      </c>
      <c r="O993" s="14">
        <f>'extended_recharge_2003-2015'!O129</f>
        <v>21.098199999999999</v>
      </c>
      <c r="P993" s="14">
        <f>'extended_recharge_2003-2015'!P129</f>
        <v>50.975174000000003</v>
      </c>
      <c r="Q993" s="14">
        <f>'extended_recharge_2003-2015'!Q129</f>
        <v>2.0841845999999999</v>
      </c>
      <c r="R993" s="14">
        <f>'extended_recharge_2003-2015'!R129</f>
        <v>16.363028</v>
      </c>
      <c r="S993" s="14">
        <f>'extended_recharge_2003-2015'!S129</f>
        <v>10.5577345</v>
      </c>
      <c r="T993" s="14">
        <f>'extended_recharge_2003-2015'!T129</f>
        <v>24.746904000000001</v>
      </c>
      <c r="U993" s="14">
        <f>'extended_recharge_2003-2015'!U129</f>
        <v>21.782715</v>
      </c>
      <c r="V993" s="15">
        <f>'extended_recharge_2003-2015'!V129</f>
        <v>31.200763999999999</v>
      </c>
      <c r="W993" s="16">
        <f>'extended_recharge_2003-2015'!W129</f>
        <v>4.8096389999999998</v>
      </c>
      <c r="X993" s="16">
        <f>'extended_recharge_2003-2015'!X129</f>
        <v>7.1879844999999998</v>
      </c>
      <c r="Y993" s="16">
        <f>'extended_recharge_2003-2015'!Y129</f>
        <v>19.113049</v>
      </c>
      <c r="Z993" s="16">
        <f>'extended_recharge_2003-2015'!Z129</f>
        <v>1.6690552000000001</v>
      </c>
      <c r="AA993" s="16">
        <f>'extended_recharge_2003-2015'!AA129</f>
        <v>4.5366770000000001</v>
      </c>
      <c r="AB993" s="16">
        <f>'extended_recharge_2003-2015'!AB129</f>
        <v>1.5551893000000001</v>
      </c>
      <c r="AC993" s="16">
        <f>'extended_recharge_2003-2015'!AC129</f>
        <v>2.3180184000000001</v>
      </c>
      <c r="AD993" s="16">
        <f>'extended_recharge_2003-2015'!AD129</f>
        <v>6.9233669999999998</v>
      </c>
      <c r="AE993" s="16">
        <f>'extended_recharge_2003-2015'!AE129</f>
        <v>1.344187</v>
      </c>
      <c r="AF993" s="16">
        <f>'extended_recharge_2003-2015'!AF129</f>
        <v>98.092070000000007</v>
      </c>
      <c r="AG993" s="16">
        <f>'extended_recharge_2003-2015'!AG129</f>
        <v>17.88749</v>
      </c>
    </row>
    <row r="994" spans="1:33" x14ac:dyDescent="0.2">
      <c r="A994" s="3">
        <v>38168</v>
      </c>
      <c r="B994" s="14">
        <f>'extended_recharge_2003-2015'!B130</f>
        <v>5.2082113999999997</v>
      </c>
      <c r="C994" s="14">
        <f>'extended_recharge_2003-2015'!C130</f>
        <v>24.743265000000001</v>
      </c>
      <c r="D994" s="14">
        <f>'extended_recharge_2003-2015'!D130</f>
        <v>-0.80029136000000001</v>
      </c>
      <c r="E994" s="14">
        <f>'extended_recharge_2003-2015'!E130</f>
        <v>-7.6235556999999998</v>
      </c>
      <c r="F994" s="14">
        <f>'extended_recharge_2003-2015'!F130</f>
        <v>14.869517999999999</v>
      </c>
      <c r="G994" s="14">
        <f>'extended_recharge_2003-2015'!G130</f>
        <v>18.798266999999999</v>
      </c>
      <c r="H994" s="14">
        <f>'extended_recharge_2003-2015'!H130</f>
        <v>16.989737999999999</v>
      </c>
      <c r="I994" s="14">
        <f>'extended_recharge_2003-2015'!I130</f>
        <v>44.917343000000002</v>
      </c>
      <c r="J994" s="14">
        <f>'extended_recharge_2003-2015'!J130</f>
        <v>-0.68838160000000004</v>
      </c>
      <c r="K994" s="14">
        <f>'extended_recharge_2003-2015'!K130</f>
        <v>12.108568999999999</v>
      </c>
      <c r="L994" s="14">
        <f>'extended_recharge_2003-2015'!L130</f>
        <v>10.376429999999999</v>
      </c>
      <c r="M994" s="14">
        <f>'extended_recharge_2003-2015'!M130</f>
        <v>7.4984219999999997</v>
      </c>
      <c r="N994" s="14">
        <f>'extended_recharge_2003-2015'!N130</f>
        <v>36.441800000000001</v>
      </c>
      <c r="O994" s="14">
        <f>'extended_recharge_2003-2015'!O130</f>
        <v>27.104320000000001</v>
      </c>
      <c r="P994" s="14">
        <f>'extended_recharge_2003-2015'!P130</f>
        <v>69.637140000000002</v>
      </c>
      <c r="Q994" s="14">
        <f>'extended_recharge_2003-2015'!Q130</f>
        <v>6.3284649999999996</v>
      </c>
      <c r="R994" s="14">
        <f>'extended_recharge_2003-2015'!R130</f>
        <v>19.543858</v>
      </c>
      <c r="S994" s="14">
        <f>'extended_recharge_2003-2015'!S130</f>
        <v>11.764357</v>
      </c>
      <c r="T994" s="14">
        <f>'extended_recharge_2003-2015'!T130</f>
        <v>47.437767000000001</v>
      </c>
      <c r="U994" s="14">
        <f>'extended_recharge_2003-2015'!U130</f>
        <v>20.801960000000001</v>
      </c>
      <c r="V994" s="15">
        <f>'extended_recharge_2003-2015'!V130</f>
        <v>49.973824</v>
      </c>
      <c r="W994" s="16">
        <f>'extended_recharge_2003-2015'!W130</f>
        <v>18.478214000000001</v>
      </c>
      <c r="X994" s="16">
        <f>'extended_recharge_2003-2015'!X130</f>
        <v>5.3147406999999998</v>
      </c>
      <c r="Y994" s="16">
        <f>'extended_recharge_2003-2015'!Y130</f>
        <v>22.323505000000001</v>
      </c>
      <c r="Z994" s="16">
        <f>'extended_recharge_2003-2015'!Z130</f>
        <v>1.0556812</v>
      </c>
      <c r="AA994" s="16">
        <f>'extended_recharge_2003-2015'!AA130</f>
        <v>3.2210589999999999</v>
      </c>
      <c r="AB994" s="16">
        <f>'extended_recharge_2003-2015'!AB130</f>
        <v>1.9235758999999999</v>
      </c>
      <c r="AC994" s="16">
        <f>'extended_recharge_2003-2015'!AC130</f>
        <v>0.94870549999999998</v>
      </c>
      <c r="AD994" s="16">
        <f>'extended_recharge_2003-2015'!AD130</f>
        <v>9.8648849999999992</v>
      </c>
      <c r="AE994" s="16">
        <f>'extended_recharge_2003-2015'!AE130</f>
        <v>-0.66813016000000003</v>
      </c>
      <c r="AF994" s="16">
        <f>'extended_recharge_2003-2015'!AF130</f>
        <v>108.5487</v>
      </c>
      <c r="AG994" s="16">
        <f>'extended_recharge_2003-2015'!AG130</f>
        <v>22.24146</v>
      </c>
    </row>
    <row r="995" spans="1:33" x14ac:dyDescent="0.2">
      <c r="A995" s="3">
        <v>38199</v>
      </c>
      <c r="B995" s="14">
        <f>'extended_recharge_2003-2015'!B131</f>
        <v>3.261625</v>
      </c>
      <c r="C995" s="14">
        <f>'extended_recharge_2003-2015'!C131</f>
        <v>23.809463999999998</v>
      </c>
      <c r="D995" s="14">
        <f>'extended_recharge_2003-2015'!D131</f>
        <v>-8.5273990000000008</v>
      </c>
      <c r="E995" s="14">
        <f>'extended_recharge_2003-2015'!E131</f>
        <v>-21.427900000000001</v>
      </c>
      <c r="F995" s="14">
        <f>'extended_recharge_2003-2015'!F131</f>
        <v>0.41884795000000002</v>
      </c>
      <c r="G995" s="14">
        <f>'extended_recharge_2003-2015'!G131</f>
        <v>-0.97263469999999996</v>
      </c>
      <c r="H995" s="14">
        <f>'extended_recharge_2003-2015'!H131</f>
        <v>14.709156</v>
      </c>
      <c r="I995" s="14">
        <f>'extended_recharge_2003-2015'!I131</f>
        <v>46.761740000000003</v>
      </c>
      <c r="J995" s="14">
        <f>'extended_recharge_2003-2015'!J131</f>
        <v>-11.745514</v>
      </c>
      <c r="K995" s="14">
        <f>'extended_recharge_2003-2015'!K131</f>
        <v>1.8162004</v>
      </c>
      <c r="L995" s="14">
        <f>'extended_recharge_2003-2015'!L131</f>
        <v>-1.1028126</v>
      </c>
      <c r="M995" s="14">
        <f>'extended_recharge_2003-2015'!M131</f>
        <v>-9.8533630000000004E-3</v>
      </c>
      <c r="N995" s="14">
        <f>'extended_recharge_2003-2015'!N131</f>
        <v>27.688289999999999</v>
      </c>
      <c r="O995" s="14">
        <f>'extended_recharge_2003-2015'!O131</f>
        <v>34.741554000000001</v>
      </c>
      <c r="P995" s="14">
        <f>'extended_recharge_2003-2015'!P131</f>
        <v>47.437049999999999</v>
      </c>
      <c r="Q995" s="14">
        <f>'extended_recharge_2003-2015'!Q131</f>
        <v>3.7750137000000001</v>
      </c>
      <c r="R995" s="14">
        <f>'extended_recharge_2003-2015'!R131</f>
        <v>17.015450000000001</v>
      </c>
      <c r="S995" s="14">
        <f>'extended_recharge_2003-2015'!S131</f>
        <v>-5.0145884000000001</v>
      </c>
      <c r="T995" s="14">
        <f>'extended_recharge_2003-2015'!T131</f>
        <v>36.215339999999998</v>
      </c>
      <c r="U995" s="14">
        <f>'extended_recharge_2003-2015'!U131</f>
        <v>19.954668000000002</v>
      </c>
      <c r="V995" s="15">
        <f>'extended_recharge_2003-2015'!V131</f>
        <v>49.651969999999999</v>
      </c>
      <c r="W995" s="16">
        <f>'extended_recharge_2003-2015'!W131</f>
        <v>27.659552000000001</v>
      </c>
      <c r="X995" s="16">
        <f>'extended_recharge_2003-2015'!X131</f>
        <v>6.1863999999999999</v>
      </c>
      <c r="Y995" s="16">
        <f>'extended_recharge_2003-2015'!Y131</f>
        <v>22.568280999999999</v>
      </c>
      <c r="Z995" s="16">
        <f>'extended_recharge_2003-2015'!Z131</f>
        <v>1.1161566000000001</v>
      </c>
      <c r="AA995" s="16">
        <f>'extended_recharge_2003-2015'!AA131</f>
        <v>2.2465660000000001</v>
      </c>
      <c r="AB995" s="16">
        <f>'extended_recharge_2003-2015'!AB131</f>
        <v>1.3440719000000001</v>
      </c>
      <c r="AC995" s="16">
        <f>'extended_recharge_2003-2015'!AC131</f>
        <v>1.9144413</v>
      </c>
      <c r="AD995" s="16">
        <f>'extended_recharge_2003-2015'!AD131</f>
        <v>9.3031330000000008</v>
      </c>
      <c r="AE995" s="16">
        <f>'extended_recharge_2003-2015'!AE131</f>
        <v>0.45277736000000002</v>
      </c>
      <c r="AF995" s="16">
        <f>'extended_recharge_2003-2015'!AF131</f>
        <v>121.072784</v>
      </c>
      <c r="AG995" s="16">
        <f>'extended_recharge_2003-2015'!AG131</f>
        <v>24.483167999999999</v>
      </c>
    </row>
    <row r="996" spans="1:33" x14ac:dyDescent="0.2">
      <c r="A996" s="3">
        <v>38230</v>
      </c>
      <c r="B996" s="14">
        <f>'extended_recharge_2003-2015'!B132</f>
        <v>1.6638485000000001</v>
      </c>
      <c r="C996" s="14">
        <f>'extended_recharge_2003-2015'!C132</f>
        <v>22.465582000000001</v>
      </c>
      <c r="D996" s="14">
        <f>'extended_recharge_2003-2015'!D132</f>
        <v>-3.6709391999999998</v>
      </c>
      <c r="E996" s="14">
        <f>'extended_recharge_2003-2015'!E132</f>
        <v>-11.624948</v>
      </c>
      <c r="F996" s="14">
        <f>'extended_recharge_2003-2015'!F132</f>
        <v>11.865385</v>
      </c>
      <c r="G996" s="14">
        <f>'extended_recharge_2003-2015'!G132</f>
        <v>9.2655169999999991</v>
      </c>
      <c r="H996" s="14">
        <f>'extended_recharge_2003-2015'!H132</f>
        <v>15.384886</v>
      </c>
      <c r="I996" s="14">
        <f>'extended_recharge_2003-2015'!I132</f>
        <v>43.776713999999998</v>
      </c>
      <c r="J996" s="14">
        <f>'extended_recharge_2003-2015'!J132</f>
        <v>-7.0664809999999996</v>
      </c>
      <c r="K996" s="14">
        <f>'extended_recharge_2003-2015'!K132</f>
        <v>8.8689529999999994</v>
      </c>
      <c r="L996" s="14">
        <f>'extended_recharge_2003-2015'!L132</f>
        <v>-12.558756000000001</v>
      </c>
      <c r="M996" s="14">
        <f>'extended_recharge_2003-2015'!M132</f>
        <v>1.267288</v>
      </c>
      <c r="N996" s="14">
        <f>'extended_recharge_2003-2015'!N132</f>
        <v>31.800429999999999</v>
      </c>
      <c r="O996" s="14">
        <f>'extended_recharge_2003-2015'!O132</f>
        <v>26.286529999999999</v>
      </c>
      <c r="P996" s="14">
        <f>'extended_recharge_2003-2015'!P132</f>
        <v>50.384450000000001</v>
      </c>
      <c r="Q996" s="14">
        <f>'extended_recharge_2003-2015'!Q132</f>
        <v>2.6178940000000002</v>
      </c>
      <c r="R996" s="14">
        <f>'extended_recharge_2003-2015'!R132</f>
        <v>17.612133</v>
      </c>
      <c r="S996" s="14">
        <f>'extended_recharge_2003-2015'!S132</f>
        <v>-4.680583E-2</v>
      </c>
      <c r="T996" s="14">
        <f>'extended_recharge_2003-2015'!T132</f>
        <v>26.614153000000002</v>
      </c>
      <c r="U996" s="14">
        <f>'extended_recharge_2003-2015'!U132</f>
        <v>19.006947</v>
      </c>
      <c r="V996" s="15">
        <f>'extended_recharge_2003-2015'!V132</f>
        <v>41.923879999999997</v>
      </c>
      <c r="W996" s="16">
        <f>'extended_recharge_2003-2015'!W132</f>
        <v>29.664308999999999</v>
      </c>
      <c r="X996" s="16">
        <f>'extended_recharge_2003-2015'!X132</f>
        <v>5.0413220000000001</v>
      </c>
      <c r="Y996" s="16">
        <f>'extended_recharge_2003-2015'!Y132</f>
        <v>23.480650000000001</v>
      </c>
      <c r="Z996" s="16">
        <f>'extended_recharge_2003-2015'!Z132</f>
        <v>2.2785030000000002</v>
      </c>
      <c r="AA996" s="16">
        <f>'extended_recharge_2003-2015'!AA132</f>
        <v>2.8099756</v>
      </c>
      <c r="AB996" s="16">
        <f>'extended_recharge_2003-2015'!AB132</f>
        <v>2.0717921000000001</v>
      </c>
      <c r="AC996" s="16">
        <f>'extended_recharge_2003-2015'!AC132</f>
        <v>2.4137572999999999</v>
      </c>
      <c r="AD996" s="16">
        <f>'extended_recharge_2003-2015'!AD132</f>
        <v>7.7490186999999997</v>
      </c>
      <c r="AE996" s="16">
        <f>'extended_recharge_2003-2015'!AE132</f>
        <v>0.35417910000000002</v>
      </c>
      <c r="AF996" s="16">
        <f>'extended_recharge_2003-2015'!AF132</f>
        <v>114.58620999999999</v>
      </c>
      <c r="AG996" s="16">
        <f>'extended_recharge_2003-2015'!AG132</f>
        <v>24.439412999999998</v>
      </c>
    </row>
    <row r="997" spans="1:33" x14ac:dyDescent="0.2">
      <c r="A997" s="3">
        <v>38260</v>
      </c>
      <c r="B997" s="14">
        <f>'extended_recharge_2003-2015'!B133</f>
        <v>2.1751966</v>
      </c>
      <c r="C997" s="14">
        <f>'extended_recharge_2003-2015'!C133</f>
        <v>24.899681000000001</v>
      </c>
      <c r="D997" s="14">
        <f>'extended_recharge_2003-2015'!D133</f>
        <v>7.1831680000000002</v>
      </c>
      <c r="E997" s="14">
        <f>'extended_recharge_2003-2015'!E133</f>
        <v>14.966663</v>
      </c>
      <c r="F997" s="14">
        <f>'extended_recharge_2003-2015'!F133</f>
        <v>17.893910999999999</v>
      </c>
      <c r="G997" s="14">
        <f>'extended_recharge_2003-2015'!G133</f>
        <v>38.626919999999998</v>
      </c>
      <c r="H997" s="14">
        <f>'extended_recharge_2003-2015'!H133</f>
        <v>20.860379999999999</v>
      </c>
      <c r="I997" s="14">
        <f>'extended_recharge_2003-2015'!I133</f>
        <v>46.004505000000002</v>
      </c>
      <c r="J997" s="14">
        <f>'extended_recharge_2003-2015'!J133</f>
        <v>9.6699970000000004</v>
      </c>
      <c r="K997" s="14">
        <f>'extended_recharge_2003-2015'!K133</f>
        <v>12.468014999999999</v>
      </c>
      <c r="L997" s="14">
        <f>'extended_recharge_2003-2015'!L133</f>
        <v>-6.9603719999999996</v>
      </c>
      <c r="M997" s="14">
        <f>'extended_recharge_2003-2015'!M133</f>
        <v>6.2883515000000001</v>
      </c>
      <c r="N997" s="14">
        <f>'extended_recharge_2003-2015'!N133</f>
        <v>40.493057</v>
      </c>
      <c r="O997" s="14">
        <f>'extended_recharge_2003-2015'!O133</f>
        <v>22.446525999999999</v>
      </c>
      <c r="P997" s="14">
        <f>'extended_recharge_2003-2015'!P133</f>
        <v>63.67747</v>
      </c>
      <c r="Q997" s="14">
        <f>'extended_recharge_2003-2015'!Q133</f>
        <v>4.8562830000000003</v>
      </c>
      <c r="R997" s="14">
        <f>'extended_recharge_2003-2015'!R133</f>
        <v>20.27815</v>
      </c>
      <c r="S997" s="14">
        <f>'extended_recharge_2003-2015'!S133</f>
        <v>13.582971000000001</v>
      </c>
      <c r="T997" s="14">
        <f>'extended_recharge_2003-2015'!T133</f>
        <v>23.900047000000001</v>
      </c>
      <c r="U997" s="14">
        <f>'extended_recharge_2003-2015'!U133</f>
        <v>13.8061495</v>
      </c>
      <c r="V997" s="15">
        <f>'extended_recharge_2003-2015'!V133</f>
        <v>20.788575999999999</v>
      </c>
      <c r="W997" s="16">
        <f>'extended_recharge_2003-2015'!W133</f>
        <v>26.216002</v>
      </c>
      <c r="X997" s="16">
        <f>'extended_recharge_2003-2015'!X133</f>
        <v>3.0281446000000001</v>
      </c>
      <c r="Y997" s="16">
        <f>'extended_recharge_2003-2015'!Y133</f>
        <v>21.704146999999999</v>
      </c>
      <c r="Z997" s="16">
        <f>'extended_recharge_2003-2015'!Z133</f>
        <v>4.6155439999999999</v>
      </c>
      <c r="AA997" s="16">
        <f>'extended_recharge_2003-2015'!AA133</f>
        <v>5.1361413000000002</v>
      </c>
      <c r="AB997" s="16">
        <f>'extended_recharge_2003-2015'!AB133</f>
        <v>1.2777447</v>
      </c>
      <c r="AC997" s="16">
        <f>'extended_recharge_2003-2015'!AC133</f>
        <v>4.524489</v>
      </c>
      <c r="AD997" s="16">
        <f>'extended_recharge_2003-2015'!AD133</f>
        <v>5.0020879999999996</v>
      </c>
      <c r="AE997" s="16">
        <f>'extended_recharge_2003-2015'!AE133</f>
        <v>5.134449</v>
      </c>
      <c r="AF997" s="16">
        <f>'extended_recharge_2003-2015'!AF133</f>
        <v>104.27246</v>
      </c>
      <c r="AG997" s="16">
        <f>'extended_recharge_2003-2015'!AG133</f>
        <v>20.134611</v>
      </c>
    </row>
    <row r="998" spans="1:33" x14ac:dyDescent="0.2">
      <c r="A998" s="3">
        <v>38291</v>
      </c>
      <c r="B998" s="14">
        <f>'extended_recharge_2003-2015'!B134</f>
        <v>1.0139472</v>
      </c>
      <c r="C998" s="14">
        <f>'extended_recharge_2003-2015'!C134</f>
        <v>23.821867000000001</v>
      </c>
      <c r="D998" s="14">
        <f>'extended_recharge_2003-2015'!D134</f>
        <v>2.9836763999999998</v>
      </c>
      <c r="E998" s="14">
        <f>'extended_recharge_2003-2015'!E134</f>
        <v>2.9570694</v>
      </c>
      <c r="F998" s="14">
        <f>'extended_recharge_2003-2015'!F134</f>
        <v>16.347173999999999</v>
      </c>
      <c r="G998" s="14">
        <f>'extended_recharge_2003-2015'!G134</f>
        <v>35.444249999999997</v>
      </c>
      <c r="H998" s="14">
        <f>'extended_recharge_2003-2015'!H134</f>
        <v>15.44577</v>
      </c>
      <c r="I998" s="14">
        <f>'extended_recharge_2003-2015'!I134</f>
        <v>44.972915999999998</v>
      </c>
      <c r="J998" s="14">
        <f>'extended_recharge_2003-2015'!J134</f>
        <v>16.211416</v>
      </c>
      <c r="K998" s="14">
        <f>'extended_recharge_2003-2015'!K134</f>
        <v>7.2552339999999997</v>
      </c>
      <c r="L998" s="14">
        <f>'extended_recharge_2003-2015'!L134</f>
        <v>0.70508590000000004</v>
      </c>
      <c r="M998" s="14">
        <f>'extended_recharge_2003-2015'!M134</f>
        <v>3.5855505000000001</v>
      </c>
      <c r="N998" s="14">
        <f>'extended_recharge_2003-2015'!N134</f>
        <v>35.869280000000003</v>
      </c>
      <c r="O998" s="14">
        <f>'extended_recharge_2003-2015'!O134</f>
        <v>20.971931000000001</v>
      </c>
      <c r="P998" s="14">
        <f>'extended_recharge_2003-2015'!P134</f>
        <v>56.005737000000003</v>
      </c>
      <c r="Q998" s="14">
        <f>'extended_recharge_2003-2015'!Q134</f>
        <v>5.3552479999999996</v>
      </c>
      <c r="R998" s="14">
        <f>'extended_recharge_2003-2015'!R134</f>
        <v>16.237524000000001</v>
      </c>
      <c r="S998" s="14">
        <f>'extended_recharge_2003-2015'!S134</f>
        <v>14.992594</v>
      </c>
      <c r="T998" s="14">
        <f>'extended_recharge_2003-2015'!T134</f>
        <v>14.736280000000001</v>
      </c>
      <c r="U998" s="14">
        <f>'extended_recharge_2003-2015'!U134</f>
        <v>12.022797000000001</v>
      </c>
      <c r="V998" s="15">
        <f>'extended_recharge_2003-2015'!V134</f>
        <v>18.758766000000001</v>
      </c>
      <c r="W998" s="16">
        <f>'extended_recharge_2003-2015'!W134</f>
        <v>21.299140000000001</v>
      </c>
      <c r="X998" s="16">
        <f>'extended_recharge_2003-2015'!X134</f>
        <v>4.2865970000000004</v>
      </c>
      <c r="Y998" s="16">
        <f>'extended_recharge_2003-2015'!Y134</f>
        <v>19.126975999999999</v>
      </c>
      <c r="Z998" s="16">
        <f>'extended_recharge_2003-2015'!Z134</f>
        <v>4.5125789999999997</v>
      </c>
      <c r="AA998" s="16">
        <f>'extended_recharge_2003-2015'!AA134</f>
        <v>6.381297</v>
      </c>
      <c r="AB998" s="16">
        <f>'extended_recharge_2003-2015'!AB134</f>
        <v>2.1427255000000001</v>
      </c>
      <c r="AC998" s="16">
        <f>'extended_recharge_2003-2015'!AC134</f>
        <v>4.4060740000000003</v>
      </c>
      <c r="AD998" s="16">
        <f>'extended_recharge_2003-2015'!AD134</f>
        <v>3.7259595000000001</v>
      </c>
      <c r="AE998" s="16">
        <f>'extended_recharge_2003-2015'!AE134</f>
        <v>8.9346239999999995</v>
      </c>
      <c r="AF998" s="16">
        <f>'extended_recharge_2003-2015'!AF134</f>
        <v>97.239879999999999</v>
      </c>
      <c r="AG998" s="16">
        <f>'extended_recharge_2003-2015'!AG134</f>
        <v>16.494029999999999</v>
      </c>
    </row>
    <row r="999" spans="1:33" x14ac:dyDescent="0.2">
      <c r="A999" s="3">
        <v>38321</v>
      </c>
      <c r="B999" s="14">
        <f>'extended_recharge_2003-2015'!B135</f>
        <v>-0.80234134000000001</v>
      </c>
      <c r="C999" s="14">
        <f>'extended_recharge_2003-2015'!C135</f>
        <v>23.591722000000001</v>
      </c>
      <c r="D999" s="14">
        <f>'extended_recharge_2003-2015'!D135</f>
        <v>3.5661100000000001</v>
      </c>
      <c r="E999" s="14">
        <f>'extended_recharge_2003-2015'!E135</f>
        <v>1.9642250000000001</v>
      </c>
      <c r="F999" s="14">
        <f>'extended_recharge_2003-2015'!F135</f>
        <v>12.653097000000001</v>
      </c>
      <c r="G999" s="14">
        <f>'extended_recharge_2003-2015'!G135</f>
        <v>30.815646999999998</v>
      </c>
      <c r="H999" s="14">
        <f>'extended_recharge_2003-2015'!H135</f>
        <v>14.487131</v>
      </c>
      <c r="I999" s="14">
        <f>'extended_recharge_2003-2015'!I135</f>
        <v>42.486213999999997</v>
      </c>
      <c r="J999" s="14">
        <f>'extended_recharge_2003-2015'!J135</f>
        <v>20.875982</v>
      </c>
      <c r="K999" s="14">
        <f>'extended_recharge_2003-2015'!K135</f>
        <v>-0.57318985</v>
      </c>
      <c r="L999" s="14">
        <f>'extended_recharge_2003-2015'!L135</f>
        <v>-1.8877489999999999</v>
      </c>
      <c r="M999" s="14">
        <f>'extended_recharge_2003-2015'!M135</f>
        <v>-1.1735669</v>
      </c>
      <c r="N999" s="14">
        <f>'extended_recharge_2003-2015'!N135</f>
        <v>33.449719999999999</v>
      </c>
      <c r="O999" s="14">
        <f>'extended_recharge_2003-2015'!O135</f>
        <v>22.289679</v>
      </c>
      <c r="P999" s="14">
        <f>'extended_recharge_2003-2015'!P135</f>
        <v>62.796100000000003</v>
      </c>
      <c r="Q999" s="14">
        <f>'extended_recharge_2003-2015'!Q135</f>
        <v>4.9058074999999999</v>
      </c>
      <c r="R999" s="14">
        <f>'extended_recharge_2003-2015'!R135</f>
        <v>18.84198</v>
      </c>
      <c r="S999" s="14">
        <f>'extended_recharge_2003-2015'!S135</f>
        <v>17.557210000000001</v>
      </c>
      <c r="T999" s="14">
        <f>'extended_recharge_2003-2015'!T135</f>
        <v>21.573248</v>
      </c>
      <c r="U999" s="14">
        <f>'extended_recharge_2003-2015'!U135</f>
        <v>10.905873</v>
      </c>
      <c r="V999" s="15">
        <f>'extended_recharge_2003-2015'!V135</f>
        <v>16.122502999999998</v>
      </c>
      <c r="W999" s="16">
        <f>'extended_recharge_2003-2015'!W135</f>
        <v>16.201767</v>
      </c>
      <c r="X999" s="16">
        <f>'extended_recharge_2003-2015'!X135</f>
        <v>4.4247800000000002</v>
      </c>
      <c r="Y999" s="16">
        <f>'extended_recharge_2003-2015'!Y135</f>
        <v>17.462975</v>
      </c>
      <c r="Z999" s="16">
        <f>'extended_recharge_2003-2015'!Z135</f>
        <v>5.326835</v>
      </c>
      <c r="AA999" s="16">
        <f>'extended_recharge_2003-2015'!AA135</f>
        <v>3.5701372999999998</v>
      </c>
      <c r="AB999" s="16">
        <f>'extended_recharge_2003-2015'!AB135</f>
        <v>2.1431431999999999</v>
      </c>
      <c r="AC999" s="16">
        <f>'extended_recharge_2003-2015'!AC135</f>
        <v>4.7809796000000002</v>
      </c>
      <c r="AD999" s="16">
        <f>'extended_recharge_2003-2015'!AD135</f>
        <v>2.5895355000000002</v>
      </c>
      <c r="AE999" s="16">
        <f>'extended_recharge_2003-2015'!AE135</f>
        <v>18.116710000000001</v>
      </c>
      <c r="AF999" s="16">
        <f>'extended_recharge_2003-2015'!AF135</f>
        <v>70.708399999999997</v>
      </c>
      <c r="AG999" s="16">
        <f>'extended_recharge_2003-2015'!AG135</f>
        <v>13.198380999999999</v>
      </c>
    </row>
    <row r="1000" spans="1:33" x14ac:dyDescent="0.2">
      <c r="A1000" s="3">
        <v>38352</v>
      </c>
      <c r="B1000" s="14">
        <f>'extended_recharge_2003-2015'!B136</f>
        <v>-1.4810243999999999</v>
      </c>
      <c r="C1000" s="14">
        <f>'extended_recharge_2003-2015'!C136</f>
        <v>23.704525</v>
      </c>
      <c r="D1000" s="14">
        <f>'extended_recharge_2003-2015'!D136</f>
        <v>7.7803389999999997</v>
      </c>
      <c r="E1000" s="14">
        <f>'extended_recharge_2003-2015'!E136</f>
        <v>-0.62842076999999996</v>
      </c>
      <c r="F1000" s="14">
        <f>'extended_recharge_2003-2015'!F136</f>
        <v>-2.7563303000000001</v>
      </c>
      <c r="G1000" s="14">
        <f>'extended_recharge_2003-2015'!G136</f>
        <v>26.670363999999999</v>
      </c>
      <c r="H1000" s="14">
        <f>'extended_recharge_2003-2015'!H136</f>
        <v>15.190405999999999</v>
      </c>
      <c r="I1000" s="14">
        <f>'extended_recharge_2003-2015'!I136</f>
        <v>40.759734999999999</v>
      </c>
      <c r="J1000" s="14">
        <f>'extended_recharge_2003-2015'!J136</f>
        <v>26.570381000000001</v>
      </c>
      <c r="K1000" s="14">
        <f>'extended_recharge_2003-2015'!K136</f>
        <v>10.224807999999999</v>
      </c>
      <c r="L1000" s="14">
        <f>'extended_recharge_2003-2015'!L136</f>
        <v>-4.8380830000000001</v>
      </c>
      <c r="M1000" s="14">
        <f>'extended_recharge_2003-2015'!M136</f>
        <v>-0.30654988</v>
      </c>
      <c r="N1000" s="14">
        <f>'extended_recharge_2003-2015'!N136</f>
        <v>33.022106000000001</v>
      </c>
      <c r="O1000" s="14">
        <f>'extended_recharge_2003-2015'!O136</f>
        <v>19.928485999999999</v>
      </c>
      <c r="P1000" s="14">
        <f>'extended_recharge_2003-2015'!P136</f>
        <v>32.748455</v>
      </c>
      <c r="Q1000" s="14">
        <f>'extended_recharge_2003-2015'!Q136</f>
        <v>2.9387249999999998</v>
      </c>
      <c r="R1000" s="14">
        <f>'extended_recharge_2003-2015'!R136</f>
        <v>19.616377</v>
      </c>
      <c r="S1000" s="14">
        <f>'extended_recharge_2003-2015'!S136</f>
        <v>21.122532</v>
      </c>
      <c r="T1000" s="14">
        <f>'extended_recharge_2003-2015'!T136</f>
        <v>18.518094999999999</v>
      </c>
      <c r="U1000" s="14">
        <f>'extended_recharge_2003-2015'!U136</f>
        <v>7.8651410000000004</v>
      </c>
      <c r="V1000" s="15">
        <f>'extended_recharge_2003-2015'!V136</f>
        <v>18.768211000000001</v>
      </c>
      <c r="W1000" s="16">
        <f>'extended_recharge_2003-2015'!W136</f>
        <v>10.991466000000001</v>
      </c>
      <c r="X1000" s="16">
        <f>'extended_recharge_2003-2015'!X136</f>
        <v>4.5767182999999996</v>
      </c>
      <c r="Y1000" s="16">
        <f>'extended_recharge_2003-2015'!Y136</f>
        <v>15.24268</v>
      </c>
      <c r="Z1000" s="16">
        <f>'extended_recharge_2003-2015'!Z136</f>
        <v>4.4259576999999997</v>
      </c>
      <c r="AA1000" s="16">
        <f>'extended_recharge_2003-2015'!AA136</f>
        <v>3.1666333999999998</v>
      </c>
      <c r="AB1000" s="16">
        <f>'extended_recharge_2003-2015'!AB136</f>
        <v>1.8852450000000001</v>
      </c>
      <c r="AC1000" s="16">
        <f>'extended_recharge_2003-2015'!AC136</f>
        <v>3.9609966000000001</v>
      </c>
      <c r="AD1000" s="16">
        <f>'extended_recharge_2003-2015'!AD136</f>
        <v>2.2879858</v>
      </c>
      <c r="AE1000" s="16">
        <f>'extended_recharge_2003-2015'!AE136</f>
        <v>27.796854</v>
      </c>
      <c r="AF1000" s="16">
        <f>'extended_recharge_2003-2015'!AF136</f>
        <v>62.417828</v>
      </c>
      <c r="AG1000" s="16">
        <f>'extended_recharge_2003-2015'!AG136</f>
        <v>11.187761999999999</v>
      </c>
    </row>
    <row r="1001" spans="1:33" x14ac:dyDescent="0.2">
      <c r="A1001" s="3">
        <v>38383</v>
      </c>
      <c r="B1001" s="14">
        <f>'extended_recharge_2003-2015'!B137</f>
        <v>-1.6852324000000001</v>
      </c>
      <c r="C1001" s="14">
        <f>'extended_recharge_2003-2015'!C137</f>
        <v>22.929022</v>
      </c>
      <c r="D1001" s="14">
        <f>'extended_recharge_2003-2015'!D137</f>
        <v>4.7107805999999997</v>
      </c>
      <c r="E1001" s="14">
        <f>'extended_recharge_2003-2015'!E137</f>
        <v>0.44960892000000002</v>
      </c>
      <c r="F1001" s="14">
        <f>'extended_recharge_2003-2015'!F137</f>
        <v>2.5660479999999999</v>
      </c>
      <c r="G1001" s="14">
        <f>'extended_recharge_2003-2015'!G137</f>
        <v>18.582037</v>
      </c>
      <c r="H1001" s="14">
        <f>'extended_recharge_2003-2015'!H137</f>
        <v>15.499345</v>
      </c>
      <c r="I1001" s="14">
        <f>'extended_recharge_2003-2015'!I137</f>
        <v>38.457479999999997</v>
      </c>
      <c r="J1001" s="14">
        <f>'extended_recharge_2003-2015'!J137</f>
        <v>18.014849000000002</v>
      </c>
      <c r="K1001" s="14">
        <f>'extended_recharge_2003-2015'!K137</f>
        <v>5.0510250000000001</v>
      </c>
      <c r="L1001" s="14">
        <f>'extended_recharge_2003-2015'!L137</f>
        <v>-6.4891779999999999</v>
      </c>
      <c r="M1001" s="14">
        <f>'extended_recharge_2003-2015'!M137</f>
        <v>-0.59791844999999999</v>
      </c>
      <c r="N1001" s="14">
        <f>'extended_recharge_2003-2015'!N137</f>
        <v>26.952363999999999</v>
      </c>
      <c r="O1001" s="14">
        <f>'extended_recharge_2003-2015'!O137</f>
        <v>21.848690000000001</v>
      </c>
      <c r="P1001" s="14">
        <f>'extended_recharge_2003-2015'!P137</f>
        <v>79.476264999999998</v>
      </c>
      <c r="Q1001" s="14">
        <f>'extended_recharge_2003-2015'!Q137</f>
        <v>3.8995058999999999</v>
      </c>
      <c r="R1001" s="14">
        <f>'extended_recharge_2003-2015'!R137</f>
        <v>15.290794999999999</v>
      </c>
      <c r="S1001" s="14">
        <f>'extended_recharge_2003-2015'!S137</f>
        <v>9.0058399999999992</v>
      </c>
      <c r="T1001" s="14">
        <f>'extended_recharge_2003-2015'!T137</f>
        <v>28.834454999999998</v>
      </c>
      <c r="U1001" s="14">
        <f>'extended_recharge_2003-2015'!U137</f>
        <v>7.0489807000000004</v>
      </c>
      <c r="V1001" s="15">
        <f>'extended_recharge_2003-2015'!V137</f>
        <v>19.428636999999998</v>
      </c>
      <c r="W1001" s="16">
        <f>'extended_recharge_2003-2015'!W137</f>
        <v>4.8030059999999999</v>
      </c>
      <c r="X1001" s="16">
        <f>'extended_recharge_2003-2015'!X137</f>
        <v>5.3123665000000004</v>
      </c>
      <c r="Y1001" s="16">
        <f>'extended_recharge_2003-2015'!Y137</f>
        <v>15.135465999999999</v>
      </c>
      <c r="Z1001" s="16">
        <f>'extended_recharge_2003-2015'!Z137</f>
        <v>5.0366419999999996</v>
      </c>
      <c r="AA1001" s="16">
        <f>'extended_recharge_2003-2015'!AA137</f>
        <v>4.874174</v>
      </c>
      <c r="AB1001" s="16">
        <f>'extended_recharge_2003-2015'!AB137</f>
        <v>2.3903281999999999</v>
      </c>
      <c r="AC1001" s="16">
        <f>'extended_recharge_2003-2015'!AC137</f>
        <v>5.0195403000000001</v>
      </c>
      <c r="AD1001" s="16">
        <f>'extended_recharge_2003-2015'!AD137</f>
        <v>1.8792104999999999</v>
      </c>
      <c r="AE1001" s="16">
        <f>'extended_recharge_2003-2015'!AE137</f>
        <v>23.708545999999998</v>
      </c>
      <c r="AF1001" s="16">
        <f>'extended_recharge_2003-2015'!AF137</f>
        <v>72.563239999999993</v>
      </c>
      <c r="AG1001" s="16">
        <f>'extended_recharge_2003-2015'!AG137</f>
        <v>9.9994139999999998</v>
      </c>
    </row>
    <row r="1002" spans="1:33" x14ac:dyDescent="0.2">
      <c r="A1002" s="3">
        <v>38411</v>
      </c>
      <c r="B1002" s="14">
        <f>'extended_recharge_2003-2015'!B138</f>
        <v>-1.3721836999999999</v>
      </c>
      <c r="C1002" s="14">
        <f>'extended_recharge_2003-2015'!C138</f>
        <v>19.896090000000001</v>
      </c>
      <c r="D1002" s="14">
        <f>'extended_recharge_2003-2015'!D138</f>
        <v>-7.1734520000000002</v>
      </c>
      <c r="E1002" s="14">
        <f>'extended_recharge_2003-2015'!E138</f>
        <v>-22.598382999999998</v>
      </c>
      <c r="F1002" s="14">
        <f>'extended_recharge_2003-2015'!F138</f>
        <v>-10.687858</v>
      </c>
      <c r="G1002" s="14">
        <f>'extended_recharge_2003-2015'!G138</f>
        <v>-10.685072999999999</v>
      </c>
      <c r="H1002" s="14">
        <f>'extended_recharge_2003-2015'!H138</f>
        <v>11.711446</v>
      </c>
      <c r="I1002" s="14">
        <f>'extended_recharge_2003-2015'!I138</f>
        <v>34.3628</v>
      </c>
      <c r="J1002" s="14">
        <f>'extended_recharge_2003-2015'!J138</f>
        <v>5.2107295999999996</v>
      </c>
      <c r="K1002" s="14">
        <f>'extended_recharge_2003-2015'!K138</f>
        <v>-2.7908119999999998</v>
      </c>
      <c r="L1002" s="14">
        <f>'extended_recharge_2003-2015'!L138</f>
        <v>-4.5770884000000001</v>
      </c>
      <c r="M1002" s="14">
        <f>'extended_recharge_2003-2015'!M138</f>
        <v>-3.8554162999999999</v>
      </c>
      <c r="N1002" s="14">
        <f>'extended_recharge_2003-2015'!N138</f>
        <v>21.677954</v>
      </c>
      <c r="O1002" s="14">
        <f>'extended_recharge_2003-2015'!O138</f>
        <v>21.573917000000002</v>
      </c>
      <c r="P1002" s="14">
        <f>'extended_recharge_2003-2015'!P138</f>
        <v>39.34825</v>
      </c>
      <c r="Q1002" s="14">
        <f>'extended_recharge_2003-2015'!Q138</f>
        <v>1.6791604</v>
      </c>
      <c r="R1002" s="14">
        <f>'extended_recharge_2003-2015'!R138</f>
        <v>15.088613</v>
      </c>
      <c r="S1002" s="14">
        <f>'extended_recharge_2003-2015'!S138</f>
        <v>-4.0331359999999998</v>
      </c>
      <c r="T1002" s="14">
        <f>'extended_recharge_2003-2015'!T138</f>
        <v>23.048458</v>
      </c>
      <c r="U1002" s="14">
        <f>'extended_recharge_2003-2015'!U138</f>
        <v>6.3811439999999999</v>
      </c>
      <c r="V1002" s="15">
        <f>'extended_recharge_2003-2015'!V138</f>
        <v>17.478494999999999</v>
      </c>
      <c r="W1002" s="16">
        <f>'extended_recharge_2003-2015'!W138</f>
        <v>0.66613144000000002</v>
      </c>
      <c r="X1002" s="16">
        <f>'extended_recharge_2003-2015'!X138</f>
        <v>5.9807779999999999</v>
      </c>
      <c r="Y1002" s="16">
        <f>'extended_recharge_2003-2015'!Y138</f>
        <v>15.898952</v>
      </c>
      <c r="Z1002" s="16">
        <f>'extended_recharge_2003-2015'!Z138</f>
        <v>3.5543562999999998</v>
      </c>
      <c r="AA1002" s="16">
        <f>'extended_recharge_2003-2015'!AA138</f>
        <v>5.1580159999999999</v>
      </c>
      <c r="AB1002" s="16">
        <f>'extended_recharge_2003-2015'!AB138</f>
        <v>1.7418075</v>
      </c>
      <c r="AC1002" s="16">
        <f>'extended_recharge_2003-2015'!AC138</f>
        <v>4.8743477000000004</v>
      </c>
      <c r="AD1002" s="16">
        <f>'extended_recharge_2003-2015'!AD138</f>
        <v>2.3890088</v>
      </c>
      <c r="AE1002" s="16">
        <f>'extended_recharge_2003-2015'!AE138</f>
        <v>18.265955000000002</v>
      </c>
      <c r="AF1002" s="16">
        <f>'extended_recharge_2003-2015'!AF138</f>
        <v>67.458659999999995</v>
      </c>
      <c r="AG1002" s="16">
        <f>'extended_recharge_2003-2015'!AG138</f>
        <v>9.9076970000000006</v>
      </c>
    </row>
    <row r="1003" spans="1:33" x14ac:dyDescent="0.2">
      <c r="A1003" s="3">
        <v>38442</v>
      </c>
      <c r="B1003" s="14">
        <f>'extended_recharge_2003-2015'!B139</f>
        <v>-0.65283639999999998</v>
      </c>
      <c r="C1003" s="14">
        <f>'extended_recharge_2003-2015'!C139</f>
        <v>21.043230000000001</v>
      </c>
      <c r="D1003" s="14">
        <f>'extended_recharge_2003-2015'!D139</f>
        <v>-3.5819190000000001</v>
      </c>
      <c r="E1003" s="14">
        <f>'extended_recharge_2003-2015'!E139</f>
        <v>-18.605084999999999</v>
      </c>
      <c r="F1003" s="14">
        <f>'extended_recharge_2003-2015'!F139</f>
        <v>-0.23602681</v>
      </c>
      <c r="G1003" s="14">
        <f>'extended_recharge_2003-2015'!G139</f>
        <v>-6.6045445999999997</v>
      </c>
      <c r="H1003" s="14">
        <f>'extended_recharge_2003-2015'!H139</f>
        <v>14.442845999999999</v>
      </c>
      <c r="I1003" s="14">
        <f>'extended_recharge_2003-2015'!I139</f>
        <v>35.819400000000002</v>
      </c>
      <c r="J1003" s="14">
        <f>'extended_recharge_2003-2015'!J139</f>
        <v>9.1802025</v>
      </c>
      <c r="K1003" s="14">
        <f>'extended_recharge_2003-2015'!K139</f>
        <v>6.3355769999999998</v>
      </c>
      <c r="L1003" s="14">
        <f>'extended_recharge_2003-2015'!L139</f>
        <v>1.1366794</v>
      </c>
      <c r="M1003" s="14">
        <f>'extended_recharge_2003-2015'!M139</f>
        <v>2.4355902999999999</v>
      </c>
      <c r="N1003" s="14">
        <f>'extended_recharge_2003-2015'!N139</f>
        <v>26.931312999999999</v>
      </c>
      <c r="O1003" s="14">
        <f>'extended_recharge_2003-2015'!O139</f>
        <v>16.210633999999999</v>
      </c>
      <c r="P1003" s="14">
        <f>'extended_recharge_2003-2015'!P139</f>
        <v>52.732647</v>
      </c>
      <c r="Q1003" s="14">
        <f>'extended_recharge_2003-2015'!Q139</f>
        <v>1.4991975</v>
      </c>
      <c r="R1003" s="14">
        <f>'extended_recharge_2003-2015'!R139</f>
        <v>11.022278</v>
      </c>
      <c r="S1003" s="14">
        <f>'extended_recharge_2003-2015'!S139</f>
        <v>-2.7600330999999998</v>
      </c>
      <c r="T1003" s="14">
        <f>'extended_recharge_2003-2015'!T139</f>
        <v>29.234895999999999</v>
      </c>
      <c r="U1003" s="14">
        <f>'extended_recharge_2003-2015'!U139</f>
        <v>6.878679</v>
      </c>
      <c r="V1003" s="15">
        <f>'extended_recharge_2003-2015'!V139</f>
        <v>21.259070999999999</v>
      </c>
      <c r="W1003" s="16">
        <f>'extended_recharge_2003-2015'!W139</f>
        <v>-0.26417992000000001</v>
      </c>
      <c r="X1003" s="16">
        <f>'extended_recharge_2003-2015'!X139</f>
        <v>6.3401209999999999</v>
      </c>
      <c r="Y1003" s="16">
        <f>'extended_recharge_2003-2015'!Y139</f>
        <v>16.605139999999999</v>
      </c>
      <c r="Z1003" s="16">
        <f>'extended_recharge_2003-2015'!Z139</f>
        <v>1.2050344</v>
      </c>
      <c r="AA1003" s="16">
        <f>'extended_recharge_2003-2015'!AA139</f>
        <v>3.8312477999999999</v>
      </c>
      <c r="AB1003" s="16">
        <f>'extended_recharge_2003-2015'!AB139</f>
        <v>1.9425634000000001</v>
      </c>
      <c r="AC1003" s="16">
        <f>'extended_recharge_2003-2015'!AC139</f>
        <v>3.7317279999999999</v>
      </c>
      <c r="AD1003" s="16">
        <f>'extended_recharge_2003-2015'!AD139</f>
        <v>3.1373606000000001</v>
      </c>
      <c r="AE1003" s="16">
        <f>'extended_recharge_2003-2015'!AE139</f>
        <v>10.646210999999999</v>
      </c>
      <c r="AF1003" s="16">
        <f>'extended_recharge_2003-2015'!AF139</f>
        <v>75.412779999999998</v>
      </c>
      <c r="AG1003" s="16">
        <f>'extended_recharge_2003-2015'!AG139</f>
        <v>11.000552000000001</v>
      </c>
    </row>
    <row r="1004" spans="1:33" x14ac:dyDescent="0.2">
      <c r="A1004" s="3">
        <v>38472</v>
      </c>
      <c r="B1004" s="14">
        <f>'extended_recharge_2003-2015'!B140</f>
        <v>3.4242146</v>
      </c>
      <c r="C1004" s="14">
        <f>'extended_recharge_2003-2015'!C140</f>
        <v>23.67719</v>
      </c>
      <c r="D1004" s="14">
        <f>'extended_recharge_2003-2015'!D140</f>
        <v>3.3739210000000002</v>
      </c>
      <c r="E1004" s="14">
        <f>'extended_recharge_2003-2015'!E140</f>
        <v>15.426767</v>
      </c>
      <c r="F1004" s="14">
        <f>'extended_recharge_2003-2015'!F140</f>
        <v>35.985588</v>
      </c>
      <c r="G1004" s="14">
        <f>'extended_recharge_2003-2015'!G140</f>
        <v>12.866856</v>
      </c>
      <c r="H1004" s="14">
        <f>'extended_recharge_2003-2015'!H140</f>
        <v>15.563860999999999</v>
      </c>
      <c r="I1004" s="14">
        <f>'extended_recharge_2003-2015'!I140</f>
        <v>38.563716999999997</v>
      </c>
      <c r="J1004" s="14">
        <f>'extended_recharge_2003-2015'!J140</f>
        <v>10.531606</v>
      </c>
      <c r="K1004" s="14">
        <f>'extended_recharge_2003-2015'!K140</f>
        <v>24.424505</v>
      </c>
      <c r="L1004" s="14">
        <f>'extended_recharge_2003-2015'!L140</f>
        <v>20.142786000000001</v>
      </c>
      <c r="M1004" s="14">
        <f>'extended_recharge_2003-2015'!M140</f>
        <v>17.942143999999999</v>
      </c>
      <c r="N1004" s="14">
        <f>'extended_recharge_2003-2015'!N140</f>
        <v>46.146403999999997</v>
      </c>
      <c r="O1004" s="14">
        <f>'extended_recharge_2003-2015'!O140</f>
        <v>20.293104</v>
      </c>
      <c r="P1004" s="14">
        <f>'extended_recharge_2003-2015'!P140</f>
        <v>74.977710000000002</v>
      </c>
      <c r="Q1004" s="14">
        <f>'extended_recharge_2003-2015'!Q140</f>
        <v>4.8948955999999999</v>
      </c>
      <c r="R1004" s="14">
        <f>'extended_recharge_2003-2015'!R140</f>
        <v>16.790800000000001</v>
      </c>
      <c r="S1004" s="14">
        <f>'extended_recharge_2003-2015'!S140</f>
        <v>9.7774079999999994</v>
      </c>
      <c r="T1004" s="14">
        <f>'extended_recharge_2003-2015'!T140</f>
        <v>27.420663999999999</v>
      </c>
      <c r="U1004" s="14">
        <f>'extended_recharge_2003-2015'!U140</f>
        <v>10.323577999999999</v>
      </c>
      <c r="V1004" s="15">
        <f>'extended_recharge_2003-2015'!V140</f>
        <v>22.087378000000001</v>
      </c>
      <c r="W1004" s="16">
        <f>'extended_recharge_2003-2015'!W140</f>
        <v>3.4024376000000002E-2</v>
      </c>
      <c r="X1004" s="16">
        <f>'extended_recharge_2003-2015'!X140</f>
        <v>7.6672799999999999</v>
      </c>
      <c r="Y1004" s="16">
        <f>'extended_recharge_2003-2015'!Y140</f>
        <v>18.412067</v>
      </c>
      <c r="Z1004" s="16">
        <f>'extended_recharge_2003-2015'!Z140</f>
        <v>1.5268691999999999</v>
      </c>
      <c r="AA1004" s="16">
        <f>'extended_recharge_2003-2015'!AA140</f>
        <v>6.1320113999999997</v>
      </c>
      <c r="AB1004" s="16">
        <f>'extended_recharge_2003-2015'!AB140</f>
        <v>2.8660654999999999</v>
      </c>
      <c r="AC1004" s="16">
        <f>'extended_recharge_2003-2015'!AC140</f>
        <v>3.3608509999999998</v>
      </c>
      <c r="AD1004" s="16">
        <f>'extended_recharge_2003-2015'!AD140</f>
        <v>4.4132879999999997</v>
      </c>
      <c r="AE1004" s="16">
        <f>'extended_recharge_2003-2015'!AE140</f>
        <v>4.8099679999999996</v>
      </c>
      <c r="AF1004" s="16">
        <f>'extended_recharge_2003-2015'!AF140</f>
        <v>93.705640000000002</v>
      </c>
      <c r="AG1004" s="16">
        <f>'extended_recharge_2003-2015'!AG140</f>
        <v>14.288930000000001</v>
      </c>
    </row>
    <row r="1005" spans="1:33" x14ac:dyDescent="0.2">
      <c r="A1005" s="3">
        <v>38503</v>
      </c>
      <c r="B1005" s="14">
        <f>'extended_recharge_2003-2015'!B141</f>
        <v>7.2840824</v>
      </c>
      <c r="C1005" s="14">
        <f>'extended_recharge_2003-2015'!C141</f>
        <v>27.211832000000001</v>
      </c>
      <c r="D1005" s="14">
        <f>'extended_recharge_2003-2015'!D141</f>
        <v>2.6071659999999999</v>
      </c>
      <c r="E1005" s="14">
        <f>'extended_recharge_2003-2015'!E141</f>
        <v>16.151585000000001</v>
      </c>
      <c r="F1005" s="14">
        <f>'extended_recharge_2003-2015'!F141</f>
        <v>24.766148000000001</v>
      </c>
      <c r="G1005" s="14">
        <f>'extended_recharge_2003-2015'!G141</f>
        <v>31.504555</v>
      </c>
      <c r="H1005" s="14">
        <f>'extended_recharge_2003-2015'!H141</f>
        <v>18.888002</v>
      </c>
      <c r="I1005" s="14">
        <f>'extended_recharge_2003-2015'!I141</f>
        <v>41.984527999999997</v>
      </c>
      <c r="J1005" s="14">
        <f>'extended_recharge_2003-2015'!J141</f>
        <v>11.495739</v>
      </c>
      <c r="K1005" s="14">
        <f>'extended_recharge_2003-2015'!K141</f>
        <v>14.186639</v>
      </c>
      <c r="L1005" s="14">
        <f>'extended_recharge_2003-2015'!L141</f>
        <v>20.034258000000001</v>
      </c>
      <c r="M1005" s="14">
        <f>'extended_recharge_2003-2015'!M141</f>
        <v>15.136089</v>
      </c>
      <c r="N1005" s="14">
        <f>'extended_recharge_2003-2015'!N141</f>
        <v>36.887787000000003</v>
      </c>
      <c r="O1005" s="14">
        <f>'extended_recharge_2003-2015'!O141</f>
        <v>25.333105</v>
      </c>
      <c r="P1005" s="14">
        <f>'extended_recharge_2003-2015'!P141</f>
        <v>86.101616000000007</v>
      </c>
      <c r="Q1005" s="14">
        <f>'extended_recharge_2003-2015'!Q141</f>
        <v>0.75197510000000001</v>
      </c>
      <c r="R1005" s="14">
        <f>'extended_recharge_2003-2015'!R141</f>
        <v>13.818300000000001</v>
      </c>
      <c r="S1005" s="14">
        <f>'extended_recharge_2003-2015'!S141</f>
        <v>17.76699</v>
      </c>
      <c r="T1005" s="14">
        <f>'extended_recharge_2003-2015'!T141</f>
        <v>40.891125000000002</v>
      </c>
      <c r="U1005" s="14">
        <f>'extended_recharge_2003-2015'!U141</f>
        <v>17.311886000000001</v>
      </c>
      <c r="V1005" s="15">
        <f>'extended_recharge_2003-2015'!V141</f>
        <v>30.578484</v>
      </c>
      <c r="W1005" s="16">
        <f>'extended_recharge_2003-2015'!W141</f>
        <v>4.7691236000000004</v>
      </c>
      <c r="X1005" s="16">
        <f>'extended_recharge_2003-2015'!X141</f>
        <v>7.8294888</v>
      </c>
      <c r="Y1005" s="16">
        <f>'extended_recharge_2003-2015'!Y141</f>
        <v>22.293371</v>
      </c>
      <c r="Z1005" s="16">
        <f>'extended_recharge_2003-2015'!Z141</f>
        <v>1.1547911</v>
      </c>
      <c r="AA1005" s="16">
        <f>'extended_recharge_2003-2015'!AA141</f>
        <v>6.7820869999999998</v>
      </c>
      <c r="AB1005" s="16">
        <f>'extended_recharge_2003-2015'!AB141</f>
        <v>2.7470918000000002</v>
      </c>
      <c r="AC1005" s="16">
        <f>'extended_recharge_2003-2015'!AC141</f>
        <v>1.7350540000000001</v>
      </c>
      <c r="AD1005" s="16">
        <f>'extended_recharge_2003-2015'!AD141</f>
        <v>6.2751365000000003</v>
      </c>
      <c r="AE1005" s="16">
        <f>'extended_recharge_2003-2015'!AE141</f>
        <v>1.3795426</v>
      </c>
      <c r="AF1005" s="16">
        <f>'extended_recharge_2003-2015'!AF141</f>
        <v>101.51520499999999</v>
      </c>
      <c r="AG1005" s="16">
        <f>'extended_recharge_2003-2015'!AG141</f>
        <v>17.730899999999998</v>
      </c>
    </row>
    <row r="1006" spans="1:33" x14ac:dyDescent="0.2">
      <c r="A1006" s="3">
        <v>38533</v>
      </c>
      <c r="B1006" s="14">
        <f>'extended_recharge_2003-2015'!B142</f>
        <v>6.9711270000000001</v>
      </c>
      <c r="C1006" s="14">
        <f>'extended_recharge_2003-2015'!C142</f>
        <v>25.670254</v>
      </c>
      <c r="D1006" s="14">
        <f>'extended_recharge_2003-2015'!D142</f>
        <v>-6.1361847000000003</v>
      </c>
      <c r="E1006" s="14">
        <f>'extended_recharge_2003-2015'!E142</f>
        <v>-11.132631</v>
      </c>
      <c r="F1006" s="14">
        <f>'extended_recharge_2003-2015'!F142</f>
        <v>1.7106484</v>
      </c>
      <c r="G1006" s="14">
        <f>'extended_recharge_2003-2015'!G142</f>
        <v>1.9023855999999999</v>
      </c>
      <c r="H1006" s="14">
        <f>'extended_recharge_2003-2015'!H142</f>
        <v>12.804446</v>
      </c>
      <c r="I1006" s="14">
        <f>'extended_recharge_2003-2015'!I142</f>
        <v>39.211100000000002</v>
      </c>
      <c r="J1006" s="14">
        <f>'extended_recharge_2003-2015'!J142</f>
        <v>-3.6951008000000001</v>
      </c>
      <c r="K1006" s="14">
        <f>'extended_recharge_2003-2015'!K142</f>
        <v>5.3608684999999996</v>
      </c>
      <c r="L1006" s="14">
        <f>'extended_recharge_2003-2015'!L142</f>
        <v>9.0290669999999995</v>
      </c>
      <c r="M1006" s="14">
        <f>'extended_recharge_2003-2015'!M142</f>
        <v>7.6921410000000003</v>
      </c>
      <c r="N1006" s="14">
        <f>'extended_recharge_2003-2015'!N142</f>
        <v>34.395000000000003</v>
      </c>
      <c r="O1006" s="14">
        <f>'extended_recharge_2003-2015'!O142</f>
        <v>23.064938000000001</v>
      </c>
      <c r="P1006" s="14">
        <f>'extended_recharge_2003-2015'!P142</f>
        <v>56.652016000000003</v>
      </c>
      <c r="Q1006" s="14">
        <f>'extended_recharge_2003-2015'!Q142</f>
        <v>2.5634313</v>
      </c>
      <c r="R1006" s="14">
        <f>'extended_recharge_2003-2015'!R142</f>
        <v>14.596489999999999</v>
      </c>
      <c r="S1006" s="14">
        <f>'extended_recharge_2003-2015'!S142</f>
        <v>7.0473270000000001</v>
      </c>
      <c r="T1006" s="14">
        <f>'extended_recharge_2003-2015'!T142</f>
        <v>44.795772999999997</v>
      </c>
      <c r="U1006" s="14">
        <f>'extended_recharge_2003-2015'!U142</f>
        <v>16.478027000000001</v>
      </c>
      <c r="V1006" s="15">
        <f>'extended_recharge_2003-2015'!V142</f>
        <v>40.581738000000001</v>
      </c>
      <c r="W1006" s="16">
        <f>'extended_recharge_2003-2015'!W142</f>
        <v>17.312124000000001</v>
      </c>
      <c r="X1006" s="16">
        <f>'extended_recharge_2003-2015'!X142</f>
        <v>6.1654887</v>
      </c>
      <c r="Y1006" s="16">
        <f>'extended_recharge_2003-2015'!Y142</f>
        <v>22.945820000000001</v>
      </c>
      <c r="Z1006" s="16">
        <f>'extended_recharge_2003-2015'!Z142</f>
        <v>0.92393289999999995</v>
      </c>
      <c r="AA1006" s="16">
        <f>'extended_recharge_2003-2015'!AA142</f>
        <v>3.9504955000000002</v>
      </c>
      <c r="AB1006" s="16">
        <f>'extended_recharge_2003-2015'!AB142</f>
        <v>1.5394969999999999</v>
      </c>
      <c r="AC1006" s="16">
        <f>'extended_recharge_2003-2015'!AC142</f>
        <v>2.7816524999999999</v>
      </c>
      <c r="AD1006" s="16">
        <f>'extended_recharge_2003-2015'!AD142</f>
        <v>8.929176</v>
      </c>
      <c r="AE1006" s="16">
        <f>'extended_recharge_2003-2015'!AE142</f>
        <v>-1.5966222000000001</v>
      </c>
      <c r="AF1006" s="16">
        <f>'extended_recharge_2003-2015'!AF142</f>
        <v>112.617256</v>
      </c>
      <c r="AG1006" s="16">
        <f>'extended_recharge_2003-2015'!AG142</f>
        <v>22.607672000000001</v>
      </c>
    </row>
    <row r="1007" spans="1:33" x14ac:dyDescent="0.2">
      <c r="A1007" s="3">
        <v>38564</v>
      </c>
      <c r="B1007" s="14">
        <f>'extended_recharge_2003-2015'!B143</f>
        <v>6.185047</v>
      </c>
      <c r="C1007" s="14">
        <f>'extended_recharge_2003-2015'!C143</f>
        <v>23.486689999999999</v>
      </c>
      <c r="D1007" s="14">
        <f>'extended_recharge_2003-2015'!D143</f>
        <v>-4.0119340000000001</v>
      </c>
      <c r="E1007" s="14">
        <f>'extended_recharge_2003-2015'!E143</f>
        <v>-18.265885999999998</v>
      </c>
      <c r="F1007" s="14">
        <f>'extended_recharge_2003-2015'!F143</f>
        <v>3.1132282999999998</v>
      </c>
      <c r="G1007" s="14">
        <f>'extended_recharge_2003-2015'!G143</f>
        <v>1.7803945999999999</v>
      </c>
      <c r="H1007" s="14">
        <f>'extended_recharge_2003-2015'!H143</f>
        <v>15.6754</v>
      </c>
      <c r="I1007" s="14">
        <f>'extended_recharge_2003-2015'!I143</f>
        <v>41.759039999999999</v>
      </c>
      <c r="J1007" s="14">
        <f>'extended_recharge_2003-2015'!J143</f>
        <v>-4.9257819999999999</v>
      </c>
      <c r="K1007" s="14">
        <f>'extended_recharge_2003-2015'!K143</f>
        <v>7.8286699999999998</v>
      </c>
      <c r="L1007" s="14">
        <f>'extended_recharge_2003-2015'!L143</f>
        <v>4.9091139999999998</v>
      </c>
      <c r="M1007" s="14">
        <f>'extended_recharge_2003-2015'!M143</f>
        <v>7.2799860000000001</v>
      </c>
      <c r="N1007" s="14">
        <f>'extended_recharge_2003-2015'!N143</f>
        <v>34.424720000000001</v>
      </c>
      <c r="O1007" s="14">
        <f>'extended_recharge_2003-2015'!O143</f>
        <v>30.371288</v>
      </c>
      <c r="P1007" s="14">
        <f>'extended_recharge_2003-2015'!P143</f>
        <v>82.245570000000001</v>
      </c>
      <c r="Q1007" s="14">
        <f>'extended_recharge_2003-2015'!Q143</f>
        <v>3.2637860000000001</v>
      </c>
      <c r="R1007" s="14">
        <f>'extended_recharge_2003-2015'!R143</f>
        <v>14.461176</v>
      </c>
      <c r="S1007" s="14">
        <f>'extended_recharge_2003-2015'!S143</f>
        <v>5.4125810000000003</v>
      </c>
      <c r="T1007" s="14">
        <f>'extended_recharge_2003-2015'!T143</f>
        <v>38.107253999999998</v>
      </c>
      <c r="U1007" s="14">
        <f>'extended_recharge_2003-2015'!U143</f>
        <v>19.520970999999999</v>
      </c>
      <c r="V1007" s="15">
        <f>'extended_recharge_2003-2015'!V143</f>
        <v>46.588154000000003</v>
      </c>
      <c r="W1007" s="16">
        <f>'extended_recharge_2003-2015'!W143</f>
        <v>29.552505</v>
      </c>
      <c r="X1007" s="16">
        <f>'extended_recharge_2003-2015'!X143</f>
        <v>5.7382317</v>
      </c>
      <c r="Y1007" s="16">
        <f>'extended_recharge_2003-2015'!Y143</f>
        <v>23.415351999999999</v>
      </c>
      <c r="Z1007" s="16">
        <f>'extended_recharge_2003-2015'!Z143</f>
        <v>1.8124237000000001</v>
      </c>
      <c r="AA1007" s="16">
        <f>'extended_recharge_2003-2015'!AA143</f>
        <v>5.6339290000000002</v>
      </c>
      <c r="AB1007" s="16">
        <f>'extended_recharge_2003-2015'!AB143</f>
        <v>1.5649531000000001</v>
      </c>
      <c r="AC1007" s="16">
        <f>'extended_recharge_2003-2015'!AC143</f>
        <v>3.2759062999999999</v>
      </c>
      <c r="AD1007" s="16">
        <f>'extended_recharge_2003-2015'!AD143</f>
        <v>9.9572020000000006</v>
      </c>
      <c r="AE1007" s="16">
        <f>'extended_recharge_2003-2015'!AE143</f>
        <v>8.7261720000000001E-2</v>
      </c>
      <c r="AF1007" s="16">
        <f>'extended_recharge_2003-2015'!AF143</f>
        <v>123.76102</v>
      </c>
      <c r="AG1007" s="16">
        <f>'extended_recharge_2003-2015'!AG143</f>
        <v>24.960003</v>
      </c>
    </row>
    <row r="1008" spans="1:33" x14ac:dyDescent="0.2">
      <c r="A1008" s="3">
        <v>38595</v>
      </c>
      <c r="B1008" s="14">
        <f>'extended_recharge_2003-2015'!B144</f>
        <v>3.5543938000000002</v>
      </c>
      <c r="C1008" s="14">
        <f>'extended_recharge_2003-2015'!C144</f>
        <v>18.738087</v>
      </c>
      <c r="D1008" s="14">
        <f>'extended_recharge_2003-2015'!D144</f>
        <v>-13.224344</v>
      </c>
      <c r="E1008" s="14">
        <f>'extended_recharge_2003-2015'!E144</f>
        <v>-41.764904000000001</v>
      </c>
      <c r="F1008" s="14">
        <f>'extended_recharge_2003-2015'!F144</f>
        <v>-15.300755499999999</v>
      </c>
      <c r="G1008" s="14">
        <f>'extended_recharge_2003-2015'!G144</f>
        <v>-17.750810000000001</v>
      </c>
      <c r="H1008" s="14">
        <f>'extended_recharge_2003-2015'!H144</f>
        <v>11.846748</v>
      </c>
      <c r="I1008" s="14">
        <f>'extended_recharge_2003-2015'!I144</f>
        <v>35.996304000000002</v>
      </c>
      <c r="J1008" s="14">
        <f>'extended_recharge_2003-2015'!J144</f>
        <v>-10.33611</v>
      </c>
      <c r="K1008" s="14">
        <f>'extended_recharge_2003-2015'!K144</f>
        <v>2.5813858999999999</v>
      </c>
      <c r="L1008" s="14">
        <f>'extended_recharge_2003-2015'!L144</f>
        <v>-8.2811380000000003</v>
      </c>
      <c r="M1008" s="14">
        <f>'extended_recharge_2003-2015'!M144</f>
        <v>1.2352050000000001</v>
      </c>
      <c r="N1008" s="14">
        <f>'extended_recharge_2003-2015'!N144</f>
        <v>31.106901000000001</v>
      </c>
      <c r="O1008" s="14">
        <f>'extended_recharge_2003-2015'!O144</f>
        <v>26.739930999999999</v>
      </c>
      <c r="P1008" s="14">
        <f>'extended_recharge_2003-2015'!P144</f>
        <v>73.119540000000001</v>
      </c>
      <c r="Q1008" s="14">
        <f>'extended_recharge_2003-2015'!Q144</f>
        <v>3.274537</v>
      </c>
      <c r="R1008" s="14">
        <f>'extended_recharge_2003-2015'!R144</f>
        <v>10.342881999999999</v>
      </c>
      <c r="S1008" s="14">
        <f>'extended_recharge_2003-2015'!S144</f>
        <v>4.2927523000000001</v>
      </c>
      <c r="T1008" s="14">
        <f>'extended_recharge_2003-2015'!T144</f>
        <v>28.367519999999999</v>
      </c>
      <c r="U1008" s="14">
        <f>'extended_recharge_2003-2015'!U144</f>
        <v>18.992867</v>
      </c>
      <c r="V1008" s="15">
        <f>'extended_recharge_2003-2015'!V144</f>
        <v>40.084614000000002</v>
      </c>
      <c r="W1008" s="16">
        <f>'extended_recharge_2003-2015'!W144</f>
        <v>31.222785999999999</v>
      </c>
      <c r="X1008" s="16">
        <f>'extended_recharge_2003-2015'!X144</f>
        <v>3.1777145999999998</v>
      </c>
      <c r="Y1008" s="16">
        <f>'extended_recharge_2003-2015'!Y144</f>
        <v>22.409296000000001</v>
      </c>
      <c r="Z1008" s="16">
        <f>'extended_recharge_2003-2015'!Z144</f>
        <v>2.2711693999999998</v>
      </c>
      <c r="AA1008" s="16">
        <f>'extended_recharge_2003-2015'!AA144</f>
        <v>5.4135070000000001</v>
      </c>
      <c r="AB1008" s="16">
        <f>'extended_recharge_2003-2015'!AB144</f>
        <v>2.0674043000000002</v>
      </c>
      <c r="AC1008" s="16">
        <f>'extended_recharge_2003-2015'!AC144</f>
        <v>4.3853983999999997</v>
      </c>
      <c r="AD1008" s="16">
        <f>'extended_recharge_2003-2015'!AD144</f>
        <v>8.3579589999999993</v>
      </c>
      <c r="AE1008" s="16">
        <f>'extended_recharge_2003-2015'!AE144</f>
        <v>0.54588835999999996</v>
      </c>
      <c r="AF1008" s="16">
        <f>'extended_recharge_2003-2015'!AF144</f>
        <v>115.79073</v>
      </c>
      <c r="AG1008" s="16">
        <f>'extended_recharge_2003-2015'!AG144</f>
        <v>23.913385000000002</v>
      </c>
    </row>
    <row r="1009" spans="1:33" x14ac:dyDescent="0.2">
      <c r="A1009" s="3">
        <v>38625</v>
      </c>
      <c r="B1009" s="14">
        <f>'extended_recharge_2003-2015'!B145</f>
        <v>1.9579219000000001</v>
      </c>
      <c r="C1009" s="14">
        <f>'extended_recharge_2003-2015'!C145</f>
        <v>17.979780000000002</v>
      </c>
      <c r="D1009" s="14">
        <f>'extended_recharge_2003-2015'!D145</f>
        <v>-11.150855</v>
      </c>
      <c r="E1009" s="14">
        <f>'extended_recharge_2003-2015'!E145</f>
        <v>-29.423244</v>
      </c>
      <c r="F1009" s="14">
        <f>'extended_recharge_2003-2015'!F145</f>
        <v>-5.2259950000000002</v>
      </c>
      <c r="G1009" s="14">
        <f>'extended_recharge_2003-2015'!G145</f>
        <v>-6.6194405999999999</v>
      </c>
      <c r="H1009" s="14">
        <f>'extended_recharge_2003-2015'!H145</f>
        <v>13.559117000000001</v>
      </c>
      <c r="I1009" s="14">
        <f>'extended_recharge_2003-2015'!I145</f>
        <v>36.880670000000002</v>
      </c>
      <c r="J1009" s="14">
        <f>'extended_recharge_2003-2015'!J145</f>
        <v>-3.6477594</v>
      </c>
      <c r="K1009" s="14">
        <f>'extended_recharge_2003-2015'!K145</f>
        <v>0.8201233</v>
      </c>
      <c r="L1009" s="14">
        <f>'extended_recharge_2003-2015'!L145</f>
        <v>-10.249363000000001</v>
      </c>
      <c r="M1009" s="14">
        <f>'extended_recharge_2003-2015'!M145</f>
        <v>0.72933320000000001</v>
      </c>
      <c r="N1009" s="14">
        <f>'extended_recharge_2003-2015'!N145</f>
        <v>31.661697</v>
      </c>
      <c r="O1009" s="14">
        <f>'extended_recharge_2003-2015'!O145</f>
        <v>28.370888000000001</v>
      </c>
      <c r="P1009" s="14">
        <f>'extended_recharge_2003-2015'!P145</f>
        <v>48.175204999999998</v>
      </c>
      <c r="Q1009" s="14">
        <f>'extended_recharge_2003-2015'!Q145</f>
        <v>4.5953344999999999</v>
      </c>
      <c r="R1009" s="14">
        <f>'extended_recharge_2003-2015'!R145</f>
        <v>14.101747</v>
      </c>
      <c r="S1009" s="14">
        <f>'extended_recharge_2003-2015'!S145</f>
        <v>5.9735737000000002</v>
      </c>
      <c r="T1009" s="14">
        <f>'extended_recharge_2003-2015'!T145</f>
        <v>19.944099999999999</v>
      </c>
      <c r="U1009" s="14">
        <f>'extended_recharge_2003-2015'!U145</f>
        <v>17.040602</v>
      </c>
      <c r="V1009" s="15">
        <f>'extended_recharge_2003-2015'!V145</f>
        <v>24.518856</v>
      </c>
      <c r="W1009" s="16">
        <f>'extended_recharge_2003-2015'!W145</f>
        <v>26.543348000000002</v>
      </c>
      <c r="X1009" s="16">
        <f>'extended_recharge_2003-2015'!X145</f>
        <v>1.7771355</v>
      </c>
      <c r="Y1009" s="16">
        <f>'extended_recharge_2003-2015'!Y145</f>
        <v>20.871727</v>
      </c>
      <c r="Z1009" s="16">
        <f>'extended_recharge_2003-2015'!Z145</f>
        <v>4.4146375999999998</v>
      </c>
      <c r="AA1009" s="16">
        <f>'extended_recharge_2003-2015'!AA145</f>
        <v>5.0509915000000003</v>
      </c>
      <c r="AB1009" s="16">
        <f>'extended_recharge_2003-2015'!AB145</f>
        <v>0.98797022999999995</v>
      </c>
      <c r="AC1009" s="16">
        <f>'extended_recharge_2003-2015'!AC145</f>
        <v>3.0127830000000002</v>
      </c>
      <c r="AD1009" s="16">
        <f>'extended_recharge_2003-2015'!AD145</f>
        <v>5.2892080000000004</v>
      </c>
      <c r="AE1009" s="16">
        <f>'extended_recharge_2003-2015'!AE145</f>
        <v>3.0410726000000001</v>
      </c>
      <c r="AF1009" s="16">
        <f>'extended_recharge_2003-2015'!AF145</f>
        <v>104.82983</v>
      </c>
      <c r="AG1009" s="16">
        <f>'extended_recharge_2003-2015'!AG145</f>
        <v>19.988347999999998</v>
      </c>
    </row>
    <row r="1010" spans="1:33" x14ac:dyDescent="0.2">
      <c r="A1010" s="3">
        <v>38656</v>
      </c>
      <c r="B1010" s="14">
        <f>'extended_recharge_2003-2015'!B146</f>
        <v>0.30428153000000002</v>
      </c>
      <c r="C1010" s="14">
        <f>'extended_recharge_2003-2015'!C146</f>
        <v>20.735627999999998</v>
      </c>
      <c r="D1010" s="14">
        <f>'extended_recharge_2003-2015'!D146</f>
        <v>3.3178719999999999</v>
      </c>
      <c r="E1010" s="14">
        <f>'extended_recharge_2003-2015'!E146</f>
        <v>2.4432979000000001</v>
      </c>
      <c r="F1010" s="14">
        <f>'extended_recharge_2003-2015'!F146</f>
        <v>8.2792320000000004</v>
      </c>
      <c r="G1010" s="14">
        <f>'extended_recharge_2003-2015'!G146</f>
        <v>38.040990000000001</v>
      </c>
      <c r="H1010" s="14">
        <f>'extended_recharge_2003-2015'!H146</f>
        <v>15.123643</v>
      </c>
      <c r="I1010" s="14">
        <f>'extended_recharge_2003-2015'!I146</f>
        <v>35.992690000000003</v>
      </c>
      <c r="J1010" s="14">
        <f>'extended_recharge_2003-2015'!J146</f>
        <v>12.249180000000001</v>
      </c>
      <c r="K1010" s="14">
        <f>'extended_recharge_2003-2015'!K146</f>
        <v>4.047714</v>
      </c>
      <c r="L1010" s="14">
        <f>'extended_recharge_2003-2015'!L146</f>
        <v>2.9407462999999998</v>
      </c>
      <c r="M1010" s="14">
        <f>'extended_recharge_2003-2015'!M146</f>
        <v>3.2106452000000001</v>
      </c>
      <c r="N1010" s="14">
        <f>'extended_recharge_2003-2015'!N146</f>
        <v>31.028839999999999</v>
      </c>
      <c r="O1010" s="14">
        <f>'extended_recharge_2003-2015'!O146</f>
        <v>24.344125999999999</v>
      </c>
      <c r="P1010" s="14">
        <f>'extended_recharge_2003-2015'!P146</f>
        <v>60.440033</v>
      </c>
      <c r="Q1010" s="14">
        <f>'extended_recharge_2003-2015'!Q146</f>
        <v>5.2689950000000003</v>
      </c>
      <c r="R1010" s="14">
        <f>'extended_recharge_2003-2015'!R146</f>
        <v>11.273066</v>
      </c>
      <c r="S1010" s="14">
        <f>'extended_recharge_2003-2015'!S146</f>
        <v>14.404184000000001</v>
      </c>
      <c r="T1010" s="14">
        <f>'extended_recharge_2003-2015'!T146</f>
        <v>17.671790999999999</v>
      </c>
      <c r="U1010" s="14">
        <f>'extended_recharge_2003-2015'!U146</f>
        <v>13.354998</v>
      </c>
      <c r="V1010" s="15">
        <f>'extended_recharge_2003-2015'!V146</f>
        <v>22.064927999999998</v>
      </c>
      <c r="W1010" s="16">
        <f>'extended_recharge_2003-2015'!W146</f>
        <v>21.98171</v>
      </c>
      <c r="X1010" s="16">
        <f>'extended_recharge_2003-2015'!X146</f>
        <v>1.7780967000000001</v>
      </c>
      <c r="Y1010" s="16">
        <f>'extended_recharge_2003-2015'!Y146</f>
        <v>17.354918000000001</v>
      </c>
      <c r="Z1010" s="16">
        <f>'extended_recharge_2003-2015'!Z146</f>
        <v>4.1436869999999999</v>
      </c>
      <c r="AA1010" s="16">
        <f>'extended_recharge_2003-2015'!AA146</f>
        <v>3.7474832999999999</v>
      </c>
      <c r="AB1010" s="16">
        <f>'extended_recharge_2003-2015'!AB146</f>
        <v>1.7957730999999999</v>
      </c>
      <c r="AC1010" s="16">
        <f>'extended_recharge_2003-2015'!AC146</f>
        <v>4.0488819999999999</v>
      </c>
      <c r="AD1010" s="16">
        <f>'extended_recharge_2003-2015'!AD146</f>
        <v>3.6613954999999998</v>
      </c>
      <c r="AE1010" s="16">
        <f>'extended_recharge_2003-2015'!AE146</f>
        <v>6.600301</v>
      </c>
      <c r="AF1010" s="16">
        <f>'extended_recharge_2003-2015'!AF146</f>
        <v>93.253913999999995</v>
      </c>
      <c r="AG1010" s="16">
        <f>'extended_recharge_2003-2015'!AG146</f>
        <v>16.511658000000001</v>
      </c>
    </row>
    <row r="1011" spans="1:33" x14ac:dyDescent="0.2">
      <c r="A1011" s="3">
        <v>38686</v>
      </c>
      <c r="B1011" s="14">
        <f>'extended_recharge_2003-2015'!B147</f>
        <v>0.49227282</v>
      </c>
      <c r="C1011" s="14">
        <f>'extended_recharge_2003-2015'!C147</f>
        <v>22.369727999999999</v>
      </c>
      <c r="D1011" s="14">
        <f>'extended_recharge_2003-2015'!D147</f>
        <v>8.1842070000000007</v>
      </c>
      <c r="E1011" s="14">
        <f>'extended_recharge_2003-2015'!E147</f>
        <v>8.0032200000000007</v>
      </c>
      <c r="F1011" s="14">
        <f>'extended_recharge_2003-2015'!F147</f>
        <v>3.0493665000000001</v>
      </c>
      <c r="G1011" s="14">
        <f>'extended_recharge_2003-2015'!G147</f>
        <v>42.553061999999997</v>
      </c>
      <c r="H1011" s="14">
        <f>'extended_recharge_2003-2015'!H147</f>
        <v>15.545583000000001</v>
      </c>
      <c r="I1011" s="14">
        <f>'extended_recharge_2003-2015'!I147</f>
        <v>39.164692000000002</v>
      </c>
      <c r="J1011" s="14">
        <f>'extended_recharge_2003-2015'!J147</f>
        <v>19.066877000000002</v>
      </c>
      <c r="K1011" s="14">
        <f>'extended_recharge_2003-2015'!K147</f>
        <v>11.256900999999999</v>
      </c>
      <c r="L1011" s="14">
        <f>'extended_recharge_2003-2015'!L147</f>
        <v>-1.9506121000000001</v>
      </c>
      <c r="M1011" s="14">
        <f>'extended_recharge_2003-2015'!M147</f>
        <v>2.2286450000000002</v>
      </c>
      <c r="N1011" s="14">
        <f>'extended_recharge_2003-2015'!N147</f>
        <v>34.417430000000003</v>
      </c>
      <c r="O1011" s="14">
        <f>'extended_recharge_2003-2015'!O147</f>
        <v>23.358993999999999</v>
      </c>
      <c r="P1011" s="14">
        <f>'extended_recharge_2003-2015'!P147</f>
        <v>57.612285999999997</v>
      </c>
      <c r="Q1011" s="14">
        <f>'extended_recharge_2003-2015'!Q147</f>
        <v>3.8677847000000001</v>
      </c>
      <c r="R1011" s="14">
        <f>'extended_recharge_2003-2015'!R147</f>
        <v>11.038342</v>
      </c>
      <c r="S1011" s="14">
        <f>'extended_recharge_2003-2015'!S147</f>
        <v>18.211845</v>
      </c>
      <c r="T1011" s="14">
        <f>'extended_recharge_2003-2015'!T147</f>
        <v>18.809920999999999</v>
      </c>
      <c r="U1011" s="14">
        <f>'extended_recharge_2003-2015'!U147</f>
        <v>11.426296000000001</v>
      </c>
      <c r="V1011" s="15">
        <f>'extended_recharge_2003-2015'!V147</f>
        <v>20.383749000000002</v>
      </c>
      <c r="W1011" s="16">
        <f>'extended_recharge_2003-2015'!W147</f>
        <v>16.045570000000001</v>
      </c>
      <c r="X1011" s="16">
        <f>'extended_recharge_2003-2015'!X147</f>
        <v>1.7701738</v>
      </c>
      <c r="Y1011" s="16">
        <f>'extended_recharge_2003-2015'!Y147</f>
        <v>15.195740000000001</v>
      </c>
      <c r="Z1011" s="16">
        <f>'extended_recharge_2003-2015'!Z147</f>
        <v>4.4895550000000002</v>
      </c>
      <c r="AA1011" s="16">
        <f>'extended_recharge_2003-2015'!AA147</f>
        <v>2.2394197</v>
      </c>
      <c r="AB1011" s="16">
        <f>'extended_recharge_2003-2015'!AB147</f>
        <v>2.2534065000000001</v>
      </c>
      <c r="AC1011" s="16">
        <f>'extended_recharge_2003-2015'!AC147</f>
        <v>4.6817517000000004</v>
      </c>
      <c r="AD1011" s="16">
        <f>'extended_recharge_2003-2015'!AD147</f>
        <v>2.5248309999999998</v>
      </c>
      <c r="AE1011" s="16">
        <f>'extended_recharge_2003-2015'!AE147</f>
        <v>20.191832999999999</v>
      </c>
      <c r="AF1011" s="16">
        <f>'extended_recharge_2003-2015'!AF147</f>
        <v>69.648079999999993</v>
      </c>
      <c r="AG1011" s="16">
        <f>'extended_recharge_2003-2015'!AG147</f>
        <v>13.181029000000001</v>
      </c>
    </row>
    <row r="1012" spans="1:33" x14ac:dyDescent="0.2">
      <c r="A1012" s="3">
        <v>38717</v>
      </c>
      <c r="B1012" s="14">
        <f>'extended_recharge_2003-2015'!B148</f>
        <v>-0.31555214999999998</v>
      </c>
      <c r="C1012" s="14">
        <f>'extended_recharge_2003-2015'!C148</f>
        <v>21.310252999999999</v>
      </c>
      <c r="D1012" s="14">
        <f>'extended_recharge_2003-2015'!D148</f>
        <v>3.7687821000000001</v>
      </c>
      <c r="E1012" s="14">
        <f>'extended_recharge_2003-2015'!E148</f>
        <v>4.6519833000000004</v>
      </c>
      <c r="F1012" s="14">
        <f>'extended_recharge_2003-2015'!F148</f>
        <v>11.838127</v>
      </c>
      <c r="G1012" s="14">
        <f>'extended_recharge_2003-2015'!G148</f>
        <v>39.094901999999998</v>
      </c>
      <c r="H1012" s="14">
        <f>'extended_recharge_2003-2015'!H148</f>
        <v>14.291848999999999</v>
      </c>
      <c r="I1012" s="14">
        <f>'extended_recharge_2003-2015'!I148</f>
        <v>35.981963999999998</v>
      </c>
      <c r="J1012" s="14">
        <f>'extended_recharge_2003-2015'!J148</f>
        <v>21.078797999999999</v>
      </c>
      <c r="K1012" s="14">
        <f>'extended_recharge_2003-2015'!K148</f>
        <v>5.8420290000000001</v>
      </c>
      <c r="L1012" s="14">
        <f>'extended_recharge_2003-2015'!L148</f>
        <v>5.1046576000000004</v>
      </c>
      <c r="M1012" s="14">
        <f>'extended_recharge_2003-2015'!M148</f>
        <v>3.391581</v>
      </c>
      <c r="N1012" s="14">
        <f>'extended_recharge_2003-2015'!N148</f>
        <v>30.45825</v>
      </c>
      <c r="O1012" s="14">
        <f>'extended_recharge_2003-2015'!O148</f>
        <v>23.422619000000001</v>
      </c>
      <c r="P1012" s="14">
        <f>'extended_recharge_2003-2015'!P148</f>
        <v>42.360469999999999</v>
      </c>
      <c r="Q1012" s="14">
        <f>'extended_recharge_2003-2015'!Q148</f>
        <v>2.2423310000000001</v>
      </c>
      <c r="R1012" s="14">
        <f>'extended_recharge_2003-2015'!R148</f>
        <v>11.736044</v>
      </c>
      <c r="S1012" s="14">
        <f>'extended_recharge_2003-2015'!S148</f>
        <v>15.940830999999999</v>
      </c>
      <c r="T1012" s="14">
        <f>'extended_recharge_2003-2015'!T148</f>
        <v>19.122713000000001</v>
      </c>
      <c r="U1012" s="14">
        <f>'extended_recharge_2003-2015'!U148</f>
        <v>9.5839859999999994</v>
      </c>
      <c r="V1012" s="15">
        <f>'extended_recharge_2003-2015'!V148</f>
        <v>19.260795999999999</v>
      </c>
      <c r="W1012" s="16">
        <f>'extended_recharge_2003-2015'!W148</f>
        <v>11.550731000000001</v>
      </c>
      <c r="X1012" s="16">
        <f>'extended_recharge_2003-2015'!X148</f>
        <v>1.8574164</v>
      </c>
      <c r="Y1012" s="16">
        <f>'extended_recharge_2003-2015'!Y148</f>
        <v>14.055083</v>
      </c>
      <c r="Z1012" s="16">
        <f>'extended_recharge_2003-2015'!Z148</f>
        <v>3.451702</v>
      </c>
      <c r="AA1012" s="16">
        <f>'extended_recharge_2003-2015'!AA148</f>
        <v>2.8629847000000002</v>
      </c>
      <c r="AB1012" s="16">
        <f>'extended_recharge_2003-2015'!AB148</f>
        <v>1.4453236</v>
      </c>
      <c r="AC1012" s="16">
        <f>'extended_recharge_2003-2015'!AC148</f>
        <v>3.8593829999999998</v>
      </c>
      <c r="AD1012" s="16">
        <f>'extended_recharge_2003-2015'!AD148</f>
        <v>1.7559103</v>
      </c>
      <c r="AE1012" s="16">
        <f>'extended_recharge_2003-2015'!AE148</f>
        <v>25.184113</v>
      </c>
      <c r="AF1012" s="16">
        <f>'extended_recharge_2003-2015'!AF148</f>
        <v>62.522089999999999</v>
      </c>
      <c r="AG1012" s="16">
        <f>'extended_recharge_2003-2015'!AG148</f>
        <v>11.328625000000001</v>
      </c>
    </row>
    <row r="1013" spans="1:33" x14ac:dyDescent="0.2">
      <c r="A1013" s="3">
        <v>38748</v>
      </c>
      <c r="B1013" s="14">
        <f>'extended_recharge_2003-2015'!B149</f>
        <v>0.85422600000000004</v>
      </c>
      <c r="C1013" s="14">
        <f>'extended_recharge_2003-2015'!C149</f>
        <v>21.897798999999999</v>
      </c>
      <c r="D1013" s="14">
        <f>'extended_recharge_2003-2015'!D149</f>
        <v>5.3253436000000001</v>
      </c>
      <c r="E1013" s="14">
        <f>'extended_recharge_2003-2015'!E149</f>
        <v>2.9084718000000001</v>
      </c>
      <c r="F1013" s="14">
        <f>'extended_recharge_2003-2015'!F149</f>
        <v>14.332088000000001</v>
      </c>
      <c r="G1013" s="14">
        <f>'extended_recharge_2003-2015'!G149</f>
        <v>24.806574000000001</v>
      </c>
      <c r="H1013" s="14">
        <f>'extended_recharge_2003-2015'!H149</f>
        <v>17.094625000000001</v>
      </c>
      <c r="I1013" s="14">
        <f>'extended_recharge_2003-2015'!I149</f>
        <v>38.66104</v>
      </c>
      <c r="J1013" s="14">
        <f>'extended_recharge_2003-2015'!J149</f>
        <v>27.023686999999999</v>
      </c>
      <c r="K1013" s="14">
        <f>'extended_recharge_2003-2015'!K149</f>
        <v>10.379918</v>
      </c>
      <c r="L1013" s="14">
        <f>'extended_recharge_2003-2015'!L149</f>
        <v>13.75018</v>
      </c>
      <c r="M1013" s="14">
        <f>'extended_recharge_2003-2015'!M149</f>
        <v>6.8286265999999998</v>
      </c>
      <c r="N1013" s="14">
        <f>'extended_recharge_2003-2015'!N149</f>
        <v>33.090820000000001</v>
      </c>
      <c r="O1013" s="14">
        <f>'extended_recharge_2003-2015'!O149</f>
        <v>19.231026</v>
      </c>
      <c r="P1013" s="14">
        <f>'extended_recharge_2003-2015'!P149</f>
        <v>73.078569999999999</v>
      </c>
      <c r="Q1013" s="14">
        <f>'extended_recharge_2003-2015'!Q149</f>
        <v>5.9861484000000003</v>
      </c>
      <c r="R1013" s="14">
        <f>'extended_recharge_2003-2015'!R149</f>
        <v>11.993651</v>
      </c>
      <c r="S1013" s="14">
        <f>'extended_recharge_2003-2015'!S149</f>
        <v>19.65437</v>
      </c>
      <c r="T1013" s="14">
        <f>'extended_recharge_2003-2015'!T149</f>
        <v>24.465171999999999</v>
      </c>
      <c r="U1013" s="14">
        <f>'extended_recharge_2003-2015'!U149</f>
        <v>9.5341260000000005</v>
      </c>
      <c r="V1013" s="15">
        <f>'extended_recharge_2003-2015'!V149</f>
        <v>21.317896000000001</v>
      </c>
      <c r="W1013" s="16">
        <f>'extended_recharge_2003-2015'!W149</f>
        <v>4.4960209999999998</v>
      </c>
      <c r="X1013" s="16">
        <f>'extended_recharge_2003-2015'!X149</f>
        <v>2.8566196000000001</v>
      </c>
      <c r="Y1013" s="16">
        <f>'extended_recharge_2003-2015'!Y149</f>
        <v>12.687726</v>
      </c>
      <c r="Z1013" s="16">
        <f>'extended_recharge_2003-2015'!Z149</f>
        <v>4.0022320000000002</v>
      </c>
      <c r="AA1013" s="16">
        <f>'extended_recharge_2003-2015'!AA149</f>
        <v>4.2052565</v>
      </c>
      <c r="AB1013" s="16">
        <f>'extended_recharge_2003-2015'!AB149</f>
        <v>2.0116024000000001</v>
      </c>
      <c r="AC1013" s="16">
        <f>'extended_recharge_2003-2015'!AC149</f>
        <v>4.7505179999999996</v>
      </c>
      <c r="AD1013" s="16">
        <f>'extended_recharge_2003-2015'!AD149</f>
        <v>1.6287666999999999</v>
      </c>
      <c r="AE1013" s="16">
        <f>'extended_recharge_2003-2015'!AE149</f>
        <v>25.782442</v>
      </c>
      <c r="AF1013" s="16">
        <f>'extended_recharge_2003-2015'!AF149</f>
        <v>67.887699999999995</v>
      </c>
      <c r="AG1013" s="16">
        <f>'extended_recharge_2003-2015'!AG149</f>
        <v>10.054482999999999</v>
      </c>
    </row>
    <row r="1014" spans="1:33" x14ac:dyDescent="0.2">
      <c r="A1014" s="3">
        <v>38776</v>
      </c>
      <c r="B1014" s="14">
        <f>'extended_recharge_2003-2015'!B150</f>
        <v>1.3646597</v>
      </c>
      <c r="C1014" s="14">
        <f>'extended_recharge_2003-2015'!C150</f>
        <v>21.431276</v>
      </c>
      <c r="D1014" s="14">
        <f>'extended_recharge_2003-2015'!D150</f>
        <v>0.21158046999999999</v>
      </c>
      <c r="E1014" s="14">
        <f>'extended_recharge_2003-2015'!E150</f>
        <v>-0.65459895000000001</v>
      </c>
      <c r="F1014" s="14">
        <f>'extended_recharge_2003-2015'!F150</f>
        <v>13.3423</v>
      </c>
      <c r="G1014" s="14">
        <f>'extended_recharge_2003-2015'!G150</f>
        <v>10.517754</v>
      </c>
      <c r="H1014" s="14">
        <f>'extended_recharge_2003-2015'!H150</f>
        <v>15.75928</v>
      </c>
      <c r="I1014" s="14">
        <f>'extended_recharge_2003-2015'!I150</f>
        <v>37.59301</v>
      </c>
      <c r="J1014" s="14">
        <f>'extended_recharge_2003-2015'!J150</f>
        <v>16.722062999999999</v>
      </c>
      <c r="K1014" s="14">
        <f>'extended_recharge_2003-2015'!K150</f>
        <v>-2.2397623000000002</v>
      </c>
      <c r="L1014" s="14">
        <f>'extended_recharge_2003-2015'!L150</f>
        <v>8.0760970000000007</v>
      </c>
      <c r="M1014" s="14">
        <f>'extended_recharge_2003-2015'!M150</f>
        <v>2.6078947000000001</v>
      </c>
      <c r="N1014" s="14">
        <f>'extended_recharge_2003-2015'!N150</f>
        <v>24.278566000000001</v>
      </c>
      <c r="O1014" s="14">
        <f>'extended_recharge_2003-2015'!O150</f>
        <v>18.730879999999999</v>
      </c>
      <c r="P1014" s="14">
        <f>'extended_recharge_2003-2015'!P150</f>
        <v>67.44359</v>
      </c>
      <c r="Q1014" s="14">
        <f>'extended_recharge_2003-2015'!Q150</f>
        <v>3.2496301999999999</v>
      </c>
      <c r="R1014" s="14">
        <f>'extended_recharge_2003-2015'!R150</f>
        <v>11.335772</v>
      </c>
      <c r="S1014" s="14">
        <f>'extended_recharge_2003-2015'!S150</f>
        <v>6.6870494000000003</v>
      </c>
      <c r="T1014" s="14">
        <f>'extended_recharge_2003-2015'!T150</f>
        <v>21.818695000000002</v>
      </c>
      <c r="U1014" s="14">
        <f>'extended_recharge_2003-2015'!U150</f>
        <v>10.016719</v>
      </c>
      <c r="V1014" s="15">
        <f>'extended_recharge_2003-2015'!V150</f>
        <v>18.230879999999999</v>
      </c>
      <c r="W1014" s="16">
        <f>'extended_recharge_2003-2015'!W150</f>
        <v>0.54116934999999999</v>
      </c>
      <c r="X1014" s="16">
        <f>'extended_recharge_2003-2015'!X150</f>
        <v>3.5781101999999998</v>
      </c>
      <c r="Y1014" s="16">
        <f>'extended_recharge_2003-2015'!Y150</f>
        <v>13.071168999999999</v>
      </c>
      <c r="Z1014" s="16">
        <f>'extended_recharge_2003-2015'!Z150</f>
        <v>2.0764686999999999</v>
      </c>
      <c r="AA1014" s="16">
        <f>'extended_recharge_2003-2015'!AA150</f>
        <v>2.7289838999999998</v>
      </c>
      <c r="AB1014" s="16">
        <f>'extended_recharge_2003-2015'!AB150</f>
        <v>1.2904652000000001</v>
      </c>
      <c r="AC1014" s="16">
        <f>'extended_recharge_2003-2015'!AC150</f>
        <v>3.9376247000000002</v>
      </c>
      <c r="AD1014" s="16">
        <f>'extended_recharge_2003-2015'!AD150</f>
        <v>2.1789293000000001</v>
      </c>
      <c r="AE1014" s="16">
        <f>'extended_recharge_2003-2015'!AE150</f>
        <v>20.060703</v>
      </c>
      <c r="AF1014" s="16">
        <f>'extended_recharge_2003-2015'!AF150</f>
        <v>63.057549999999999</v>
      </c>
      <c r="AG1014" s="16">
        <f>'extended_recharge_2003-2015'!AG150</f>
        <v>9.9150840000000002</v>
      </c>
    </row>
    <row r="1015" spans="1:33" x14ac:dyDescent="0.2">
      <c r="A1015" s="3">
        <v>38807</v>
      </c>
      <c r="B1015" s="14">
        <f>'extended_recharge_2003-2015'!B151</f>
        <v>3.2757722999999999</v>
      </c>
      <c r="C1015" s="14">
        <f>'extended_recharge_2003-2015'!C151</f>
        <v>23.018136999999999</v>
      </c>
      <c r="D1015" s="14">
        <f>'extended_recharge_2003-2015'!D151</f>
        <v>1.2064356000000001</v>
      </c>
      <c r="E1015" s="14">
        <f>'extended_recharge_2003-2015'!E151</f>
        <v>0.63025403000000002</v>
      </c>
      <c r="F1015" s="14">
        <f>'extended_recharge_2003-2015'!F151</f>
        <v>12.597275</v>
      </c>
      <c r="G1015" s="14">
        <f>'extended_recharge_2003-2015'!G151</f>
        <v>18.611898</v>
      </c>
      <c r="H1015" s="14">
        <f>'extended_recharge_2003-2015'!H151</f>
        <v>14.260932</v>
      </c>
      <c r="I1015" s="14">
        <f>'extended_recharge_2003-2015'!I151</f>
        <v>36.729796999999998</v>
      </c>
      <c r="J1015" s="14">
        <f>'extended_recharge_2003-2015'!J151</f>
        <v>13.548579</v>
      </c>
      <c r="K1015" s="14">
        <f>'extended_recharge_2003-2015'!K151</f>
        <v>4.6261052999999999</v>
      </c>
      <c r="L1015" s="14">
        <f>'extended_recharge_2003-2015'!L151</f>
        <v>2.8595538</v>
      </c>
      <c r="M1015" s="14">
        <f>'extended_recharge_2003-2015'!M151</f>
        <v>3.4115236000000002</v>
      </c>
      <c r="N1015" s="14">
        <f>'extended_recharge_2003-2015'!N151</f>
        <v>29.220009999999998</v>
      </c>
      <c r="O1015" s="14">
        <f>'extended_recharge_2003-2015'!O151</f>
        <v>16.290745000000001</v>
      </c>
      <c r="P1015" s="14">
        <f>'extended_recharge_2003-2015'!P151</f>
        <v>66.072739999999996</v>
      </c>
      <c r="Q1015" s="14">
        <f>'extended_recharge_2003-2015'!Q151</f>
        <v>1.2828740999999999</v>
      </c>
      <c r="R1015" s="14">
        <f>'extended_recharge_2003-2015'!R151</f>
        <v>8.248837</v>
      </c>
      <c r="S1015" s="14">
        <f>'extended_recharge_2003-2015'!S151</f>
        <v>2.0162749999999998</v>
      </c>
      <c r="T1015" s="14">
        <f>'extended_recharge_2003-2015'!T151</f>
        <v>21.986853</v>
      </c>
      <c r="U1015" s="14">
        <f>'extended_recharge_2003-2015'!U151</f>
        <v>10.221715</v>
      </c>
      <c r="V1015" s="15">
        <f>'extended_recharge_2003-2015'!V151</f>
        <v>20.465976999999999</v>
      </c>
      <c r="W1015" s="16">
        <f>'extended_recharge_2003-2015'!W151</f>
        <v>3.6013617999999997E-2</v>
      </c>
      <c r="X1015" s="16">
        <f>'extended_recharge_2003-2015'!X151</f>
        <v>3.2207975000000002</v>
      </c>
      <c r="Y1015" s="16">
        <f>'extended_recharge_2003-2015'!Y151</f>
        <v>13.282541</v>
      </c>
      <c r="Z1015" s="16">
        <f>'extended_recharge_2003-2015'!Z151</f>
        <v>-0.16821975</v>
      </c>
      <c r="AA1015" s="16">
        <f>'extended_recharge_2003-2015'!AA151</f>
        <v>3.3330519999999999</v>
      </c>
      <c r="AB1015" s="16">
        <f>'extended_recharge_2003-2015'!AB151</f>
        <v>1.2578444</v>
      </c>
      <c r="AC1015" s="16">
        <f>'extended_recharge_2003-2015'!AC151</f>
        <v>2.2171737999999999</v>
      </c>
      <c r="AD1015" s="16">
        <f>'extended_recharge_2003-2015'!AD151</f>
        <v>3.2951731999999998</v>
      </c>
      <c r="AE1015" s="16">
        <f>'extended_recharge_2003-2015'!AE151</f>
        <v>11.43136</v>
      </c>
      <c r="AF1015" s="16">
        <f>'extended_recharge_2003-2015'!AF151</f>
        <v>71.413086000000007</v>
      </c>
      <c r="AG1015" s="16">
        <f>'extended_recharge_2003-2015'!AG151</f>
        <v>10.769830000000001</v>
      </c>
    </row>
    <row r="1016" spans="1:33" x14ac:dyDescent="0.2">
      <c r="A1016" s="3">
        <v>38837</v>
      </c>
      <c r="B1016" s="14">
        <f>'extended_recharge_2003-2015'!B152</f>
        <v>6.9843273000000003</v>
      </c>
      <c r="C1016" s="14">
        <f>'extended_recharge_2003-2015'!C152</f>
        <v>27.764538000000002</v>
      </c>
      <c r="D1016" s="14">
        <f>'extended_recharge_2003-2015'!D152</f>
        <v>8.4713340000000006</v>
      </c>
      <c r="E1016" s="14">
        <f>'extended_recharge_2003-2015'!E152</f>
        <v>37.123820000000002</v>
      </c>
      <c r="F1016" s="14">
        <f>'extended_recharge_2003-2015'!F152</f>
        <v>42.157195999999999</v>
      </c>
      <c r="G1016" s="14">
        <f>'extended_recharge_2003-2015'!G152</f>
        <v>45.484110000000001</v>
      </c>
      <c r="H1016" s="14">
        <f>'extended_recharge_2003-2015'!H152</f>
        <v>16.736650000000001</v>
      </c>
      <c r="I1016" s="14">
        <f>'extended_recharge_2003-2015'!I152</f>
        <v>40.657040000000002</v>
      </c>
      <c r="J1016" s="14">
        <f>'extended_recharge_2003-2015'!J152</f>
        <v>18.670463999999999</v>
      </c>
      <c r="K1016" s="14">
        <f>'extended_recharge_2003-2015'!K152</f>
        <v>27.388863000000001</v>
      </c>
      <c r="L1016" s="14">
        <f>'extended_recharge_2003-2015'!L152</f>
        <v>19.621673999999999</v>
      </c>
      <c r="M1016" s="14">
        <f>'extended_recharge_2003-2015'!M152</f>
        <v>22.128627999999999</v>
      </c>
      <c r="N1016" s="14">
        <f>'extended_recharge_2003-2015'!N152</f>
        <v>48.763179999999998</v>
      </c>
      <c r="O1016" s="14">
        <f>'extended_recharge_2003-2015'!O152</f>
        <v>23.243994000000001</v>
      </c>
      <c r="P1016" s="14">
        <f>'extended_recharge_2003-2015'!P152</f>
        <v>66.278999999999996</v>
      </c>
      <c r="Q1016" s="14">
        <f>'extended_recharge_2003-2015'!Q152</f>
        <v>2.9867430000000001</v>
      </c>
      <c r="R1016" s="14">
        <f>'extended_recharge_2003-2015'!R152</f>
        <v>14.017758000000001</v>
      </c>
      <c r="S1016" s="14">
        <f>'extended_recharge_2003-2015'!S152</f>
        <v>17.214884000000001</v>
      </c>
      <c r="T1016" s="14">
        <f>'extended_recharge_2003-2015'!T152</f>
        <v>31.264482000000001</v>
      </c>
      <c r="U1016" s="14">
        <f>'extended_recharge_2003-2015'!U152</f>
        <v>13.529617</v>
      </c>
      <c r="V1016" s="15">
        <f>'extended_recharge_2003-2015'!V152</f>
        <v>24.564978</v>
      </c>
      <c r="W1016" s="16">
        <f>'extended_recharge_2003-2015'!W152</f>
        <v>2.9336856999999999E-3</v>
      </c>
      <c r="X1016" s="16">
        <f>'extended_recharge_2003-2015'!X152</f>
        <v>5.019825</v>
      </c>
      <c r="Y1016" s="16">
        <f>'extended_recharge_2003-2015'!Y152</f>
        <v>15.866323</v>
      </c>
      <c r="Z1016" s="16">
        <f>'extended_recharge_2003-2015'!Z152</f>
        <v>0.75965769999999999</v>
      </c>
      <c r="AA1016" s="16">
        <f>'extended_recharge_2003-2015'!AA152</f>
        <v>5.3988657</v>
      </c>
      <c r="AB1016" s="16">
        <f>'extended_recharge_2003-2015'!AB152</f>
        <v>2.0417895000000001</v>
      </c>
      <c r="AC1016" s="16">
        <f>'extended_recharge_2003-2015'!AC152</f>
        <v>2.4283636</v>
      </c>
      <c r="AD1016" s="16">
        <f>'extended_recharge_2003-2015'!AD152</f>
        <v>4.8420329999999998</v>
      </c>
      <c r="AE1016" s="16">
        <f>'extended_recharge_2003-2015'!AE152</f>
        <v>6.849634</v>
      </c>
      <c r="AF1016" s="16">
        <f>'extended_recharge_2003-2015'!AF152</f>
        <v>85.353970000000004</v>
      </c>
      <c r="AG1016" s="16">
        <f>'extended_recharge_2003-2015'!AG152</f>
        <v>14.38649</v>
      </c>
    </row>
    <row r="1017" spans="1:33" x14ac:dyDescent="0.2">
      <c r="A1017" s="3">
        <v>38868</v>
      </c>
      <c r="B1017" s="14">
        <f>'extended_recharge_2003-2015'!B153</f>
        <v>6.9553190000000003</v>
      </c>
      <c r="C1017" s="14">
        <f>'extended_recharge_2003-2015'!C153</f>
        <v>27.159659999999999</v>
      </c>
      <c r="D1017" s="14">
        <f>'extended_recharge_2003-2015'!D153</f>
        <v>-1.2628566000000001</v>
      </c>
      <c r="E1017" s="14">
        <f>'extended_recharge_2003-2015'!E153</f>
        <v>5.6707369999999999</v>
      </c>
      <c r="F1017" s="14">
        <f>'extended_recharge_2003-2015'!F153</f>
        <v>6.748945</v>
      </c>
      <c r="G1017" s="14">
        <f>'extended_recharge_2003-2015'!G153</f>
        <v>14.402269</v>
      </c>
      <c r="H1017" s="14">
        <f>'extended_recharge_2003-2015'!H153</f>
        <v>15.199814</v>
      </c>
      <c r="I1017" s="14">
        <f>'extended_recharge_2003-2015'!I153</f>
        <v>36.035209999999999</v>
      </c>
      <c r="J1017" s="14">
        <f>'extended_recharge_2003-2015'!J153</f>
        <v>3.5496373000000001</v>
      </c>
      <c r="K1017" s="14">
        <f>'extended_recharge_2003-2015'!K153</f>
        <v>7.662433</v>
      </c>
      <c r="L1017" s="14">
        <f>'extended_recharge_2003-2015'!L153</f>
        <v>9.8367679999999993</v>
      </c>
      <c r="M1017" s="14">
        <f>'extended_recharge_2003-2015'!M153</f>
        <v>8.180904</v>
      </c>
      <c r="N1017" s="14">
        <f>'extended_recharge_2003-2015'!N153</f>
        <v>37.22587</v>
      </c>
      <c r="O1017" s="14">
        <f>'extended_recharge_2003-2015'!O153</f>
        <v>29.2303</v>
      </c>
      <c r="P1017" s="14">
        <f>'extended_recharge_2003-2015'!P153</f>
        <v>53.277569999999997</v>
      </c>
      <c r="Q1017" s="14">
        <f>'extended_recharge_2003-2015'!Q153</f>
        <v>1.0768336000000001</v>
      </c>
      <c r="R1017" s="14">
        <f>'extended_recharge_2003-2015'!R153</f>
        <v>11.109692000000001</v>
      </c>
      <c r="S1017" s="14">
        <f>'extended_recharge_2003-2015'!S153</f>
        <v>15.561973999999999</v>
      </c>
      <c r="T1017" s="14">
        <f>'extended_recharge_2003-2015'!T153</f>
        <v>33.442284000000001</v>
      </c>
      <c r="U1017" s="14">
        <f>'extended_recharge_2003-2015'!U153</f>
        <v>16.440819999999999</v>
      </c>
      <c r="V1017" s="15">
        <f>'extended_recharge_2003-2015'!V153</f>
        <v>32.697944999999997</v>
      </c>
      <c r="W1017" s="16">
        <f>'extended_recharge_2003-2015'!W153</f>
        <v>4.5239152999999996</v>
      </c>
      <c r="X1017" s="16">
        <f>'extended_recharge_2003-2015'!X153</f>
        <v>4.8276219999999999</v>
      </c>
      <c r="Y1017" s="16">
        <f>'extended_recharge_2003-2015'!Y153</f>
        <v>17.777180000000001</v>
      </c>
      <c r="Z1017" s="16">
        <f>'extended_recharge_2003-2015'!Z153</f>
        <v>0.79536830000000003</v>
      </c>
      <c r="AA1017" s="16">
        <f>'extended_recharge_2003-2015'!AA153</f>
        <v>4.1582512999999999</v>
      </c>
      <c r="AB1017" s="16">
        <f>'extended_recharge_2003-2015'!AB153</f>
        <v>1.3597406000000001</v>
      </c>
      <c r="AC1017" s="16">
        <f>'extended_recharge_2003-2015'!AC153</f>
        <v>2.6562603</v>
      </c>
      <c r="AD1017" s="16">
        <f>'extended_recharge_2003-2015'!AD153</f>
        <v>7.5468029999999997</v>
      </c>
      <c r="AE1017" s="16">
        <f>'extended_recharge_2003-2015'!AE153</f>
        <v>0.50150185999999997</v>
      </c>
      <c r="AF1017" s="16">
        <f>'extended_recharge_2003-2015'!AF153</f>
        <v>95.720699999999994</v>
      </c>
      <c r="AG1017" s="16">
        <f>'extended_recharge_2003-2015'!AG153</f>
        <v>17.864742</v>
      </c>
    </row>
    <row r="1018" spans="1:33" x14ac:dyDescent="0.2">
      <c r="A1018" s="3">
        <v>38898</v>
      </c>
      <c r="B1018" s="14">
        <f>'extended_recharge_2003-2015'!B154</f>
        <v>7.7586329999999997</v>
      </c>
      <c r="C1018" s="14">
        <f>'extended_recharge_2003-2015'!C154</f>
        <v>26.074331000000001</v>
      </c>
      <c r="D1018" s="14">
        <f>'extended_recharge_2003-2015'!D154</f>
        <v>-6.5832290000000002</v>
      </c>
      <c r="E1018" s="14">
        <f>'extended_recharge_2003-2015'!E154</f>
        <v>-11.439734</v>
      </c>
      <c r="F1018" s="14">
        <f>'extended_recharge_2003-2015'!F154</f>
        <v>2.3140816000000002E-2</v>
      </c>
      <c r="G1018" s="14">
        <f>'extended_recharge_2003-2015'!G154</f>
        <v>8.2595919999999996</v>
      </c>
      <c r="H1018" s="14">
        <f>'extended_recharge_2003-2015'!H154</f>
        <v>15.884033000000001</v>
      </c>
      <c r="I1018" s="14">
        <f>'extended_recharge_2003-2015'!I154</f>
        <v>37.282195999999999</v>
      </c>
      <c r="J1018" s="14">
        <f>'extended_recharge_2003-2015'!J154</f>
        <v>-3.3603141000000001</v>
      </c>
      <c r="K1018" s="14">
        <f>'extended_recharge_2003-2015'!K154</f>
        <v>6.2844167000000004</v>
      </c>
      <c r="L1018" s="14">
        <f>'extended_recharge_2003-2015'!L154</f>
        <v>9.7106349999999999</v>
      </c>
      <c r="M1018" s="14">
        <f>'extended_recharge_2003-2015'!M154</f>
        <v>4.689629</v>
      </c>
      <c r="N1018" s="14">
        <f>'extended_recharge_2003-2015'!N154</f>
        <v>30.324418999999999</v>
      </c>
      <c r="O1018" s="14">
        <f>'extended_recharge_2003-2015'!O154</f>
        <v>30.460068</v>
      </c>
      <c r="P1018" s="14">
        <f>'extended_recharge_2003-2015'!P154</f>
        <v>75.053110000000004</v>
      </c>
      <c r="Q1018" s="14">
        <f>'extended_recharge_2003-2015'!Q154</f>
        <v>2.9305150000000002</v>
      </c>
      <c r="R1018" s="14">
        <f>'extended_recharge_2003-2015'!R154</f>
        <v>12.185845</v>
      </c>
      <c r="S1018" s="14">
        <f>'extended_recharge_2003-2015'!S154</f>
        <v>17.991009999999999</v>
      </c>
      <c r="T1018" s="14">
        <f>'extended_recharge_2003-2015'!T154</f>
        <v>44.393009999999997</v>
      </c>
      <c r="U1018" s="14">
        <f>'extended_recharge_2003-2015'!U154</f>
        <v>18.383638000000001</v>
      </c>
      <c r="V1018" s="15">
        <f>'extended_recharge_2003-2015'!V154</f>
        <v>46.072375999999998</v>
      </c>
      <c r="W1018" s="16">
        <f>'extended_recharge_2003-2015'!W154</f>
        <v>18.143965000000001</v>
      </c>
      <c r="X1018" s="16">
        <f>'extended_recharge_2003-2015'!X154</f>
        <v>3.1968236000000001</v>
      </c>
      <c r="Y1018" s="16">
        <f>'extended_recharge_2003-2015'!Y154</f>
        <v>20.786375</v>
      </c>
      <c r="Z1018" s="16">
        <f>'extended_recharge_2003-2015'!Z154</f>
        <v>1.8216962999999999</v>
      </c>
      <c r="AA1018" s="16">
        <f>'extended_recharge_2003-2015'!AA154</f>
        <v>2.2442544</v>
      </c>
      <c r="AB1018" s="16">
        <f>'extended_recharge_2003-2015'!AB154</f>
        <v>1.687022</v>
      </c>
      <c r="AC1018" s="16">
        <f>'extended_recharge_2003-2015'!AC154</f>
        <v>2.1639203999999999</v>
      </c>
      <c r="AD1018" s="16">
        <f>'extended_recharge_2003-2015'!AD154</f>
        <v>9.7930355000000002</v>
      </c>
      <c r="AE1018" s="16">
        <f>'extended_recharge_2003-2015'!AE154</f>
        <v>-0.44567266</v>
      </c>
      <c r="AF1018" s="16">
        <f>'extended_recharge_2003-2015'!AF154</f>
        <v>103.02484</v>
      </c>
      <c r="AG1018" s="16">
        <f>'extended_recharge_2003-2015'!AG154</f>
        <v>22.215472999999999</v>
      </c>
    </row>
    <row r="1019" spans="1:33" x14ac:dyDescent="0.2">
      <c r="A1019" s="3">
        <v>38929</v>
      </c>
      <c r="B1019" s="14">
        <f>'extended_recharge_2003-2015'!B155</f>
        <v>5.3045834999999997</v>
      </c>
      <c r="C1019" s="14">
        <f>'extended_recharge_2003-2015'!C155</f>
        <v>22.713246999999999</v>
      </c>
      <c r="D1019" s="14">
        <f>'extended_recharge_2003-2015'!D155</f>
        <v>-8.7905560000000005</v>
      </c>
      <c r="E1019" s="14">
        <f>'extended_recharge_2003-2015'!E155</f>
        <v>-22.276340000000001</v>
      </c>
      <c r="F1019" s="14">
        <f>'extended_recharge_2003-2015'!F155</f>
        <v>-1.0757871000000001</v>
      </c>
      <c r="G1019" s="14">
        <f>'extended_recharge_2003-2015'!G155</f>
        <v>-0.88912504999999997</v>
      </c>
      <c r="H1019" s="14">
        <f>'extended_recharge_2003-2015'!H155</f>
        <v>13.502064000000001</v>
      </c>
      <c r="I1019" s="14">
        <f>'extended_recharge_2003-2015'!I155</f>
        <v>37.711205</v>
      </c>
      <c r="J1019" s="14">
        <f>'extended_recharge_2003-2015'!J155</f>
        <v>-5.2257376000000004</v>
      </c>
      <c r="K1019" s="14">
        <f>'extended_recharge_2003-2015'!K155</f>
        <v>1.1758658</v>
      </c>
      <c r="L1019" s="14">
        <f>'extended_recharge_2003-2015'!L155</f>
        <v>3.2211335000000001</v>
      </c>
      <c r="M1019" s="14">
        <f>'extended_recharge_2003-2015'!M155</f>
        <v>0.96108610000000005</v>
      </c>
      <c r="N1019" s="14">
        <f>'extended_recharge_2003-2015'!N155</f>
        <v>31.158560000000001</v>
      </c>
      <c r="O1019" s="14">
        <f>'extended_recharge_2003-2015'!O155</f>
        <v>31.933277</v>
      </c>
      <c r="P1019" s="14">
        <f>'extended_recharge_2003-2015'!P155</f>
        <v>45.719723000000002</v>
      </c>
      <c r="Q1019" s="14">
        <f>'extended_recharge_2003-2015'!Q155</f>
        <v>3.4092658</v>
      </c>
      <c r="R1019" s="14">
        <f>'extended_recharge_2003-2015'!R155</f>
        <v>12.183975</v>
      </c>
      <c r="S1019" s="14">
        <f>'extended_recharge_2003-2015'!S155</f>
        <v>13.889726</v>
      </c>
      <c r="T1019" s="14">
        <f>'extended_recharge_2003-2015'!T155</f>
        <v>33.298614999999998</v>
      </c>
      <c r="U1019" s="14">
        <f>'extended_recharge_2003-2015'!U155</f>
        <v>19.485835999999999</v>
      </c>
      <c r="V1019" s="15">
        <f>'extended_recharge_2003-2015'!V155</f>
        <v>45.549289999999999</v>
      </c>
      <c r="W1019" s="16">
        <f>'extended_recharge_2003-2015'!W155</f>
        <v>30.398458000000002</v>
      </c>
      <c r="X1019" s="16">
        <f>'extended_recharge_2003-2015'!X155</f>
        <v>3.5034109999999998</v>
      </c>
      <c r="Y1019" s="16">
        <f>'extended_recharge_2003-2015'!Y155</f>
        <v>19.310400000000001</v>
      </c>
      <c r="Z1019" s="16">
        <f>'extended_recharge_2003-2015'!Z155</f>
        <v>2.4291909999999999</v>
      </c>
      <c r="AA1019" s="16">
        <f>'extended_recharge_2003-2015'!AA155</f>
        <v>4.2605862999999999</v>
      </c>
      <c r="AB1019" s="16">
        <f>'extended_recharge_2003-2015'!AB155</f>
        <v>0.84335875999999999</v>
      </c>
      <c r="AC1019" s="16">
        <f>'extended_recharge_2003-2015'!AC155</f>
        <v>3.049185</v>
      </c>
      <c r="AD1019" s="16">
        <f>'extended_recharge_2003-2015'!AD155</f>
        <v>10.035753</v>
      </c>
      <c r="AE1019" s="16">
        <f>'extended_recharge_2003-2015'!AE155</f>
        <v>-0.40870529999999999</v>
      </c>
      <c r="AF1019" s="16">
        <f>'extended_recharge_2003-2015'!AF155</f>
        <v>111.53095</v>
      </c>
      <c r="AG1019" s="16">
        <f>'extended_recharge_2003-2015'!AG155</f>
        <v>24.215993999999998</v>
      </c>
    </row>
    <row r="1020" spans="1:33" x14ac:dyDescent="0.2">
      <c r="A1020" s="3">
        <v>38960</v>
      </c>
      <c r="B1020" s="14">
        <f>'extended_recharge_2003-2015'!B156</f>
        <v>4.2823935000000004</v>
      </c>
      <c r="C1020" s="14">
        <f>'extended_recharge_2003-2015'!C156</f>
        <v>20.023133999999999</v>
      </c>
      <c r="D1020" s="14">
        <f>'extended_recharge_2003-2015'!D156</f>
        <v>-10.696717</v>
      </c>
      <c r="E1020" s="14">
        <f>'extended_recharge_2003-2015'!E156</f>
        <v>-29.105694</v>
      </c>
      <c r="F1020" s="14">
        <f>'extended_recharge_2003-2015'!F156</f>
        <v>-8.8337310000000002</v>
      </c>
      <c r="G1020" s="14">
        <f>'extended_recharge_2003-2015'!G156</f>
        <v>-7.1654242999999997</v>
      </c>
      <c r="H1020" s="14">
        <f>'extended_recharge_2003-2015'!H156</f>
        <v>12.317992</v>
      </c>
      <c r="I1020" s="14">
        <f>'extended_recharge_2003-2015'!I156</f>
        <v>36.777393000000004</v>
      </c>
      <c r="J1020" s="14">
        <f>'extended_recharge_2003-2015'!J156</f>
        <v>-3.6176395000000001</v>
      </c>
      <c r="K1020" s="14">
        <f>'extended_recharge_2003-2015'!K156</f>
        <v>5.2026405000000002</v>
      </c>
      <c r="L1020" s="14">
        <f>'extended_recharge_2003-2015'!L156</f>
        <v>1.5053645</v>
      </c>
      <c r="M1020" s="14">
        <f>'extended_recharge_2003-2015'!M156</f>
        <v>3.5150990000000002</v>
      </c>
      <c r="N1020" s="14">
        <f>'extended_recharge_2003-2015'!N156</f>
        <v>31.358685999999999</v>
      </c>
      <c r="O1020" s="14">
        <f>'extended_recharge_2003-2015'!O156</f>
        <v>24.689219999999999</v>
      </c>
      <c r="P1020" s="14">
        <f>'extended_recharge_2003-2015'!P156</f>
        <v>41.432743000000002</v>
      </c>
      <c r="Q1020" s="14">
        <f>'extended_recharge_2003-2015'!Q156</f>
        <v>4.3495645999999999</v>
      </c>
      <c r="R1020" s="14">
        <f>'extended_recharge_2003-2015'!R156</f>
        <v>8.1917089999999995</v>
      </c>
      <c r="S1020" s="14">
        <f>'extended_recharge_2003-2015'!S156</f>
        <v>5.3379700000000003</v>
      </c>
      <c r="T1020" s="14">
        <f>'extended_recharge_2003-2015'!T156</f>
        <v>31.079594</v>
      </c>
      <c r="U1020" s="14">
        <f>'extended_recharge_2003-2015'!U156</f>
        <v>17.502320999999998</v>
      </c>
      <c r="V1020" s="15">
        <f>'extended_recharge_2003-2015'!V156</f>
        <v>44.770367</v>
      </c>
      <c r="W1020" s="16">
        <f>'extended_recharge_2003-2015'!W156</f>
        <v>31.458406</v>
      </c>
      <c r="X1020" s="16">
        <f>'extended_recharge_2003-2015'!X156</f>
        <v>2.3386182999999998</v>
      </c>
      <c r="Y1020" s="16">
        <f>'extended_recharge_2003-2015'!Y156</f>
        <v>18.733854000000001</v>
      </c>
      <c r="Z1020" s="16">
        <f>'extended_recharge_2003-2015'!Z156</f>
        <v>2.5082914999999999</v>
      </c>
      <c r="AA1020" s="16">
        <f>'extended_recharge_2003-2015'!AA156</f>
        <v>1.7766561999999999</v>
      </c>
      <c r="AB1020" s="16">
        <f>'extended_recharge_2003-2015'!AB156</f>
        <v>0.46395427</v>
      </c>
      <c r="AC1020" s="16">
        <f>'extended_recharge_2003-2015'!AC156</f>
        <v>1.2991356999999999</v>
      </c>
      <c r="AD1020" s="16">
        <f>'extended_recharge_2003-2015'!AD156</f>
        <v>7.975142</v>
      </c>
      <c r="AE1020" s="16">
        <f>'extended_recharge_2003-2015'!AE156</f>
        <v>-0.59176505000000001</v>
      </c>
      <c r="AF1020" s="16">
        <f>'extended_recharge_2003-2015'!AF156</f>
        <v>106.48293</v>
      </c>
      <c r="AG1020" s="16">
        <f>'extended_recharge_2003-2015'!AG156</f>
        <v>23.812602999999999</v>
      </c>
    </row>
    <row r="1021" spans="1:33" x14ac:dyDescent="0.2">
      <c r="A1021" s="3">
        <v>38990</v>
      </c>
      <c r="B1021" s="14">
        <f>'extended_recharge_2003-2015'!B157</f>
        <v>2.8208899999999999</v>
      </c>
      <c r="C1021" s="14">
        <f>'extended_recharge_2003-2015'!C157</f>
        <v>19.40033</v>
      </c>
      <c r="D1021" s="14">
        <f>'extended_recharge_2003-2015'!D157</f>
        <v>-6.9736479999999998</v>
      </c>
      <c r="E1021" s="14">
        <f>'extended_recharge_2003-2015'!E157</f>
        <v>-20.404387</v>
      </c>
      <c r="F1021" s="14">
        <f>'extended_recharge_2003-2015'!F157</f>
        <v>2.3155901000000001</v>
      </c>
      <c r="G1021" s="14">
        <f>'extended_recharge_2003-2015'!G157</f>
        <v>16.623615000000001</v>
      </c>
      <c r="H1021" s="14">
        <f>'extended_recharge_2003-2015'!H157</f>
        <v>15.973022</v>
      </c>
      <c r="I1021" s="14">
        <f>'extended_recharge_2003-2015'!I157</f>
        <v>39.815309999999997</v>
      </c>
      <c r="J1021" s="14">
        <f>'extended_recharge_2003-2015'!J157</f>
        <v>11.576938</v>
      </c>
      <c r="K1021" s="14">
        <f>'extended_recharge_2003-2015'!K157</f>
        <v>8.9034910000000007</v>
      </c>
      <c r="L1021" s="14">
        <f>'extended_recharge_2003-2015'!L157</f>
        <v>4.6249776000000002</v>
      </c>
      <c r="M1021" s="14">
        <f>'extended_recharge_2003-2015'!M157</f>
        <v>9.1683350000000008</v>
      </c>
      <c r="N1021" s="14">
        <f>'extended_recharge_2003-2015'!N157</f>
        <v>38.620010000000001</v>
      </c>
      <c r="O1021" s="14">
        <f>'extended_recharge_2003-2015'!O157</f>
        <v>28.675262</v>
      </c>
      <c r="P1021" s="14">
        <f>'extended_recharge_2003-2015'!P157</f>
        <v>59.467452999999999</v>
      </c>
      <c r="Q1021" s="14">
        <f>'extended_recharge_2003-2015'!Q157</f>
        <v>5.2061019999999996</v>
      </c>
      <c r="R1021" s="14">
        <f>'extended_recharge_2003-2015'!R157</f>
        <v>11.056476</v>
      </c>
      <c r="S1021" s="14">
        <f>'extended_recharge_2003-2015'!S157</f>
        <v>17.638548</v>
      </c>
      <c r="T1021" s="14">
        <f>'extended_recharge_2003-2015'!T157</f>
        <v>26.190829999999998</v>
      </c>
      <c r="U1021" s="14">
        <f>'extended_recharge_2003-2015'!U157</f>
        <v>16.45064</v>
      </c>
      <c r="V1021" s="15">
        <f>'extended_recharge_2003-2015'!V157</f>
        <v>27.760069999999999</v>
      </c>
      <c r="W1021" s="16">
        <f>'extended_recharge_2003-2015'!W157</f>
        <v>26.777359000000001</v>
      </c>
      <c r="X1021" s="16">
        <f>'extended_recharge_2003-2015'!X157</f>
        <v>1.2523048000000001</v>
      </c>
      <c r="Y1021" s="16">
        <f>'extended_recharge_2003-2015'!Y157</f>
        <v>17.005845999999998</v>
      </c>
      <c r="Z1021" s="16">
        <f>'extended_recharge_2003-2015'!Z157</f>
        <v>4.8931556</v>
      </c>
      <c r="AA1021" s="16">
        <f>'extended_recharge_2003-2015'!AA157</f>
        <v>3.0394104</v>
      </c>
      <c r="AB1021" s="16">
        <f>'extended_recharge_2003-2015'!AB157</f>
        <v>1.4468281000000001</v>
      </c>
      <c r="AC1021" s="16">
        <f>'extended_recharge_2003-2015'!AC157</f>
        <v>2.5042087999999998</v>
      </c>
      <c r="AD1021" s="16">
        <f>'extended_recharge_2003-2015'!AD157</f>
        <v>5.4932829999999999</v>
      </c>
      <c r="AE1021" s="16">
        <f>'extended_recharge_2003-2015'!AE157</f>
        <v>2.9882447999999999</v>
      </c>
      <c r="AF1021" s="16">
        <f>'extended_recharge_2003-2015'!AF157</f>
        <v>95.169876000000002</v>
      </c>
      <c r="AG1021" s="16">
        <f>'extended_recharge_2003-2015'!AG157</f>
        <v>20.616513999999999</v>
      </c>
    </row>
    <row r="1022" spans="1:33" x14ac:dyDescent="0.2">
      <c r="A1022" s="3">
        <v>39021</v>
      </c>
      <c r="B1022" s="14">
        <f>'extended_recharge_2003-2015'!B158</f>
        <v>1.3273790000000001</v>
      </c>
      <c r="C1022" s="14">
        <f>'extended_recharge_2003-2015'!C158</f>
        <v>21.104645000000001</v>
      </c>
      <c r="D1022" s="14">
        <f>'extended_recharge_2003-2015'!D158</f>
        <v>-0.40195947999999998</v>
      </c>
      <c r="E1022" s="14">
        <f>'extended_recharge_2003-2015'!E158</f>
        <v>-2.3153155000000001</v>
      </c>
      <c r="F1022" s="14">
        <f>'extended_recharge_2003-2015'!F158</f>
        <v>7.1150136000000002</v>
      </c>
      <c r="G1022" s="14">
        <f>'extended_recharge_2003-2015'!G158</f>
        <v>33.698996999999999</v>
      </c>
      <c r="H1022" s="14">
        <f>'extended_recharge_2003-2015'!H158</f>
        <v>16.497202000000001</v>
      </c>
      <c r="I1022" s="14">
        <f>'extended_recharge_2003-2015'!I158</f>
        <v>37.601640000000003</v>
      </c>
      <c r="J1022" s="14">
        <f>'extended_recharge_2003-2015'!J158</f>
        <v>15.783637000000001</v>
      </c>
      <c r="K1022" s="14">
        <f>'extended_recharge_2003-2015'!K158</f>
        <v>9.819509</v>
      </c>
      <c r="L1022" s="14">
        <f>'extended_recharge_2003-2015'!L158</f>
        <v>-3.6448681000000001</v>
      </c>
      <c r="M1022" s="14">
        <f>'extended_recharge_2003-2015'!M158</f>
        <v>1.4314302000000001</v>
      </c>
      <c r="N1022" s="14">
        <f>'extended_recharge_2003-2015'!N158</f>
        <v>36.474083</v>
      </c>
      <c r="O1022" s="14">
        <f>'extended_recharge_2003-2015'!O158</f>
        <v>24.500658000000001</v>
      </c>
      <c r="P1022" s="14">
        <f>'extended_recharge_2003-2015'!P158</f>
        <v>25.314250000000001</v>
      </c>
      <c r="Q1022" s="14">
        <f>'extended_recharge_2003-2015'!Q158</f>
        <v>4.5767603000000001</v>
      </c>
      <c r="R1022" s="14">
        <f>'extended_recharge_2003-2015'!R158</f>
        <v>9.4148060000000005</v>
      </c>
      <c r="S1022" s="14">
        <f>'extended_recharge_2003-2015'!S158</f>
        <v>29.094132999999999</v>
      </c>
      <c r="T1022" s="14">
        <f>'extended_recharge_2003-2015'!T158</f>
        <v>21.798418000000002</v>
      </c>
      <c r="U1022" s="14">
        <f>'extended_recharge_2003-2015'!U158</f>
        <v>13.226899</v>
      </c>
      <c r="V1022" s="15">
        <f>'extended_recharge_2003-2015'!V158</f>
        <v>20.480920000000001</v>
      </c>
      <c r="W1022" s="16">
        <f>'extended_recharge_2003-2015'!W158</f>
        <v>21.84186</v>
      </c>
      <c r="X1022" s="16">
        <f>'extended_recharge_2003-2015'!X158</f>
        <v>1.0760365999999999</v>
      </c>
      <c r="Y1022" s="16">
        <f>'extended_recharge_2003-2015'!Y158</f>
        <v>13.902531</v>
      </c>
      <c r="Z1022" s="16">
        <f>'extended_recharge_2003-2015'!Z158</f>
        <v>5.7697716000000003</v>
      </c>
      <c r="AA1022" s="16">
        <f>'extended_recharge_2003-2015'!AA158</f>
        <v>2.3743474</v>
      </c>
      <c r="AB1022" s="16">
        <f>'extended_recharge_2003-2015'!AB158</f>
        <v>2.6680335999999998</v>
      </c>
      <c r="AC1022" s="16">
        <f>'extended_recharge_2003-2015'!AC158</f>
        <v>4.9091554000000004</v>
      </c>
      <c r="AD1022" s="16">
        <f>'extended_recharge_2003-2015'!AD158</f>
        <v>3.0961539999999999</v>
      </c>
      <c r="AE1022" s="16">
        <f>'extended_recharge_2003-2015'!AE158</f>
        <v>9.1884519999999998</v>
      </c>
      <c r="AF1022" s="16">
        <f>'extended_recharge_2003-2015'!AF158</f>
        <v>85.005769999999998</v>
      </c>
      <c r="AG1022" s="16">
        <f>'extended_recharge_2003-2015'!AG158</f>
        <v>16.539717</v>
      </c>
    </row>
    <row r="1023" spans="1:33" x14ac:dyDescent="0.2">
      <c r="A1023" s="3">
        <v>39051</v>
      </c>
      <c r="B1023" s="14">
        <f>'extended_recharge_2003-2015'!B159</f>
        <v>0.18561929999999999</v>
      </c>
      <c r="C1023" s="14">
        <f>'extended_recharge_2003-2015'!C159</f>
        <v>22.11402</v>
      </c>
      <c r="D1023" s="14">
        <f>'extended_recharge_2003-2015'!D159</f>
        <v>2.4841769</v>
      </c>
      <c r="E1023" s="14">
        <f>'extended_recharge_2003-2015'!E159</f>
        <v>-7.3704764000000006E-2</v>
      </c>
      <c r="F1023" s="14">
        <f>'extended_recharge_2003-2015'!F159</f>
        <v>2.4369839999999998</v>
      </c>
      <c r="G1023" s="14">
        <f>'extended_recharge_2003-2015'!G159</f>
        <v>33.201309999999999</v>
      </c>
      <c r="H1023" s="14">
        <f>'extended_recharge_2003-2015'!H159</f>
        <v>15.686673000000001</v>
      </c>
      <c r="I1023" s="14">
        <f>'extended_recharge_2003-2015'!I159</f>
        <v>37.620019999999997</v>
      </c>
      <c r="J1023" s="14">
        <f>'extended_recharge_2003-2015'!J159</f>
        <v>18.689620999999999</v>
      </c>
      <c r="K1023" s="14">
        <f>'extended_recharge_2003-2015'!K159</f>
        <v>5.9133057999999998</v>
      </c>
      <c r="L1023" s="14">
        <f>'extended_recharge_2003-2015'!L159</f>
        <v>-0.20320812999999999</v>
      </c>
      <c r="M1023" s="14">
        <f>'extended_recharge_2003-2015'!M159</f>
        <v>2.4597552</v>
      </c>
      <c r="N1023" s="14">
        <f>'extended_recharge_2003-2015'!N159</f>
        <v>33.41037</v>
      </c>
      <c r="O1023" s="14">
        <f>'extended_recharge_2003-2015'!O159</f>
        <v>26.490176999999999</v>
      </c>
      <c r="P1023" s="14">
        <f>'extended_recharge_2003-2015'!P159</f>
        <v>50.939464999999998</v>
      </c>
      <c r="Q1023" s="14">
        <f>'extended_recharge_2003-2015'!Q159</f>
        <v>3.7094320000000001</v>
      </c>
      <c r="R1023" s="14">
        <f>'extended_recharge_2003-2015'!R159</f>
        <v>11.627675999999999</v>
      </c>
      <c r="S1023" s="14">
        <f>'extended_recharge_2003-2015'!S159</f>
        <v>29.189163000000001</v>
      </c>
      <c r="T1023" s="14">
        <f>'extended_recharge_2003-2015'!T159</f>
        <v>28.597819999999999</v>
      </c>
      <c r="U1023" s="14">
        <f>'extended_recharge_2003-2015'!U159</f>
        <v>12.709761</v>
      </c>
      <c r="V1023" s="15">
        <f>'extended_recharge_2003-2015'!V159</f>
        <v>20.414127000000001</v>
      </c>
      <c r="W1023" s="16">
        <f>'extended_recharge_2003-2015'!W159</f>
        <v>16.104662000000001</v>
      </c>
      <c r="X1023" s="16">
        <f>'extended_recharge_2003-2015'!X159</f>
        <v>1.5222192999999999</v>
      </c>
      <c r="Y1023" s="16">
        <f>'extended_recharge_2003-2015'!Y159</f>
        <v>12.081496</v>
      </c>
      <c r="Z1023" s="16">
        <f>'extended_recharge_2003-2015'!Z159</f>
        <v>5.5391399999999997</v>
      </c>
      <c r="AA1023" s="16">
        <f>'extended_recharge_2003-2015'!AA159</f>
        <v>3.465347</v>
      </c>
      <c r="AB1023" s="16">
        <f>'extended_recharge_2003-2015'!AB159</f>
        <v>1.6418668999999999</v>
      </c>
      <c r="AC1023" s="16">
        <f>'extended_recharge_2003-2015'!AC159</f>
        <v>5.0106973999999997</v>
      </c>
      <c r="AD1023" s="16">
        <f>'extended_recharge_2003-2015'!AD159</f>
        <v>2.1740314999999999</v>
      </c>
      <c r="AE1023" s="16">
        <f>'extended_recharge_2003-2015'!AE159</f>
        <v>19.071961999999999</v>
      </c>
      <c r="AF1023" s="16">
        <f>'extended_recharge_2003-2015'!AF159</f>
        <v>61.446823000000002</v>
      </c>
      <c r="AG1023" s="16">
        <f>'extended_recharge_2003-2015'!AG159</f>
        <v>13.277206</v>
      </c>
    </row>
    <row r="1024" spans="1:33" x14ac:dyDescent="0.2">
      <c r="A1024" s="3">
        <v>39082</v>
      </c>
      <c r="B1024" s="14">
        <f>'extended_recharge_2003-2015'!B160</f>
        <v>-0.69793400000000005</v>
      </c>
      <c r="C1024" s="14">
        <f>'extended_recharge_2003-2015'!C160</f>
        <v>27.361025000000001</v>
      </c>
      <c r="D1024" s="14">
        <f>'extended_recharge_2003-2015'!D160</f>
        <v>12.453856</v>
      </c>
      <c r="E1024" s="14">
        <f>'extended_recharge_2003-2015'!E160</f>
        <v>27.593776999999999</v>
      </c>
      <c r="F1024" s="14">
        <f>'extended_recharge_2003-2015'!F160</f>
        <v>19.887187999999998</v>
      </c>
      <c r="G1024" s="14">
        <f>'extended_recharge_2003-2015'!G160</f>
        <v>44.367109999999997</v>
      </c>
      <c r="H1024" s="14">
        <f>'extended_recharge_2003-2015'!H160</f>
        <v>16.437940000000001</v>
      </c>
      <c r="I1024" s="14">
        <f>'extended_recharge_2003-2015'!I160</f>
        <v>40.749493000000001</v>
      </c>
      <c r="J1024" s="14">
        <f>'extended_recharge_2003-2015'!J160</f>
        <v>29.97541</v>
      </c>
      <c r="K1024" s="14">
        <f>'extended_recharge_2003-2015'!K160</f>
        <v>16.973832999999999</v>
      </c>
      <c r="L1024" s="14">
        <f>'extended_recharge_2003-2015'!L160</f>
        <v>4.4979315</v>
      </c>
      <c r="M1024" s="14">
        <f>'extended_recharge_2003-2015'!M160</f>
        <v>5.0884356000000004</v>
      </c>
      <c r="N1024" s="14">
        <f>'extended_recharge_2003-2015'!N160</f>
        <v>46.480052999999998</v>
      </c>
      <c r="O1024" s="14">
        <f>'extended_recharge_2003-2015'!O160</f>
        <v>21.677906</v>
      </c>
      <c r="P1024" s="14">
        <f>'extended_recharge_2003-2015'!P160</f>
        <v>61.019385999999997</v>
      </c>
      <c r="Q1024" s="14">
        <f>'extended_recharge_2003-2015'!Q160</f>
        <v>2.9458669999999998</v>
      </c>
      <c r="R1024" s="14">
        <f>'extended_recharge_2003-2015'!R160</f>
        <v>12.635812</v>
      </c>
      <c r="S1024" s="14">
        <f>'extended_recharge_2003-2015'!S160</f>
        <v>32.191519999999997</v>
      </c>
      <c r="T1024" s="14">
        <f>'extended_recharge_2003-2015'!T160</f>
        <v>30.639212000000001</v>
      </c>
      <c r="U1024" s="14">
        <f>'extended_recharge_2003-2015'!U160</f>
        <v>9.7522830000000003</v>
      </c>
      <c r="V1024" s="15">
        <f>'extended_recharge_2003-2015'!V160</f>
        <v>19.245756</v>
      </c>
      <c r="W1024" s="16">
        <f>'extended_recharge_2003-2015'!W160</f>
        <v>11.661955000000001</v>
      </c>
      <c r="X1024" s="16">
        <f>'extended_recharge_2003-2015'!X160</f>
        <v>1.5880443</v>
      </c>
      <c r="Y1024" s="16">
        <f>'extended_recharge_2003-2015'!Y160</f>
        <v>12.576498000000001</v>
      </c>
      <c r="Z1024" s="16">
        <f>'extended_recharge_2003-2015'!Z160</f>
        <v>6.3096813999999997</v>
      </c>
      <c r="AA1024" s="16">
        <f>'extended_recharge_2003-2015'!AA160</f>
        <v>3.7758243</v>
      </c>
      <c r="AB1024" s="16">
        <f>'extended_recharge_2003-2015'!AB160</f>
        <v>1.4009214999999999</v>
      </c>
      <c r="AC1024" s="16">
        <f>'extended_recharge_2003-2015'!AC160</f>
        <v>5.202922</v>
      </c>
      <c r="AD1024" s="16">
        <f>'extended_recharge_2003-2015'!AD160</f>
        <v>1.9020374</v>
      </c>
      <c r="AE1024" s="16">
        <f>'extended_recharge_2003-2015'!AE160</f>
        <v>28.434246000000002</v>
      </c>
      <c r="AF1024" s="16">
        <f>'extended_recharge_2003-2015'!AF160</f>
        <v>58.312710000000003</v>
      </c>
      <c r="AG1024" s="16">
        <f>'extended_recharge_2003-2015'!AG160</f>
        <v>11.431679000000001</v>
      </c>
    </row>
    <row r="1025" spans="1:33" x14ac:dyDescent="0.2">
      <c r="A1025" s="3">
        <v>39113</v>
      </c>
      <c r="B1025" s="14">
        <f>'extended_recharge_2003-2015'!B161</f>
        <v>-1.5162426</v>
      </c>
      <c r="C1025" s="14">
        <f>'extended_recharge_2003-2015'!C161</f>
        <v>25.685262999999999</v>
      </c>
      <c r="D1025" s="14">
        <f>'extended_recharge_2003-2015'!D161</f>
        <v>6.0415143999999996</v>
      </c>
      <c r="E1025" s="14">
        <f>'extended_recharge_2003-2015'!E161</f>
        <v>8.4934150000000006</v>
      </c>
      <c r="F1025" s="14">
        <f>'extended_recharge_2003-2015'!F161</f>
        <v>15.804948</v>
      </c>
      <c r="G1025" s="14">
        <f>'extended_recharge_2003-2015'!G161</f>
        <v>34.859734000000003</v>
      </c>
      <c r="H1025" s="14">
        <f>'extended_recharge_2003-2015'!H161</f>
        <v>18.041573</v>
      </c>
      <c r="I1025" s="14">
        <f>'extended_recharge_2003-2015'!I161</f>
        <v>41.663383000000003</v>
      </c>
      <c r="J1025" s="14">
        <f>'extended_recharge_2003-2015'!J161</f>
        <v>24.592853999999999</v>
      </c>
      <c r="K1025" s="14">
        <f>'extended_recharge_2003-2015'!K161</f>
        <v>9.8590560000000007</v>
      </c>
      <c r="L1025" s="14">
        <f>'extended_recharge_2003-2015'!L161</f>
        <v>2.5780804000000002</v>
      </c>
      <c r="M1025" s="14">
        <f>'extended_recharge_2003-2015'!M161</f>
        <v>4.9861326000000004</v>
      </c>
      <c r="N1025" s="14">
        <f>'extended_recharge_2003-2015'!N161</f>
        <v>36.462519999999998</v>
      </c>
      <c r="O1025" s="14">
        <f>'extended_recharge_2003-2015'!O161</f>
        <v>19.234905000000001</v>
      </c>
      <c r="P1025" s="14">
        <f>'extended_recharge_2003-2015'!P161</f>
        <v>46.825870000000002</v>
      </c>
      <c r="Q1025" s="14">
        <f>'extended_recharge_2003-2015'!Q161</f>
        <v>3.8841953</v>
      </c>
      <c r="R1025" s="14">
        <f>'extended_recharge_2003-2015'!R161</f>
        <v>11.144365000000001</v>
      </c>
      <c r="S1025" s="14">
        <f>'extended_recharge_2003-2015'!S161</f>
        <v>18.841971999999998</v>
      </c>
      <c r="T1025" s="14">
        <f>'extended_recharge_2003-2015'!T161</f>
        <v>29.571353999999999</v>
      </c>
      <c r="U1025" s="14">
        <f>'extended_recharge_2003-2015'!U161</f>
        <v>9.4522490000000001</v>
      </c>
      <c r="V1025" s="15">
        <f>'extended_recharge_2003-2015'!V161</f>
        <v>18.895302000000001</v>
      </c>
      <c r="W1025" s="16">
        <f>'extended_recharge_2003-2015'!W161</f>
        <v>4.5714226</v>
      </c>
      <c r="X1025" s="16">
        <f>'extended_recharge_2003-2015'!X161</f>
        <v>2.4677370000000001</v>
      </c>
      <c r="Y1025" s="16">
        <f>'extended_recharge_2003-2015'!Y161</f>
        <v>11.331891000000001</v>
      </c>
      <c r="Z1025" s="16">
        <f>'extended_recharge_2003-2015'!Z161</f>
        <v>2.8644753000000001</v>
      </c>
      <c r="AA1025" s="16">
        <f>'extended_recharge_2003-2015'!AA161</f>
        <v>4.1980890000000004</v>
      </c>
      <c r="AB1025" s="16">
        <f>'extended_recharge_2003-2015'!AB161</f>
        <v>2.0358120999999998</v>
      </c>
      <c r="AC1025" s="16">
        <f>'extended_recharge_2003-2015'!AC161</f>
        <v>5.6872387</v>
      </c>
      <c r="AD1025" s="16">
        <f>'extended_recharge_2003-2015'!AD161</f>
        <v>1.443675</v>
      </c>
      <c r="AE1025" s="16">
        <f>'extended_recharge_2003-2015'!AE161</f>
        <v>27.246172000000001</v>
      </c>
      <c r="AF1025" s="16">
        <f>'extended_recharge_2003-2015'!AF161</f>
        <v>63.881360000000001</v>
      </c>
      <c r="AG1025" s="16">
        <f>'extended_recharge_2003-2015'!AG161</f>
        <v>10.011310999999999</v>
      </c>
    </row>
    <row r="1026" spans="1:33" x14ac:dyDescent="0.2">
      <c r="A1026" s="3">
        <v>39141</v>
      </c>
      <c r="B1026" s="14">
        <f>'extended_recharge_2003-2015'!B162</f>
        <v>0.7333906</v>
      </c>
      <c r="C1026" s="14">
        <f>'extended_recharge_2003-2015'!C162</f>
        <v>26.895810999999998</v>
      </c>
      <c r="D1026" s="14">
        <f>'extended_recharge_2003-2015'!D162</f>
        <v>4.9779514999999996</v>
      </c>
      <c r="E1026" s="14">
        <f>'extended_recharge_2003-2015'!E162</f>
        <v>8.4045290000000001</v>
      </c>
      <c r="F1026" s="14">
        <f>'extended_recharge_2003-2015'!F162</f>
        <v>22.251204000000001</v>
      </c>
      <c r="G1026" s="14">
        <f>'extended_recharge_2003-2015'!G162</f>
        <v>28.708960999999999</v>
      </c>
      <c r="H1026" s="14">
        <f>'extended_recharge_2003-2015'!H162</f>
        <v>15.729329999999999</v>
      </c>
      <c r="I1026" s="14">
        <f>'extended_recharge_2003-2015'!I162</f>
        <v>38.891261999999998</v>
      </c>
      <c r="J1026" s="14">
        <f>'extended_recharge_2003-2015'!J162</f>
        <v>30.640121000000001</v>
      </c>
      <c r="K1026" s="14">
        <f>'extended_recharge_2003-2015'!K162</f>
        <v>11.747521000000001</v>
      </c>
      <c r="L1026" s="14">
        <f>'extended_recharge_2003-2015'!L162</f>
        <v>5.1855335</v>
      </c>
      <c r="M1026" s="14">
        <f>'extended_recharge_2003-2015'!M162</f>
        <v>9.8075010000000002</v>
      </c>
      <c r="N1026" s="14">
        <f>'extended_recharge_2003-2015'!N162</f>
        <v>39.251179999999998</v>
      </c>
      <c r="O1026" s="14">
        <f>'extended_recharge_2003-2015'!O162</f>
        <v>20.933422</v>
      </c>
      <c r="P1026" s="14">
        <f>'extended_recharge_2003-2015'!P162</f>
        <v>52.248824999999997</v>
      </c>
      <c r="Q1026" s="14">
        <f>'extended_recharge_2003-2015'!Q162</f>
        <v>4.4094496000000003</v>
      </c>
      <c r="R1026" s="14">
        <f>'extended_recharge_2003-2015'!R162</f>
        <v>12.360977</v>
      </c>
      <c r="S1026" s="14">
        <f>'extended_recharge_2003-2015'!S162</f>
        <v>20.822642999999999</v>
      </c>
      <c r="T1026" s="14">
        <f>'extended_recharge_2003-2015'!T162</f>
        <v>32.873375000000003</v>
      </c>
      <c r="U1026" s="14">
        <f>'extended_recharge_2003-2015'!U162</f>
        <v>9.4331200000000006</v>
      </c>
      <c r="V1026" s="15">
        <f>'extended_recharge_2003-2015'!V162</f>
        <v>21.848488</v>
      </c>
      <c r="W1026" s="16">
        <f>'extended_recharge_2003-2015'!W162</f>
        <v>4.3967770000000002E-3</v>
      </c>
      <c r="X1026" s="16">
        <f>'extended_recharge_2003-2015'!X162</f>
        <v>3.3532120000000001</v>
      </c>
      <c r="Y1026" s="16">
        <f>'extended_recharge_2003-2015'!Y162</f>
        <v>11.771049</v>
      </c>
      <c r="Z1026" s="16">
        <f>'extended_recharge_2003-2015'!Z162</f>
        <v>2.0904902999999999</v>
      </c>
      <c r="AA1026" s="16">
        <f>'extended_recharge_2003-2015'!AA162</f>
        <v>3.8396602</v>
      </c>
      <c r="AB1026" s="16">
        <f>'extended_recharge_2003-2015'!AB162</f>
        <v>3.5167071999999999</v>
      </c>
      <c r="AC1026" s="16">
        <f>'extended_recharge_2003-2015'!AC162</f>
        <v>2.7313556999999999</v>
      </c>
      <c r="AD1026" s="16">
        <f>'extended_recharge_2003-2015'!AD162</f>
        <v>2.1279222999999998</v>
      </c>
      <c r="AE1026" s="16">
        <f>'extended_recharge_2003-2015'!AE162</f>
        <v>24.872928999999999</v>
      </c>
      <c r="AF1026" s="16">
        <f>'extended_recharge_2003-2015'!AF162</f>
        <v>64.003770000000003</v>
      </c>
      <c r="AG1026" s="16">
        <f>'extended_recharge_2003-2015'!AG162</f>
        <v>10.065448</v>
      </c>
    </row>
    <row r="1027" spans="1:33" x14ac:dyDescent="0.2">
      <c r="A1027" s="3">
        <v>39172</v>
      </c>
      <c r="B1027" s="14">
        <f>'extended_recharge_2003-2015'!B163</f>
        <v>3.2850961999999999</v>
      </c>
      <c r="C1027" s="14">
        <f>'extended_recharge_2003-2015'!C163</f>
        <v>27.246373999999999</v>
      </c>
      <c r="D1027" s="14">
        <f>'extended_recharge_2003-2015'!D163</f>
        <v>7.5689960000000003</v>
      </c>
      <c r="E1027" s="14">
        <f>'extended_recharge_2003-2015'!E163</f>
        <v>14.233326</v>
      </c>
      <c r="F1027" s="14">
        <f>'extended_recharge_2003-2015'!F163</f>
        <v>29.358082</v>
      </c>
      <c r="G1027" s="14">
        <f>'extended_recharge_2003-2015'!G163</f>
        <v>30.975574000000002</v>
      </c>
      <c r="H1027" s="14">
        <f>'extended_recharge_2003-2015'!H163</f>
        <v>15.960134500000001</v>
      </c>
      <c r="I1027" s="14">
        <f>'extended_recharge_2003-2015'!I163</f>
        <v>38.47927</v>
      </c>
      <c r="J1027" s="14">
        <f>'extended_recharge_2003-2015'!J163</f>
        <v>26.388107000000002</v>
      </c>
      <c r="K1027" s="14">
        <f>'extended_recharge_2003-2015'!K163</f>
        <v>12.405972</v>
      </c>
      <c r="L1027" s="14">
        <f>'extended_recharge_2003-2015'!L163</f>
        <v>6.4581679999999997</v>
      </c>
      <c r="M1027" s="14">
        <f>'extended_recharge_2003-2015'!M163</f>
        <v>9.753997</v>
      </c>
      <c r="N1027" s="14">
        <f>'extended_recharge_2003-2015'!N163</f>
        <v>41.385677000000001</v>
      </c>
      <c r="O1027" s="14">
        <f>'extended_recharge_2003-2015'!O163</f>
        <v>20.973295</v>
      </c>
      <c r="P1027" s="14">
        <f>'extended_recharge_2003-2015'!P163</f>
        <v>46.85642</v>
      </c>
      <c r="Q1027" s="14">
        <f>'extended_recharge_2003-2015'!Q163</f>
        <v>4.7982154000000001</v>
      </c>
      <c r="R1027" s="14">
        <f>'extended_recharge_2003-2015'!R163</f>
        <v>12.05035</v>
      </c>
      <c r="S1027" s="14">
        <f>'extended_recharge_2003-2015'!S163</f>
        <v>16.835744999999999</v>
      </c>
      <c r="T1027" s="14">
        <f>'extended_recharge_2003-2015'!T163</f>
        <v>31.103949</v>
      </c>
      <c r="U1027" s="14">
        <f>'extended_recharge_2003-2015'!U163</f>
        <v>9.2317959999999992</v>
      </c>
      <c r="V1027" s="15">
        <f>'extended_recharge_2003-2015'!V163</f>
        <v>22.904295000000001</v>
      </c>
      <c r="W1027" s="16">
        <f>'extended_recharge_2003-2015'!W163</f>
        <v>-0.46743800000000002</v>
      </c>
      <c r="X1027" s="16">
        <f>'extended_recharge_2003-2015'!X163</f>
        <v>3.3826885</v>
      </c>
      <c r="Y1027" s="16">
        <f>'extended_recharge_2003-2015'!Y163</f>
        <v>13.837935999999999</v>
      </c>
      <c r="Z1027" s="16">
        <f>'extended_recharge_2003-2015'!Z163</f>
        <v>0.51029866999999995</v>
      </c>
      <c r="AA1027" s="16">
        <f>'extended_recharge_2003-2015'!AA163</f>
        <v>4.1482096000000004</v>
      </c>
      <c r="AB1027" s="16">
        <f>'extended_recharge_2003-2015'!AB163</f>
        <v>2.334597</v>
      </c>
      <c r="AC1027" s="16">
        <f>'extended_recharge_2003-2015'!AC163</f>
        <v>2.3405193999999998</v>
      </c>
      <c r="AD1027" s="16">
        <f>'extended_recharge_2003-2015'!AD163</f>
        <v>2.8684878</v>
      </c>
      <c r="AE1027" s="16">
        <f>'extended_recharge_2003-2015'!AE163</f>
        <v>16.295712000000002</v>
      </c>
      <c r="AF1027" s="16">
        <f>'extended_recharge_2003-2015'!AF163</f>
        <v>73.163480000000007</v>
      </c>
      <c r="AG1027" s="16">
        <f>'extended_recharge_2003-2015'!AG163</f>
        <v>11.045487</v>
      </c>
    </row>
    <row r="1028" spans="1:33" x14ac:dyDescent="0.2">
      <c r="A1028" s="3">
        <v>39202</v>
      </c>
      <c r="B1028" s="14">
        <f>'extended_recharge_2003-2015'!B164</f>
        <v>5.2805495000000002</v>
      </c>
      <c r="C1028" s="14">
        <f>'extended_recharge_2003-2015'!C164</f>
        <v>26.900503</v>
      </c>
      <c r="D1028" s="14">
        <f>'extended_recharge_2003-2015'!D164</f>
        <v>-1.6226678000000001</v>
      </c>
      <c r="E1028" s="14">
        <f>'extended_recharge_2003-2015'!E164</f>
        <v>1.9383938000000001</v>
      </c>
      <c r="F1028" s="14">
        <f>'extended_recharge_2003-2015'!F164</f>
        <v>13.579957</v>
      </c>
      <c r="G1028" s="14">
        <f>'extended_recharge_2003-2015'!G164</f>
        <v>4.1740649999999997</v>
      </c>
      <c r="H1028" s="14">
        <f>'extended_recharge_2003-2015'!H164</f>
        <v>15.340693</v>
      </c>
      <c r="I1028" s="14">
        <f>'extended_recharge_2003-2015'!I164</f>
        <v>39.439300000000003</v>
      </c>
      <c r="J1028" s="14">
        <f>'extended_recharge_2003-2015'!J164</f>
        <v>10.825027</v>
      </c>
      <c r="K1028" s="14">
        <f>'extended_recharge_2003-2015'!K164</f>
        <v>11.216975</v>
      </c>
      <c r="L1028" s="14">
        <f>'extended_recharge_2003-2015'!L164</f>
        <v>3.7839293000000001</v>
      </c>
      <c r="M1028" s="14">
        <f>'extended_recharge_2003-2015'!M164</f>
        <v>8.4982380000000006</v>
      </c>
      <c r="N1028" s="14">
        <f>'extended_recharge_2003-2015'!N164</f>
        <v>44.025416999999997</v>
      </c>
      <c r="O1028" s="14">
        <f>'extended_recharge_2003-2015'!O164</f>
        <v>21.957142000000001</v>
      </c>
      <c r="P1028" s="14">
        <f>'extended_recharge_2003-2015'!P164</f>
        <v>75.585279999999997</v>
      </c>
      <c r="Q1028" s="14">
        <f>'extended_recharge_2003-2015'!Q164</f>
        <v>4.1181599999999996</v>
      </c>
      <c r="R1028" s="14">
        <f>'extended_recharge_2003-2015'!R164</f>
        <v>14.936325999999999</v>
      </c>
      <c r="S1028" s="14">
        <f>'extended_recharge_2003-2015'!S164</f>
        <v>23.221347999999999</v>
      </c>
      <c r="T1028" s="14">
        <f>'extended_recharge_2003-2015'!T164</f>
        <v>38.425260000000002</v>
      </c>
      <c r="U1028" s="14">
        <f>'extended_recharge_2003-2015'!U164</f>
        <v>10.877053999999999</v>
      </c>
      <c r="V1028" s="15">
        <f>'extended_recharge_2003-2015'!V164</f>
        <v>22.75789</v>
      </c>
      <c r="W1028" s="16">
        <f>'extended_recharge_2003-2015'!W164</f>
        <v>0.49018157000000001</v>
      </c>
      <c r="X1028" s="16">
        <f>'extended_recharge_2003-2015'!X164</f>
        <v>5.0660267000000001</v>
      </c>
      <c r="Y1028" s="16">
        <f>'extended_recharge_2003-2015'!Y164</f>
        <v>14.602100999999999</v>
      </c>
      <c r="Z1028" s="16">
        <f>'extended_recharge_2003-2015'!Z164</f>
        <v>1.2497077000000001</v>
      </c>
      <c r="AA1028" s="16">
        <f>'extended_recharge_2003-2015'!AA164</f>
        <v>3.4410531999999998</v>
      </c>
      <c r="AB1028" s="16">
        <f>'extended_recharge_2003-2015'!AB164</f>
        <v>1.7027653</v>
      </c>
      <c r="AC1028" s="16">
        <f>'extended_recharge_2003-2015'!AC164</f>
        <v>3.4400534999999999</v>
      </c>
      <c r="AD1028" s="16">
        <f>'extended_recharge_2003-2015'!AD164</f>
        <v>3.9533312</v>
      </c>
      <c r="AE1028" s="16">
        <f>'extended_recharge_2003-2015'!AE164</f>
        <v>8.2716370000000001</v>
      </c>
      <c r="AF1028" s="16">
        <f>'extended_recharge_2003-2015'!AF164</f>
        <v>88.542816000000002</v>
      </c>
      <c r="AG1028" s="16">
        <f>'extended_recharge_2003-2015'!AG164</f>
        <v>14.050053999999999</v>
      </c>
    </row>
    <row r="1029" spans="1:33" x14ac:dyDescent="0.2">
      <c r="A1029" s="3">
        <v>39233</v>
      </c>
      <c r="B1029" s="14">
        <f>'extended_recharge_2003-2015'!B165</f>
        <v>6.0937999999999999</v>
      </c>
      <c r="C1029" s="14">
        <f>'extended_recharge_2003-2015'!C165</f>
        <v>25.573853</v>
      </c>
      <c r="D1029" s="14">
        <f>'extended_recharge_2003-2015'!D165</f>
        <v>-6.6367783999999999</v>
      </c>
      <c r="E1029" s="14">
        <f>'extended_recharge_2003-2015'!E165</f>
        <v>-13.111901</v>
      </c>
      <c r="F1029" s="14">
        <f>'extended_recharge_2003-2015'!F165</f>
        <v>5.9075455999999997</v>
      </c>
      <c r="G1029" s="14">
        <f>'extended_recharge_2003-2015'!G165</f>
        <v>-2.0614569999999999</v>
      </c>
      <c r="H1029" s="14">
        <f>'extended_recharge_2003-2015'!H165</f>
        <v>12.860103000000001</v>
      </c>
      <c r="I1029" s="14">
        <f>'extended_recharge_2003-2015'!I165</f>
        <v>37.048070000000003</v>
      </c>
      <c r="J1029" s="14">
        <f>'extended_recharge_2003-2015'!J165</f>
        <v>-0.44128582</v>
      </c>
      <c r="K1029" s="14">
        <f>'extended_recharge_2003-2015'!K165</f>
        <v>5.8374350000000002</v>
      </c>
      <c r="L1029" s="14">
        <f>'extended_recharge_2003-2015'!L165</f>
        <v>2.3917389999999998</v>
      </c>
      <c r="M1029" s="14">
        <f>'extended_recharge_2003-2015'!M165</f>
        <v>2.3388274</v>
      </c>
      <c r="N1029" s="14">
        <f>'extended_recharge_2003-2015'!N165</f>
        <v>35.198270000000001</v>
      </c>
      <c r="O1029" s="14">
        <f>'extended_recharge_2003-2015'!O165</f>
        <v>26.988772999999998</v>
      </c>
      <c r="P1029" s="14">
        <f>'extended_recharge_2003-2015'!P165</f>
        <v>47.766730000000003</v>
      </c>
      <c r="Q1029" s="14">
        <f>'extended_recharge_2003-2015'!Q165</f>
        <v>3.5011277000000001</v>
      </c>
      <c r="R1029" s="14">
        <f>'extended_recharge_2003-2015'!R165</f>
        <v>15.234915000000001</v>
      </c>
      <c r="S1029" s="14">
        <f>'extended_recharge_2003-2015'!S165</f>
        <v>18.133682</v>
      </c>
      <c r="T1029" s="14">
        <f>'extended_recharge_2003-2015'!T165</f>
        <v>43.51052</v>
      </c>
      <c r="U1029" s="14">
        <f>'extended_recharge_2003-2015'!U165</f>
        <v>13.005995</v>
      </c>
      <c r="V1029" s="15">
        <f>'extended_recharge_2003-2015'!V165</f>
        <v>27.879135000000002</v>
      </c>
      <c r="W1029" s="16">
        <f>'extended_recharge_2003-2015'!W165</f>
        <v>4.5724653999999996</v>
      </c>
      <c r="X1029" s="16">
        <f>'extended_recharge_2003-2015'!X165</f>
        <v>3.602338</v>
      </c>
      <c r="Y1029" s="16">
        <f>'extended_recharge_2003-2015'!Y165</f>
        <v>17.713000000000001</v>
      </c>
      <c r="Z1029" s="16">
        <f>'extended_recharge_2003-2015'!Z165</f>
        <v>0.70200850000000004</v>
      </c>
      <c r="AA1029" s="16">
        <f>'extended_recharge_2003-2015'!AA165</f>
        <v>4.0737075999999997</v>
      </c>
      <c r="AB1029" s="16">
        <f>'extended_recharge_2003-2015'!AB165</f>
        <v>2.2141215999999999</v>
      </c>
      <c r="AC1029" s="16">
        <f>'extended_recharge_2003-2015'!AC165</f>
        <v>3.4412042999999999</v>
      </c>
      <c r="AD1029" s="16">
        <f>'extended_recharge_2003-2015'!AD165</f>
        <v>6.763001</v>
      </c>
      <c r="AE1029" s="16">
        <f>'extended_recharge_2003-2015'!AE165</f>
        <v>1.4340668999999999</v>
      </c>
      <c r="AF1029" s="16">
        <f>'extended_recharge_2003-2015'!AF165</f>
        <v>98.735609999999994</v>
      </c>
      <c r="AG1029" s="16">
        <f>'extended_recharge_2003-2015'!AG165</f>
        <v>17.613969999999998</v>
      </c>
    </row>
    <row r="1030" spans="1:33" x14ac:dyDescent="0.2">
      <c r="A1030" s="3">
        <v>39263</v>
      </c>
      <c r="B1030" s="14">
        <f>'extended_recharge_2003-2015'!B166</f>
        <v>5.9638314000000001</v>
      </c>
      <c r="C1030" s="14">
        <f>'extended_recharge_2003-2015'!C166</f>
        <v>26.283042999999999</v>
      </c>
      <c r="D1030" s="14">
        <f>'extended_recharge_2003-2015'!D166</f>
        <v>-6.2520575999999997</v>
      </c>
      <c r="E1030" s="14">
        <f>'extended_recharge_2003-2015'!E166</f>
        <v>-14.359627</v>
      </c>
      <c r="F1030" s="14">
        <f>'extended_recharge_2003-2015'!F166</f>
        <v>5.5907580000000001</v>
      </c>
      <c r="G1030" s="14">
        <f>'extended_recharge_2003-2015'!G166</f>
        <v>2.5776555999999999</v>
      </c>
      <c r="H1030" s="14">
        <f>'extended_recharge_2003-2015'!H166</f>
        <v>12.754701000000001</v>
      </c>
      <c r="I1030" s="14">
        <f>'extended_recharge_2003-2015'!I166</f>
        <v>38.872416999999999</v>
      </c>
      <c r="J1030" s="14">
        <f>'extended_recharge_2003-2015'!J166</f>
        <v>-6.1717899999999997</v>
      </c>
      <c r="K1030" s="14">
        <f>'extended_recharge_2003-2015'!K166</f>
        <v>3.0654023000000001</v>
      </c>
      <c r="L1030" s="14">
        <f>'extended_recharge_2003-2015'!L166</f>
        <v>3.6429965000000002</v>
      </c>
      <c r="M1030" s="14">
        <f>'extended_recharge_2003-2015'!M166</f>
        <v>4.5572805000000001</v>
      </c>
      <c r="N1030" s="14">
        <f>'extended_recharge_2003-2015'!N166</f>
        <v>35.547029999999999</v>
      </c>
      <c r="O1030" s="14">
        <f>'extended_recharge_2003-2015'!O166</f>
        <v>27.149017000000001</v>
      </c>
      <c r="P1030" s="14">
        <f>'extended_recharge_2003-2015'!P166</f>
        <v>64.815719999999999</v>
      </c>
      <c r="Q1030" s="14">
        <f>'extended_recharge_2003-2015'!Q166</f>
        <v>2.5605714000000002</v>
      </c>
      <c r="R1030" s="14">
        <f>'extended_recharge_2003-2015'!R166</f>
        <v>13.512352999999999</v>
      </c>
      <c r="S1030" s="14">
        <f>'extended_recharge_2003-2015'!S166</f>
        <v>13.870316000000001</v>
      </c>
      <c r="T1030" s="14">
        <f>'extended_recharge_2003-2015'!T166</f>
        <v>45.847664000000002</v>
      </c>
      <c r="U1030" s="14">
        <f>'extended_recharge_2003-2015'!U166</f>
        <v>14.286644000000001</v>
      </c>
      <c r="V1030" s="15">
        <f>'extended_recharge_2003-2015'!V166</f>
        <v>37.579079999999998</v>
      </c>
      <c r="W1030" s="16">
        <f>'extended_recharge_2003-2015'!W166</f>
        <v>17.316846999999999</v>
      </c>
      <c r="X1030" s="16">
        <f>'extended_recharge_2003-2015'!X166</f>
        <v>1.288967</v>
      </c>
      <c r="Y1030" s="16">
        <f>'extended_recharge_2003-2015'!Y166</f>
        <v>17.796585</v>
      </c>
      <c r="Z1030" s="16">
        <f>'extended_recharge_2003-2015'!Z166</f>
        <v>1.7516292</v>
      </c>
      <c r="AA1030" s="16">
        <f>'extended_recharge_2003-2015'!AA166</f>
        <v>5.9346027000000001</v>
      </c>
      <c r="AB1030" s="16">
        <f>'extended_recharge_2003-2015'!AB166</f>
        <v>2.7317046999999999</v>
      </c>
      <c r="AC1030" s="16">
        <f>'extended_recharge_2003-2015'!AC166</f>
        <v>4.1698079999999997</v>
      </c>
      <c r="AD1030" s="16">
        <f>'extended_recharge_2003-2015'!AD166</f>
        <v>8.3766390000000008</v>
      </c>
      <c r="AE1030" s="16">
        <f>'extended_recharge_2003-2015'!AE166</f>
        <v>-0.66054440000000003</v>
      </c>
      <c r="AF1030" s="16">
        <f>'extended_recharge_2003-2015'!AF166</f>
        <v>107.03019</v>
      </c>
      <c r="AG1030" s="16">
        <f>'extended_recharge_2003-2015'!AG166</f>
        <v>22.269886</v>
      </c>
    </row>
    <row r="1031" spans="1:33" x14ac:dyDescent="0.2">
      <c r="A1031" s="3">
        <v>39294</v>
      </c>
      <c r="B1031" s="14">
        <f>'extended_recharge_2003-2015'!B167</f>
        <v>3.6894895999999999</v>
      </c>
      <c r="C1031" s="14">
        <f>'extended_recharge_2003-2015'!C167</f>
        <v>19.777463999999998</v>
      </c>
      <c r="D1031" s="14">
        <f>'extended_recharge_2003-2015'!D167</f>
        <v>-11.251567</v>
      </c>
      <c r="E1031" s="14">
        <f>'extended_recharge_2003-2015'!E167</f>
        <v>-41.029583000000002</v>
      </c>
      <c r="F1031" s="14">
        <f>'extended_recharge_2003-2015'!F167</f>
        <v>-8.6938929999999992</v>
      </c>
      <c r="G1031" s="14">
        <f>'extended_recharge_2003-2015'!G167</f>
        <v>-13.611974</v>
      </c>
      <c r="H1031" s="14">
        <f>'extended_recharge_2003-2015'!H167</f>
        <v>12.925478</v>
      </c>
      <c r="I1031" s="14">
        <f>'extended_recharge_2003-2015'!I167</f>
        <v>37.984270000000002</v>
      </c>
      <c r="J1031" s="14">
        <f>'extended_recharge_2003-2015'!J167</f>
        <v>-4.6982410000000003</v>
      </c>
      <c r="K1031" s="14">
        <f>'extended_recharge_2003-2015'!K167</f>
        <v>1.5431391999999999</v>
      </c>
      <c r="L1031" s="14">
        <f>'extended_recharge_2003-2015'!L167</f>
        <v>1.1883336</v>
      </c>
      <c r="M1031" s="14">
        <f>'extended_recharge_2003-2015'!M167</f>
        <v>2.7519336000000001</v>
      </c>
      <c r="N1031" s="14">
        <f>'extended_recharge_2003-2015'!N167</f>
        <v>33.289195999999997</v>
      </c>
      <c r="O1031" s="14">
        <f>'extended_recharge_2003-2015'!O167</f>
        <v>26.480387</v>
      </c>
      <c r="P1031" s="14">
        <f>'extended_recharge_2003-2015'!P167</f>
        <v>59.395096000000002</v>
      </c>
      <c r="Q1031" s="14">
        <f>'extended_recharge_2003-2015'!Q167</f>
        <v>4.2387094000000003</v>
      </c>
      <c r="R1031" s="14">
        <f>'extended_recharge_2003-2015'!R167</f>
        <v>17.106068</v>
      </c>
      <c r="S1031" s="14">
        <f>'extended_recharge_2003-2015'!S167</f>
        <v>9.3891190000000009</v>
      </c>
      <c r="T1031" s="14">
        <f>'extended_recharge_2003-2015'!T167</f>
        <v>36.565894999999998</v>
      </c>
      <c r="U1031" s="14">
        <f>'extended_recharge_2003-2015'!U167</f>
        <v>16.22795</v>
      </c>
      <c r="V1031" s="15">
        <f>'extended_recharge_2003-2015'!V167</f>
        <v>41.307690000000001</v>
      </c>
      <c r="W1031" s="16">
        <f>'extended_recharge_2003-2015'!W167</f>
        <v>29.780275</v>
      </c>
      <c r="X1031" s="16">
        <f>'extended_recharge_2003-2015'!X167</f>
        <v>1.1254108</v>
      </c>
      <c r="Y1031" s="16">
        <f>'extended_recharge_2003-2015'!Y167</f>
        <v>18.130065999999999</v>
      </c>
      <c r="Z1031" s="16">
        <f>'extended_recharge_2003-2015'!Z167</f>
        <v>1.8226097000000001</v>
      </c>
      <c r="AA1031" s="16">
        <f>'extended_recharge_2003-2015'!AA167</f>
        <v>3.6008995000000001</v>
      </c>
      <c r="AB1031" s="16">
        <f>'extended_recharge_2003-2015'!AB167</f>
        <v>1.5502491</v>
      </c>
      <c r="AC1031" s="16">
        <f>'extended_recharge_2003-2015'!AC167</f>
        <v>3.6925469999999998</v>
      </c>
      <c r="AD1031" s="16">
        <f>'extended_recharge_2003-2015'!AD167</f>
        <v>9.0974810000000002</v>
      </c>
      <c r="AE1031" s="16">
        <f>'extended_recharge_2003-2015'!AE167</f>
        <v>-1.5189664</v>
      </c>
      <c r="AF1031" s="16">
        <f>'extended_recharge_2003-2015'!AF167</f>
        <v>117.76764</v>
      </c>
      <c r="AG1031" s="16">
        <f>'extended_recharge_2003-2015'!AG167</f>
        <v>24.716341</v>
      </c>
    </row>
    <row r="1032" spans="1:33" x14ac:dyDescent="0.2">
      <c r="A1032" s="3">
        <v>39325</v>
      </c>
      <c r="B1032" s="14">
        <f>'extended_recharge_2003-2015'!B168</f>
        <v>2.1978917</v>
      </c>
      <c r="C1032" s="14">
        <f>'extended_recharge_2003-2015'!C168</f>
        <v>20.057966</v>
      </c>
      <c r="D1032" s="14">
        <f>'extended_recharge_2003-2015'!D168</f>
        <v>-8.9918139999999998</v>
      </c>
      <c r="E1032" s="14">
        <f>'extended_recharge_2003-2015'!E168</f>
        <v>-26.208083999999999</v>
      </c>
      <c r="F1032" s="14">
        <f>'extended_recharge_2003-2015'!F168</f>
        <v>-3.4251339999999999</v>
      </c>
      <c r="G1032" s="14">
        <f>'extended_recharge_2003-2015'!G168</f>
        <v>-3.3586532999999998</v>
      </c>
      <c r="H1032" s="14">
        <f>'extended_recharge_2003-2015'!H168</f>
        <v>14.225666</v>
      </c>
      <c r="I1032" s="14">
        <f>'extended_recharge_2003-2015'!I168</f>
        <v>39.571899999999999</v>
      </c>
      <c r="J1032" s="14">
        <f>'extended_recharge_2003-2015'!J168</f>
        <v>-7.1150339999999996</v>
      </c>
      <c r="K1032" s="14">
        <f>'extended_recharge_2003-2015'!K168</f>
        <v>-0.17933183999999999</v>
      </c>
      <c r="L1032" s="14">
        <f>'extended_recharge_2003-2015'!L168</f>
        <v>-4.2618226999999997</v>
      </c>
      <c r="M1032" s="14">
        <f>'extended_recharge_2003-2015'!M168</f>
        <v>2.1716259</v>
      </c>
      <c r="N1032" s="14">
        <f>'extended_recharge_2003-2015'!N168</f>
        <v>30.641119</v>
      </c>
      <c r="O1032" s="14">
        <f>'extended_recharge_2003-2015'!O168</f>
        <v>25.178782999999999</v>
      </c>
      <c r="P1032" s="14">
        <f>'extended_recharge_2003-2015'!P168</f>
        <v>49.225406999999997</v>
      </c>
      <c r="Q1032" s="14">
        <f>'extended_recharge_2003-2015'!Q168</f>
        <v>3.4613700000000001</v>
      </c>
      <c r="R1032" s="14">
        <f>'extended_recharge_2003-2015'!R168</f>
        <v>13.832549999999999</v>
      </c>
      <c r="S1032" s="14">
        <f>'extended_recharge_2003-2015'!S168</f>
        <v>11.706882999999999</v>
      </c>
      <c r="T1032" s="14">
        <f>'extended_recharge_2003-2015'!T168</f>
        <v>27.388062000000001</v>
      </c>
      <c r="U1032" s="14">
        <f>'extended_recharge_2003-2015'!U168</f>
        <v>17.712167999999998</v>
      </c>
      <c r="V1032" s="15">
        <f>'extended_recharge_2003-2015'!V168</f>
        <v>38.730989999999998</v>
      </c>
      <c r="W1032" s="16">
        <f>'extended_recharge_2003-2015'!W168</f>
        <v>30.487397999999999</v>
      </c>
      <c r="X1032" s="16">
        <f>'extended_recharge_2003-2015'!X168</f>
        <v>0.88453274999999998</v>
      </c>
      <c r="Y1032" s="16">
        <f>'extended_recharge_2003-2015'!Y168</f>
        <v>17.835820999999999</v>
      </c>
      <c r="Z1032" s="16">
        <f>'extended_recharge_2003-2015'!Z168</f>
        <v>3.0299649999999998</v>
      </c>
      <c r="AA1032" s="16">
        <f>'extended_recharge_2003-2015'!AA168</f>
        <v>4.2276220000000002</v>
      </c>
      <c r="AB1032" s="16">
        <f>'extended_recharge_2003-2015'!AB168</f>
        <v>1.0747458000000001</v>
      </c>
      <c r="AC1032" s="16">
        <f>'extended_recharge_2003-2015'!AC168</f>
        <v>3.2214303000000002</v>
      </c>
      <c r="AD1032" s="16">
        <f>'extended_recharge_2003-2015'!AD168</f>
        <v>8.1064489999999996</v>
      </c>
      <c r="AE1032" s="16">
        <f>'extended_recharge_2003-2015'!AE168</f>
        <v>-1.1675823999999999</v>
      </c>
      <c r="AF1032" s="16">
        <f>'extended_recharge_2003-2015'!AF168</f>
        <v>112.07239</v>
      </c>
      <c r="AG1032" s="16">
        <f>'extended_recharge_2003-2015'!AG168</f>
        <v>23.331326000000001</v>
      </c>
    </row>
    <row r="1033" spans="1:33" x14ac:dyDescent="0.2">
      <c r="A1033" s="3">
        <v>39355</v>
      </c>
      <c r="B1033" s="14">
        <f>'extended_recharge_2003-2015'!B169</f>
        <v>1.1661642000000001</v>
      </c>
      <c r="C1033" s="14">
        <f>'extended_recharge_2003-2015'!C169</f>
        <v>22.246476999999999</v>
      </c>
      <c r="D1033" s="14">
        <f>'extended_recharge_2003-2015'!D169</f>
        <v>-1.3399886000000001</v>
      </c>
      <c r="E1033" s="14">
        <f>'extended_recharge_2003-2015'!E169</f>
        <v>-1.5840989999999999</v>
      </c>
      <c r="F1033" s="14">
        <f>'extended_recharge_2003-2015'!F169</f>
        <v>18.314900999999999</v>
      </c>
      <c r="G1033" s="14">
        <f>'extended_recharge_2003-2015'!G169</f>
        <v>25.733343000000001</v>
      </c>
      <c r="H1033" s="14">
        <f>'extended_recharge_2003-2015'!H169</f>
        <v>19.463190000000001</v>
      </c>
      <c r="I1033" s="14">
        <f>'extended_recharge_2003-2015'!I169</f>
        <v>40.896799999999999</v>
      </c>
      <c r="J1033" s="14">
        <f>'extended_recharge_2003-2015'!J169</f>
        <v>2.7538860000000001</v>
      </c>
      <c r="K1033" s="14">
        <f>'extended_recharge_2003-2015'!K169</f>
        <v>7.0135407000000001</v>
      </c>
      <c r="L1033" s="14">
        <f>'extended_recharge_2003-2015'!L169</f>
        <v>0.62393860000000001</v>
      </c>
      <c r="M1033" s="14">
        <f>'extended_recharge_2003-2015'!M169</f>
        <v>4.8792925</v>
      </c>
      <c r="N1033" s="14">
        <f>'extended_recharge_2003-2015'!N169</f>
        <v>34.378579999999999</v>
      </c>
      <c r="O1033" s="14">
        <f>'extended_recharge_2003-2015'!O169</f>
        <v>25.599173</v>
      </c>
      <c r="P1033" s="14">
        <f>'extended_recharge_2003-2015'!P169</f>
        <v>48.207639999999998</v>
      </c>
      <c r="Q1033" s="14">
        <f>'extended_recharge_2003-2015'!Q169</f>
        <v>2.8100917000000001</v>
      </c>
      <c r="R1033" s="14">
        <f>'extended_recharge_2003-2015'!R169</f>
        <v>14.490556</v>
      </c>
      <c r="S1033" s="14">
        <f>'extended_recharge_2003-2015'!S169</f>
        <v>11.869572</v>
      </c>
      <c r="T1033" s="14">
        <f>'extended_recharge_2003-2015'!T169</f>
        <v>30.651320999999999</v>
      </c>
      <c r="U1033" s="14">
        <f>'extended_recharge_2003-2015'!U169</f>
        <v>16.270071000000002</v>
      </c>
      <c r="V1033" s="15">
        <f>'extended_recharge_2003-2015'!V169</f>
        <v>29.370953</v>
      </c>
      <c r="W1033" s="16">
        <f>'extended_recharge_2003-2015'!W169</f>
        <v>27.001383000000001</v>
      </c>
      <c r="X1033" s="16">
        <f>'extended_recharge_2003-2015'!X169</f>
        <v>-0.57788589999999995</v>
      </c>
      <c r="Y1033" s="16">
        <f>'extended_recharge_2003-2015'!Y169</f>
        <v>16.250532</v>
      </c>
      <c r="Z1033" s="16">
        <f>'extended_recharge_2003-2015'!Z169</f>
        <v>3.8338633</v>
      </c>
      <c r="AA1033" s="16">
        <f>'extended_recharge_2003-2015'!AA169</f>
        <v>3.5583866</v>
      </c>
      <c r="AB1033" s="16">
        <f>'extended_recharge_2003-2015'!AB169</f>
        <v>1.8828499999999999</v>
      </c>
      <c r="AC1033" s="16">
        <f>'extended_recharge_2003-2015'!AC169</f>
        <v>2.9233395999999998</v>
      </c>
      <c r="AD1033" s="16">
        <f>'extended_recharge_2003-2015'!AD169</f>
        <v>5.3726516000000002</v>
      </c>
      <c r="AE1033" s="16">
        <f>'extended_recharge_2003-2015'!AE169</f>
        <v>2.7063199999999998</v>
      </c>
      <c r="AF1033" s="16">
        <f>'extended_recharge_2003-2015'!AF169</f>
        <v>103.53252999999999</v>
      </c>
      <c r="AG1033" s="16">
        <f>'extended_recharge_2003-2015'!AG169</f>
        <v>20.597788000000001</v>
      </c>
    </row>
    <row r="1034" spans="1:33" x14ac:dyDescent="0.2">
      <c r="A1034" s="3">
        <v>39386</v>
      </c>
      <c r="B1034" s="14">
        <f>'extended_recharge_2003-2015'!B170</f>
        <v>-0.2716499</v>
      </c>
      <c r="C1034" s="14">
        <f>'extended_recharge_2003-2015'!C170</f>
        <v>21.387661000000001</v>
      </c>
      <c r="D1034" s="14">
        <f>'extended_recharge_2003-2015'!D170</f>
        <v>2.3817400000000002</v>
      </c>
      <c r="E1034" s="14">
        <f>'extended_recharge_2003-2015'!E170</f>
        <v>1.1438136000000001</v>
      </c>
      <c r="F1034" s="14">
        <f>'extended_recharge_2003-2015'!F170</f>
        <v>1.9617583999999999</v>
      </c>
      <c r="G1034" s="14">
        <f>'extended_recharge_2003-2015'!G170</f>
        <v>31.553561999999999</v>
      </c>
      <c r="H1034" s="14">
        <f>'extended_recharge_2003-2015'!H170</f>
        <v>16.137405000000001</v>
      </c>
      <c r="I1034" s="14">
        <f>'extended_recharge_2003-2015'!I170</f>
        <v>40.836533000000003</v>
      </c>
      <c r="J1034" s="14">
        <f>'extended_recharge_2003-2015'!J170</f>
        <v>12.530255</v>
      </c>
      <c r="K1034" s="14">
        <f>'extended_recharge_2003-2015'!K170</f>
        <v>12.421791000000001</v>
      </c>
      <c r="L1034" s="14">
        <f>'extended_recharge_2003-2015'!L170</f>
        <v>-1.9153336000000001</v>
      </c>
      <c r="M1034" s="14">
        <f>'extended_recharge_2003-2015'!M170</f>
        <v>6.0371446999999998</v>
      </c>
      <c r="N1034" s="14">
        <f>'extended_recharge_2003-2015'!N170</f>
        <v>36.655166999999999</v>
      </c>
      <c r="O1034" s="14">
        <f>'extended_recharge_2003-2015'!O170</f>
        <v>22.170237</v>
      </c>
      <c r="P1034" s="14">
        <f>'extended_recharge_2003-2015'!P170</f>
        <v>38.270159999999997</v>
      </c>
      <c r="Q1034" s="14">
        <f>'extended_recharge_2003-2015'!Q170</f>
        <v>2.8486669999999998</v>
      </c>
      <c r="R1034" s="14">
        <f>'extended_recharge_2003-2015'!R170</f>
        <v>10.827152999999999</v>
      </c>
      <c r="S1034" s="14">
        <f>'extended_recharge_2003-2015'!S170</f>
        <v>17.364418000000001</v>
      </c>
      <c r="T1034" s="14">
        <f>'extended_recharge_2003-2015'!T170</f>
        <v>25.135788000000002</v>
      </c>
      <c r="U1034" s="14">
        <f>'extended_recharge_2003-2015'!U170</f>
        <v>14.006492</v>
      </c>
      <c r="V1034" s="15">
        <f>'extended_recharge_2003-2015'!V170</f>
        <v>18.339981000000002</v>
      </c>
      <c r="W1034" s="16">
        <f>'extended_recharge_2003-2015'!W170</f>
        <v>21.933160000000001</v>
      </c>
      <c r="X1034" s="16">
        <f>'extended_recharge_2003-2015'!X170</f>
        <v>7.3413800000000001E-2</v>
      </c>
      <c r="Y1034" s="16">
        <f>'extended_recharge_2003-2015'!Y170</f>
        <v>13.176717999999999</v>
      </c>
      <c r="Z1034" s="16">
        <f>'extended_recharge_2003-2015'!Z170</f>
        <v>4.8588709999999997</v>
      </c>
      <c r="AA1034" s="16">
        <f>'extended_recharge_2003-2015'!AA170</f>
        <v>3.3840952</v>
      </c>
      <c r="AB1034" s="16">
        <f>'extended_recharge_2003-2015'!AB170</f>
        <v>1.9842006999999999</v>
      </c>
      <c r="AC1034" s="16">
        <f>'extended_recharge_2003-2015'!AC170</f>
        <v>5.3869699999999998</v>
      </c>
      <c r="AD1034" s="16">
        <f>'extended_recharge_2003-2015'!AD170</f>
        <v>3.6624772999999999</v>
      </c>
      <c r="AE1034" s="16">
        <f>'extended_recharge_2003-2015'!AE170</f>
        <v>7.3214072999999997</v>
      </c>
      <c r="AF1034" s="16">
        <f>'extended_recharge_2003-2015'!AF170</f>
        <v>90.269515999999996</v>
      </c>
      <c r="AG1034" s="16">
        <f>'extended_recharge_2003-2015'!AG170</f>
        <v>16.426651</v>
      </c>
    </row>
    <row r="1035" spans="1:33" x14ac:dyDescent="0.2">
      <c r="A1035" s="3">
        <v>39416</v>
      </c>
      <c r="B1035" s="14">
        <f>'extended_recharge_2003-2015'!B171</f>
        <v>-1.4900753</v>
      </c>
      <c r="C1035" s="14">
        <f>'extended_recharge_2003-2015'!C171</f>
        <v>21.669243000000002</v>
      </c>
      <c r="D1035" s="14">
        <f>'extended_recharge_2003-2015'!D171</f>
        <v>1.3207738</v>
      </c>
      <c r="E1035" s="14">
        <f>'extended_recharge_2003-2015'!E171</f>
        <v>-5.4636025000000004</v>
      </c>
      <c r="F1035" s="14">
        <f>'extended_recharge_2003-2015'!F171</f>
        <v>0.46930971999999999</v>
      </c>
      <c r="G1035" s="14">
        <f>'extended_recharge_2003-2015'!G171</f>
        <v>28.094329999999999</v>
      </c>
      <c r="H1035" s="14">
        <f>'extended_recharge_2003-2015'!H171</f>
        <v>15.995062000000001</v>
      </c>
      <c r="I1035" s="14">
        <f>'extended_recharge_2003-2015'!I171</f>
        <v>39.941153999999997</v>
      </c>
      <c r="J1035" s="14">
        <f>'extended_recharge_2003-2015'!J171</f>
        <v>14.487259</v>
      </c>
      <c r="K1035" s="14">
        <f>'extended_recharge_2003-2015'!K171</f>
        <v>2.3522599</v>
      </c>
      <c r="L1035" s="14">
        <f>'extended_recharge_2003-2015'!L171</f>
        <v>-4.0268664000000003</v>
      </c>
      <c r="M1035" s="14">
        <f>'extended_recharge_2003-2015'!M171</f>
        <v>-1.968243</v>
      </c>
      <c r="N1035" s="14">
        <f>'extended_recharge_2003-2015'!N171</f>
        <v>30.364697</v>
      </c>
      <c r="O1035" s="14">
        <f>'extended_recharge_2003-2015'!O171</f>
        <v>24.785212999999999</v>
      </c>
      <c r="P1035" s="14">
        <f>'extended_recharge_2003-2015'!P171</f>
        <v>64.637020000000007</v>
      </c>
      <c r="Q1035" s="14">
        <f>'extended_recharge_2003-2015'!Q171</f>
        <v>2.5184567000000002</v>
      </c>
      <c r="R1035" s="14">
        <f>'extended_recharge_2003-2015'!R171</f>
        <v>9.6960259999999998</v>
      </c>
      <c r="S1035" s="14">
        <f>'extended_recharge_2003-2015'!S171</f>
        <v>17.811861</v>
      </c>
      <c r="T1035" s="14">
        <f>'extended_recharge_2003-2015'!T171</f>
        <v>25.328571</v>
      </c>
      <c r="U1035" s="14">
        <f>'extended_recharge_2003-2015'!U171</f>
        <v>10.62383</v>
      </c>
      <c r="V1035" s="15">
        <f>'extended_recharge_2003-2015'!V171</f>
        <v>17.091802999999999</v>
      </c>
      <c r="W1035" s="16">
        <f>'extended_recharge_2003-2015'!W171</f>
        <v>16.068401000000001</v>
      </c>
      <c r="X1035" s="16">
        <f>'extended_recharge_2003-2015'!X171</f>
        <v>-0.10857649</v>
      </c>
      <c r="Y1035" s="16">
        <f>'extended_recharge_2003-2015'!Y171</f>
        <v>12.390492</v>
      </c>
      <c r="Z1035" s="16">
        <f>'extended_recharge_2003-2015'!Z171</f>
        <v>4.9394289999999996</v>
      </c>
      <c r="AA1035" s="16">
        <f>'extended_recharge_2003-2015'!AA171</f>
        <v>4.2468579999999996</v>
      </c>
      <c r="AB1035" s="16">
        <f>'extended_recharge_2003-2015'!AB171</f>
        <v>1.5713695000000001</v>
      </c>
      <c r="AC1035" s="16">
        <f>'extended_recharge_2003-2015'!AC171</f>
        <v>4.3423895999999997</v>
      </c>
      <c r="AD1035" s="16">
        <f>'extended_recharge_2003-2015'!AD171</f>
        <v>2.6469033</v>
      </c>
      <c r="AE1035" s="16">
        <f>'extended_recharge_2003-2015'!AE171</f>
        <v>17.730353999999998</v>
      </c>
      <c r="AF1035" s="16">
        <f>'extended_recharge_2003-2015'!AF171</f>
        <v>64.779489999999996</v>
      </c>
      <c r="AG1035" s="16">
        <f>'extended_recharge_2003-2015'!AG171</f>
        <v>13.165480000000001</v>
      </c>
    </row>
    <row r="1036" spans="1:33" x14ac:dyDescent="0.2">
      <c r="A1036" s="3">
        <v>39447</v>
      </c>
      <c r="B1036" s="14">
        <f>'extended_recharge_2003-2015'!B172</f>
        <v>-1.2423685</v>
      </c>
      <c r="C1036" s="14">
        <f>'extended_recharge_2003-2015'!C172</f>
        <v>22.407658000000001</v>
      </c>
      <c r="D1036" s="14">
        <f>'extended_recharge_2003-2015'!D172</f>
        <v>3.2894914000000002</v>
      </c>
      <c r="E1036" s="14">
        <f>'extended_recharge_2003-2015'!E172</f>
        <v>-1.2625002999999999</v>
      </c>
      <c r="F1036" s="14">
        <f>'extended_recharge_2003-2015'!F172</f>
        <v>9.5217510000000001</v>
      </c>
      <c r="G1036" s="14">
        <f>'extended_recharge_2003-2015'!G172</f>
        <v>28.737037999999998</v>
      </c>
      <c r="H1036" s="14">
        <f>'extended_recharge_2003-2015'!H172</f>
        <v>17.515093</v>
      </c>
      <c r="I1036" s="14">
        <f>'extended_recharge_2003-2015'!I172</f>
        <v>43.101089999999999</v>
      </c>
      <c r="J1036" s="14">
        <f>'extended_recharge_2003-2015'!J172</f>
        <v>19.907772000000001</v>
      </c>
      <c r="K1036" s="14">
        <f>'extended_recharge_2003-2015'!K172</f>
        <v>8.0125899999999994</v>
      </c>
      <c r="L1036" s="14">
        <f>'extended_recharge_2003-2015'!L172</f>
        <v>3.7704802000000002</v>
      </c>
      <c r="M1036" s="14">
        <f>'extended_recharge_2003-2015'!M172</f>
        <v>0.68341963999999999</v>
      </c>
      <c r="N1036" s="14">
        <f>'extended_recharge_2003-2015'!N172</f>
        <v>34.633949999999999</v>
      </c>
      <c r="O1036" s="14">
        <f>'extended_recharge_2003-2015'!O172</f>
        <v>23.797688000000001</v>
      </c>
      <c r="P1036" s="14">
        <f>'extended_recharge_2003-2015'!P172</f>
        <v>74.26943</v>
      </c>
      <c r="Q1036" s="14">
        <f>'extended_recharge_2003-2015'!Q172</f>
        <v>1.7038594</v>
      </c>
      <c r="R1036" s="14">
        <f>'extended_recharge_2003-2015'!R172</f>
        <v>9.8103800000000003</v>
      </c>
      <c r="S1036" s="14">
        <f>'extended_recharge_2003-2015'!S172</f>
        <v>13.98868</v>
      </c>
      <c r="T1036" s="14">
        <f>'extended_recharge_2003-2015'!T172</f>
        <v>28.542324000000001</v>
      </c>
      <c r="U1036" s="14">
        <f>'extended_recharge_2003-2015'!U172</f>
        <v>7.7763220000000004</v>
      </c>
      <c r="V1036" s="15">
        <f>'extended_recharge_2003-2015'!V172</f>
        <v>16.631643</v>
      </c>
      <c r="W1036" s="16">
        <f>'extended_recharge_2003-2015'!W172</f>
        <v>11.363478000000001</v>
      </c>
      <c r="X1036" s="16">
        <f>'extended_recharge_2003-2015'!X172</f>
        <v>-0.48289976000000001</v>
      </c>
      <c r="Y1036" s="16">
        <f>'extended_recharge_2003-2015'!Y172</f>
        <v>12.124226999999999</v>
      </c>
      <c r="Z1036" s="16">
        <f>'extended_recharge_2003-2015'!Z172</f>
        <v>4.9622935999999997</v>
      </c>
      <c r="AA1036" s="16">
        <f>'extended_recharge_2003-2015'!AA172</f>
        <v>4.6855779999999996</v>
      </c>
      <c r="AB1036" s="16">
        <f>'extended_recharge_2003-2015'!AB172</f>
        <v>2.0506929999999999</v>
      </c>
      <c r="AC1036" s="16">
        <f>'extended_recharge_2003-2015'!AC172</f>
        <v>4.9991417</v>
      </c>
      <c r="AD1036" s="16">
        <f>'extended_recharge_2003-2015'!AD172</f>
        <v>2.2796438000000001</v>
      </c>
      <c r="AE1036" s="16">
        <f>'extended_recharge_2003-2015'!AE172</f>
        <v>25.067983999999999</v>
      </c>
      <c r="AF1036" s="16">
        <f>'extended_recharge_2003-2015'!AF172</f>
        <v>61.429825000000001</v>
      </c>
      <c r="AG1036" s="16">
        <f>'extended_recharge_2003-2015'!AG172</f>
        <v>11.380521</v>
      </c>
    </row>
    <row r="1037" spans="1:33" x14ac:dyDescent="0.2">
      <c r="A1037" s="3">
        <v>39478</v>
      </c>
      <c r="B1037" s="14">
        <f>'extended_recharge_2003-2015'!B173</f>
        <v>-2.3166794999999998</v>
      </c>
      <c r="C1037" s="14">
        <f>'extended_recharge_2003-2015'!C173</f>
        <v>20.951568999999999</v>
      </c>
      <c r="D1037" s="14">
        <f>'extended_recharge_2003-2015'!D173</f>
        <v>2.7537569999999998</v>
      </c>
      <c r="E1037" s="14">
        <f>'extended_recharge_2003-2015'!E173</f>
        <v>-6.2813344000000004</v>
      </c>
      <c r="F1037" s="14">
        <f>'extended_recharge_2003-2015'!F173</f>
        <v>3.717606</v>
      </c>
      <c r="G1037" s="14">
        <f>'extended_recharge_2003-2015'!G173</f>
        <v>15.679945</v>
      </c>
      <c r="H1037" s="14">
        <f>'extended_recharge_2003-2015'!H173</f>
        <v>15.455622</v>
      </c>
      <c r="I1037" s="14">
        <f>'extended_recharge_2003-2015'!I173</f>
        <v>39.427025</v>
      </c>
      <c r="J1037" s="14">
        <f>'extended_recharge_2003-2015'!J173</f>
        <v>21.714452999999999</v>
      </c>
      <c r="K1037" s="14">
        <f>'extended_recharge_2003-2015'!K173</f>
        <v>8.5345335000000002</v>
      </c>
      <c r="L1037" s="14">
        <f>'extended_recharge_2003-2015'!L173</f>
        <v>1.8040661</v>
      </c>
      <c r="M1037" s="14">
        <f>'extended_recharge_2003-2015'!M173</f>
        <v>2.1307510000000001</v>
      </c>
      <c r="N1037" s="14">
        <f>'extended_recharge_2003-2015'!N173</f>
        <v>36.003483000000003</v>
      </c>
      <c r="O1037" s="14">
        <f>'extended_recharge_2003-2015'!O173</f>
        <v>20.136050999999998</v>
      </c>
      <c r="P1037" s="14">
        <f>'extended_recharge_2003-2015'!P173</f>
        <v>68.081710000000001</v>
      </c>
      <c r="Q1037" s="14">
        <f>'extended_recharge_2003-2015'!Q173</f>
        <v>1.8567022</v>
      </c>
      <c r="R1037" s="14">
        <f>'extended_recharge_2003-2015'!R173</f>
        <v>9.1171760000000006</v>
      </c>
      <c r="S1037" s="14">
        <f>'extended_recharge_2003-2015'!S173</f>
        <v>17.43665</v>
      </c>
      <c r="T1037" s="14">
        <f>'extended_recharge_2003-2015'!T173</f>
        <v>31.621293999999999</v>
      </c>
      <c r="U1037" s="14">
        <f>'extended_recharge_2003-2015'!U173</f>
        <v>6.0866327</v>
      </c>
      <c r="V1037" s="15">
        <f>'extended_recharge_2003-2015'!V173</f>
        <v>15.37749</v>
      </c>
      <c r="W1037" s="16">
        <f>'extended_recharge_2003-2015'!W173</f>
        <v>4.7253221999999999</v>
      </c>
      <c r="X1037" s="16">
        <f>'extended_recharge_2003-2015'!X173</f>
        <v>1.4948968</v>
      </c>
      <c r="Y1037" s="16">
        <f>'extended_recharge_2003-2015'!Y173</f>
        <v>9.7503620000000009</v>
      </c>
      <c r="Z1037" s="16">
        <f>'extended_recharge_2003-2015'!Z173</f>
        <v>3.0903246000000002</v>
      </c>
      <c r="AA1037" s="16">
        <f>'extended_recharge_2003-2015'!AA173</f>
        <v>3.7239331999999998</v>
      </c>
      <c r="AB1037" s="16">
        <f>'extended_recharge_2003-2015'!AB173</f>
        <v>2.1741853</v>
      </c>
      <c r="AC1037" s="16">
        <f>'extended_recharge_2003-2015'!AC173</f>
        <v>5.1502420000000004</v>
      </c>
      <c r="AD1037" s="16">
        <f>'extended_recharge_2003-2015'!AD173</f>
        <v>2.0723229999999999</v>
      </c>
      <c r="AE1037" s="16">
        <f>'extended_recharge_2003-2015'!AE173</f>
        <v>29.380102000000001</v>
      </c>
      <c r="AF1037" s="16">
        <f>'extended_recharge_2003-2015'!AF173</f>
        <v>66.289185000000003</v>
      </c>
      <c r="AG1037" s="16">
        <f>'extended_recharge_2003-2015'!AG173</f>
        <v>9.9854590000000005</v>
      </c>
    </row>
    <row r="1038" spans="1:33" x14ac:dyDescent="0.2">
      <c r="A1038" s="3">
        <v>39507</v>
      </c>
      <c r="B1038" s="14">
        <f>'extended_recharge_2003-2015'!B174</f>
        <v>1.3554980000000001</v>
      </c>
      <c r="C1038" s="14">
        <f>'extended_recharge_2003-2015'!C174</f>
        <v>25.168925999999999</v>
      </c>
      <c r="D1038" s="14">
        <f>'extended_recharge_2003-2015'!D174</f>
        <v>8.7597959999999997</v>
      </c>
      <c r="E1038" s="14">
        <f>'extended_recharge_2003-2015'!E174</f>
        <v>22.66009</v>
      </c>
      <c r="F1038" s="14">
        <f>'extended_recharge_2003-2015'!F174</f>
        <v>23.978892999999999</v>
      </c>
      <c r="G1038" s="14">
        <f>'extended_recharge_2003-2015'!G174</f>
        <v>37.471877999999997</v>
      </c>
      <c r="H1038" s="14">
        <f>'extended_recharge_2003-2015'!H174</f>
        <v>16.892313000000001</v>
      </c>
      <c r="I1038" s="14">
        <f>'extended_recharge_2003-2015'!I174</f>
        <v>38.95749</v>
      </c>
      <c r="J1038" s="14">
        <f>'extended_recharge_2003-2015'!J174</f>
        <v>21.024698000000001</v>
      </c>
      <c r="K1038" s="14">
        <f>'extended_recharge_2003-2015'!K174</f>
        <v>-1.0274779000000001</v>
      </c>
      <c r="L1038" s="14">
        <f>'extended_recharge_2003-2015'!L174</f>
        <v>1.7260643</v>
      </c>
      <c r="M1038" s="14">
        <f>'extended_recharge_2003-2015'!M174</f>
        <v>1.27563</v>
      </c>
      <c r="N1038" s="14">
        <f>'extended_recharge_2003-2015'!N174</f>
        <v>28.500086</v>
      </c>
      <c r="O1038" s="14">
        <f>'extended_recharge_2003-2015'!O174</f>
        <v>20.519539999999999</v>
      </c>
      <c r="P1038" s="14">
        <f>'extended_recharge_2003-2015'!P174</f>
        <v>48.471066</v>
      </c>
      <c r="Q1038" s="14">
        <f>'extended_recharge_2003-2015'!Q174</f>
        <v>1.4173424999999999</v>
      </c>
      <c r="R1038" s="14">
        <f>'extended_recharge_2003-2015'!R174</f>
        <v>10.095119</v>
      </c>
      <c r="S1038" s="14">
        <f>'extended_recharge_2003-2015'!S174</f>
        <v>10.696399</v>
      </c>
      <c r="T1038" s="14">
        <f>'extended_recharge_2003-2015'!T174</f>
        <v>26.941057000000001</v>
      </c>
      <c r="U1038" s="14">
        <f>'extended_recharge_2003-2015'!U174</f>
        <v>7.9831557000000002</v>
      </c>
      <c r="V1038" s="15">
        <f>'extended_recharge_2003-2015'!V174</f>
        <v>15.840035</v>
      </c>
      <c r="W1038" s="16">
        <f>'extended_recharge_2003-2015'!W174</f>
        <v>0.18671953999999999</v>
      </c>
      <c r="X1038" s="16">
        <f>'extended_recharge_2003-2015'!X174</f>
        <v>2.286724</v>
      </c>
      <c r="Y1038" s="16">
        <f>'extended_recharge_2003-2015'!Y174</f>
        <v>11.584642000000001</v>
      </c>
      <c r="Z1038" s="16">
        <f>'extended_recharge_2003-2015'!Z174</f>
        <v>1.9526066</v>
      </c>
      <c r="AA1038" s="16">
        <f>'extended_recharge_2003-2015'!AA174</f>
        <v>3.6096979999999999</v>
      </c>
      <c r="AB1038" s="16">
        <f>'extended_recharge_2003-2015'!AB174</f>
        <v>1.8809997000000001</v>
      </c>
      <c r="AC1038" s="16">
        <f>'extended_recharge_2003-2015'!AC174</f>
        <v>3.9764998</v>
      </c>
      <c r="AD1038" s="16">
        <f>'extended_recharge_2003-2015'!AD174</f>
        <v>2.4172180000000001</v>
      </c>
      <c r="AE1038" s="16">
        <f>'extended_recharge_2003-2015'!AE174</f>
        <v>23.359797</v>
      </c>
      <c r="AF1038" s="16">
        <f>'extended_recharge_2003-2015'!AF174</f>
        <v>64.346429999999998</v>
      </c>
      <c r="AG1038" s="16">
        <f>'extended_recharge_2003-2015'!AG174</f>
        <v>9.6982859999999995</v>
      </c>
    </row>
    <row r="1039" spans="1:33" x14ac:dyDescent="0.2">
      <c r="A1039" s="3">
        <v>39538</v>
      </c>
      <c r="B1039" s="14">
        <f>'extended_recharge_2003-2015'!B175</f>
        <v>2.1389870000000002</v>
      </c>
      <c r="C1039" s="14">
        <f>'extended_recharge_2003-2015'!C175</f>
        <v>22.914062000000001</v>
      </c>
      <c r="D1039" s="14">
        <f>'extended_recharge_2003-2015'!D175</f>
        <v>-2.7088744999999999</v>
      </c>
      <c r="E1039" s="14">
        <f>'extended_recharge_2003-2015'!E175</f>
        <v>-13.835156</v>
      </c>
      <c r="F1039" s="14">
        <f>'extended_recharge_2003-2015'!F175</f>
        <v>-4.0731679999999999</v>
      </c>
      <c r="G1039" s="14">
        <f>'extended_recharge_2003-2015'!G175</f>
        <v>2.4103644000000002</v>
      </c>
      <c r="H1039" s="14">
        <f>'extended_recharge_2003-2015'!H175</f>
        <v>11.504358999999999</v>
      </c>
      <c r="I1039" s="14">
        <f>'extended_recharge_2003-2015'!I175</f>
        <v>36.963769999999997</v>
      </c>
      <c r="J1039" s="14">
        <f>'extended_recharge_2003-2015'!J175</f>
        <v>8.3307199999999995</v>
      </c>
      <c r="K1039" s="14">
        <f>'extended_recharge_2003-2015'!K175</f>
        <v>-2.6193325999999999</v>
      </c>
      <c r="L1039" s="14">
        <f>'extended_recharge_2003-2015'!L175</f>
        <v>-4.7011703999999996</v>
      </c>
      <c r="M1039" s="14">
        <f>'extended_recharge_2003-2015'!M175</f>
        <v>-0.98146129999999998</v>
      </c>
      <c r="N1039" s="14">
        <f>'extended_recharge_2003-2015'!N175</f>
        <v>29.326022999999999</v>
      </c>
      <c r="O1039" s="14">
        <f>'extended_recharge_2003-2015'!O175</f>
        <v>22.007175</v>
      </c>
      <c r="P1039" s="14">
        <f>'extended_recharge_2003-2015'!P175</f>
        <v>39.484318000000002</v>
      </c>
      <c r="Q1039" s="14">
        <f>'extended_recharge_2003-2015'!Q175</f>
        <v>1.8168485999999999</v>
      </c>
      <c r="R1039" s="14">
        <f>'extended_recharge_2003-2015'!R175</f>
        <v>7.6974195999999999</v>
      </c>
      <c r="S1039" s="14">
        <f>'extended_recharge_2003-2015'!S175</f>
        <v>11.431512</v>
      </c>
      <c r="T1039" s="14">
        <f>'extended_recharge_2003-2015'!T175</f>
        <v>27.611484999999998</v>
      </c>
      <c r="U1039" s="14">
        <f>'extended_recharge_2003-2015'!U175</f>
        <v>9.9356690000000008</v>
      </c>
      <c r="V1039" s="15">
        <f>'extended_recharge_2003-2015'!V175</f>
        <v>17.27628</v>
      </c>
      <c r="W1039" s="16">
        <f>'extended_recharge_2003-2015'!W175</f>
        <v>-0.32412633000000002</v>
      </c>
      <c r="X1039" s="16">
        <f>'extended_recharge_2003-2015'!X175</f>
        <v>2.0695969999999999</v>
      </c>
      <c r="Y1039" s="16">
        <f>'extended_recharge_2003-2015'!Y175</f>
        <v>12.246535</v>
      </c>
      <c r="Z1039" s="16">
        <f>'extended_recharge_2003-2015'!Z175</f>
        <v>0.83709929999999999</v>
      </c>
      <c r="AA1039" s="16">
        <f>'extended_recharge_2003-2015'!AA175</f>
        <v>3.6794777000000001</v>
      </c>
      <c r="AB1039" s="16">
        <f>'extended_recharge_2003-2015'!AB175</f>
        <v>1.3727157999999999</v>
      </c>
      <c r="AC1039" s="16">
        <f>'extended_recharge_2003-2015'!AC175</f>
        <v>3.6721857</v>
      </c>
      <c r="AD1039" s="16">
        <f>'extended_recharge_2003-2015'!AD175</f>
        <v>3.0038738</v>
      </c>
      <c r="AE1039" s="16">
        <f>'extended_recharge_2003-2015'!AE175</f>
        <v>12.912637</v>
      </c>
      <c r="AF1039" s="16">
        <f>'extended_recharge_2003-2015'!AF175</f>
        <v>72.785415999999998</v>
      </c>
      <c r="AG1039" s="16">
        <f>'extended_recharge_2003-2015'!AG175</f>
        <v>11.340035</v>
      </c>
    </row>
    <row r="1040" spans="1:33" x14ac:dyDescent="0.2">
      <c r="A1040" s="3">
        <v>39568</v>
      </c>
      <c r="B1040" s="14">
        <f>'extended_recharge_2003-2015'!B176</f>
        <v>2.9930425000000001</v>
      </c>
      <c r="C1040" s="14">
        <f>'extended_recharge_2003-2015'!C176</f>
        <v>22.285464999999999</v>
      </c>
      <c r="D1040" s="14">
        <f>'extended_recharge_2003-2015'!D176</f>
        <v>-7.4170730000000002</v>
      </c>
      <c r="E1040" s="14">
        <f>'extended_recharge_2003-2015'!E176</f>
        <v>-18.408574999999999</v>
      </c>
      <c r="F1040" s="14">
        <f>'extended_recharge_2003-2015'!F176</f>
        <v>-7.0718350000000001</v>
      </c>
      <c r="G1040" s="14">
        <f>'extended_recharge_2003-2015'!G176</f>
        <v>-6.8433403999999998</v>
      </c>
      <c r="H1040" s="14">
        <f>'extended_recharge_2003-2015'!H176</f>
        <v>10.797655000000001</v>
      </c>
      <c r="I1040" s="14">
        <f>'extended_recharge_2003-2015'!I176</f>
        <v>36.717390000000002</v>
      </c>
      <c r="J1040" s="14">
        <f>'extended_recharge_2003-2015'!J176</f>
        <v>3.6361002999999998</v>
      </c>
      <c r="K1040" s="14">
        <f>'extended_recharge_2003-2015'!K176</f>
        <v>4.8106923000000004</v>
      </c>
      <c r="L1040" s="14">
        <f>'extended_recharge_2003-2015'!L176</f>
        <v>0.98987820000000004</v>
      </c>
      <c r="M1040" s="14">
        <f>'extended_recharge_2003-2015'!M176</f>
        <v>2.5858698000000002</v>
      </c>
      <c r="N1040" s="14">
        <f>'extended_recharge_2003-2015'!N176</f>
        <v>30.143588999999999</v>
      </c>
      <c r="O1040" s="14">
        <f>'extended_recharge_2003-2015'!O176</f>
        <v>22.119271999999999</v>
      </c>
      <c r="P1040" s="14">
        <f>'extended_recharge_2003-2015'!P176</f>
        <v>45.727817999999999</v>
      </c>
      <c r="Q1040" s="14">
        <f>'extended_recharge_2003-2015'!Q176</f>
        <v>0.49738058000000002</v>
      </c>
      <c r="R1040" s="14">
        <f>'extended_recharge_2003-2015'!R176</f>
        <v>8.5371229999999994</v>
      </c>
      <c r="S1040" s="14">
        <f>'extended_recharge_2003-2015'!S176</f>
        <v>11.303894</v>
      </c>
      <c r="T1040" s="14">
        <f>'extended_recharge_2003-2015'!T176</f>
        <v>29.961411999999999</v>
      </c>
      <c r="U1040" s="14">
        <f>'extended_recharge_2003-2015'!U176</f>
        <v>12.756663</v>
      </c>
      <c r="V1040" s="15">
        <f>'extended_recharge_2003-2015'!V176</f>
        <v>19.791885000000001</v>
      </c>
      <c r="W1040" s="16">
        <f>'extended_recharge_2003-2015'!W176</f>
        <v>-0.41579744000000002</v>
      </c>
      <c r="X1040" s="16">
        <f>'extended_recharge_2003-2015'!X176</f>
        <v>3.3790060999999998</v>
      </c>
      <c r="Y1040" s="16">
        <f>'extended_recharge_2003-2015'!Y176</f>
        <v>14.718106000000001</v>
      </c>
      <c r="Z1040" s="16">
        <f>'extended_recharge_2003-2015'!Z176</f>
        <v>2.0366213000000002</v>
      </c>
      <c r="AA1040" s="16">
        <f>'extended_recharge_2003-2015'!AA176</f>
        <v>7.3013570000000003</v>
      </c>
      <c r="AB1040" s="16">
        <f>'extended_recharge_2003-2015'!AB176</f>
        <v>1.6494864</v>
      </c>
      <c r="AC1040" s="16">
        <f>'extended_recharge_2003-2015'!AC176</f>
        <v>3.8107785999999999</v>
      </c>
      <c r="AD1040" s="16">
        <f>'extended_recharge_2003-2015'!AD176</f>
        <v>4.0966069999999997</v>
      </c>
      <c r="AE1040" s="16">
        <f>'extended_recharge_2003-2015'!AE176</f>
        <v>8.0930459999999993</v>
      </c>
      <c r="AF1040" s="16">
        <f>'extended_recharge_2003-2015'!AF176</f>
        <v>88.35087</v>
      </c>
      <c r="AG1040" s="16">
        <f>'extended_recharge_2003-2015'!AG176</f>
        <v>14.276388000000001</v>
      </c>
    </row>
    <row r="1041" spans="1:33" x14ac:dyDescent="0.2">
      <c r="A1041" s="3">
        <v>39599</v>
      </c>
      <c r="B1041" s="14">
        <f>'extended_recharge_2003-2015'!B177</f>
        <v>6.3344345000000004</v>
      </c>
      <c r="C1041" s="14">
        <f>'extended_recharge_2003-2015'!C177</f>
        <v>22.981425999999999</v>
      </c>
      <c r="D1041" s="14">
        <f>'extended_recharge_2003-2015'!D177</f>
        <v>-4.5813584000000001</v>
      </c>
      <c r="E1041" s="14">
        <f>'extended_recharge_2003-2015'!E177</f>
        <v>-6.3147219999999997</v>
      </c>
      <c r="F1041" s="14">
        <f>'extended_recharge_2003-2015'!F177</f>
        <v>10.113892999999999</v>
      </c>
      <c r="G1041" s="14">
        <f>'extended_recharge_2003-2015'!G177</f>
        <v>5.5652799999999996</v>
      </c>
      <c r="H1041" s="14">
        <f>'extended_recharge_2003-2015'!H177</f>
        <v>13.229554</v>
      </c>
      <c r="I1041" s="14">
        <f>'extended_recharge_2003-2015'!I177</f>
        <v>38.631104000000001</v>
      </c>
      <c r="J1041" s="14">
        <f>'extended_recharge_2003-2015'!J177</f>
        <v>2.2416665999999998</v>
      </c>
      <c r="K1041" s="14">
        <f>'extended_recharge_2003-2015'!K177</f>
        <v>7.0677814000000003</v>
      </c>
      <c r="L1041" s="14">
        <f>'extended_recharge_2003-2015'!L177</f>
        <v>6.6069000000000004</v>
      </c>
      <c r="M1041" s="14">
        <f>'extended_recharge_2003-2015'!M177</f>
        <v>4.5413290000000002</v>
      </c>
      <c r="N1041" s="14">
        <f>'extended_recharge_2003-2015'!N177</f>
        <v>36.247079999999997</v>
      </c>
      <c r="O1041" s="14">
        <f>'extended_recharge_2003-2015'!O177</f>
        <v>28.84693</v>
      </c>
      <c r="P1041" s="14">
        <f>'extended_recharge_2003-2015'!P177</f>
        <v>40.560135000000002</v>
      </c>
      <c r="Q1041" s="14">
        <f>'extended_recharge_2003-2015'!Q177</f>
        <v>1.539059</v>
      </c>
      <c r="R1041" s="14">
        <f>'extended_recharge_2003-2015'!R177</f>
        <v>8.8250189999999993</v>
      </c>
      <c r="S1041" s="14">
        <f>'extended_recharge_2003-2015'!S177</f>
        <v>16.292469000000001</v>
      </c>
      <c r="T1041" s="14">
        <f>'extended_recharge_2003-2015'!T177</f>
        <v>38.058205000000001</v>
      </c>
      <c r="U1041" s="14">
        <f>'extended_recharge_2003-2015'!U177</f>
        <v>16.949179000000001</v>
      </c>
      <c r="V1041" s="15">
        <f>'extended_recharge_2003-2015'!V177</f>
        <v>29.325223999999999</v>
      </c>
      <c r="W1041" s="16">
        <f>'extended_recharge_2003-2015'!W177</f>
        <v>4.5135645999999996</v>
      </c>
      <c r="X1041" s="16">
        <f>'extended_recharge_2003-2015'!X177</f>
        <v>2.5164623000000002</v>
      </c>
      <c r="Y1041" s="16">
        <f>'extended_recharge_2003-2015'!Y177</f>
        <v>16.678021999999999</v>
      </c>
      <c r="Z1041" s="16">
        <f>'extended_recharge_2003-2015'!Z177</f>
        <v>0.94136816000000001</v>
      </c>
      <c r="AA1041" s="16">
        <f>'extended_recharge_2003-2015'!AA177</f>
        <v>4.7437719999999999</v>
      </c>
      <c r="AB1041" s="16">
        <f>'extended_recharge_2003-2015'!AB177</f>
        <v>1.6929810999999999</v>
      </c>
      <c r="AC1041" s="16">
        <f>'extended_recharge_2003-2015'!AC177</f>
        <v>3.1652421999999998</v>
      </c>
      <c r="AD1041" s="16">
        <f>'extended_recharge_2003-2015'!AD177</f>
        <v>5.8086295000000003</v>
      </c>
      <c r="AE1041" s="16">
        <f>'extended_recharge_2003-2015'!AE177</f>
        <v>1.6861472</v>
      </c>
      <c r="AF1041" s="16">
        <f>'extended_recharge_2003-2015'!AF177</f>
        <v>100.83311500000001</v>
      </c>
      <c r="AG1041" s="16">
        <f>'extended_recharge_2003-2015'!AG177</f>
        <v>17.733145</v>
      </c>
    </row>
    <row r="1042" spans="1:33" x14ac:dyDescent="0.2">
      <c r="A1042" s="3">
        <v>39629</v>
      </c>
      <c r="B1042" s="14">
        <f>'extended_recharge_2003-2015'!B178</f>
        <v>8.7963280000000008</v>
      </c>
      <c r="C1042" s="14">
        <f>'extended_recharge_2003-2015'!C178</f>
        <v>23.851752999999999</v>
      </c>
      <c r="D1042" s="14">
        <f>'extended_recharge_2003-2015'!D178</f>
        <v>-3.8471476999999998</v>
      </c>
      <c r="E1042" s="14">
        <f>'extended_recharge_2003-2015'!E178</f>
        <v>-7.7982250000000004</v>
      </c>
      <c r="F1042" s="14">
        <f>'extended_recharge_2003-2015'!F178</f>
        <v>7.1549849999999999</v>
      </c>
      <c r="G1042" s="14">
        <f>'extended_recharge_2003-2015'!G178</f>
        <v>9.6572870000000002</v>
      </c>
      <c r="H1042" s="14">
        <f>'extended_recharge_2003-2015'!H178</f>
        <v>12.815443</v>
      </c>
      <c r="I1042" s="14">
        <f>'extended_recharge_2003-2015'!I178</f>
        <v>38.616720000000001</v>
      </c>
      <c r="J1042" s="14">
        <f>'extended_recharge_2003-2015'!J178</f>
        <v>-0.52021664000000001</v>
      </c>
      <c r="K1042" s="14">
        <f>'extended_recharge_2003-2015'!K178</f>
        <v>0.53186469999999997</v>
      </c>
      <c r="L1042" s="14">
        <f>'extended_recharge_2003-2015'!L178</f>
        <v>0.64916985999999999</v>
      </c>
      <c r="M1042" s="14">
        <f>'extended_recharge_2003-2015'!M178</f>
        <v>1.3252197999999999</v>
      </c>
      <c r="N1042" s="14">
        <f>'extended_recharge_2003-2015'!N178</f>
        <v>28.001895999999999</v>
      </c>
      <c r="O1042" s="14">
        <f>'extended_recharge_2003-2015'!O178</f>
        <v>28.779689999999999</v>
      </c>
      <c r="P1042" s="14">
        <f>'extended_recharge_2003-2015'!P178</f>
        <v>52.770904999999999</v>
      </c>
      <c r="Q1042" s="14">
        <f>'extended_recharge_2003-2015'!Q178</f>
        <v>2.2222914999999999</v>
      </c>
      <c r="R1042" s="14">
        <f>'extended_recharge_2003-2015'!R178</f>
        <v>11.608809000000001</v>
      </c>
      <c r="S1042" s="14">
        <f>'extended_recharge_2003-2015'!S178</f>
        <v>10.486855500000001</v>
      </c>
      <c r="T1042" s="14">
        <f>'extended_recharge_2003-2015'!T178</f>
        <v>35.002913999999997</v>
      </c>
      <c r="U1042" s="14">
        <f>'extended_recharge_2003-2015'!U178</f>
        <v>19.529157999999999</v>
      </c>
      <c r="V1042" s="15">
        <f>'extended_recharge_2003-2015'!V178</f>
        <v>35.684246000000002</v>
      </c>
      <c r="W1042" s="16">
        <f>'extended_recharge_2003-2015'!W178</f>
        <v>18.670712000000002</v>
      </c>
      <c r="X1042" s="16">
        <f>'extended_recharge_2003-2015'!X178</f>
        <v>0.51789450000000004</v>
      </c>
      <c r="Y1042" s="16">
        <f>'extended_recharge_2003-2015'!Y178</f>
        <v>19.853961999999999</v>
      </c>
      <c r="Z1042" s="16">
        <f>'extended_recharge_2003-2015'!Z178</f>
        <v>1.4071077999999999</v>
      </c>
      <c r="AA1042" s="16">
        <f>'extended_recharge_2003-2015'!AA178</f>
        <v>4.0132139999999996</v>
      </c>
      <c r="AB1042" s="16">
        <f>'extended_recharge_2003-2015'!AB178</f>
        <v>1.3858466</v>
      </c>
      <c r="AC1042" s="16">
        <f>'extended_recharge_2003-2015'!AC178</f>
        <v>2.9167225000000001</v>
      </c>
      <c r="AD1042" s="16">
        <f>'extended_recharge_2003-2015'!AD178</f>
        <v>8.1451600000000006</v>
      </c>
      <c r="AE1042" s="16">
        <f>'extended_recharge_2003-2015'!AE178</f>
        <v>-0.71892230000000001</v>
      </c>
      <c r="AF1042" s="16">
        <f>'extended_recharge_2003-2015'!AF178</f>
        <v>112.24875</v>
      </c>
      <c r="AG1042" s="16">
        <f>'extended_recharge_2003-2015'!AG178</f>
        <v>22.226486000000001</v>
      </c>
    </row>
    <row r="1043" spans="1:33" x14ac:dyDescent="0.2">
      <c r="A1043" s="3">
        <v>39660</v>
      </c>
      <c r="B1043" s="14">
        <f>'extended_recharge_2003-2015'!B179</f>
        <v>8.4040119999999998</v>
      </c>
      <c r="C1043" s="14">
        <f>'extended_recharge_2003-2015'!C179</f>
        <v>24.746995999999999</v>
      </c>
      <c r="D1043" s="14">
        <f>'extended_recharge_2003-2015'!D179</f>
        <v>-4.2764499999999996</v>
      </c>
      <c r="E1043" s="14">
        <f>'extended_recharge_2003-2015'!E179</f>
        <v>-12.540241</v>
      </c>
      <c r="F1043" s="14">
        <f>'extended_recharge_2003-2015'!F179</f>
        <v>9.1534969999999998</v>
      </c>
      <c r="G1043" s="14">
        <f>'extended_recharge_2003-2015'!G179</f>
        <v>10.235970500000001</v>
      </c>
      <c r="H1043" s="14">
        <f>'extended_recharge_2003-2015'!H179</f>
        <v>14.055863</v>
      </c>
      <c r="I1043" s="14">
        <f>'extended_recharge_2003-2015'!I179</f>
        <v>35.419764999999998</v>
      </c>
      <c r="J1043" s="14">
        <f>'extended_recharge_2003-2015'!J179</f>
        <v>-1.2111869</v>
      </c>
      <c r="K1043" s="14">
        <f>'extended_recharge_2003-2015'!K179</f>
        <v>4.0893249999999997</v>
      </c>
      <c r="L1043" s="14">
        <f>'extended_recharge_2003-2015'!L179</f>
        <v>3.3547194</v>
      </c>
      <c r="M1043" s="14">
        <f>'extended_recharge_2003-2015'!M179</f>
        <v>4.4363264999999998</v>
      </c>
      <c r="N1043" s="14">
        <f>'extended_recharge_2003-2015'!N179</f>
        <v>37.572871999999997</v>
      </c>
      <c r="O1043" s="14">
        <f>'extended_recharge_2003-2015'!O179</f>
        <v>23.016767999999999</v>
      </c>
      <c r="P1043" s="14">
        <f>'extended_recharge_2003-2015'!P179</f>
        <v>55.558895</v>
      </c>
      <c r="Q1043" s="14">
        <f>'extended_recharge_2003-2015'!Q179</f>
        <v>3.3544588000000002</v>
      </c>
      <c r="R1043" s="14">
        <f>'extended_recharge_2003-2015'!R179</f>
        <v>11.625572</v>
      </c>
      <c r="S1043" s="14">
        <f>'extended_recharge_2003-2015'!S179</f>
        <v>13.805116999999999</v>
      </c>
      <c r="T1043" s="14">
        <f>'extended_recharge_2003-2015'!T179</f>
        <v>33.480269999999997</v>
      </c>
      <c r="U1043" s="14">
        <f>'extended_recharge_2003-2015'!U179</f>
        <v>17.798838</v>
      </c>
      <c r="V1043" s="15">
        <f>'extended_recharge_2003-2015'!V179</f>
        <v>37.249003999999999</v>
      </c>
      <c r="W1043" s="16">
        <f>'extended_recharge_2003-2015'!W179</f>
        <v>29.547491000000001</v>
      </c>
      <c r="X1043" s="16">
        <f>'extended_recharge_2003-2015'!X179</f>
        <v>1.2787907000000001</v>
      </c>
      <c r="Y1043" s="16">
        <f>'extended_recharge_2003-2015'!Y179</f>
        <v>17.448359</v>
      </c>
      <c r="Z1043" s="16">
        <f>'extended_recharge_2003-2015'!Z179</f>
        <v>2.5047367</v>
      </c>
      <c r="AA1043" s="16">
        <f>'extended_recharge_2003-2015'!AA179</f>
        <v>3.6205121999999998</v>
      </c>
      <c r="AB1043" s="16">
        <f>'extended_recharge_2003-2015'!AB179</f>
        <v>1.2425866000000001</v>
      </c>
      <c r="AC1043" s="16">
        <f>'extended_recharge_2003-2015'!AC179</f>
        <v>3.8218174</v>
      </c>
      <c r="AD1043" s="16">
        <f>'extended_recharge_2003-2015'!AD179</f>
        <v>9.5413599999999992</v>
      </c>
      <c r="AE1043" s="16">
        <f>'extended_recharge_2003-2015'!AE179</f>
        <v>-0.69326513999999995</v>
      </c>
      <c r="AF1043" s="16">
        <f>'extended_recharge_2003-2015'!AF179</f>
        <v>119.20957</v>
      </c>
      <c r="AG1043" s="16">
        <f>'extended_recharge_2003-2015'!AG179</f>
        <v>23.445549</v>
      </c>
    </row>
    <row r="1044" spans="1:33" x14ac:dyDescent="0.2">
      <c r="A1044" s="3">
        <v>39691</v>
      </c>
      <c r="B1044" s="14">
        <f>'extended_recharge_2003-2015'!B180</f>
        <v>3.9066559999999999</v>
      </c>
      <c r="C1044" s="14">
        <f>'extended_recharge_2003-2015'!C180</f>
        <v>24.223065999999999</v>
      </c>
      <c r="D1044" s="14">
        <f>'extended_recharge_2003-2015'!D180</f>
        <v>-2.7336290000000001</v>
      </c>
      <c r="E1044" s="14">
        <f>'extended_recharge_2003-2015'!E180</f>
        <v>-13.576169999999999</v>
      </c>
      <c r="F1044" s="14">
        <f>'extended_recharge_2003-2015'!F180</f>
        <v>1.3520205999999999</v>
      </c>
      <c r="G1044" s="14">
        <f>'extended_recharge_2003-2015'!G180</f>
        <v>14.966975</v>
      </c>
      <c r="H1044" s="14">
        <f>'extended_recharge_2003-2015'!H180</f>
        <v>15.010577</v>
      </c>
      <c r="I1044" s="14">
        <f>'extended_recharge_2003-2015'!I180</f>
        <v>38.555706000000001</v>
      </c>
      <c r="J1044" s="14">
        <f>'extended_recharge_2003-2015'!J180</f>
        <v>2.5547373000000002</v>
      </c>
      <c r="K1044" s="14">
        <f>'extended_recharge_2003-2015'!K180</f>
        <v>7.5789679999999997</v>
      </c>
      <c r="L1044" s="14">
        <f>'extended_recharge_2003-2015'!L180</f>
        <v>3.5162444000000002</v>
      </c>
      <c r="M1044" s="14">
        <f>'extended_recharge_2003-2015'!M180</f>
        <v>5.7827950000000001</v>
      </c>
      <c r="N1044" s="14">
        <f>'extended_recharge_2003-2015'!N180</f>
        <v>37.562309999999997</v>
      </c>
      <c r="O1044" s="14">
        <f>'extended_recharge_2003-2015'!O180</f>
        <v>23.76408</v>
      </c>
      <c r="P1044" s="14">
        <f>'extended_recharge_2003-2015'!P180</f>
        <v>61.149464000000002</v>
      </c>
      <c r="Q1044" s="14">
        <f>'extended_recharge_2003-2015'!Q180</f>
        <v>1.622935</v>
      </c>
      <c r="R1044" s="14">
        <f>'extended_recharge_2003-2015'!R180</f>
        <v>12.652412</v>
      </c>
      <c r="S1044" s="14">
        <f>'extended_recharge_2003-2015'!S180</f>
        <v>15.033099</v>
      </c>
      <c r="T1044" s="14">
        <f>'extended_recharge_2003-2015'!T180</f>
        <v>32.145836000000003</v>
      </c>
      <c r="U1044" s="14">
        <f>'extended_recharge_2003-2015'!U180</f>
        <v>15.801743500000001</v>
      </c>
      <c r="V1044" s="15">
        <f>'extended_recharge_2003-2015'!V180</f>
        <v>33.298259999999999</v>
      </c>
      <c r="W1044" s="16">
        <f>'extended_recharge_2003-2015'!W180</f>
        <v>29.454407</v>
      </c>
      <c r="X1044" s="16">
        <f>'extended_recharge_2003-2015'!X180</f>
        <v>0.72719926000000001</v>
      </c>
      <c r="Y1044" s="16">
        <f>'extended_recharge_2003-2015'!Y180</f>
        <v>16.474577</v>
      </c>
      <c r="Z1044" s="16">
        <f>'extended_recharge_2003-2015'!Z180</f>
        <v>2.9362146999999998</v>
      </c>
      <c r="AA1044" s="16">
        <f>'extended_recharge_2003-2015'!AA180</f>
        <v>2.3641964999999998</v>
      </c>
      <c r="AB1044" s="16">
        <f>'extended_recharge_2003-2015'!AB180</f>
        <v>1.2208178999999999</v>
      </c>
      <c r="AC1044" s="16">
        <f>'extended_recharge_2003-2015'!AC180</f>
        <v>1.9497751000000001</v>
      </c>
      <c r="AD1044" s="16">
        <f>'extended_recharge_2003-2015'!AD180</f>
        <v>8.2718389999999999</v>
      </c>
      <c r="AE1044" s="16">
        <f>'extended_recharge_2003-2015'!AE180</f>
        <v>-0.91497534999999997</v>
      </c>
      <c r="AF1044" s="16">
        <f>'extended_recharge_2003-2015'!AF180</f>
        <v>114.815186</v>
      </c>
      <c r="AG1044" s="16">
        <f>'extended_recharge_2003-2015'!AG180</f>
        <v>23.491568000000001</v>
      </c>
    </row>
    <row r="1045" spans="1:33" x14ac:dyDescent="0.2">
      <c r="A1045" s="3">
        <v>39721</v>
      </c>
      <c r="B1045" s="14">
        <f>'extended_recharge_2003-2015'!B181</f>
        <v>3.2013772</v>
      </c>
      <c r="C1045" s="14">
        <f>'extended_recharge_2003-2015'!C181</f>
        <v>26.235797999999999</v>
      </c>
      <c r="D1045" s="14">
        <f>'extended_recharge_2003-2015'!D181</f>
        <v>2.6866615</v>
      </c>
      <c r="E1045" s="14">
        <f>'extended_recharge_2003-2015'!E181</f>
        <v>9.3266650000000002</v>
      </c>
      <c r="F1045" s="14">
        <f>'extended_recharge_2003-2015'!F181</f>
        <v>20.565124999999998</v>
      </c>
      <c r="G1045" s="14">
        <f>'extended_recharge_2003-2015'!G181</f>
        <v>42.396380000000001</v>
      </c>
      <c r="H1045" s="14">
        <f>'extended_recharge_2003-2015'!H181</f>
        <v>17.556194000000001</v>
      </c>
      <c r="I1045" s="14">
        <f>'extended_recharge_2003-2015'!I181</f>
        <v>41.485306000000001</v>
      </c>
      <c r="J1045" s="14">
        <f>'extended_recharge_2003-2015'!J181</f>
        <v>16.087612</v>
      </c>
      <c r="K1045" s="14">
        <f>'extended_recharge_2003-2015'!K181</f>
        <v>18.017088000000001</v>
      </c>
      <c r="L1045" s="14">
        <f>'extended_recharge_2003-2015'!L181</f>
        <v>10.039327</v>
      </c>
      <c r="M1045" s="14">
        <f>'extended_recharge_2003-2015'!M181</f>
        <v>10.078123</v>
      </c>
      <c r="N1045" s="14">
        <f>'extended_recharge_2003-2015'!N181</f>
        <v>46.422187999999998</v>
      </c>
      <c r="O1045" s="14">
        <f>'extended_recharge_2003-2015'!O181</f>
        <v>23.483170999999999</v>
      </c>
      <c r="P1045" s="14">
        <f>'extended_recharge_2003-2015'!P181</f>
        <v>44.484940000000002</v>
      </c>
      <c r="Q1045" s="14">
        <f>'extended_recharge_2003-2015'!Q181</f>
        <v>0.85198693999999997</v>
      </c>
      <c r="R1045" s="14">
        <f>'extended_recharge_2003-2015'!R181</f>
        <v>14.862574</v>
      </c>
      <c r="S1045" s="14">
        <f>'extended_recharge_2003-2015'!S181</f>
        <v>23.070055</v>
      </c>
      <c r="T1045" s="14">
        <f>'extended_recharge_2003-2015'!T181</f>
        <v>35.354346999999997</v>
      </c>
      <c r="U1045" s="14">
        <f>'extended_recharge_2003-2015'!U181</f>
        <v>12.322068</v>
      </c>
      <c r="V1045" s="15">
        <f>'extended_recharge_2003-2015'!V181</f>
        <v>26.680271000000001</v>
      </c>
      <c r="W1045" s="16">
        <f>'extended_recharge_2003-2015'!W181</f>
        <v>27.36777</v>
      </c>
      <c r="X1045" s="16">
        <f>'extended_recharge_2003-2015'!X181</f>
        <v>9.7369360000000002E-2</v>
      </c>
      <c r="Y1045" s="16">
        <f>'extended_recharge_2003-2015'!Y181</f>
        <v>13.21744</v>
      </c>
      <c r="Z1045" s="16">
        <f>'extended_recharge_2003-2015'!Z181</f>
        <v>3.830006</v>
      </c>
      <c r="AA1045" s="16">
        <f>'extended_recharge_2003-2015'!AA181</f>
        <v>2.3005369</v>
      </c>
      <c r="AB1045" s="16">
        <f>'extended_recharge_2003-2015'!AB181</f>
        <v>2.2778429999999998</v>
      </c>
      <c r="AC1045" s="16">
        <f>'extended_recharge_2003-2015'!AC181</f>
        <v>2.7778456</v>
      </c>
      <c r="AD1045" s="16">
        <f>'extended_recharge_2003-2015'!AD181</f>
        <v>5.6999950000000004</v>
      </c>
      <c r="AE1045" s="16">
        <f>'extended_recharge_2003-2015'!AE181</f>
        <v>1.9749523</v>
      </c>
      <c r="AF1045" s="16">
        <f>'extended_recharge_2003-2015'!AF181</f>
        <v>108.14690400000001</v>
      </c>
      <c r="AG1045" s="16">
        <f>'extended_recharge_2003-2015'!AG181</f>
        <v>20.229389999999999</v>
      </c>
    </row>
    <row r="1046" spans="1:33" x14ac:dyDescent="0.2">
      <c r="A1046" s="3">
        <v>39752</v>
      </c>
      <c r="B1046" s="14">
        <f>'extended_recharge_2003-2015'!B182</f>
        <v>1.7770054</v>
      </c>
      <c r="C1046" s="14">
        <f>'extended_recharge_2003-2015'!C182</f>
        <v>24.679026</v>
      </c>
      <c r="D1046" s="14">
        <f>'extended_recharge_2003-2015'!D182</f>
        <v>-0.86678460000000002</v>
      </c>
      <c r="E1046" s="14">
        <f>'extended_recharge_2003-2015'!E182</f>
        <v>-0.35646032999999999</v>
      </c>
      <c r="F1046" s="14">
        <f>'extended_recharge_2003-2015'!F182</f>
        <v>13.333660999999999</v>
      </c>
      <c r="G1046" s="14">
        <f>'extended_recharge_2003-2015'!G182</f>
        <v>30.625143000000001</v>
      </c>
      <c r="H1046" s="14">
        <f>'extended_recharge_2003-2015'!H182</f>
        <v>15.954046999999999</v>
      </c>
      <c r="I1046" s="14">
        <f>'extended_recharge_2003-2015'!I182</f>
        <v>39.346040000000002</v>
      </c>
      <c r="J1046" s="14">
        <f>'extended_recharge_2003-2015'!J182</f>
        <v>17.020864</v>
      </c>
      <c r="K1046" s="14">
        <f>'extended_recharge_2003-2015'!K182</f>
        <v>17.204930999999998</v>
      </c>
      <c r="L1046" s="14">
        <f>'extended_recharge_2003-2015'!L182</f>
        <v>2.7501730000000002</v>
      </c>
      <c r="M1046" s="14">
        <f>'extended_recharge_2003-2015'!M182</f>
        <v>6.3898834999999998</v>
      </c>
      <c r="N1046" s="14">
        <f>'extended_recharge_2003-2015'!N182</f>
        <v>43.189101999999998</v>
      </c>
      <c r="O1046" s="14">
        <f>'extended_recharge_2003-2015'!O182</f>
        <v>22.289808000000001</v>
      </c>
      <c r="P1046" s="14">
        <f>'extended_recharge_2003-2015'!P182</f>
        <v>57.170321999999999</v>
      </c>
      <c r="Q1046" s="14">
        <f>'extended_recharge_2003-2015'!Q182</f>
        <v>2.5810002999999999</v>
      </c>
      <c r="R1046" s="14">
        <f>'extended_recharge_2003-2015'!R182</f>
        <v>13.992015</v>
      </c>
      <c r="S1046" s="14">
        <f>'extended_recharge_2003-2015'!S182</f>
        <v>26.417888999999999</v>
      </c>
      <c r="T1046" s="14">
        <f>'extended_recharge_2003-2015'!T182</f>
        <v>31.533695000000002</v>
      </c>
      <c r="U1046" s="14">
        <f>'extended_recharge_2003-2015'!U182</f>
        <v>11.690179000000001</v>
      </c>
      <c r="V1046" s="15">
        <f>'extended_recharge_2003-2015'!V182</f>
        <v>21.87256</v>
      </c>
      <c r="W1046" s="16">
        <f>'extended_recharge_2003-2015'!W182</f>
        <v>21.924488</v>
      </c>
      <c r="X1046" s="16">
        <f>'extended_recharge_2003-2015'!X182</f>
        <v>0.31677830000000001</v>
      </c>
      <c r="Y1046" s="16">
        <f>'extended_recharge_2003-2015'!Y182</f>
        <v>12.267008000000001</v>
      </c>
      <c r="Z1046" s="16">
        <f>'extended_recharge_2003-2015'!Z182</f>
        <v>5.0323997</v>
      </c>
      <c r="AA1046" s="16">
        <f>'extended_recharge_2003-2015'!AA182</f>
        <v>4.3079742999999997</v>
      </c>
      <c r="AB1046" s="16">
        <f>'extended_recharge_2003-2015'!AB182</f>
        <v>2.8761700000000001</v>
      </c>
      <c r="AC1046" s="16">
        <f>'extended_recharge_2003-2015'!AC182</f>
        <v>4.2006763999999999</v>
      </c>
      <c r="AD1046" s="16">
        <f>'extended_recharge_2003-2015'!AD182</f>
        <v>3.9349747000000002</v>
      </c>
      <c r="AE1046" s="16">
        <f>'extended_recharge_2003-2015'!AE182</f>
        <v>7.2080153999999999</v>
      </c>
      <c r="AF1046" s="16">
        <f>'extended_recharge_2003-2015'!AF182</f>
        <v>95.483750000000001</v>
      </c>
      <c r="AG1046" s="16">
        <f>'extended_recharge_2003-2015'!AG182</f>
        <v>16.198473</v>
      </c>
    </row>
    <row r="1047" spans="1:33" x14ac:dyDescent="0.2">
      <c r="A1047" s="3">
        <v>39782</v>
      </c>
      <c r="B1047" s="14">
        <f>'extended_recharge_2003-2015'!B183</f>
        <v>-0.22125348</v>
      </c>
      <c r="C1047" s="14">
        <f>'extended_recharge_2003-2015'!C183</f>
        <v>21.946152000000001</v>
      </c>
      <c r="D1047" s="14">
        <f>'extended_recharge_2003-2015'!D183</f>
        <v>-4.9316963999999999</v>
      </c>
      <c r="E1047" s="14">
        <f>'extended_recharge_2003-2015'!E183</f>
        <v>-20.765637999999999</v>
      </c>
      <c r="F1047" s="14">
        <f>'extended_recharge_2003-2015'!F183</f>
        <v>-4.1896069999999996</v>
      </c>
      <c r="G1047" s="14">
        <f>'extended_recharge_2003-2015'!G183</f>
        <v>8.6625510000000006</v>
      </c>
      <c r="H1047" s="14">
        <f>'extended_recharge_2003-2015'!H183</f>
        <v>13.396008999999999</v>
      </c>
      <c r="I1047" s="14">
        <f>'extended_recharge_2003-2015'!I183</f>
        <v>40.807495000000003</v>
      </c>
      <c r="J1047" s="14">
        <f>'extended_recharge_2003-2015'!J183</f>
        <v>15.430933</v>
      </c>
      <c r="K1047" s="14">
        <f>'extended_recharge_2003-2015'!K183</f>
        <v>5.8907930000000004</v>
      </c>
      <c r="L1047" s="14">
        <f>'extended_recharge_2003-2015'!L183</f>
        <v>3.16438</v>
      </c>
      <c r="M1047" s="14">
        <f>'extended_recharge_2003-2015'!M183</f>
        <v>2.7229291999999998</v>
      </c>
      <c r="N1047" s="14">
        <f>'extended_recharge_2003-2015'!N183</f>
        <v>34.678400000000003</v>
      </c>
      <c r="O1047" s="14">
        <f>'extended_recharge_2003-2015'!O183</f>
        <v>25.962009999999999</v>
      </c>
      <c r="P1047" s="14">
        <f>'extended_recharge_2003-2015'!P183</f>
        <v>70.273110000000003</v>
      </c>
      <c r="Q1047" s="14">
        <f>'extended_recharge_2003-2015'!Q183</f>
        <v>3.9202184999999998</v>
      </c>
      <c r="R1047" s="14">
        <f>'extended_recharge_2003-2015'!R183</f>
        <v>14.295931</v>
      </c>
      <c r="S1047" s="14">
        <f>'extended_recharge_2003-2015'!S183</f>
        <v>19.362687999999999</v>
      </c>
      <c r="T1047" s="14">
        <f>'extended_recharge_2003-2015'!T183</f>
        <v>31.651734999999999</v>
      </c>
      <c r="U1047" s="14">
        <f>'extended_recharge_2003-2015'!U183</f>
        <v>13.383067</v>
      </c>
      <c r="V1047" s="15">
        <f>'extended_recharge_2003-2015'!V183</f>
        <v>18.170083999999999</v>
      </c>
      <c r="W1047" s="16">
        <f>'extended_recharge_2003-2015'!W183</f>
        <v>15.689322000000001</v>
      </c>
      <c r="X1047" s="16">
        <f>'extended_recharge_2003-2015'!X183</f>
        <v>0.64409850000000002</v>
      </c>
      <c r="Y1047" s="16">
        <f>'extended_recharge_2003-2015'!Y183</f>
        <v>10.139471</v>
      </c>
      <c r="Z1047" s="16">
        <f>'extended_recharge_2003-2015'!Z183</f>
        <v>5.7262497000000003</v>
      </c>
      <c r="AA1047" s="16">
        <f>'extended_recharge_2003-2015'!AA183</f>
        <v>3.0803113</v>
      </c>
      <c r="AB1047" s="16">
        <f>'extended_recharge_2003-2015'!AB183</f>
        <v>1.828784</v>
      </c>
      <c r="AC1047" s="16">
        <f>'extended_recharge_2003-2015'!AC183</f>
        <v>3.9093087</v>
      </c>
      <c r="AD1047" s="16">
        <f>'extended_recharge_2003-2015'!AD183</f>
        <v>3.1349914000000001</v>
      </c>
      <c r="AE1047" s="16">
        <f>'extended_recharge_2003-2015'!AE183</f>
        <v>17.046441999999999</v>
      </c>
      <c r="AF1047" s="16">
        <f>'extended_recharge_2003-2015'!AF183</f>
        <v>69.499465999999998</v>
      </c>
      <c r="AG1047" s="16">
        <f>'extended_recharge_2003-2015'!AG183</f>
        <v>13.133361000000001</v>
      </c>
    </row>
    <row r="1048" spans="1:33" x14ac:dyDescent="0.2">
      <c r="A1048" s="3">
        <v>39813</v>
      </c>
      <c r="B1048" s="14">
        <f>'extended_recharge_2003-2015'!B184</f>
        <v>1.8183856</v>
      </c>
      <c r="C1048" s="14">
        <f>'extended_recharge_2003-2015'!C184</f>
        <v>23.781427000000001</v>
      </c>
      <c r="D1048" s="14">
        <f>'extended_recharge_2003-2015'!D184</f>
        <v>0.40827609999999998</v>
      </c>
      <c r="E1048" s="14">
        <f>'extended_recharge_2003-2015'!E184</f>
        <v>-2.5763652000000001</v>
      </c>
      <c r="F1048" s="14">
        <f>'extended_recharge_2003-2015'!F184</f>
        <v>2.6874769000000001</v>
      </c>
      <c r="G1048" s="14">
        <f>'extended_recharge_2003-2015'!G184</f>
        <v>20.445540000000001</v>
      </c>
      <c r="H1048" s="14">
        <f>'extended_recharge_2003-2015'!H184</f>
        <v>15.876013</v>
      </c>
      <c r="I1048" s="14">
        <f>'extended_recharge_2003-2015'!I184</f>
        <v>41.018925000000003</v>
      </c>
      <c r="J1048" s="14">
        <f>'extended_recharge_2003-2015'!J184</f>
        <v>14.039028999999999</v>
      </c>
      <c r="K1048" s="14">
        <f>'extended_recharge_2003-2015'!K184</f>
        <v>3.1945233000000002</v>
      </c>
      <c r="L1048" s="14">
        <f>'extended_recharge_2003-2015'!L184</f>
        <v>4.0053460000000003</v>
      </c>
      <c r="M1048" s="14">
        <f>'extended_recharge_2003-2015'!M184</f>
        <v>2.083507</v>
      </c>
      <c r="N1048" s="14">
        <f>'extended_recharge_2003-2015'!N184</f>
        <v>32.038960000000003</v>
      </c>
      <c r="O1048" s="14">
        <f>'extended_recharge_2003-2015'!O184</f>
        <v>22.229928999999998</v>
      </c>
      <c r="P1048" s="14">
        <f>'extended_recharge_2003-2015'!P184</f>
        <v>58.074092999999998</v>
      </c>
      <c r="Q1048" s="14">
        <f>'extended_recharge_2003-2015'!Q184</f>
        <v>3.8349147000000001</v>
      </c>
      <c r="R1048" s="14">
        <f>'extended_recharge_2003-2015'!R184</f>
        <v>11.634641999999999</v>
      </c>
      <c r="S1048" s="14">
        <f>'extended_recharge_2003-2015'!S184</f>
        <v>16.865756999999999</v>
      </c>
      <c r="T1048" s="14">
        <f>'extended_recharge_2003-2015'!T184</f>
        <v>33.511040000000001</v>
      </c>
      <c r="U1048" s="14">
        <f>'extended_recharge_2003-2015'!U184</f>
        <v>11.80012</v>
      </c>
      <c r="V1048" s="15">
        <f>'extended_recharge_2003-2015'!V184</f>
        <v>17.319179999999999</v>
      </c>
      <c r="W1048" s="16">
        <f>'extended_recharge_2003-2015'!W184</f>
        <v>11.344948</v>
      </c>
      <c r="X1048" s="16">
        <f>'extended_recharge_2003-2015'!X184</f>
        <v>0.26655889999999999</v>
      </c>
      <c r="Y1048" s="16">
        <f>'extended_recharge_2003-2015'!Y184</f>
        <v>9.6280575000000006</v>
      </c>
      <c r="Z1048" s="16">
        <f>'extended_recharge_2003-2015'!Z184</f>
        <v>5.6695546999999999</v>
      </c>
      <c r="AA1048" s="16">
        <f>'extended_recharge_2003-2015'!AA184</f>
        <v>3.6547754000000001</v>
      </c>
      <c r="AB1048" s="16">
        <f>'extended_recharge_2003-2015'!AB184</f>
        <v>1.4726672999999999</v>
      </c>
      <c r="AC1048" s="16">
        <f>'extended_recharge_2003-2015'!AC184</f>
        <v>4.8124384999999998</v>
      </c>
      <c r="AD1048" s="16">
        <f>'extended_recharge_2003-2015'!AD184</f>
        <v>2.5786642999999998</v>
      </c>
      <c r="AE1048" s="16">
        <f>'extended_recharge_2003-2015'!AE184</f>
        <v>24.001719000000001</v>
      </c>
      <c r="AF1048" s="16">
        <f>'extended_recharge_2003-2015'!AF184</f>
        <v>64.260159999999999</v>
      </c>
      <c r="AG1048" s="16">
        <f>'extended_recharge_2003-2015'!AG184</f>
        <v>11.510477</v>
      </c>
    </row>
    <row r="1049" spans="1:33" x14ac:dyDescent="0.2">
      <c r="A1049" s="3">
        <v>39844</v>
      </c>
      <c r="B1049" s="14">
        <f>'extended_recharge_2003-2015'!B185</f>
        <v>0.59629650000000001</v>
      </c>
      <c r="C1049" s="14">
        <f>'extended_recharge_2003-2015'!C185</f>
        <v>22.411947000000001</v>
      </c>
      <c r="D1049" s="14">
        <f>'extended_recharge_2003-2015'!D185</f>
        <v>5.4810129999999999</v>
      </c>
      <c r="E1049" s="14">
        <f>'extended_recharge_2003-2015'!E185</f>
        <v>4.3282832999999998</v>
      </c>
      <c r="F1049" s="14">
        <f>'extended_recharge_2003-2015'!F185</f>
        <v>9.1514520000000008</v>
      </c>
      <c r="G1049" s="14">
        <f>'extended_recharge_2003-2015'!G185</f>
        <v>25.894494999999999</v>
      </c>
      <c r="H1049" s="14">
        <f>'extended_recharge_2003-2015'!H185</f>
        <v>14.189444</v>
      </c>
      <c r="I1049" s="14">
        <f>'extended_recharge_2003-2015'!I185</f>
        <v>35.686337000000002</v>
      </c>
      <c r="J1049" s="14">
        <f>'extended_recharge_2003-2015'!J185</f>
        <v>17.655128000000001</v>
      </c>
      <c r="K1049" s="14">
        <f>'extended_recharge_2003-2015'!K185</f>
        <v>-3.7927718000000001</v>
      </c>
      <c r="L1049" s="14">
        <f>'extended_recharge_2003-2015'!L185</f>
        <v>-6.7942457000000003</v>
      </c>
      <c r="M1049" s="14">
        <f>'extended_recharge_2003-2015'!M185</f>
        <v>-1.6735838999999999</v>
      </c>
      <c r="N1049" s="14">
        <f>'extended_recharge_2003-2015'!N185</f>
        <v>27.195295000000002</v>
      </c>
      <c r="O1049" s="14">
        <f>'extended_recharge_2003-2015'!O185</f>
        <v>21.316032</v>
      </c>
      <c r="P1049" s="14">
        <f>'extended_recharge_2003-2015'!P185</f>
        <v>64.705550000000002</v>
      </c>
      <c r="Q1049" s="14">
        <f>'extended_recharge_2003-2015'!Q185</f>
        <v>3.1787930000000002</v>
      </c>
      <c r="R1049" s="14">
        <f>'extended_recharge_2003-2015'!R185</f>
        <v>9.9277370000000005</v>
      </c>
      <c r="S1049" s="14">
        <f>'extended_recharge_2003-2015'!S185</f>
        <v>11.531921000000001</v>
      </c>
      <c r="T1049" s="14">
        <f>'extended_recharge_2003-2015'!T185</f>
        <v>36.001277999999999</v>
      </c>
      <c r="U1049" s="14">
        <f>'extended_recharge_2003-2015'!U185</f>
        <v>10.2681</v>
      </c>
      <c r="V1049" s="15">
        <f>'extended_recharge_2003-2015'!V185</f>
        <v>19.053267999999999</v>
      </c>
      <c r="W1049" s="16">
        <f>'extended_recharge_2003-2015'!W185</f>
        <v>4.7216060000000004</v>
      </c>
      <c r="X1049" s="16">
        <f>'extended_recharge_2003-2015'!X185</f>
        <v>3.4517647999999999</v>
      </c>
      <c r="Y1049" s="16">
        <f>'extended_recharge_2003-2015'!Y185</f>
        <v>9.6107569999999996</v>
      </c>
      <c r="Z1049" s="16">
        <f>'extended_recharge_2003-2015'!Z185</f>
        <v>2.9125257000000002</v>
      </c>
      <c r="AA1049" s="16">
        <f>'extended_recharge_2003-2015'!AA185</f>
        <v>4.6509119999999999</v>
      </c>
      <c r="AB1049" s="16">
        <f>'extended_recharge_2003-2015'!AB185</f>
        <v>2.4190933999999999</v>
      </c>
      <c r="AC1049" s="16">
        <f>'extended_recharge_2003-2015'!AC185</f>
        <v>6.1842180000000004</v>
      </c>
      <c r="AD1049" s="16">
        <f>'extended_recharge_2003-2015'!AD185</f>
        <v>1.9886655</v>
      </c>
      <c r="AE1049" s="16">
        <f>'extended_recharge_2003-2015'!AE185</f>
        <v>26.758112000000001</v>
      </c>
      <c r="AF1049" s="16">
        <f>'extended_recharge_2003-2015'!AF185</f>
        <v>66.787080000000003</v>
      </c>
      <c r="AG1049" s="16">
        <f>'extended_recharge_2003-2015'!AG185</f>
        <v>10.091144999999999</v>
      </c>
    </row>
    <row r="1050" spans="1:33" x14ac:dyDescent="0.2">
      <c r="A1050" s="3">
        <v>39872</v>
      </c>
      <c r="B1050" s="14">
        <f>'extended_recharge_2003-2015'!B186</f>
        <v>1.6761041999999999</v>
      </c>
      <c r="C1050" s="14">
        <f>'extended_recharge_2003-2015'!C186</f>
        <v>22.803833000000001</v>
      </c>
      <c r="D1050" s="14">
        <f>'extended_recharge_2003-2015'!D186</f>
        <v>2.3577561</v>
      </c>
      <c r="E1050" s="14">
        <f>'extended_recharge_2003-2015'!E186</f>
        <v>1.2231386</v>
      </c>
      <c r="F1050" s="14">
        <f>'extended_recharge_2003-2015'!F186</f>
        <v>10.549395000000001</v>
      </c>
      <c r="G1050" s="14">
        <f>'extended_recharge_2003-2015'!G186</f>
        <v>29.7239</v>
      </c>
      <c r="H1050" s="14">
        <f>'extended_recharge_2003-2015'!H186</f>
        <v>14.405146999999999</v>
      </c>
      <c r="I1050" s="14">
        <f>'extended_recharge_2003-2015'!I186</f>
        <v>38.537219999999998</v>
      </c>
      <c r="J1050" s="14">
        <f>'extended_recharge_2003-2015'!J186</f>
        <v>18.164784999999998</v>
      </c>
      <c r="K1050" s="14">
        <f>'extended_recharge_2003-2015'!K186</f>
        <v>8.6174490000000006</v>
      </c>
      <c r="L1050" s="14">
        <f>'extended_recharge_2003-2015'!L186</f>
        <v>-1.4266323000000001</v>
      </c>
      <c r="M1050" s="14">
        <f>'extended_recharge_2003-2015'!M186</f>
        <v>5.1344132</v>
      </c>
      <c r="N1050" s="14">
        <f>'extended_recharge_2003-2015'!N186</f>
        <v>34.869619999999998</v>
      </c>
      <c r="O1050" s="14">
        <f>'extended_recharge_2003-2015'!O186</f>
        <v>22.958985999999999</v>
      </c>
      <c r="P1050" s="14">
        <f>'extended_recharge_2003-2015'!P186</f>
        <v>34.40851</v>
      </c>
      <c r="Q1050" s="14">
        <f>'extended_recharge_2003-2015'!Q186</f>
        <v>2.8470081999999999</v>
      </c>
      <c r="R1050" s="14">
        <f>'extended_recharge_2003-2015'!R186</f>
        <v>9.5022179999999992</v>
      </c>
      <c r="S1050" s="14">
        <f>'extended_recharge_2003-2015'!S186</f>
        <v>16.793044999999999</v>
      </c>
      <c r="T1050" s="14">
        <f>'extended_recharge_2003-2015'!T186</f>
        <v>32.694541999999998</v>
      </c>
      <c r="U1050" s="14">
        <f>'extended_recharge_2003-2015'!U186</f>
        <v>10.935052000000001</v>
      </c>
      <c r="V1050" s="15">
        <f>'extended_recharge_2003-2015'!V186</f>
        <v>18.994577</v>
      </c>
      <c r="W1050" s="16">
        <f>'extended_recharge_2003-2015'!W186</f>
        <v>0.190668</v>
      </c>
      <c r="X1050" s="16">
        <f>'extended_recharge_2003-2015'!X186</f>
        <v>4.0577063999999998</v>
      </c>
      <c r="Y1050" s="16">
        <f>'extended_recharge_2003-2015'!Y186</f>
        <v>9.3616460000000004</v>
      </c>
      <c r="Z1050" s="16">
        <f>'extended_recharge_2003-2015'!Z186</f>
        <v>1.6801263</v>
      </c>
      <c r="AA1050" s="16">
        <f>'extended_recharge_2003-2015'!AA186</f>
        <v>3.7061069999999998</v>
      </c>
      <c r="AB1050" s="16">
        <f>'extended_recharge_2003-2015'!AB186</f>
        <v>2.2030696999999999</v>
      </c>
      <c r="AC1050" s="16">
        <f>'extended_recharge_2003-2015'!AC186</f>
        <v>4.1802349999999997</v>
      </c>
      <c r="AD1050" s="16">
        <f>'extended_recharge_2003-2015'!AD186</f>
        <v>2.4885442000000002</v>
      </c>
      <c r="AE1050" s="16">
        <f>'extended_recharge_2003-2015'!AE186</f>
        <v>23.351669999999999</v>
      </c>
      <c r="AF1050" s="16">
        <f>'extended_recharge_2003-2015'!AF186</f>
        <v>65.579414</v>
      </c>
      <c r="AG1050" s="16">
        <f>'extended_recharge_2003-2015'!AG186</f>
        <v>9.7060370000000002</v>
      </c>
    </row>
    <row r="1051" spans="1:33" x14ac:dyDescent="0.2">
      <c r="A1051" s="3">
        <v>39903</v>
      </c>
      <c r="B1051" s="14">
        <f>'extended_recharge_2003-2015'!B187</f>
        <v>3.3901545999999998</v>
      </c>
      <c r="C1051" s="14">
        <f>'extended_recharge_2003-2015'!C187</f>
        <v>22.976938000000001</v>
      </c>
      <c r="D1051" s="14">
        <f>'extended_recharge_2003-2015'!D187</f>
        <v>0.3487112</v>
      </c>
      <c r="E1051" s="14">
        <f>'extended_recharge_2003-2015'!E187</f>
        <v>-4.3709030000000002</v>
      </c>
      <c r="F1051" s="14">
        <f>'extended_recharge_2003-2015'!F187</f>
        <v>0.60158235000000004</v>
      </c>
      <c r="G1051" s="14">
        <f>'extended_recharge_2003-2015'!G187</f>
        <v>13.886469</v>
      </c>
      <c r="H1051" s="14">
        <f>'extended_recharge_2003-2015'!H187</f>
        <v>12.783515</v>
      </c>
      <c r="I1051" s="14">
        <f>'extended_recharge_2003-2015'!I187</f>
        <v>36.625779999999999</v>
      </c>
      <c r="J1051" s="14">
        <f>'extended_recharge_2003-2015'!J187</f>
        <v>11.419764000000001</v>
      </c>
      <c r="K1051" s="14">
        <f>'extended_recharge_2003-2015'!K187</f>
        <v>9.8906050000000008</v>
      </c>
      <c r="L1051" s="14">
        <f>'extended_recharge_2003-2015'!L187</f>
        <v>-7.0165369999999996</v>
      </c>
      <c r="M1051" s="14">
        <f>'extended_recharge_2003-2015'!M187</f>
        <v>1.8935351</v>
      </c>
      <c r="N1051" s="14">
        <f>'extended_recharge_2003-2015'!N187</f>
        <v>32.044960000000003</v>
      </c>
      <c r="O1051" s="14">
        <f>'extended_recharge_2003-2015'!O187</f>
        <v>22.662662999999998</v>
      </c>
      <c r="P1051" s="14">
        <f>'extended_recharge_2003-2015'!P187</f>
        <v>60.812849999999997</v>
      </c>
      <c r="Q1051" s="14">
        <f>'extended_recharge_2003-2015'!Q187</f>
        <v>3.1662767000000001</v>
      </c>
      <c r="R1051" s="14">
        <f>'extended_recharge_2003-2015'!R187</f>
        <v>8.9064589999999999</v>
      </c>
      <c r="S1051" s="14">
        <f>'extended_recharge_2003-2015'!S187</f>
        <v>17.017523000000001</v>
      </c>
      <c r="T1051" s="14">
        <f>'extended_recharge_2003-2015'!T187</f>
        <v>36.353301999999999</v>
      </c>
      <c r="U1051" s="14">
        <f>'extended_recharge_2003-2015'!U187</f>
        <v>11.317702000000001</v>
      </c>
      <c r="V1051" s="15">
        <f>'extended_recharge_2003-2015'!V187</f>
        <v>20.870508000000001</v>
      </c>
      <c r="W1051" s="16">
        <f>'extended_recharge_2003-2015'!W187</f>
        <v>-2.8520903E-2</v>
      </c>
      <c r="X1051" s="16">
        <f>'extended_recharge_2003-2015'!X187</f>
        <v>3.5835192</v>
      </c>
      <c r="Y1051" s="16">
        <f>'extended_recharge_2003-2015'!Y187</f>
        <v>11.254129000000001</v>
      </c>
      <c r="Z1051" s="16">
        <f>'extended_recharge_2003-2015'!Z187</f>
        <v>1.6477569000000001</v>
      </c>
      <c r="AA1051" s="16">
        <f>'extended_recharge_2003-2015'!AA187</f>
        <v>5.1624739999999996</v>
      </c>
      <c r="AB1051" s="16">
        <f>'extended_recharge_2003-2015'!AB187</f>
        <v>2.0392518000000002</v>
      </c>
      <c r="AC1051" s="16">
        <f>'extended_recharge_2003-2015'!AC187</f>
        <v>2.9669819999999998</v>
      </c>
      <c r="AD1051" s="16">
        <f>'extended_recharge_2003-2015'!AD187</f>
        <v>2.8619080000000001</v>
      </c>
      <c r="AE1051" s="16">
        <f>'extended_recharge_2003-2015'!AE187</f>
        <v>16.891922000000001</v>
      </c>
      <c r="AF1051" s="16">
        <f>'extended_recharge_2003-2015'!AF187</f>
        <v>75.712360000000004</v>
      </c>
      <c r="AG1051" s="16">
        <f>'extended_recharge_2003-2015'!AG187</f>
        <v>10.851927999999999</v>
      </c>
    </row>
    <row r="1052" spans="1:33" x14ac:dyDescent="0.2">
      <c r="A1052" s="3">
        <v>39933</v>
      </c>
      <c r="B1052" s="14">
        <f>'extended_recharge_2003-2015'!B188</f>
        <v>4.8118433999999999</v>
      </c>
      <c r="C1052" s="14">
        <f>'extended_recharge_2003-2015'!C188</f>
        <v>24.081071999999999</v>
      </c>
      <c r="D1052" s="14">
        <f>'extended_recharge_2003-2015'!D188</f>
        <v>-1.5867049</v>
      </c>
      <c r="E1052" s="14">
        <f>'extended_recharge_2003-2015'!E188</f>
        <v>6.6564100000000002</v>
      </c>
      <c r="F1052" s="14">
        <f>'extended_recharge_2003-2015'!F188</f>
        <v>22.770085999999999</v>
      </c>
      <c r="G1052" s="14">
        <f>'extended_recharge_2003-2015'!G188</f>
        <v>11.715745</v>
      </c>
      <c r="H1052" s="14">
        <f>'extended_recharge_2003-2015'!H188</f>
        <v>15.226959000000001</v>
      </c>
      <c r="I1052" s="14">
        <f>'extended_recharge_2003-2015'!I188</f>
        <v>36.241819999999997</v>
      </c>
      <c r="J1052" s="14">
        <f>'extended_recharge_2003-2015'!J188</f>
        <v>5.2588039999999996</v>
      </c>
      <c r="K1052" s="14">
        <f>'extended_recharge_2003-2015'!K188</f>
        <v>3.1186614000000001</v>
      </c>
      <c r="L1052" s="14">
        <f>'extended_recharge_2003-2015'!L188</f>
        <v>1.1482201999999999</v>
      </c>
      <c r="M1052" s="14">
        <f>'extended_recharge_2003-2015'!M188</f>
        <v>2.4985094000000001</v>
      </c>
      <c r="N1052" s="14">
        <f>'extended_recharge_2003-2015'!N188</f>
        <v>30.82713</v>
      </c>
      <c r="O1052" s="14">
        <f>'extended_recharge_2003-2015'!O188</f>
        <v>22.903068999999999</v>
      </c>
      <c r="P1052" s="14">
        <f>'extended_recharge_2003-2015'!P188</f>
        <v>71.454939999999993</v>
      </c>
      <c r="Q1052" s="14">
        <f>'extended_recharge_2003-2015'!Q188</f>
        <v>1.5679803000000001</v>
      </c>
      <c r="R1052" s="14">
        <f>'extended_recharge_2003-2015'!R188</f>
        <v>8.8296510000000001</v>
      </c>
      <c r="S1052" s="14">
        <f>'extended_recharge_2003-2015'!S188</f>
        <v>14.689596</v>
      </c>
      <c r="T1052" s="14">
        <f>'extended_recharge_2003-2015'!T188</f>
        <v>38.26193</v>
      </c>
      <c r="U1052" s="14">
        <f>'extended_recharge_2003-2015'!U188</f>
        <v>9.8956540000000004</v>
      </c>
      <c r="V1052" s="15">
        <f>'extended_recharge_2003-2015'!V188</f>
        <v>22.295522999999999</v>
      </c>
      <c r="W1052" s="16">
        <f>'extended_recharge_2003-2015'!W188</f>
        <v>-0.23303388</v>
      </c>
      <c r="X1052" s="16">
        <f>'extended_recharge_2003-2015'!X188</f>
        <v>4.6720230000000003</v>
      </c>
      <c r="Y1052" s="16">
        <f>'extended_recharge_2003-2015'!Y188</f>
        <v>14.221171999999999</v>
      </c>
      <c r="Z1052" s="16">
        <f>'extended_recharge_2003-2015'!Z188</f>
        <v>0.23621123999999999</v>
      </c>
      <c r="AA1052" s="16">
        <f>'extended_recharge_2003-2015'!AA188</f>
        <v>4.3506499999999999</v>
      </c>
      <c r="AB1052" s="16">
        <f>'extended_recharge_2003-2015'!AB188</f>
        <v>1.654115</v>
      </c>
      <c r="AC1052" s="16">
        <f>'extended_recharge_2003-2015'!AC188</f>
        <v>2.8071198000000002</v>
      </c>
      <c r="AD1052" s="16">
        <f>'extended_recharge_2003-2015'!AD188</f>
        <v>3.8793323000000002</v>
      </c>
      <c r="AE1052" s="16">
        <f>'extended_recharge_2003-2015'!AE188</f>
        <v>8.3660800000000002</v>
      </c>
      <c r="AF1052" s="16">
        <f>'extended_recharge_2003-2015'!AF188</f>
        <v>89.219986000000006</v>
      </c>
      <c r="AG1052" s="16">
        <f>'extended_recharge_2003-2015'!AG188</f>
        <v>13.948611</v>
      </c>
    </row>
    <row r="1053" spans="1:33" x14ac:dyDescent="0.2">
      <c r="A1053" s="3">
        <v>39964</v>
      </c>
      <c r="B1053" s="14">
        <f>'extended_recharge_2003-2015'!B189</f>
        <v>4.6011205000000004</v>
      </c>
      <c r="C1053" s="14">
        <f>'extended_recharge_2003-2015'!C189</f>
        <v>22.249079999999999</v>
      </c>
      <c r="D1053" s="14">
        <f>'extended_recharge_2003-2015'!D189</f>
        <v>-5.9120020000000002</v>
      </c>
      <c r="E1053" s="14">
        <f>'extended_recharge_2003-2015'!E189</f>
        <v>-14.121980000000001</v>
      </c>
      <c r="F1053" s="14">
        <f>'extended_recharge_2003-2015'!F189</f>
        <v>-2.5275948000000001</v>
      </c>
      <c r="G1053" s="14">
        <f>'extended_recharge_2003-2015'!G189</f>
        <v>-2.1183201999999999</v>
      </c>
      <c r="H1053" s="14">
        <f>'extended_recharge_2003-2015'!H189</f>
        <v>14.053352</v>
      </c>
      <c r="I1053" s="14">
        <f>'extended_recharge_2003-2015'!I189</f>
        <v>35.823025000000001</v>
      </c>
      <c r="J1053" s="14">
        <f>'extended_recharge_2003-2015'!J189</f>
        <v>-1.0275116</v>
      </c>
      <c r="K1053" s="14">
        <f>'extended_recharge_2003-2015'!K189</f>
        <v>2.1361694</v>
      </c>
      <c r="L1053" s="14">
        <f>'extended_recharge_2003-2015'!L189</f>
        <v>1.9958385999999999</v>
      </c>
      <c r="M1053" s="14">
        <f>'extended_recharge_2003-2015'!M189</f>
        <v>1.1244186</v>
      </c>
      <c r="N1053" s="14">
        <f>'extended_recharge_2003-2015'!N189</f>
        <v>28.483324</v>
      </c>
      <c r="O1053" s="14">
        <f>'extended_recharge_2003-2015'!O189</f>
        <v>26.382048000000001</v>
      </c>
      <c r="P1053" s="14">
        <f>'extended_recharge_2003-2015'!P189</f>
        <v>59.268070000000002</v>
      </c>
      <c r="Q1053" s="14">
        <f>'extended_recharge_2003-2015'!Q189</f>
        <v>1.7743407</v>
      </c>
      <c r="R1053" s="14">
        <f>'extended_recharge_2003-2015'!R189</f>
        <v>7.1349096000000003</v>
      </c>
      <c r="S1053" s="14">
        <f>'extended_recharge_2003-2015'!S189</f>
        <v>13.648068</v>
      </c>
      <c r="T1053" s="14">
        <f>'extended_recharge_2003-2015'!T189</f>
        <v>41.444459999999999</v>
      </c>
      <c r="U1053" s="14">
        <f>'extended_recharge_2003-2015'!U189</f>
        <v>12.187436999999999</v>
      </c>
      <c r="V1053" s="15">
        <f>'extended_recharge_2003-2015'!V189</f>
        <v>28.221209000000002</v>
      </c>
      <c r="W1053" s="16">
        <f>'extended_recharge_2003-2015'!W189</f>
        <v>4.4504599999999996</v>
      </c>
      <c r="X1053" s="16">
        <f>'extended_recharge_2003-2015'!X189</f>
        <v>4.3401569999999996</v>
      </c>
      <c r="Y1053" s="16">
        <f>'extended_recharge_2003-2015'!Y189</f>
        <v>17.588825</v>
      </c>
      <c r="Z1053" s="16">
        <f>'extended_recharge_2003-2015'!Z189</f>
        <v>-0.13420418000000001</v>
      </c>
      <c r="AA1053" s="16">
        <f>'extended_recharge_2003-2015'!AA189</f>
        <v>3.7954873999999998</v>
      </c>
      <c r="AB1053" s="16">
        <f>'extended_recharge_2003-2015'!AB189</f>
        <v>1.3138251000000001</v>
      </c>
      <c r="AC1053" s="16">
        <f>'extended_recharge_2003-2015'!AC189</f>
        <v>3.2929542000000001</v>
      </c>
      <c r="AD1053" s="16">
        <f>'extended_recharge_2003-2015'!AD189</f>
        <v>5.3772625999999999</v>
      </c>
      <c r="AE1053" s="16">
        <f>'extended_recharge_2003-2015'!AE189</f>
        <v>2.3056743000000002</v>
      </c>
      <c r="AF1053" s="16">
        <f>'extended_recharge_2003-2015'!AF189</f>
        <v>105.17807999999999</v>
      </c>
      <c r="AG1053" s="16">
        <f>'extended_recharge_2003-2015'!AG189</f>
        <v>17.536674000000001</v>
      </c>
    </row>
    <row r="1054" spans="1:33" x14ac:dyDescent="0.2">
      <c r="A1054" s="3">
        <v>39994</v>
      </c>
      <c r="B1054" s="14">
        <f>'extended_recharge_2003-2015'!B190</f>
        <v>5.0753360000000001</v>
      </c>
      <c r="C1054" s="14">
        <f>'extended_recharge_2003-2015'!C190</f>
        <v>22.458632000000001</v>
      </c>
      <c r="D1054" s="14">
        <f>'extended_recharge_2003-2015'!D190</f>
        <v>-5.4850497000000003</v>
      </c>
      <c r="E1054" s="14">
        <f>'extended_recharge_2003-2015'!E190</f>
        <v>-13.893720999999999</v>
      </c>
      <c r="F1054" s="14">
        <f>'extended_recharge_2003-2015'!F190</f>
        <v>6.5915474999999999</v>
      </c>
      <c r="G1054" s="14">
        <f>'extended_recharge_2003-2015'!G190</f>
        <v>4.2569455999999999</v>
      </c>
      <c r="H1054" s="14">
        <f>'extended_recharge_2003-2015'!H190</f>
        <v>14.259096</v>
      </c>
      <c r="I1054" s="14">
        <f>'extended_recharge_2003-2015'!I190</f>
        <v>34.999836000000002</v>
      </c>
      <c r="J1054" s="14">
        <f>'extended_recharge_2003-2015'!J190</f>
        <v>-8.3575669999999995</v>
      </c>
      <c r="K1054" s="14">
        <f>'extended_recharge_2003-2015'!K190</f>
        <v>-1.1592382999999999</v>
      </c>
      <c r="L1054" s="14">
        <f>'extended_recharge_2003-2015'!L190</f>
        <v>-4.288894</v>
      </c>
      <c r="M1054" s="14">
        <f>'extended_recharge_2003-2015'!M190</f>
        <v>-0.87149750000000004</v>
      </c>
      <c r="N1054" s="14">
        <f>'extended_recharge_2003-2015'!N190</f>
        <v>29.830594999999999</v>
      </c>
      <c r="O1054" s="14">
        <f>'extended_recharge_2003-2015'!O190</f>
        <v>27.069786000000001</v>
      </c>
      <c r="P1054" s="14">
        <f>'extended_recharge_2003-2015'!P190</f>
        <v>48.410904000000002</v>
      </c>
      <c r="Q1054" s="14">
        <f>'extended_recharge_2003-2015'!Q190</f>
        <v>-0.29587219999999997</v>
      </c>
      <c r="R1054" s="14">
        <f>'extended_recharge_2003-2015'!R190</f>
        <v>10.252105</v>
      </c>
      <c r="S1054" s="14">
        <f>'extended_recharge_2003-2015'!S190</f>
        <v>13.548779</v>
      </c>
      <c r="T1054" s="14">
        <f>'extended_recharge_2003-2015'!T190</f>
        <v>37.197315000000003</v>
      </c>
      <c r="U1054" s="14">
        <f>'extended_recharge_2003-2015'!U190</f>
        <v>12.892016</v>
      </c>
      <c r="V1054" s="15">
        <f>'extended_recharge_2003-2015'!V190</f>
        <v>35.7485</v>
      </c>
      <c r="W1054" s="16">
        <f>'extended_recharge_2003-2015'!W190</f>
        <v>16.990863999999998</v>
      </c>
      <c r="X1054" s="16">
        <f>'extended_recharge_2003-2015'!X190</f>
        <v>3.3047460000000002</v>
      </c>
      <c r="Y1054" s="16">
        <f>'extended_recharge_2003-2015'!Y190</f>
        <v>15.1048565</v>
      </c>
      <c r="Z1054" s="16">
        <f>'extended_recharge_2003-2015'!Z190</f>
        <v>1.8215372999999999</v>
      </c>
      <c r="AA1054" s="16">
        <f>'extended_recharge_2003-2015'!AA190</f>
        <v>3.0509010000000001</v>
      </c>
      <c r="AB1054" s="16">
        <f>'extended_recharge_2003-2015'!AB190</f>
        <v>1.7320177999999999</v>
      </c>
      <c r="AC1054" s="16">
        <f>'extended_recharge_2003-2015'!AC190</f>
        <v>3.1455237999999999</v>
      </c>
      <c r="AD1054" s="16">
        <f>'extended_recharge_2003-2015'!AD190</f>
        <v>7.0878587</v>
      </c>
      <c r="AE1054" s="16">
        <f>'extended_recharge_2003-2015'!AE190</f>
        <v>-0.50517285000000001</v>
      </c>
      <c r="AF1054" s="16">
        <f>'extended_recharge_2003-2015'!AF190</f>
        <v>116.70814</v>
      </c>
      <c r="AG1054" s="16">
        <f>'extended_recharge_2003-2015'!AG190</f>
        <v>22.030612999999999</v>
      </c>
    </row>
    <row r="1055" spans="1:33" x14ac:dyDescent="0.2">
      <c r="A1055" s="3">
        <v>40025</v>
      </c>
      <c r="B1055" s="14">
        <f>'extended_recharge_2003-2015'!B191</f>
        <v>4.0348096</v>
      </c>
      <c r="C1055" s="14">
        <f>'extended_recharge_2003-2015'!C191</f>
        <v>22.223832999999999</v>
      </c>
      <c r="D1055" s="14">
        <f>'extended_recharge_2003-2015'!D191</f>
        <v>-7.2922773000000003</v>
      </c>
      <c r="E1055" s="14">
        <f>'extended_recharge_2003-2015'!E191</f>
        <v>-25.79974</v>
      </c>
      <c r="F1055" s="14">
        <f>'extended_recharge_2003-2015'!F191</f>
        <v>-6.6982203</v>
      </c>
      <c r="G1055" s="14">
        <f>'extended_recharge_2003-2015'!G191</f>
        <v>1.8757904000000001</v>
      </c>
      <c r="H1055" s="14">
        <f>'extended_recharge_2003-2015'!H191</f>
        <v>11.778874</v>
      </c>
      <c r="I1055" s="14">
        <f>'extended_recharge_2003-2015'!I191</f>
        <v>35.419296000000003</v>
      </c>
      <c r="J1055" s="14">
        <f>'extended_recharge_2003-2015'!J191</f>
        <v>-6.1368437</v>
      </c>
      <c r="K1055" s="14">
        <f>'extended_recharge_2003-2015'!K191</f>
        <v>3.1145896999999998</v>
      </c>
      <c r="L1055" s="14">
        <f>'extended_recharge_2003-2015'!L191</f>
        <v>2.1057396000000002</v>
      </c>
      <c r="M1055" s="14">
        <f>'extended_recharge_2003-2015'!M191</f>
        <v>2.1000174999999999</v>
      </c>
      <c r="N1055" s="14">
        <f>'extended_recharge_2003-2015'!N191</f>
        <v>32.376137</v>
      </c>
      <c r="O1055" s="14">
        <f>'extended_recharge_2003-2015'!O191</f>
        <v>24.323478999999999</v>
      </c>
      <c r="P1055" s="14">
        <f>'extended_recharge_2003-2015'!P191</f>
        <v>62.931220000000003</v>
      </c>
      <c r="Q1055" s="14">
        <f>'extended_recharge_2003-2015'!Q191</f>
        <v>1.1905322</v>
      </c>
      <c r="R1055" s="14">
        <f>'extended_recharge_2003-2015'!R191</f>
        <v>11.967228</v>
      </c>
      <c r="S1055" s="14">
        <f>'extended_recharge_2003-2015'!S191</f>
        <v>13.108412</v>
      </c>
      <c r="T1055" s="14">
        <f>'extended_recharge_2003-2015'!T191</f>
        <v>40.541023000000003</v>
      </c>
      <c r="U1055" s="14">
        <f>'extended_recharge_2003-2015'!U191</f>
        <v>12.469677000000001</v>
      </c>
      <c r="V1055" s="15">
        <f>'extended_recharge_2003-2015'!V191</f>
        <v>40.579009999999997</v>
      </c>
      <c r="W1055" s="16">
        <f>'extended_recharge_2003-2015'!W191</f>
        <v>29.651733</v>
      </c>
      <c r="X1055" s="16">
        <f>'extended_recharge_2003-2015'!X191</f>
        <v>3.3498755</v>
      </c>
      <c r="Y1055" s="16">
        <f>'extended_recharge_2003-2015'!Y191</f>
        <v>15.775382</v>
      </c>
      <c r="Z1055" s="16">
        <f>'extended_recharge_2003-2015'!Z191</f>
        <v>2.5964901</v>
      </c>
      <c r="AA1055" s="16">
        <f>'extended_recharge_2003-2015'!AA191</f>
        <v>3.2391079999999999</v>
      </c>
      <c r="AB1055" s="16">
        <f>'extended_recharge_2003-2015'!AB191</f>
        <v>1.3706491999999999</v>
      </c>
      <c r="AC1055" s="16">
        <f>'extended_recharge_2003-2015'!AC191</f>
        <v>2.9006707999999999</v>
      </c>
      <c r="AD1055" s="16">
        <f>'extended_recharge_2003-2015'!AD191</f>
        <v>8.1982765000000004</v>
      </c>
      <c r="AE1055" s="16">
        <f>'extended_recharge_2003-2015'!AE191</f>
        <v>-0.67938953999999996</v>
      </c>
      <c r="AF1055" s="16">
        <f>'extended_recharge_2003-2015'!AF191</f>
        <v>123.177605</v>
      </c>
      <c r="AG1055" s="16">
        <f>'extended_recharge_2003-2015'!AG191</f>
        <v>24.803294999999999</v>
      </c>
    </row>
    <row r="1056" spans="1:33" x14ac:dyDescent="0.2">
      <c r="A1056" s="3">
        <v>40056</v>
      </c>
      <c r="B1056" s="14">
        <f>'extended_recharge_2003-2015'!B192</f>
        <v>3.007746</v>
      </c>
      <c r="C1056" s="14">
        <f>'extended_recharge_2003-2015'!C192</f>
        <v>26.475812999999999</v>
      </c>
      <c r="D1056" s="14">
        <f>'extended_recharge_2003-2015'!D192</f>
        <v>0.53600490000000001</v>
      </c>
      <c r="E1056" s="14">
        <f>'extended_recharge_2003-2015'!E192</f>
        <v>-0.76615520000000004</v>
      </c>
      <c r="F1056" s="14">
        <f>'extended_recharge_2003-2015'!F192</f>
        <v>5.3602590000000001</v>
      </c>
      <c r="G1056" s="14">
        <f>'extended_recharge_2003-2015'!G192</f>
        <v>26.067501</v>
      </c>
      <c r="H1056" s="14">
        <f>'extended_recharge_2003-2015'!H192</f>
        <v>15.381394</v>
      </c>
      <c r="I1056" s="14">
        <f>'extended_recharge_2003-2015'!I192</f>
        <v>37.535896000000001</v>
      </c>
      <c r="J1056" s="14">
        <f>'extended_recharge_2003-2015'!J192</f>
        <v>7.1328725999999998</v>
      </c>
      <c r="K1056" s="14">
        <f>'extended_recharge_2003-2015'!K192</f>
        <v>16.264600000000002</v>
      </c>
      <c r="L1056" s="14">
        <f>'extended_recharge_2003-2015'!L192</f>
        <v>11.367808999999999</v>
      </c>
      <c r="M1056" s="14">
        <f>'extended_recharge_2003-2015'!M192</f>
        <v>13.390423</v>
      </c>
      <c r="N1056" s="14">
        <f>'extended_recharge_2003-2015'!N192</f>
        <v>41.359580000000001</v>
      </c>
      <c r="O1056" s="14">
        <f>'extended_recharge_2003-2015'!O192</f>
        <v>24.137685999999999</v>
      </c>
      <c r="P1056" s="14">
        <f>'extended_recharge_2003-2015'!P192</f>
        <v>38.641260000000003</v>
      </c>
      <c r="Q1056" s="14">
        <f>'extended_recharge_2003-2015'!Q192</f>
        <v>2.4647698</v>
      </c>
      <c r="R1056" s="14">
        <f>'extended_recharge_2003-2015'!R192</f>
        <v>12.251058</v>
      </c>
      <c r="S1056" s="14">
        <f>'extended_recharge_2003-2015'!S192</f>
        <v>24.541091999999999</v>
      </c>
      <c r="T1056" s="14">
        <f>'extended_recharge_2003-2015'!T192</f>
        <v>39.92924</v>
      </c>
      <c r="U1056" s="14">
        <f>'extended_recharge_2003-2015'!U192</f>
        <v>13.012233</v>
      </c>
      <c r="V1056" s="15">
        <f>'extended_recharge_2003-2015'!V192</f>
        <v>36.812491999999999</v>
      </c>
      <c r="W1056" s="16">
        <f>'extended_recharge_2003-2015'!W192</f>
        <v>30.971079</v>
      </c>
      <c r="X1056" s="16">
        <f>'extended_recharge_2003-2015'!X192</f>
        <v>4.8446813000000004</v>
      </c>
      <c r="Y1056" s="16">
        <f>'extended_recharge_2003-2015'!Y192</f>
        <v>14.1612425</v>
      </c>
      <c r="Z1056" s="16">
        <f>'extended_recharge_2003-2015'!Z192</f>
        <v>3.9808072999999999</v>
      </c>
      <c r="AA1056" s="16">
        <f>'extended_recharge_2003-2015'!AA192</f>
        <v>5.0866480000000003</v>
      </c>
      <c r="AB1056" s="16">
        <f>'extended_recharge_2003-2015'!AB192</f>
        <v>1.4208124</v>
      </c>
      <c r="AC1056" s="16">
        <f>'extended_recharge_2003-2015'!AC192</f>
        <v>3.9928013999999998</v>
      </c>
      <c r="AD1056" s="16">
        <f>'extended_recharge_2003-2015'!AD192</f>
        <v>7.7731347</v>
      </c>
      <c r="AE1056" s="16">
        <f>'extended_recharge_2003-2015'!AE192</f>
        <v>0.51366800000000001</v>
      </c>
      <c r="AF1056" s="16">
        <f>'extended_recharge_2003-2015'!AF192</f>
        <v>121.92286</v>
      </c>
      <c r="AG1056" s="16">
        <f>'extended_recharge_2003-2015'!AG192</f>
        <v>23.811283</v>
      </c>
    </row>
    <row r="1057" spans="1:33" x14ac:dyDescent="0.2">
      <c r="A1057" s="3">
        <v>40086</v>
      </c>
      <c r="B1057" s="14">
        <f>'extended_recharge_2003-2015'!B193</f>
        <v>2.8782678000000002</v>
      </c>
      <c r="C1057" s="14">
        <f>'extended_recharge_2003-2015'!C193</f>
        <v>28.019787000000001</v>
      </c>
      <c r="D1057" s="14">
        <f>'extended_recharge_2003-2015'!D193</f>
        <v>3.3545473000000001</v>
      </c>
      <c r="E1057" s="14">
        <f>'extended_recharge_2003-2015'!E193</f>
        <v>10.760588</v>
      </c>
      <c r="F1057" s="14">
        <f>'extended_recharge_2003-2015'!F193</f>
        <v>21.423134000000001</v>
      </c>
      <c r="G1057" s="14">
        <f>'extended_recharge_2003-2015'!G193</f>
        <v>38.454746</v>
      </c>
      <c r="H1057" s="14">
        <f>'extended_recharge_2003-2015'!H193</f>
        <v>15.391507000000001</v>
      </c>
      <c r="I1057" s="14">
        <f>'extended_recharge_2003-2015'!I193</f>
        <v>37.876489999999997</v>
      </c>
      <c r="J1057" s="14">
        <f>'extended_recharge_2003-2015'!J193</f>
        <v>12.678711</v>
      </c>
      <c r="K1057" s="14">
        <f>'extended_recharge_2003-2015'!K193</f>
        <v>17.639389999999999</v>
      </c>
      <c r="L1057" s="14">
        <f>'extended_recharge_2003-2015'!L193</f>
        <v>11.447191999999999</v>
      </c>
      <c r="M1057" s="14">
        <f>'extended_recharge_2003-2015'!M193</f>
        <v>10.692474000000001</v>
      </c>
      <c r="N1057" s="14">
        <f>'extended_recharge_2003-2015'!N193</f>
        <v>42.708404999999999</v>
      </c>
      <c r="O1057" s="14">
        <f>'extended_recharge_2003-2015'!O193</f>
        <v>27.661427</v>
      </c>
      <c r="P1057" s="14">
        <f>'extended_recharge_2003-2015'!P193</f>
        <v>65.672030000000007</v>
      </c>
      <c r="Q1057" s="14">
        <f>'extended_recharge_2003-2015'!Q193</f>
        <v>3.7480669999999998</v>
      </c>
      <c r="R1057" s="14">
        <f>'extended_recharge_2003-2015'!R193</f>
        <v>11.738307000000001</v>
      </c>
      <c r="S1057" s="14">
        <f>'extended_recharge_2003-2015'!S193</f>
        <v>20.821297000000001</v>
      </c>
      <c r="T1057" s="14">
        <f>'extended_recharge_2003-2015'!T193</f>
        <v>35.458680000000001</v>
      </c>
      <c r="U1057" s="14">
        <f>'extended_recharge_2003-2015'!U193</f>
        <v>10.161227</v>
      </c>
      <c r="V1057" s="15">
        <f>'extended_recharge_2003-2015'!V193</f>
        <v>30.718198999999998</v>
      </c>
      <c r="W1057" s="16">
        <f>'extended_recharge_2003-2015'!W193</f>
        <v>26.762685999999999</v>
      </c>
      <c r="X1057" s="16">
        <f>'extended_recharge_2003-2015'!X193</f>
        <v>3.8790524</v>
      </c>
      <c r="Y1057" s="16">
        <f>'extended_recharge_2003-2015'!Y193</f>
        <v>11.853403999999999</v>
      </c>
      <c r="Z1057" s="16">
        <f>'extended_recharge_2003-2015'!Z193</f>
        <v>3.3894731999999999</v>
      </c>
      <c r="AA1057" s="16">
        <f>'extended_recharge_2003-2015'!AA193</f>
        <v>3.9087399999999999</v>
      </c>
      <c r="AB1057" s="16">
        <f>'extended_recharge_2003-2015'!AB193</f>
        <v>1.4363214</v>
      </c>
      <c r="AC1057" s="16">
        <f>'extended_recharge_2003-2015'!AC193</f>
        <v>2.5079565000000001</v>
      </c>
      <c r="AD1057" s="16">
        <f>'extended_recharge_2003-2015'!AD193</f>
        <v>5.6064772999999999</v>
      </c>
      <c r="AE1057" s="16">
        <f>'extended_recharge_2003-2015'!AE193</f>
        <v>0.32839521999999999</v>
      </c>
      <c r="AF1057" s="16">
        <f>'extended_recharge_2003-2015'!AF193</f>
        <v>116.075035</v>
      </c>
      <c r="AG1057" s="16">
        <f>'extended_recharge_2003-2015'!AG193</f>
        <v>19.839759999999998</v>
      </c>
    </row>
    <row r="1058" spans="1:33" x14ac:dyDescent="0.2">
      <c r="A1058" s="3">
        <v>40117</v>
      </c>
      <c r="B1058" s="14">
        <f>'extended_recharge_2003-2015'!B194</f>
        <v>2.3547951999999999</v>
      </c>
      <c r="C1058" s="14">
        <f>'extended_recharge_2003-2015'!C194</f>
        <v>28.829239000000001</v>
      </c>
      <c r="D1058" s="14">
        <f>'extended_recharge_2003-2015'!D194</f>
        <v>9.8630259999999996</v>
      </c>
      <c r="E1058" s="14">
        <f>'extended_recharge_2003-2015'!E194</f>
        <v>24.570094999999998</v>
      </c>
      <c r="F1058" s="14">
        <f>'extended_recharge_2003-2015'!F194</f>
        <v>24.810279999999999</v>
      </c>
      <c r="G1058" s="14">
        <f>'extended_recharge_2003-2015'!G194</f>
        <v>53.436503999999999</v>
      </c>
      <c r="H1058" s="14">
        <f>'extended_recharge_2003-2015'!H194</f>
        <v>19.86337</v>
      </c>
      <c r="I1058" s="14">
        <f>'extended_recharge_2003-2015'!I194</f>
        <v>39.923862</v>
      </c>
      <c r="J1058" s="14">
        <f>'extended_recharge_2003-2015'!J194</f>
        <v>22.371607000000001</v>
      </c>
      <c r="K1058" s="14">
        <f>'extended_recharge_2003-2015'!K194</f>
        <v>20.377298</v>
      </c>
      <c r="L1058" s="14">
        <f>'extended_recharge_2003-2015'!L194</f>
        <v>7.5411343999999998</v>
      </c>
      <c r="M1058" s="14">
        <f>'extended_recharge_2003-2015'!M194</f>
        <v>11.161391</v>
      </c>
      <c r="N1058" s="14">
        <f>'extended_recharge_2003-2015'!N194</f>
        <v>43.413597000000003</v>
      </c>
      <c r="O1058" s="14">
        <f>'extended_recharge_2003-2015'!O194</f>
        <v>26.009338</v>
      </c>
      <c r="P1058" s="14">
        <f>'extended_recharge_2003-2015'!P194</f>
        <v>71.156909999999996</v>
      </c>
      <c r="Q1058" s="14">
        <f>'extended_recharge_2003-2015'!Q194</f>
        <v>3.7674289999999999</v>
      </c>
      <c r="R1058" s="14">
        <f>'extended_recharge_2003-2015'!R194</f>
        <v>11.46048</v>
      </c>
      <c r="S1058" s="14">
        <f>'extended_recharge_2003-2015'!S194</f>
        <v>30.696120000000001</v>
      </c>
      <c r="T1058" s="14">
        <f>'extended_recharge_2003-2015'!T194</f>
        <v>34.776974000000003</v>
      </c>
      <c r="U1058" s="14">
        <f>'extended_recharge_2003-2015'!U194</f>
        <v>10.59568</v>
      </c>
      <c r="V1058" s="15">
        <f>'extended_recharge_2003-2015'!V194</f>
        <v>22.76041</v>
      </c>
      <c r="W1058" s="16">
        <f>'extended_recharge_2003-2015'!W194</f>
        <v>21.991999</v>
      </c>
      <c r="X1058" s="16">
        <f>'extended_recharge_2003-2015'!X194</f>
        <v>4.2341303999999997</v>
      </c>
      <c r="Y1058" s="16">
        <f>'extended_recharge_2003-2015'!Y194</f>
        <v>11.619740999999999</v>
      </c>
      <c r="Z1058" s="16">
        <f>'extended_recharge_2003-2015'!Z194</f>
        <v>5.1576962000000002</v>
      </c>
      <c r="AA1058" s="16">
        <f>'extended_recharge_2003-2015'!AA194</f>
        <v>4.8827752999999996</v>
      </c>
      <c r="AB1058" s="16">
        <f>'extended_recharge_2003-2015'!AB194</f>
        <v>2.7583568000000001</v>
      </c>
      <c r="AC1058" s="16">
        <f>'extended_recharge_2003-2015'!AC194</f>
        <v>4.051876</v>
      </c>
      <c r="AD1058" s="16">
        <f>'extended_recharge_2003-2015'!AD194</f>
        <v>4.0787114999999998</v>
      </c>
      <c r="AE1058" s="16">
        <f>'extended_recharge_2003-2015'!AE194</f>
        <v>8.6801429999999993</v>
      </c>
      <c r="AF1058" s="16">
        <f>'extended_recharge_2003-2015'!AF194</f>
        <v>97.422870000000003</v>
      </c>
      <c r="AG1058" s="16">
        <f>'extended_recharge_2003-2015'!AG194</f>
        <v>16.520506000000001</v>
      </c>
    </row>
    <row r="1059" spans="1:33" x14ac:dyDescent="0.2">
      <c r="A1059" s="3">
        <v>40147</v>
      </c>
      <c r="B1059" s="14">
        <f>'extended_recharge_2003-2015'!B195</f>
        <v>0.52888422999999996</v>
      </c>
      <c r="C1059" s="14">
        <f>'extended_recharge_2003-2015'!C195</f>
        <v>25.144950000000001</v>
      </c>
      <c r="D1059" s="14">
        <f>'extended_recharge_2003-2015'!D195</f>
        <v>3.5751297000000002</v>
      </c>
      <c r="E1059" s="14">
        <f>'extended_recharge_2003-2015'!E195</f>
        <v>12.067435</v>
      </c>
      <c r="F1059" s="14">
        <f>'extended_recharge_2003-2015'!F195</f>
        <v>22.786642000000001</v>
      </c>
      <c r="G1059" s="14">
        <f>'extended_recharge_2003-2015'!G195</f>
        <v>34.913772999999999</v>
      </c>
      <c r="H1059" s="14">
        <f>'extended_recharge_2003-2015'!H195</f>
        <v>18.531911999999998</v>
      </c>
      <c r="I1059" s="14">
        <f>'extended_recharge_2003-2015'!I195</f>
        <v>40.029152000000003</v>
      </c>
      <c r="J1059" s="14">
        <f>'extended_recharge_2003-2015'!J195</f>
        <v>24.84498</v>
      </c>
      <c r="K1059" s="14">
        <f>'extended_recharge_2003-2015'!K195</f>
        <v>18.918330000000001</v>
      </c>
      <c r="L1059" s="14">
        <f>'extended_recharge_2003-2015'!L195</f>
        <v>13.247366</v>
      </c>
      <c r="M1059" s="14">
        <f>'extended_recharge_2003-2015'!M195</f>
        <v>11.383305</v>
      </c>
      <c r="N1059" s="14">
        <f>'extended_recharge_2003-2015'!N195</f>
        <v>46.214264</v>
      </c>
      <c r="O1059" s="14">
        <f>'extended_recharge_2003-2015'!O195</f>
        <v>22.029620999999999</v>
      </c>
      <c r="P1059" s="14">
        <f>'extended_recharge_2003-2015'!P195</f>
        <v>82.977455000000006</v>
      </c>
      <c r="Q1059" s="14">
        <f>'extended_recharge_2003-2015'!Q195</f>
        <v>3.2258909999999998</v>
      </c>
      <c r="R1059" s="14">
        <f>'extended_recharge_2003-2015'!R195</f>
        <v>9.9647500000000004</v>
      </c>
      <c r="S1059" s="14">
        <f>'extended_recharge_2003-2015'!S195</f>
        <v>31.972367999999999</v>
      </c>
      <c r="T1059" s="14">
        <f>'extended_recharge_2003-2015'!T195</f>
        <v>35.017530000000001</v>
      </c>
      <c r="U1059" s="14">
        <f>'extended_recharge_2003-2015'!U195</f>
        <v>10.6011095</v>
      </c>
      <c r="V1059" s="15">
        <f>'extended_recharge_2003-2015'!V195</f>
        <v>19.170802999999999</v>
      </c>
      <c r="W1059" s="16">
        <f>'extended_recharge_2003-2015'!W195</f>
        <v>16.821200999999999</v>
      </c>
      <c r="X1059" s="16">
        <f>'extended_recharge_2003-2015'!X195</f>
        <v>4.7955684999999999</v>
      </c>
      <c r="Y1059" s="16">
        <f>'extended_recharge_2003-2015'!Y195</f>
        <v>8.282826</v>
      </c>
      <c r="Z1059" s="16">
        <f>'extended_recharge_2003-2015'!Z195</f>
        <v>4.8389707</v>
      </c>
      <c r="AA1059" s="16">
        <f>'extended_recharge_2003-2015'!AA195</f>
        <v>3.6947744</v>
      </c>
      <c r="AB1059" s="16">
        <f>'extended_recharge_2003-2015'!AB195</f>
        <v>2.4375211999999999</v>
      </c>
      <c r="AC1059" s="16">
        <f>'extended_recharge_2003-2015'!AC195</f>
        <v>3.7591782</v>
      </c>
      <c r="AD1059" s="16">
        <f>'extended_recharge_2003-2015'!AD195</f>
        <v>3.2314625000000001</v>
      </c>
      <c r="AE1059" s="16">
        <f>'extended_recharge_2003-2015'!AE195</f>
        <v>20.507512999999999</v>
      </c>
      <c r="AF1059" s="16">
        <f>'extended_recharge_2003-2015'!AF195</f>
        <v>70.354429999999994</v>
      </c>
      <c r="AG1059" s="16">
        <f>'extended_recharge_2003-2015'!AG195</f>
        <v>13.192918000000001</v>
      </c>
    </row>
    <row r="1060" spans="1:33" x14ac:dyDescent="0.2">
      <c r="A1060" s="3">
        <v>40178</v>
      </c>
      <c r="B1060" s="14">
        <f>'extended_recharge_2003-2015'!B196</f>
        <v>-0.91892695000000002</v>
      </c>
      <c r="C1060" s="14">
        <f>'extended_recharge_2003-2015'!C196</f>
        <v>24.275244000000001</v>
      </c>
      <c r="D1060" s="14">
        <f>'extended_recharge_2003-2015'!D196</f>
        <v>4.7126970000000004</v>
      </c>
      <c r="E1060" s="14">
        <f>'extended_recharge_2003-2015'!E196</f>
        <v>3.8064735000000001</v>
      </c>
      <c r="F1060" s="14">
        <f>'extended_recharge_2003-2015'!F196</f>
        <v>10.123378000000001</v>
      </c>
      <c r="G1060" s="14">
        <f>'extended_recharge_2003-2015'!G196</f>
        <v>21.277014000000001</v>
      </c>
      <c r="H1060" s="14">
        <f>'extended_recharge_2003-2015'!H196</f>
        <v>15.917365999999999</v>
      </c>
      <c r="I1060" s="14">
        <f>'extended_recharge_2003-2015'!I196</f>
        <v>39.962451999999999</v>
      </c>
      <c r="J1060" s="14">
        <f>'extended_recharge_2003-2015'!J196</f>
        <v>24.021409999999999</v>
      </c>
      <c r="K1060" s="14">
        <f>'extended_recharge_2003-2015'!K196</f>
        <v>4.3326396999999996</v>
      </c>
      <c r="L1060" s="14">
        <f>'extended_recharge_2003-2015'!L196</f>
        <v>7.2631459999999999</v>
      </c>
      <c r="M1060" s="14">
        <f>'extended_recharge_2003-2015'!M196</f>
        <v>6.0557565999999996</v>
      </c>
      <c r="N1060" s="14">
        <f>'extended_recharge_2003-2015'!N196</f>
        <v>35.464280000000002</v>
      </c>
      <c r="O1060" s="14">
        <f>'extended_recharge_2003-2015'!O196</f>
        <v>20.504100000000001</v>
      </c>
      <c r="P1060" s="14">
        <f>'extended_recharge_2003-2015'!P196</f>
        <v>66.950059999999993</v>
      </c>
      <c r="Q1060" s="14">
        <f>'extended_recharge_2003-2015'!Q196</f>
        <v>2.4367993000000001</v>
      </c>
      <c r="R1060" s="14">
        <f>'extended_recharge_2003-2015'!R196</f>
        <v>8.3270359999999997</v>
      </c>
      <c r="S1060" s="14">
        <f>'extended_recharge_2003-2015'!S196</f>
        <v>18.685016999999998</v>
      </c>
      <c r="T1060" s="14">
        <f>'extended_recharge_2003-2015'!T196</f>
        <v>34.608640000000001</v>
      </c>
      <c r="U1060" s="14">
        <f>'extended_recharge_2003-2015'!U196</f>
        <v>9.8439340000000009</v>
      </c>
      <c r="V1060" s="15">
        <f>'extended_recharge_2003-2015'!V196</f>
        <v>17.449975999999999</v>
      </c>
      <c r="W1060" s="16">
        <f>'extended_recharge_2003-2015'!W196</f>
        <v>11.89986</v>
      </c>
      <c r="X1060" s="16">
        <f>'extended_recharge_2003-2015'!X196</f>
        <v>5.0297590000000003</v>
      </c>
      <c r="Y1060" s="16">
        <f>'extended_recharge_2003-2015'!Y196</f>
        <v>7.5905990000000001</v>
      </c>
      <c r="Z1060" s="16">
        <f>'extended_recharge_2003-2015'!Z196</f>
        <v>5.6631400000000003</v>
      </c>
      <c r="AA1060" s="16">
        <f>'extended_recharge_2003-2015'!AA196</f>
        <v>4.2601990000000001</v>
      </c>
      <c r="AB1060" s="16">
        <f>'extended_recharge_2003-2015'!AB196</f>
        <v>1.5678878999999999</v>
      </c>
      <c r="AC1060" s="16">
        <f>'extended_recharge_2003-2015'!AC196</f>
        <v>4.0967219999999998</v>
      </c>
      <c r="AD1060" s="16">
        <f>'extended_recharge_2003-2015'!AD196</f>
        <v>2.2781037999999998</v>
      </c>
      <c r="AE1060" s="16">
        <f>'extended_recharge_2003-2015'!AE196</f>
        <v>27.002109999999998</v>
      </c>
      <c r="AF1060" s="16">
        <f>'extended_recharge_2003-2015'!AF196</f>
        <v>67.366104000000007</v>
      </c>
      <c r="AG1060" s="16">
        <f>'extended_recharge_2003-2015'!AG196</f>
        <v>11.171957000000001</v>
      </c>
    </row>
    <row r="1061" spans="1:33" x14ac:dyDescent="0.2">
      <c r="A1061" s="3">
        <v>40209</v>
      </c>
      <c r="B1061" s="14">
        <f>'extended_recharge_2003-2015'!B197</f>
        <v>-2.221838</v>
      </c>
      <c r="C1061" s="14">
        <f>'extended_recharge_2003-2015'!C197</f>
        <v>21.03049</v>
      </c>
      <c r="D1061" s="14">
        <f>'extended_recharge_2003-2015'!D197</f>
        <v>-1.7590475000000001</v>
      </c>
      <c r="E1061" s="14">
        <f>'extended_recharge_2003-2015'!E197</f>
        <v>-11.759463</v>
      </c>
      <c r="F1061" s="14">
        <f>'extended_recharge_2003-2015'!F197</f>
        <v>-2.9264581000000001</v>
      </c>
      <c r="G1061" s="14">
        <f>'extended_recharge_2003-2015'!G197</f>
        <v>3.2527214999999998</v>
      </c>
      <c r="H1061" s="14">
        <f>'extended_recharge_2003-2015'!H197</f>
        <v>12.980447</v>
      </c>
      <c r="I1061" s="14">
        <f>'extended_recharge_2003-2015'!I197</f>
        <v>35.593105000000001</v>
      </c>
      <c r="J1061" s="14">
        <f>'extended_recharge_2003-2015'!J197</f>
        <v>16.213626999999999</v>
      </c>
      <c r="K1061" s="14">
        <f>'extended_recharge_2003-2015'!K197</f>
        <v>-0.97074145000000001</v>
      </c>
      <c r="L1061" s="14">
        <f>'extended_recharge_2003-2015'!L197</f>
        <v>-3.1748506999999999</v>
      </c>
      <c r="M1061" s="14">
        <f>'extended_recharge_2003-2015'!M197</f>
        <v>-1.3544383</v>
      </c>
      <c r="N1061" s="14">
        <f>'extended_recharge_2003-2015'!N197</f>
        <v>29.851976000000001</v>
      </c>
      <c r="O1061" s="14">
        <f>'extended_recharge_2003-2015'!O197</f>
        <v>21.223244000000001</v>
      </c>
      <c r="P1061" s="14">
        <f>'extended_recharge_2003-2015'!P197</f>
        <v>66.544524999999993</v>
      </c>
      <c r="Q1061" s="14">
        <f>'extended_recharge_2003-2015'!Q197</f>
        <v>3.5361590000000001</v>
      </c>
      <c r="R1061" s="14">
        <f>'extended_recharge_2003-2015'!R197</f>
        <v>9.2938229999999997</v>
      </c>
      <c r="S1061" s="14">
        <f>'extended_recharge_2003-2015'!S197</f>
        <v>17.231780000000001</v>
      </c>
      <c r="T1061" s="14">
        <f>'extended_recharge_2003-2015'!T197</f>
        <v>32.288474999999998</v>
      </c>
      <c r="U1061" s="14">
        <f>'extended_recharge_2003-2015'!U197</f>
        <v>8.8162979999999997</v>
      </c>
      <c r="V1061" s="15">
        <f>'extended_recharge_2003-2015'!V197</f>
        <v>18.110783000000001</v>
      </c>
      <c r="W1061" s="16">
        <f>'extended_recharge_2003-2015'!W197</f>
        <v>5.1156459999999999</v>
      </c>
      <c r="X1061" s="16">
        <f>'extended_recharge_2003-2015'!X197</f>
        <v>7.7404650000000004</v>
      </c>
      <c r="Y1061" s="16">
        <f>'extended_recharge_2003-2015'!Y197</f>
        <v>7.6431946999999996</v>
      </c>
      <c r="Z1061" s="16">
        <f>'extended_recharge_2003-2015'!Z197</f>
        <v>2.3207494999999998</v>
      </c>
      <c r="AA1061" s="16">
        <f>'extended_recharge_2003-2015'!AA197</f>
        <v>5.0060773000000003</v>
      </c>
      <c r="AB1061" s="16">
        <f>'extended_recharge_2003-2015'!AB197</f>
        <v>1.9274557000000001</v>
      </c>
      <c r="AC1061" s="16">
        <f>'extended_recharge_2003-2015'!AC197</f>
        <v>4.2526073000000002</v>
      </c>
      <c r="AD1061" s="16">
        <f>'extended_recharge_2003-2015'!AD197</f>
        <v>2.0585360000000001</v>
      </c>
      <c r="AE1061" s="16">
        <f>'extended_recharge_2003-2015'!AE197</f>
        <v>26.634336000000001</v>
      </c>
      <c r="AF1061" s="16">
        <f>'extended_recharge_2003-2015'!AF197</f>
        <v>68.294399999999996</v>
      </c>
      <c r="AG1061" s="16">
        <f>'extended_recharge_2003-2015'!AG197</f>
        <v>9.8936960000000003</v>
      </c>
    </row>
    <row r="1062" spans="1:33" x14ac:dyDescent="0.2">
      <c r="A1062" s="3">
        <v>40237</v>
      </c>
      <c r="B1062" s="14">
        <f>'extended_recharge_2003-2015'!B198</f>
        <v>-0.90542040000000001</v>
      </c>
      <c r="C1062" s="14">
        <f>'extended_recharge_2003-2015'!C198</f>
        <v>23.723977999999999</v>
      </c>
      <c r="D1062" s="14">
        <f>'extended_recharge_2003-2015'!D198</f>
        <v>4.6590759999999998</v>
      </c>
      <c r="E1062" s="14">
        <f>'extended_recharge_2003-2015'!E198</f>
        <v>5.8908800000000001</v>
      </c>
      <c r="F1062" s="14">
        <f>'extended_recharge_2003-2015'!F198</f>
        <v>13.124708</v>
      </c>
      <c r="G1062" s="14">
        <f>'extended_recharge_2003-2015'!G198</f>
        <v>31.661625000000001</v>
      </c>
      <c r="H1062" s="14">
        <f>'extended_recharge_2003-2015'!H198</f>
        <v>15.954112</v>
      </c>
      <c r="I1062" s="14">
        <f>'extended_recharge_2003-2015'!I198</f>
        <v>36.401333000000001</v>
      </c>
      <c r="J1062" s="14">
        <f>'extended_recharge_2003-2015'!J198</f>
        <v>18.294802000000001</v>
      </c>
      <c r="K1062" s="14">
        <f>'extended_recharge_2003-2015'!K198</f>
        <v>6.7756853000000001</v>
      </c>
      <c r="L1062" s="14">
        <f>'extended_recharge_2003-2015'!L198</f>
        <v>-2.6615894</v>
      </c>
      <c r="M1062" s="14">
        <f>'extended_recharge_2003-2015'!M198</f>
        <v>2.9278243000000002</v>
      </c>
      <c r="N1062" s="14">
        <f>'extended_recharge_2003-2015'!N198</f>
        <v>34.935049999999997</v>
      </c>
      <c r="O1062" s="14">
        <f>'extended_recharge_2003-2015'!O198</f>
        <v>20.928688000000001</v>
      </c>
      <c r="P1062" s="14">
        <f>'extended_recharge_2003-2015'!P198</f>
        <v>51.331135000000003</v>
      </c>
      <c r="Q1062" s="14">
        <f>'extended_recharge_2003-2015'!Q198</f>
        <v>2.8333669000000001</v>
      </c>
      <c r="R1062" s="14">
        <f>'extended_recharge_2003-2015'!R198</f>
        <v>8.0303679999999993</v>
      </c>
      <c r="S1062" s="14">
        <f>'extended_recharge_2003-2015'!S198</f>
        <v>21.336179999999999</v>
      </c>
      <c r="T1062" s="14">
        <f>'extended_recharge_2003-2015'!T198</f>
        <v>34.340046000000001</v>
      </c>
      <c r="U1062" s="14">
        <f>'extended_recharge_2003-2015'!U198</f>
        <v>9.6448959999999992</v>
      </c>
      <c r="V1062" s="15">
        <f>'extended_recharge_2003-2015'!V198</f>
        <v>19.568455</v>
      </c>
      <c r="W1062" s="16">
        <f>'extended_recharge_2003-2015'!W198</f>
        <v>0.14525964999999999</v>
      </c>
      <c r="X1062" s="16">
        <f>'extended_recharge_2003-2015'!X198</f>
        <v>8.7406439999999996</v>
      </c>
      <c r="Y1062" s="16">
        <f>'extended_recharge_2003-2015'!Y198</f>
        <v>8.203773</v>
      </c>
      <c r="Z1062" s="16">
        <f>'extended_recharge_2003-2015'!Z198</f>
        <v>2.3176831999999998</v>
      </c>
      <c r="AA1062" s="16">
        <f>'extended_recharge_2003-2015'!AA198</f>
        <v>4.1887410000000003</v>
      </c>
      <c r="AB1062" s="16">
        <f>'extended_recharge_2003-2015'!AB198</f>
        <v>3.1348410000000002</v>
      </c>
      <c r="AC1062" s="16">
        <f>'extended_recharge_2003-2015'!AC198</f>
        <v>4.747401</v>
      </c>
      <c r="AD1062" s="16">
        <f>'extended_recharge_2003-2015'!AD198</f>
        <v>1.7691427</v>
      </c>
      <c r="AE1062" s="16">
        <f>'extended_recharge_2003-2015'!AE198</f>
        <v>26.895925999999999</v>
      </c>
      <c r="AF1062" s="16">
        <f>'extended_recharge_2003-2015'!AF198</f>
        <v>65.933989999999994</v>
      </c>
      <c r="AG1062" s="16">
        <f>'extended_recharge_2003-2015'!AG198</f>
        <v>9.5160699999999991</v>
      </c>
    </row>
    <row r="1063" spans="1:33" x14ac:dyDescent="0.2">
      <c r="A1063" s="3">
        <v>40268</v>
      </c>
      <c r="B1063" s="14">
        <f>'extended_recharge_2003-2015'!B199</f>
        <v>1.3007085</v>
      </c>
      <c r="C1063" s="14">
        <f>'extended_recharge_2003-2015'!C199</f>
        <v>24.995187999999999</v>
      </c>
      <c r="D1063" s="14">
        <f>'extended_recharge_2003-2015'!D199</f>
        <v>2.3979216000000001</v>
      </c>
      <c r="E1063" s="14">
        <f>'extended_recharge_2003-2015'!E199</f>
        <v>2.307337</v>
      </c>
      <c r="F1063" s="14">
        <f>'extended_recharge_2003-2015'!F199</f>
        <v>16.972674999999999</v>
      </c>
      <c r="G1063" s="14">
        <f>'extended_recharge_2003-2015'!G199</f>
        <v>36.252955999999998</v>
      </c>
      <c r="H1063" s="14">
        <f>'extended_recharge_2003-2015'!H199</f>
        <v>19.363163</v>
      </c>
      <c r="I1063" s="14">
        <f>'extended_recharge_2003-2015'!I199</f>
        <v>40.752963999999999</v>
      </c>
      <c r="J1063" s="14">
        <f>'extended_recharge_2003-2015'!J199</f>
        <v>16.404333000000001</v>
      </c>
      <c r="K1063" s="14">
        <f>'extended_recharge_2003-2015'!K199</f>
        <v>8.8498535</v>
      </c>
      <c r="L1063" s="14">
        <f>'extended_recharge_2003-2015'!L199</f>
        <v>0.13189577</v>
      </c>
      <c r="M1063" s="14">
        <f>'extended_recharge_2003-2015'!M199</f>
        <v>7.9100633</v>
      </c>
      <c r="N1063" s="14">
        <f>'extended_recharge_2003-2015'!N199</f>
        <v>37.320866000000002</v>
      </c>
      <c r="O1063" s="14">
        <f>'extended_recharge_2003-2015'!O199</f>
        <v>22.027125999999999</v>
      </c>
      <c r="P1063" s="14">
        <f>'extended_recharge_2003-2015'!P199</f>
        <v>68.985100000000003</v>
      </c>
      <c r="Q1063" s="14">
        <f>'extended_recharge_2003-2015'!Q199</f>
        <v>3.3332302999999999</v>
      </c>
      <c r="R1063" s="14">
        <f>'extended_recharge_2003-2015'!R199</f>
        <v>8.5671949999999999</v>
      </c>
      <c r="S1063" s="14">
        <f>'extended_recharge_2003-2015'!S199</f>
        <v>29.269401999999999</v>
      </c>
      <c r="T1063" s="14">
        <f>'extended_recharge_2003-2015'!T199</f>
        <v>36.379416999999997</v>
      </c>
      <c r="U1063" s="14">
        <f>'extended_recharge_2003-2015'!U199</f>
        <v>10.8233</v>
      </c>
      <c r="V1063" s="15">
        <f>'extended_recharge_2003-2015'!V199</f>
        <v>22.438406000000001</v>
      </c>
      <c r="W1063" s="16">
        <f>'extended_recharge_2003-2015'!W199</f>
        <v>-0.40609225999999998</v>
      </c>
      <c r="X1063" s="16">
        <f>'extended_recharge_2003-2015'!X199</f>
        <v>8.0093669999999992</v>
      </c>
      <c r="Y1063" s="16">
        <f>'extended_recharge_2003-2015'!Y199</f>
        <v>9.5514430000000008</v>
      </c>
      <c r="Z1063" s="16">
        <f>'extended_recharge_2003-2015'!Z199</f>
        <v>1.3171153</v>
      </c>
      <c r="AA1063" s="16">
        <f>'extended_recharge_2003-2015'!AA199</f>
        <v>6.4969063</v>
      </c>
      <c r="AB1063" s="16">
        <f>'extended_recharge_2003-2015'!AB199</f>
        <v>2.6350099999999999</v>
      </c>
      <c r="AC1063" s="16">
        <f>'extended_recharge_2003-2015'!AC199</f>
        <v>4.3371797000000001</v>
      </c>
      <c r="AD1063" s="16">
        <f>'extended_recharge_2003-2015'!AD199</f>
        <v>1.8639705</v>
      </c>
      <c r="AE1063" s="16">
        <f>'extended_recharge_2003-2015'!AE199</f>
        <v>20.668758</v>
      </c>
      <c r="AF1063" s="16">
        <f>'extended_recharge_2003-2015'!AF199</f>
        <v>73.881230000000002</v>
      </c>
      <c r="AG1063" s="16">
        <f>'extended_recharge_2003-2015'!AG199</f>
        <v>10.760751000000001</v>
      </c>
    </row>
    <row r="1064" spans="1:33" x14ac:dyDescent="0.2">
      <c r="A1064" s="3">
        <v>40298</v>
      </c>
      <c r="B1064" s="14">
        <f>'extended_recharge_2003-2015'!B200</f>
        <v>3.2495584000000002</v>
      </c>
      <c r="C1064" s="14">
        <f>'extended_recharge_2003-2015'!C200</f>
        <v>21.959408</v>
      </c>
      <c r="D1064" s="14">
        <f>'extended_recharge_2003-2015'!D200</f>
        <v>-7.3143900000000004</v>
      </c>
      <c r="E1064" s="14">
        <f>'extended_recharge_2003-2015'!E200</f>
        <v>-18.783128999999999</v>
      </c>
      <c r="F1064" s="14">
        <f>'extended_recharge_2003-2015'!F200</f>
        <v>0.83865749999999994</v>
      </c>
      <c r="G1064" s="14">
        <f>'extended_recharge_2003-2015'!G200</f>
        <v>2.8632140000000001</v>
      </c>
      <c r="H1064" s="14">
        <f>'extended_recharge_2003-2015'!H200</f>
        <v>13.438974999999999</v>
      </c>
      <c r="I1064" s="14">
        <f>'extended_recharge_2003-2015'!I200</f>
        <v>38.866805999999997</v>
      </c>
      <c r="J1064" s="14">
        <f>'extended_recharge_2003-2015'!J200</f>
        <v>0.70020247000000002</v>
      </c>
      <c r="K1064" s="14">
        <f>'extended_recharge_2003-2015'!K200</f>
        <v>-1.1747692999999999</v>
      </c>
      <c r="L1064" s="14">
        <f>'extended_recharge_2003-2015'!L200</f>
        <v>-0.42138093999999998</v>
      </c>
      <c r="M1064" s="14">
        <f>'extended_recharge_2003-2015'!M200</f>
        <v>1.7589756999999999</v>
      </c>
      <c r="N1064" s="14">
        <f>'extended_recharge_2003-2015'!N200</f>
        <v>26.691120000000002</v>
      </c>
      <c r="O1064" s="14">
        <f>'extended_recharge_2003-2015'!O200</f>
        <v>22.111170000000001</v>
      </c>
      <c r="P1064" s="14">
        <f>'extended_recharge_2003-2015'!P200</f>
        <v>40.635544000000003</v>
      </c>
      <c r="Q1064" s="14">
        <f>'extended_recharge_2003-2015'!Q200</f>
        <v>3.9224637000000002</v>
      </c>
      <c r="R1064" s="14">
        <f>'extended_recharge_2003-2015'!R200</f>
        <v>8.2697734999999994</v>
      </c>
      <c r="S1064" s="14">
        <f>'extended_recharge_2003-2015'!S200</f>
        <v>14.719251999999999</v>
      </c>
      <c r="T1064" s="14">
        <f>'extended_recharge_2003-2015'!T200</f>
        <v>38.922060000000002</v>
      </c>
      <c r="U1064" s="14">
        <f>'extended_recharge_2003-2015'!U200</f>
        <v>11.880342499999999</v>
      </c>
      <c r="V1064" s="15">
        <f>'extended_recharge_2003-2015'!V200</f>
        <v>22.793821000000001</v>
      </c>
      <c r="W1064" s="16">
        <f>'extended_recharge_2003-2015'!W200</f>
        <v>-0.36329403999999998</v>
      </c>
      <c r="X1064" s="16">
        <f>'extended_recharge_2003-2015'!X200</f>
        <v>8.3263645000000004</v>
      </c>
      <c r="Y1064" s="16">
        <f>'extended_recharge_2003-2015'!Y200</f>
        <v>10.836848</v>
      </c>
      <c r="Z1064" s="16">
        <f>'extended_recharge_2003-2015'!Z200</f>
        <v>0.38134983</v>
      </c>
      <c r="AA1064" s="16">
        <f>'extended_recharge_2003-2015'!AA200</f>
        <v>5.3591657000000001</v>
      </c>
      <c r="AB1064" s="16">
        <f>'extended_recharge_2003-2015'!AB200</f>
        <v>1.4713130000000001</v>
      </c>
      <c r="AC1064" s="16">
        <f>'extended_recharge_2003-2015'!AC200</f>
        <v>3.4367315999999999</v>
      </c>
      <c r="AD1064" s="16">
        <f>'extended_recharge_2003-2015'!AD200</f>
        <v>3.8218179999999999</v>
      </c>
      <c r="AE1064" s="16">
        <f>'extended_recharge_2003-2015'!AE200</f>
        <v>7.8083119999999999</v>
      </c>
      <c r="AF1064" s="16">
        <f>'extended_recharge_2003-2015'!AF200</f>
        <v>85.720860000000002</v>
      </c>
      <c r="AG1064" s="16">
        <f>'extended_recharge_2003-2015'!AG200</f>
        <v>14.028294000000001</v>
      </c>
    </row>
    <row r="1065" spans="1:33" x14ac:dyDescent="0.2">
      <c r="A1065" s="3">
        <v>40329</v>
      </c>
      <c r="B1065" s="14">
        <f>'extended_recharge_2003-2015'!B201</f>
        <v>5.5383224000000002</v>
      </c>
      <c r="C1065" s="14">
        <f>'extended_recharge_2003-2015'!C201</f>
        <v>25.454433000000002</v>
      </c>
      <c r="D1065" s="14">
        <f>'extended_recharge_2003-2015'!D201</f>
        <v>-0.12515973999999999</v>
      </c>
      <c r="E1065" s="14">
        <f>'extended_recharge_2003-2015'!E201</f>
        <v>-0.86734029999999995</v>
      </c>
      <c r="F1065" s="14">
        <f>'extended_recharge_2003-2015'!F201</f>
        <v>14.408768999999999</v>
      </c>
      <c r="G1065" s="14">
        <f>'extended_recharge_2003-2015'!G201</f>
        <v>16.131111000000001</v>
      </c>
      <c r="H1065" s="14">
        <f>'extended_recharge_2003-2015'!H201</f>
        <v>16.888666000000001</v>
      </c>
      <c r="I1065" s="14">
        <f>'extended_recharge_2003-2015'!I201</f>
        <v>39.409779999999998</v>
      </c>
      <c r="J1065" s="14">
        <f>'extended_recharge_2003-2015'!J201</f>
        <v>6.8466063000000004</v>
      </c>
      <c r="K1065" s="14">
        <f>'extended_recharge_2003-2015'!K201</f>
        <v>9.7974739999999994</v>
      </c>
      <c r="L1065" s="14">
        <f>'extended_recharge_2003-2015'!L201</f>
        <v>5.2782062999999999</v>
      </c>
      <c r="M1065" s="14">
        <f>'extended_recharge_2003-2015'!M201</f>
        <v>6.8088829999999998</v>
      </c>
      <c r="N1065" s="14">
        <f>'extended_recharge_2003-2015'!N201</f>
        <v>36.641303999999998</v>
      </c>
      <c r="O1065" s="14">
        <f>'extended_recharge_2003-2015'!O201</f>
        <v>23.467193999999999</v>
      </c>
      <c r="P1065" s="14">
        <f>'extended_recharge_2003-2015'!P201</f>
        <v>45.892769999999999</v>
      </c>
      <c r="Q1065" s="14">
        <f>'extended_recharge_2003-2015'!Q201</f>
        <v>2.7643282</v>
      </c>
      <c r="R1065" s="14">
        <f>'extended_recharge_2003-2015'!R201</f>
        <v>8.0417400000000008</v>
      </c>
      <c r="S1065" s="14">
        <f>'extended_recharge_2003-2015'!S201</f>
        <v>17.502942999999998</v>
      </c>
      <c r="T1065" s="14">
        <f>'extended_recharge_2003-2015'!T201</f>
        <v>40.822124000000002</v>
      </c>
      <c r="U1065" s="14">
        <f>'extended_recharge_2003-2015'!U201</f>
        <v>15.572317</v>
      </c>
      <c r="V1065" s="15">
        <f>'extended_recharge_2003-2015'!V201</f>
        <v>28.461165999999999</v>
      </c>
      <c r="W1065" s="16">
        <f>'extended_recharge_2003-2015'!W201</f>
        <v>4.0430029999999997</v>
      </c>
      <c r="X1065" s="16">
        <f>'extended_recharge_2003-2015'!X201</f>
        <v>9.0193189999999994</v>
      </c>
      <c r="Y1065" s="16">
        <f>'extended_recharge_2003-2015'!Y201</f>
        <v>13.239724000000001</v>
      </c>
      <c r="Z1065" s="16">
        <f>'extended_recharge_2003-2015'!Z201</f>
        <v>0.66935</v>
      </c>
      <c r="AA1065" s="16">
        <f>'extended_recharge_2003-2015'!AA201</f>
        <v>4.6068376999999998</v>
      </c>
      <c r="AB1065" s="16">
        <f>'extended_recharge_2003-2015'!AB201</f>
        <v>2.3914909999999998</v>
      </c>
      <c r="AC1065" s="16">
        <f>'extended_recharge_2003-2015'!AC201</f>
        <v>3.2922210000000001</v>
      </c>
      <c r="AD1065" s="16">
        <f>'extended_recharge_2003-2015'!AD201</f>
        <v>5.2619566999999998</v>
      </c>
      <c r="AE1065" s="16">
        <f>'extended_recharge_2003-2015'!AE201</f>
        <v>5.7640156999999999</v>
      </c>
      <c r="AF1065" s="16">
        <f>'extended_recharge_2003-2015'!AF201</f>
        <v>98.426659999999998</v>
      </c>
      <c r="AG1065" s="16">
        <f>'extended_recharge_2003-2015'!AG201</f>
        <v>17.80463</v>
      </c>
    </row>
    <row r="1066" spans="1:33" x14ac:dyDescent="0.2">
      <c r="A1066" s="3">
        <v>40359</v>
      </c>
      <c r="B1066" s="14">
        <f>'extended_recharge_2003-2015'!B202</f>
        <v>6.8137574000000001</v>
      </c>
      <c r="C1066" s="14">
        <f>'extended_recharge_2003-2015'!C202</f>
        <v>24.805506000000001</v>
      </c>
      <c r="D1066" s="14">
        <f>'extended_recharge_2003-2015'!D202</f>
        <v>-3.1448073000000001</v>
      </c>
      <c r="E1066" s="14">
        <f>'extended_recharge_2003-2015'!E202</f>
        <v>-16.128546</v>
      </c>
      <c r="F1066" s="14">
        <f>'extended_recharge_2003-2015'!F202</f>
        <v>4.5149270000000001</v>
      </c>
      <c r="G1066" s="14">
        <f>'extended_recharge_2003-2015'!G202</f>
        <v>7.2515419999999997</v>
      </c>
      <c r="H1066" s="14">
        <f>'extended_recharge_2003-2015'!H202</f>
        <v>16.468498</v>
      </c>
      <c r="I1066" s="14">
        <f>'extended_recharge_2003-2015'!I202</f>
        <v>40.029136999999999</v>
      </c>
      <c r="J1066" s="14">
        <f>'extended_recharge_2003-2015'!J202</f>
        <v>0.49429134000000002</v>
      </c>
      <c r="K1066" s="14">
        <f>'extended_recharge_2003-2015'!K202</f>
        <v>2.4372025000000002</v>
      </c>
      <c r="L1066" s="14">
        <f>'extended_recharge_2003-2015'!L202</f>
        <v>3.8600378000000002</v>
      </c>
      <c r="M1066" s="14">
        <f>'extended_recharge_2003-2015'!M202</f>
        <v>2.9104204</v>
      </c>
      <c r="N1066" s="14">
        <f>'extended_recharge_2003-2015'!N202</f>
        <v>35.184128000000001</v>
      </c>
      <c r="O1066" s="14">
        <f>'extended_recharge_2003-2015'!O202</f>
        <v>23.337969000000001</v>
      </c>
      <c r="P1066" s="14">
        <f>'extended_recharge_2003-2015'!P202</f>
        <v>41.834674999999997</v>
      </c>
      <c r="Q1066" s="14">
        <f>'extended_recharge_2003-2015'!Q202</f>
        <v>2.1225649999999998</v>
      </c>
      <c r="R1066" s="14">
        <f>'extended_recharge_2003-2015'!R202</f>
        <v>10.767644000000001</v>
      </c>
      <c r="S1066" s="14">
        <f>'extended_recharge_2003-2015'!S202</f>
        <v>18.226748000000001</v>
      </c>
      <c r="T1066" s="14">
        <f>'extended_recharge_2003-2015'!T202</f>
        <v>35.845126999999998</v>
      </c>
      <c r="U1066" s="14">
        <f>'extended_recharge_2003-2015'!U202</f>
        <v>14.671169000000001</v>
      </c>
      <c r="V1066" s="15">
        <f>'extended_recharge_2003-2015'!V202</f>
        <v>31.778054999999998</v>
      </c>
      <c r="W1066" s="16">
        <f>'extended_recharge_2003-2015'!W202</f>
        <v>17.788509999999999</v>
      </c>
      <c r="X1066" s="16">
        <f>'extended_recharge_2003-2015'!X202</f>
        <v>8.4270960000000006</v>
      </c>
      <c r="Y1066" s="16">
        <f>'extended_recharge_2003-2015'!Y202</f>
        <v>13.780004</v>
      </c>
      <c r="Z1066" s="16">
        <f>'extended_recharge_2003-2015'!Z202</f>
        <v>1.3634062</v>
      </c>
      <c r="AA1066" s="16">
        <f>'extended_recharge_2003-2015'!AA202</f>
        <v>5.0917615999999999</v>
      </c>
      <c r="AB1066" s="16">
        <f>'extended_recharge_2003-2015'!AB202</f>
        <v>2.1370049999999998</v>
      </c>
      <c r="AC1066" s="16">
        <f>'extended_recharge_2003-2015'!AC202</f>
        <v>2.79033</v>
      </c>
      <c r="AD1066" s="16">
        <f>'extended_recharge_2003-2015'!AD202</f>
        <v>7.3281580000000002</v>
      </c>
      <c r="AE1066" s="16">
        <f>'extended_recharge_2003-2015'!AE202</f>
        <v>1.9140223999999999</v>
      </c>
      <c r="AF1066" s="16">
        <f>'extended_recharge_2003-2015'!AF202</f>
        <v>110.42095999999999</v>
      </c>
      <c r="AG1066" s="16">
        <f>'extended_recharge_2003-2015'!AG202</f>
        <v>22.339127000000001</v>
      </c>
    </row>
    <row r="1067" spans="1:33" x14ac:dyDescent="0.2">
      <c r="A1067" s="3">
        <v>40390</v>
      </c>
      <c r="B1067" s="14">
        <f>'extended_recharge_2003-2015'!B203</f>
        <v>6.7497809999999996</v>
      </c>
      <c r="C1067" s="14">
        <f>'extended_recharge_2003-2015'!C203</f>
        <v>24.00394</v>
      </c>
      <c r="D1067" s="14">
        <f>'extended_recharge_2003-2015'!D203</f>
        <v>-2.5468012999999998</v>
      </c>
      <c r="E1067" s="14">
        <f>'extended_recharge_2003-2015'!E203</f>
        <v>-5.8673215000000001</v>
      </c>
      <c r="F1067" s="14">
        <f>'extended_recharge_2003-2015'!F203</f>
        <v>11.967278500000001</v>
      </c>
      <c r="G1067" s="14">
        <f>'extended_recharge_2003-2015'!G203</f>
        <v>14.541759000000001</v>
      </c>
      <c r="H1067" s="14">
        <f>'extended_recharge_2003-2015'!H203</f>
        <v>16.576899000000001</v>
      </c>
      <c r="I1067" s="14">
        <f>'extended_recharge_2003-2015'!I203</f>
        <v>41.599705</v>
      </c>
      <c r="J1067" s="14">
        <f>'extended_recharge_2003-2015'!J203</f>
        <v>2.4108508</v>
      </c>
      <c r="K1067" s="14">
        <f>'extended_recharge_2003-2015'!K203</f>
        <v>4.3946642999999996</v>
      </c>
      <c r="L1067" s="14">
        <f>'extended_recharge_2003-2015'!L203</f>
        <v>5.2501464000000002</v>
      </c>
      <c r="M1067" s="14">
        <f>'extended_recharge_2003-2015'!M203</f>
        <v>5.2946739999999997</v>
      </c>
      <c r="N1067" s="14">
        <f>'extended_recharge_2003-2015'!N203</f>
        <v>37.589869999999998</v>
      </c>
      <c r="O1067" s="14">
        <f>'extended_recharge_2003-2015'!O203</f>
        <v>24.298069000000002</v>
      </c>
      <c r="P1067" s="14">
        <f>'extended_recharge_2003-2015'!P203</f>
        <v>46.085667000000001</v>
      </c>
      <c r="Q1067" s="14">
        <f>'extended_recharge_2003-2015'!Q203</f>
        <v>3.9240556</v>
      </c>
      <c r="R1067" s="14">
        <f>'extended_recharge_2003-2015'!R203</f>
        <v>9.9255969999999998</v>
      </c>
      <c r="S1067" s="14">
        <f>'extended_recharge_2003-2015'!S203</f>
        <v>21.051221999999999</v>
      </c>
      <c r="T1067" s="14">
        <f>'extended_recharge_2003-2015'!T203</f>
        <v>43.052708000000003</v>
      </c>
      <c r="U1067" s="14">
        <f>'extended_recharge_2003-2015'!U203</f>
        <v>12.150674</v>
      </c>
      <c r="V1067" s="15">
        <f>'extended_recharge_2003-2015'!V203</f>
        <v>38.806550000000001</v>
      </c>
      <c r="W1067" s="16">
        <f>'extended_recharge_2003-2015'!W203</f>
        <v>29.487259000000002</v>
      </c>
      <c r="X1067" s="16">
        <f>'extended_recharge_2003-2015'!X203</f>
        <v>7.8261576000000002</v>
      </c>
      <c r="Y1067" s="16">
        <f>'extended_recharge_2003-2015'!Y203</f>
        <v>14.069565000000001</v>
      </c>
      <c r="Z1067" s="16">
        <f>'extended_recharge_2003-2015'!Z203</f>
        <v>2.6852545999999999</v>
      </c>
      <c r="AA1067" s="16">
        <f>'extended_recharge_2003-2015'!AA203</f>
        <v>4.8273434999999996</v>
      </c>
      <c r="AB1067" s="16">
        <f>'extended_recharge_2003-2015'!AB203</f>
        <v>1.6801465</v>
      </c>
      <c r="AC1067" s="16">
        <f>'extended_recharge_2003-2015'!AC203</f>
        <v>4.0955862999999999</v>
      </c>
      <c r="AD1067" s="16">
        <f>'extended_recharge_2003-2015'!AD203</f>
        <v>9.0123529999999992</v>
      </c>
      <c r="AE1067" s="16">
        <f>'extended_recharge_2003-2015'!AE203</f>
        <v>-0.15815953999999999</v>
      </c>
      <c r="AF1067" s="16">
        <f>'extended_recharge_2003-2015'!AF203</f>
        <v>120.00161</v>
      </c>
      <c r="AG1067" s="16">
        <f>'extended_recharge_2003-2015'!AG203</f>
        <v>25.166174000000002</v>
      </c>
    </row>
    <row r="1068" spans="1:33" x14ac:dyDescent="0.2">
      <c r="A1068" s="3">
        <v>40421</v>
      </c>
      <c r="B1068" s="14">
        <f>'extended_recharge_2003-2015'!B204</f>
        <v>3.8037968000000002</v>
      </c>
      <c r="C1068" s="14">
        <f>'extended_recharge_2003-2015'!C204</f>
        <v>25.885861999999999</v>
      </c>
      <c r="D1068" s="14">
        <f>'extended_recharge_2003-2015'!D204</f>
        <v>-2.0498335000000001</v>
      </c>
      <c r="E1068" s="14">
        <f>'extended_recharge_2003-2015'!E204</f>
        <v>-9.2194819999999993</v>
      </c>
      <c r="F1068" s="14">
        <f>'extended_recharge_2003-2015'!F204</f>
        <v>13.304956000000001</v>
      </c>
      <c r="G1068" s="14">
        <f>'extended_recharge_2003-2015'!G204</f>
        <v>12.088825999999999</v>
      </c>
      <c r="H1068" s="14">
        <f>'extended_recharge_2003-2015'!H204</f>
        <v>16.061035</v>
      </c>
      <c r="I1068" s="14">
        <f>'extended_recharge_2003-2015'!I204</f>
        <v>38.820971999999998</v>
      </c>
      <c r="J1068" s="14">
        <f>'extended_recharge_2003-2015'!J204</f>
        <v>5.3457990000000004</v>
      </c>
      <c r="K1068" s="14">
        <f>'extended_recharge_2003-2015'!K204</f>
        <v>8.7124360000000003</v>
      </c>
      <c r="L1068" s="14">
        <f>'extended_recharge_2003-2015'!L204</f>
        <v>5.6142830000000004</v>
      </c>
      <c r="M1068" s="14">
        <f>'extended_recharge_2003-2015'!M204</f>
        <v>6.9421889999999999</v>
      </c>
      <c r="N1068" s="14">
        <f>'extended_recharge_2003-2015'!N204</f>
        <v>41.63597</v>
      </c>
      <c r="O1068" s="14">
        <f>'extended_recharge_2003-2015'!O204</f>
        <v>22.855153999999999</v>
      </c>
      <c r="P1068" s="14">
        <f>'extended_recharge_2003-2015'!P204</f>
        <v>35.945473</v>
      </c>
      <c r="Q1068" s="14">
        <f>'extended_recharge_2003-2015'!Q204</f>
        <v>4.3993114999999996</v>
      </c>
      <c r="R1068" s="14">
        <f>'extended_recharge_2003-2015'!R204</f>
        <v>12.817660999999999</v>
      </c>
      <c r="S1068" s="14">
        <f>'extended_recharge_2003-2015'!S204</f>
        <v>23.816002000000001</v>
      </c>
      <c r="T1068" s="14">
        <f>'extended_recharge_2003-2015'!T204</f>
        <v>36.762154000000002</v>
      </c>
      <c r="U1068" s="14">
        <f>'extended_recharge_2003-2015'!U204</f>
        <v>11.380763</v>
      </c>
      <c r="V1068" s="15">
        <f>'extended_recharge_2003-2015'!V204</f>
        <v>35.329258000000003</v>
      </c>
      <c r="W1068" s="16">
        <f>'extended_recharge_2003-2015'!W204</f>
        <v>29.258230000000001</v>
      </c>
      <c r="X1068" s="16">
        <f>'extended_recharge_2003-2015'!X204</f>
        <v>9.4697479999999992</v>
      </c>
      <c r="Y1068" s="16">
        <f>'extended_recharge_2003-2015'!Y204</f>
        <v>13.099257</v>
      </c>
      <c r="Z1068" s="16">
        <f>'extended_recharge_2003-2015'!Z204</f>
        <v>3.4694284999999998</v>
      </c>
      <c r="AA1068" s="16">
        <f>'extended_recharge_2003-2015'!AA204</f>
        <v>2.8654473</v>
      </c>
      <c r="AB1068" s="16">
        <f>'extended_recharge_2003-2015'!AB204</f>
        <v>1.5242176999999999</v>
      </c>
      <c r="AC1068" s="16">
        <f>'extended_recharge_2003-2015'!AC204</f>
        <v>3.1079251999999999</v>
      </c>
      <c r="AD1068" s="16">
        <f>'extended_recharge_2003-2015'!AD204</f>
        <v>8.6287070000000003</v>
      </c>
      <c r="AE1068" s="16">
        <f>'extended_recharge_2003-2015'!AE204</f>
        <v>-0.14529236000000001</v>
      </c>
      <c r="AF1068" s="16">
        <f>'extended_recharge_2003-2015'!AF204</f>
        <v>113.45229999999999</v>
      </c>
      <c r="AG1068" s="16">
        <f>'extended_recharge_2003-2015'!AG204</f>
        <v>24.069372000000001</v>
      </c>
    </row>
    <row r="1069" spans="1:33" x14ac:dyDescent="0.2">
      <c r="A1069" s="3">
        <v>40451</v>
      </c>
      <c r="B1069" s="14">
        <f>'extended_recharge_2003-2015'!B205</f>
        <v>3.2886207000000001</v>
      </c>
      <c r="C1069" s="14">
        <f>'extended_recharge_2003-2015'!C205</f>
        <v>28.055765000000001</v>
      </c>
      <c r="D1069" s="14">
        <f>'extended_recharge_2003-2015'!D205</f>
        <v>1.2278294999999999</v>
      </c>
      <c r="E1069" s="14">
        <f>'extended_recharge_2003-2015'!E205</f>
        <v>4.3843990000000002</v>
      </c>
      <c r="F1069" s="14">
        <f>'extended_recharge_2003-2015'!F205</f>
        <v>15.187082</v>
      </c>
      <c r="G1069" s="14">
        <f>'extended_recharge_2003-2015'!G205</f>
        <v>30.161802000000002</v>
      </c>
      <c r="H1069" s="14">
        <f>'extended_recharge_2003-2015'!H205</f>
        <v>18.569510999999999</v>
      </c>
      <c r="I1069" s="14">
        <f>'extended_recharge_2003-2015'!I205</f>
        <v>43.191364</v>
      </c>
      <c r="J1069" s="14">
        <f>'extended_recharge_2003-2015'!J205</f>
        <v>11.642785</v>
      </c>
      <c r="K1069" s="14">
        <f>'extended_recharge_2003-2015'!K205</f>
        <v>7.6139039999999998</v>
      </c>
      <c r="L1069" s="14">
        <f>'extended_recharge_2003-2015'!L205</f>
        <v>8.0014959999999995</v>
      </c>
      <c r="M1069" s="14">
        <f>'extended_recharge_2003-2015'!M205</f>
        <v>7.4663005</v>
      </c>
      <c r="N1069" s="14">
        <f>'extended_recharge_2003-2015'!N205</f>
        <v>43.311622999999997</v>
      </c>
      <c r="O1069" s="14">
        <f>'extended_recharge_2003-2015'!O205</f>
        <v>28.246008</v>
      </c>
      <c r="P1069" s="14">
        <f>'extended_recharge_2003-2015'!P205</f>
        <v>52.171363999999997</v>
      </c>
      <c r="Q1069" s="14">
        <f>'extended_recharge_2003-2015'!Q205</f>
        <v>5.7188749999999997</v>
      </c>
      <c r="R1069" s="14">
        <f>'extended_recharge_2003-2015'!R205</f>
        <v>11.055285</v>
      </c>
      <c r="S1069" s="14">
        <f>'extended_recharge_2003-2015'!S205</f>
        <v>27.131271000000002</v>
      </c>
      <c r="T1069" s="14">
        <f>'extended_recharge_2003-2015'!T205</f>
        <v>34.069797999999999</v>
      </c>
      <c r="U1069" s="14">
        <f>'extended_recharge_2003-2015'!U205</f>
        <v>8.2617809999999992</v>
      </c>
      <c r="V1069" s="15">
        <f>'extended_recharge_2003-2015'!V205</f>
        <v>27.677375999999999</v>
      </c>
      <c r="W1069" s="16">
        <f>'extended_recharge_2003-2015'!W205</f>
        <v>27.318441</v>
      </c>
      <c r="X1069" s="16">
        <f>'extended_recharge_2003-2015'!X205</f>
        <v>8.5774950000000008</v>
      </c>
      <c r="Y1069" s="16">
        <f>'extended_recharge_2003-2015'!Y205</f>
        <v>11.71312</v>
      </c>
      <c r="Z1069" s="16">
        <f>'extended_recharge_2003-2015'!Z205</f>
        <v>2.5622446999999999</v>
      </c>
      <c r="AA1069" s="16">
        <f>'extended_recharge_2003-2015'!AA205</f>
        <v>3.3895729999999999</v>
      </c>
      <c r="AB1069" s="16">
        <f>'extended_recharge_2003-2015'!AB205</f>
        <v>1.7259009000000001</v>
      </c>
      <c r="AC1069" s="16">
        <f>'extended_recharge_2003-2015'!AC205</f>
        <v>2.8290698999999999</v>
      </c>
      <c r="AD1069" s="16">
        <f>'extended_recharge_2003-2015'!AD205</f>
        <v>7.0319580000000004</v>
      </c>
      <c r="AE1069" s="16">
        <f>'extended_recharge_2003-2015'!AE205</f>
        <v>2.3609433000000002</v>
      </c>
      <c r="AF1069" s="16">
        <f>'extended_recharge_2003-2015'!AF205</f>
        <v>106.41613</v>
      </c>
      <c r="AG1069" s="16">
        <f>'extended_recharge_2003-2015'!AG205</f>
        <v>19.832457999999999</v>
      </c>
    </row>
    <row r="1070" spans="1:33" x14ac:dyDescent="0.2">
      <c r="A1070" s="3">
        <v>40482</v>
      </c>
      <c r="B1070" s="14">
        <f>'extended_recharge_2003-2015'!B206</f>
        <v>1.946428</v>
      </c>
      <c r="C1070" s="14">
        <f>'extended_recharge_2003-2015'!C206</f>
        <v>28.633623</v>
      </c>
      <c r="D1070" s="14">
        <f>'extended_recharge_2003-2015'!D206</f>
        <v>6.9138080000000004</v>
      </c>
      <c r="E1070" s="14">
        <f>'extended_recharge_2003-2015'!E206</f>
        <v>11.311892</v>
      </c>
      <c r="F1070" s="14">
        <f>'extended_recharge_2003-2015'!F206</f>
        <v>24.854482999999998</v>
      </c>
      <c r="G1070" s="14">
        <f>'extended_recharge_2003-2015'!G206</f>
        <v>41.810299999999998</v>
      </c>
      <c r="H1070" s="14">
        <f>'extended_recharge_2003-2015'!H206</f>
        <v>17.706630000000001</v>
      </c>
      <c r="I1070" s="14">
        <f>'extended_recharge_2003-2015'!I206</f>
        <v>42.395256000000003</v>
      </c>
      <c r="J1070" s="14">
        <f>'extended_recharge_2003-2015'!J206</f>
        <v>25.953662999999999</v>
      </c>
      <c r="K1070" s="14">
        <f>'extended_recharge_2003-2015'!K206</f>
        <v>20.183810999999999</v>
      </c>
      <c r="L1070" s="14">
        <f>'extended_recharge_2003-2015'!L206</f>
        <v>12.883962</v>
      </c>
      <c r="M1070" s="14">
        <f>'extended_recharge_2003-2015'!M206</f>
        <v>12.891416</v>
      </c>
      <c r="N1070" s="14">
        <f>'extended_recharge_2003-2015'!N206</f>
        <v>54.221733</v>
      </c>
      <c r="O1070" s="14">
        <f>'extended_recharge_2003-2015'!O206</f>
        <v>22.712710000000001</v>
      </c>
      <c r="P1070" s="14">
        <f>'extended_recharge_2003-2015'!P206</f>
        <v>60.027126000000003</v>
      </c>
      <c r="Q1070" s="14">
        <f>'extended_recharge_2003-2015'!Q206</f>
        <v>6.345065</v>
      </c>
      <c r="R1070" s="14">
        <f>'extended_recharge_2003-2015'!R206</f>
        <v>12.722889</v>
      </c>
      <c r="S1070" s="14">
        <f>'extended_recharge_2003-2015'!S206</f>
        <v>42.775126999999998</v>
      </c>
      <c r="T1070" s="14">
        <f>'extended_recharge_2003-2015'!T206</f>
        <v>39.758899999999997</v>
      </c>
      <c r="U1070" s="14">
        <f>'extended_recharge_2003-2015'!U206</f>
        <v>10.596691</v>
      </c>
      <c r="V1070" s="15">
        <f>'extended_recharge_2003-2015'!V206</f>
        <v>23.663141</v>
      </c>
      <c r="W1070" s="16">
        <f>'extended_recharge_2003-2015'!W206</f>
        <v>22.56409</v>
      </c>
      <c r="X1070" s="16">
        <f>'extended_recharge_2003-2015'!X206</f>
        <v>8.7390609999999995</v>
      </c>
      <c r="Y1070" s="16">
        <f>'extended_recharge_2003-2015'!Y206</f>
        <v>10.336130000000001</v>
      </c>
      <c r="Z1070" s="16">
        <f>'extended_recharge_2003-2015'!Z206</f>
        <v>6.3601064999999997</v>
      </c>
      <c r="AA1070" s="16">
        <f>'extended_recharge_2003-2015'!AA206</f>
        <v>4.3206344000000003</v>
      </c>
      <c r="AB1070" s="16">
        <f>'extended_recharge_2003-2015'!AB206</f>
        <v>2.5245304000000002</v>
      </c>
      <c r="AC1070" s="16">
        <f>'extended_recharge_2003-2015'!AC206</f>
        <v>4.9720306000000001</v>
      </c>
      <c r="AD1070" s="16">
        <f>'extended_recharge_2003-2015'!AD206</f>
        <v>4.8928475000000002</v>
      </c>
      <c r="AE1070" s="16">
        <f>'extended_recharge_2003-2015'!AE206</f>
        <v>8.1339849999999991</v>
      </c>
      <c r="AF1070" s="16">
        <f>'extended_recharge_2003-2015'!AF206</f>
        <v>86.673064999999994</v>
      </c>
      <c r="AG1070" s="16">
        <f>'extended_recharge_2003-2015'!AG206</f>
        <v>16.619582999999999</v>
      </c>
    </row>
    <row r="1071" spans="1:33" x14ac:dyDescent="0.2">
      <c r="A1071" s="3">
        <v>40512</v>
      </c>
      <c r="B1071" s="14">
        <f>'extended_recharge_2003-2015'!B207</f>
        <v>0.18135762</v>
      </c>
      <c r="C1071" s="14">
        <f>'extended_recharge_2003-2015'!C207</f>
        <v>24.645679999999999</v>
      </c>
      <c r="D1071" s="14">
        <f>'extended_recharge_2003-2015'!D207</f>
        <v>6.7104496999999999</v>
      </c>
      <c r="E1071" s="14">
        <f>'extended_recharge_2003-2015'!E207</f>
        <v>14.637527</v>
      </c>
      <c r="F1071" s="14">
        <f>'extended_recharge_2003-2015'!F207</f>
        <v>21.30114</v>
      </c>
      <c r="G1071" s="14">
        <f>'extended_recharge_2003-2015'!G207</f>
        <v>30.366707000000002</v>
      </c>
      <c r="H1071" s="14">
        <f>'extended_recharge_2003-2015'!H207</f>
        <v>17.264198</v>
      </c>
      <c r="I1071" s="14">
        <f>'extended_recharge_2003-2015'!I207</f>
        <v>39.113224000000002</v>
      </c>
      <c r="J1071" s="14">
        <f>'extended_recharge_2003-2015'!J207</f>
        <v>24.238119999999999</v>
      </c>
      <c r="K1071" s="14">
        <f>'extended_recharge_2003-2015'!K207</f>
        <v>12.417458</v>
      </c>
      <c r="L1071" s="14">
        <f>'extended_recharge_2003-2015'!L207</f>
        <v>10.270225</v>
      </c>
      <c r="M1071" s="14">
        <f>'extended_recharge_2003-2015'!M207</f>
        <v>10.439995</v>
      </c>
      <c r="N1071" s="14">
        <f>'extended_recharge_2003-2015'!N207</f>
        <v>38.18909</v>
      </c>
      <c r="O1071" s="14">
        <f>'extended_recharge_2003-2015'!O207</f>
        <v>19.646187000000001</v>
      </c>
      <c r="P1071" s="14">
        <f>'extended_recharge_2003-2015'!P207</f>
        <v>34.047221999999998</v>
      </c>
      <c r="Q1071" s="14">
        <f>'extended_recharge_2003-2015'!Q207</f>
        <v>5.3536014999999999</v>
      </c>
      <c r="R1071" s="14">
        <f>'extended_recharge_2003-2015'!R207</f>
        <v>10.605867</v>
      </c>
      <c r="S1071" s="14">
        <f>'extended_recharge_2003-2015'!S207</f>
        <v>27.326466</v>
      </c>
      <c r="T1071" s="14">
        <f>'extended_recharge_2003-2015'!T207</f>
        <v>30.958662</v>
      </c>
      <c r="U1071" s="14">
        <f>'extended_recharge_2003-2015'!U207</f>
        <v>11.853092</v>
      </c>
      <c r="V1071" s="15">
        <f>'extended_recharge_2003-2015'!V207</f>
        <v>16.166998</v>
      </c>
      <c r="W1071" s="16">
        <f>'extended_recharge_2003-2015'!W207</f>
        <v>16.018944000000001</v>
      </c>
      <c r="X1071" s="16">
        <f>'extended_recharge_2003-2015'!X207</f>
        <v>9.9956790000000009</v>
      </c>
      <c r="Y1071" s="16">
        <f>'extended_recharge_2003-2015'!Y207</f>
        <v>9.7380230000000001</v>
      </c>
      <c r="Z1071" s="16">
        <f>'extended_recharge_2003-2015'!Z207</f>
        <v>4.2494120000000004</v>
      </c>
      <c r="AA1071" s="16">
        <f>'extended_recharge_2003-2015'!AA207</f>
        <v>4.3708076</v>
      </c>
      <c r="AB1071" s="16">
        <f>'extended_recharge_2003-2015'!AB207</f>
        <v>1.5979531</v>
      </c>
      <c r="AC1071" s="16">
        <f>'extended_recharge_2003-2015'!AC207</f>
        <v>4.2817397000000001</v>
      </c>
      <c r="AD1071" s="16">
        <f>'extended_recharge_2003-2015'!AD207</f>
        <v>3.4368367000000002</v>
      </c>
      <c r="AE1071" s="16">
        <f>'extended_recharge_2003-2015'!AE207</f>
        <v>14.248701000000001</v>
      </c>
      <c r="AF1071" s="16">
        <f>'extended_recharge_2003-2015'!AF207</f>
        <v>64.189575000000005</v>
      </c>
      <c r="AG1071" s="16">
        <f>'extended_recharge_2003-2015'!AG207</f>
        <v>12.909329</v>
      </c>
    </row>
    <row r="1072" spans="1:33" x14ac:dyDescent="0.2">
      <c r="A1072" s="3">
        <v>40543</v>
      </c>
      <c r="B1072" s="14">
        <f>'extended_recharge_2003-2015'!B208</f>
        <v>-1.4749258000000001</v>
      </c>
      <c r="C1072" s="14">
        <f>'extended_recharge_2003-2015'!C208</f>
        <v>23.435371</v>
      </c>
      <c r="D1072" s="14">
        <f>'extended_recharge_2003-2015'!D208</f>
        <v>1.1975517</v>
      </c>
      <c r="E1072" s="14">
        <f>'extended_recharge_2003-2015'!E208</f>
        <v>-3.8842737999999999</v>
      </c>
      <c r="F1072" s="14">
        <f>'extended_recharge_2003-2015'!F208</f>
        <v>4.0658839999999996</v>
      </c>
      <c r="G1072" s="14">
        <f>'extended_recharge_2003-2015'!G208</f>
        <v>9.9029179999999997</v>
      </c>
      <c r="H1072" s="14">
        <f>'extended_recharge_2003-2015'!H208</f>
        <v>14.917323</v>
      </c>
      <c r="I1072" s="14">
        <f>'extended_recharge_2003-2015'!I208</f>
        <v>38.936253000000001</v>
      </c>
      <c r="J1072" s="14">
        <f>'extended_recharge_2003-2015'!J208</f>
        <v>17.944013999999999</v>
      </c>
      <c r="K1072" s="14">
        <f>'extended_recharge_2003-2015'!K208</f>
        <v>4.3115500000000004</v>
      </c>
      <c r="L1072" s="14">
        <f>'extended_recharge_2003-2015'!L208</f>
        <v>-1.9959903999999999</v>
      </c>
      <c r="M1072" s="14">
        <f>'extended_recharge_2003-2015'!M208</f>
        <v>1.56741</v>
      </c>
      <c r="N1072" s="14">
        <f>'extended_recharge_2003-2015'!N208</f>
        <v>32.147235999999999</v>
      </c>
      <c r="O1072" s="14">
        <f>'extended_recharge_2003-2015'!O208</f>
        <v>22.136265000000002</v>
      </c>
      <c r="P1072" s="14">
        <f>'extended_recharge_2003-2015'!P208</f>
        <v>57.837893999999999</v>
      </c>
      <c r="Q1072" s="14">
        <f>'extended_recharge_2003-2015'!Q208</f>
        <v>4.9505981999999999</v>
      </c>
      <c r="R1072" s="14">
        <f>'extended_recharge_2003-2015'!R208</f>
        <v>9.2874119999999998</v>
      </c>
      <c r="S1072" s="14">
        <f>'extended_recharge_2003-2015'!S208</f>
        <v>19.276896000000001</v>
      </c>
      <c r="T1072" s="14">
        <f>'extended_recharge_2003-2015'!T208</f>
        <v>31.856812999999999</v>
      </c>
      <c r="U1072" s="14">
        <f>'extended_recharge_2003-2015'!U208</f>
        <v>12.860295000000001</v>
      </c>
      <c r="V1072" s="15">
        <f>'extended_recharge_2003-2015'!V208</f>
        <v>16.770368999999999</v>
      </c>
      <c r="W1072" s="16">
        <f>'extended_recharge_2003-2015'!W208</f>
        <v>11.664619999999999</v>
      </c>
      <c r="X1072" s="16">
        <f>'extended_recharge_2003-2015'!X208</f>
        <v>9.0710280000000001</v>
      </c>
      <c r="Y1072" s="16">
        <f>'extended_recharge_2003-2015'!Y208</f>
        <v>7.824948</v>
      </c>
      <c r="Z1072" s="16">
        <f>'extended_recharge_2003-2015'!Z208</f>
        <v>5.0326966999999998</v>
      </c>
      <c r="AA1072" s="16">
        <f>'extended_recharge_2003-2015'!AA208</f>
        <v>2.9996383</v>
      </c>
      <c r="AB1072" s="16">
        <f>'extended_recharge_2003-2015'!AB208</f>
        <v>1.4734001000000001</v>
      </c>
      <c r="AC1072" s="16">
        <f>'extended_recharge_2003-2015'!AC208</f>
        <v>4.8953303999999997</v>
      </c>
      <c r="AD1072" s="16">
        <f>'extended_recharge_2003-2015'!AD208</f>
        <v>2.5757669999999999</v>
      </c>
      <c r="AE1072" s="16">
        <f>'extended_recharge_2003-2015'!AE208</f>
        <v>23.019638</v>
      </c>
      <c r="AF1072" s="16">
        <f>'extended_recharge_2003-2015'!AF208</f>
        <v>62.794939999999997</v>
      </c>
      <c r="AG1072" s="16">
        <f>'extended_recharge_2003-2015'!AG208</f>
        <v>11.274239</v>
      </c>
    </row>
    <row r="1073" spans="1:33" x14ac:dyDescent="0.2">
      <c r="A1073" s="3">
        <v>40574</v>
      </c>
      <c r="B1073" s="14">
        <f>'extended_recharge_2003-2015'!B209</f>
        <v>-0.73099893000000005</v>
      </c>
      <c r="C1073" s="14">
        <f>'extended_recharge_2003-2015'!C209</f>
        <v>24.124258000000001</v>
      </c>
      <c r="D1073" s="14">
        <f>'extended_recharge_2003-2015'!D209</f>
        <v>-0.37318393999999999</v>
      </c>
      <c r="E1073" s="14">
        <f>'extended_recharge_2003-2015'!E209</f>
        <v>-9.5949220000000004</v>
      </c>
      <c r="F1073" s="14">
        <f>'extended_recharge_2003-2015'!F209</f>
        <v>-0.84442455000000005</v>
      </c>
      <c r="G1073" s="14">
        <f>'extended_recharge_2003-2015'!G209</f>
        <v>8.1546909999999997</v>
      </c>
      <c r="H1073" s="14">
        <f>'extended_recharge_2003-2015'!H209</f>
        <v>13.994294</v>
      </c>
      <c r="I1073" s="14">
        <f>'extended_recharge_2003-2015'!I209</f>
        <v>38.993834999999997</v>
      </c>
      <c r="J1073" s="14">
        <f>'extended_recharge_2003-2015'!J209</f>
        <v>13.508962</v>
      </c>
      <c r="K1073" s="14">
        <f>'extended_recharge_2003-2015'!K209</f>
        <v>0.32218849999999999</v>
      </c>
      <c r="L1073" s="14">
        <f>'extended_recharge_2003-2015'!L209</f>
        <v>-6.6430544999999999</v>
      </c>
      <c r="M1073" s="14">
        <f>'extended_recharge_2003-2015'!M209</f>
        <v>-0.63664679999999996</v>
      </c>
      <c r="N1073" s="14">
        <f>'extended_recharge_2003-2015'!N209</f>
        <v>29.895882</v>
      </c>
      <c r="O1073" s="14">
        <f>'extended_recharge_2003-2015'!O209</f>
        <v>22.197714000000001</v>
      </c>
      <c r="P1073" s="14">
        <f>'extended_recharge_2003-2015'!P209</f>
        <v>41.347136999999996</v>
      </c>
      <c r="Q1073" s="14">
        <f>'extended_recharge_2003-2015'!Q209</f>
        <v>4.1126940000000003</v>
      </c>
      <c r="R1073" s="14">
        <f>'extended_recharge_2003-2015'!R209</f>
        <v>9.2403630000000003</v>
      </c>
      <c r="S1073" s="14">
        <f>'extended_recharge_2003-2015'!S209</f>
        <v>18.56607</v>
      </c>
      <c r="T1073" s="14">
        <f>'extended_recharge_2003-2015'!T209</f>
        <v>28.962557</v>
      </c>
      <c r="U1073" s="14">
        <f>'extended_recharge_2003-2015'!U209</f>
        <v>10.33896</v>
      </c>
      <c r="V1073" s="15">
        <f>'extended_recharge_2003-2015'!V209</f>
        <v>15.384579</v>
      </c>
      <c r="W1073" s="16">
        <f>'extended_recharge_2003-2015'!W209</f>
        <v>5.1262319999999999</v>
      </c>
      <c r="X1073" s="16">
        <f>'extended_recharge_2003-2015'!X209</f>
        <v>10.814098</v>
      </c>
      <c r="Y1073" s="16">
        <f>'extended_recharge_2003-2015'!Y209</f>
        <v>7.7822012999999997</v>
      </c>
      <c r="Z1073" s="16">
        <f>'extended_recharge_2003-2015'!Z209</f>
        <v>2.1636343</v>
      </c>
      <c r="AA1073" s="16">
        <f>'extended_recharge_2003-2015'!AA209</f>
        <v>4.3702706999999998</v>
      </c>
      <c r="AB1073" s="16">
        <f>'extended_recharge_2003-2015'!AB209</f>
        <v>2.0949911999999999</v>
      </c>
      <c r="AC1073" s="16">
        <f>'extended_recharge_2003-2015'!AC209</f>
        <v>3.9512280999999998</v>
      </c>
      <c r="AD1073" s="16">
        <f>'extended_recharge_2003-2015'!AD209</f>
        <v>1.9264302</v>
      </c>
      <c r="AE1073" s="16">
        <f>'extended_recharge_2003-2015'!AE209</f>
        <v>25.688718999999999</v>
      </c>
      <c r="AF1073" s="16">
        <f>'extended_recharge_2003-2015'!AF209</f>
        <v>61.042450000000002</v>
      </c>
      <c r="AG1073" s="16">
        <f>'extended_recharge_2003-2015'!AG209</f>
        <v>10.066424</v>
      </c>
    </row>
    <row r="1074" spans="1:33" x14ac:dyDescent="0.2">
      <c r="A1074" s="3">
        <v>40602</v>
      </c>
      <c r="B1074" s="14">
        <f>'extended_recharge_2003-2015'!B210</f>
        <v>1.4876564000000001</v>
      </c>
      <c r="C1074" s="14">
        <f>'extended_recharge_2003-2015'!C210</f>
        <v>27.95035</v>
      </c>
      <c r="D1074" s="14">
        <f>'extended_recharge_2003-2015'!D210</f>
        <v>0.89502614999999996</v>
      </c>
      <c r="E1074" s="14">
        <f>'extended_recharge_2003-2015'!E210</f>
        <v>0.55480370000000001</v>
      </c>
      <c r="F1074" s="14">
        <f>'extended_recharge_2003-2015'!F210</f>
        <v>3.2782784</v>
      </c>
      <c r="G1074" s="14">
        <f>'extended_recharge_2003-2015'!G210</f>
        <v>21.676859</v>
      </c>
      <c r="H1074" s="14">
        <f>'extended_recharge_2003-2015'!H210</f>
        <v>13.665234</v>
      </c>
      <c r="I1074" s="14">
        <f>'extended_recharge_2003-2015'!I210</f>
        <v>40.144126999999997</v>
      </c>
      <c r="J1074" s="14">
        <f>'extended_recharge_2003-2015'!J210</f>
        <v>15.354188000000001</v>
      </c>
      <c r="K1074" s="14">
        <f>'extended_recharge_2003-2015'!K210</f>
        <v>5.4053984000000002</v>
      </c>
      <c r="L1074" s="14">
        <f>'extended_recharge_2003-2015'!L210</f>
        <v>-1.5510234000000001</v>
      </c>
      <c r="M1074" s="14">
        <f>'extended_recharge_2003-2015'!M210</f>
        <v>5.9882229999999996</v>
      </c>
      <c r="N1074" s="14">
        <f>'extended_recharge_2003-2015'!N210</f>
        <v>32.687984</v>
      </c>
      <c r="O1074" s="14">
        <f>'extended_recharge_2003-2015'!O210</f>
        <v>23.280629999999999</v>
      </c>
      <c r="P1074" s="14">
        <f>'extended_recharge_2003-2015'!P210</f>
        <v>83.675640000000001</v>
      </c>
      <c r="Q1074" s="14">
        <f>'extended_recharge_2003-2015'!Q210</f>
        <v>5.2142505999999997</v>
      </c>
      <c r="R1074" s="14">
        <f>'extended_recharge_2003-2015'!R210</f>
        <v>9.3186889999999991</v>
      </c>
      <c r="S1074" s="14">
        <f>'extended_recharge_2003-2015'!S210</f>
        <v>19.795918</v>
      </c>
      <c r="T1074" s="14">
        <f>'extended_recharge_2003-2015'!T210</f>
        <v>37.835566999999998</v>
      </c>
      <c r="U1074" s="14">
        <f>'extended_recharge_2003-2015'!U210</f>
        <v>11.936083999999999</v>
      </c>
      <c r="V1074" s="15">
        <f>'extended_recharge_2003-2015'!V210</f>
        <v>20.505127000000002</v>
      </c>
      <c r="W1074" s="16">
        <f>'extended_recharge_2003-2015'!W210</f>
        <v>0.60941504999999996</v>
      </c>
      <c r="X1074" s="16">
        <f>'extended_recharge_2003-2015'!X210</f>
        <v>10.833833</v>
      </c>
      <c r="Y1074" s="16">
        <f>'extended_recharge_2003-2015'!Y210</f>
        <v>8.734216</v>
      </c>
      <c r="Z1074" s="16">
        <f>'extended_recharge_2003-2015'!Z210</f>
        <v>1.6429613000000001</v>
      </c>
      <c r="AA1074" s="16">
        <f>'extended_recharge_2003-2015'!AA210</f>
        <v>4.4045540000000001</v>
      </c>
      <c r="AB1074" s="16">
        <f>'extended_recharge_2003-2015'!AB210</f>
        <v>1.5915427</v>
      </c>
      <c r="AC1074" s="16">
        <f>'extended_recharge_2003-2015'!AC210</f>
        <v>3.5543133999999998</v>
      </c>
      <c r="AD1074" s="16">
        <f>'extended_recharge_2003-2015'!AD210</f>
        <v>2.0339298000000001</v>
      </c>
      <c r="AE1074" s="16">
        <f>'extended_recharge_2003-2015'!AE210</f>
        <v>18.922377000000001</v>
      </c>
      <c r="AF1074" s="16">
        <f>'extended_recharge_2003-2015'!AF210</f>
        <v>61.657004999999998</v>
      </c>
      <c r="AG1074" s="16">
        <f>'extended_recharge_2003-2015'!AG210</f>
        <v>9.7296680000000002</v>
      </c>
    </row>
    <row r="1075" spans="1:33" x14ac:dyDescent="0.2">
      <c r="A1075" s="3">
        <v>40633</v>
      </c>
      <c r="B1075" s="14">
        <f>'extended_recharge_2003-2015'!B211</f>
        <v>2.4079747</v>
      </c>
      <c r="C1075" s="14">
        <f>'extended_recharge_2003-2015'!C211</f>
        <v>23.831810000000001</v>
      </c>
      <c r="D1075" s="14">
        <f>'extended_recharge_2003-2015'!D211</f>
        <v>-3.5733459999999999</v>
      </c>
      <c r="E1075" s="14">
        <f>'extended_recharge_2003-2015'!E211</f>
        <v>-14.841842</v>
      </c>
      <c r="F1075" s="14">
        <f>'extended_recharge_2003-2015'!F211</f>
        <v>-9.0209609999999998</v>
      </c>
      <c r="G1075" s="14">
        <f>'extended_recharge_2003-2015'!G211</f>
        <v>7.8753394999999999</v>
      </c>
      <c r="H1075" s="14">
        <f>'extended_recharge_2003-2015'!H211</f>
        <v>13.112837000000001</v>
      </c>
      <c r="I1075" s="14">
        <f>'extended_recharge_2003-2015'!I211</f>
        <v>40.023919999999997</v>
      </c>
      <c r="J1075" s="14">
        <f>'extended_recharge_2003-2015'!J211</f>
        <v>7.3131665999999997</v>
      </c>
      <c r="K1075" s="14">
        <f>'extended_recharge_2003-2015'!K211</f>
        <v>5.0288367000000003</v>
      </c>
      <c r="L1075" s="14">
        <f>'extended_recharge_2003-2015'!L211</f>
        <v>-3.1708530000000001</v>
      </c>
      <c r="M1075" s="14">
        <f>'extended_recharge_2003-2015'!M211</f>
        <v>2.7111551999999999</v>
      </c>
      <c r="N1075" s="14">
        <f>'extended_recharge_2003-2015'!N211</f>
        <v>28.802382000000001</v>
      </c>
      <c r="O1075" s="14">
        <f>'extended_recharge_2003-2015'!O211</f>
        <v>20.765215000000001</v>
      </c>
      <c r="P1075" s="14">
        <f>'extended_recharge_2003-2015'!P211</f>
        <v>65.786580000000001</v>
      </c>
      <c r="Q1075" s="14">
        <f>'extended_recharge_2003-2015'!Q211</f>
        <v>4.1896440000000004</v>
      </c>
      <c r="R1075" s="14">
        <f>'extended_recharge_2003-2015'!R211</f>
        <v>8.5115700000000007</v>
      </c>
      <c r="S1075" s="14">
        <f>'extended_recharge_2003-2015'!S211</f>
        <v>20.038618</v>
      </c>
      <c r="T1075" s="14">
        <f>'extended_recharge_2003-2015'!T211</f>
        <v>38.805976999999999</v>
      </c>
      <c r="U1075" s="14">
        <f>'extended_recharge_2003-2015'!U211</f>
        <v>11.943253500000001</v>
      </c>
      <c r="V1075" s="15">
        <f>'extended_recharge_2003-2015'!V211</f>
        <v>20.652729000000001</v>
      </c>
      <c r="W1075" s="16">
        <f>'extended_recharge_2003-2015'!W211</f>
        <v>-2.5386510000000001E-2</v>
      </c>
      <c r="X1075" s="16">
        <f>'extended_recharge_2003-2015'!X211</f>
        <v>9.3641129999999997</v>
      </c>
      <c r="Y1075" s="16">
        <f>'extended_recharge_2003-2015'!Y211</f>
        <v>10.486190000000001</v>
      </c>
      <c r="Z1075" s="16">
        <f>'extended_recharge_2003-2015'!Z211</f>
        <v>0.65688086000000001</v>
      </c>
      <c r="AA1075" s="16">
        <f>'extended_recharge_2003-2015'!AA211</f>
        <v>4.3979660000000003</v>
      </c>
      <c r="AB1075" s="16">
        <f>'extended_recharge_2003-2015'!AB211</f>
        <v>1.8203317000000001</v>
      </c>
      <c r="AC1075" s="16">
        <f>'extended_recharge_2003-2015'!AC211</f>
        <v>3.1507499999999999</v>
      </c>
      <c r="AD1075" s="16">
        <f>'extended_recharge_2003-2015'!AD211</f>
        <v>2.3902519999999998</v>
      </c>
      <c r="AE1075" s="16">
        <f>'extended_recharge_2003-2015'!AE211</f>
        <v>16.541329999999999</v>
      </c>
      <c r="AF1075" s="16">
        <f>'extended_recharge_2003-2015'!AF211</f>
        <v>71.067599999999999</v>
      </c>
      <c r="AG1075" s="16">
        <f>'extended_recharge_2003-2015'!AG211</f>
        <v>10.697979</v>
      </c>
    </row>
    <row r="1076" spans="1:33" x14ac:dyDescent="0.2">
      <c r="A1076" s="3">
        <v>40663</v>
      </c>
      <c r="B1076" s="14">
        <f>'extended_recharge_2003-2015'!B212</f>
        <v>4.3695206999999998</v>
      </c>
      <c r="C1076" s="14">
        <f>'extended_recharge_2003-2015'!C212</f>
        <v>24.714137999999998</v>
      </c>
      <c r="D1076" s="14">
        <f>'extended_recharge_2003-2015'!D212</f>
        <v>-2.6098952</v>
      </c>
      <c r="E1076" s="14">
        <f>'extended_recharge_2003-2015'!E212</f>
        <v>0.78666789999999998</v>
      </c>
      <c r="F1076" s="14">
        <f>'extended_recharge_2003-2015'!F212</f>
        <v>14.292964</v>
      </c>
      <c r="G1076" s="14">
        <f>'extended_recharge_2003-2015'!G212</f>
        <v>28.356591999999999</v>
      </c>
      <c r="H1076" s="14">
        <f>'extended_recharge_2003-2015'!H212</f>
        <v>15.022055</v>
      </c>
      <c r="I1076" s="14">
        <f>'extended_recharge_2003-2015'!I212</f>
        <v>38.356395999999997</v>
      </c>
      <c r="J1076" s="14">
        <f>'extended_recharge_2003-2015'!J212</f>
        <v>3.808068</v>
      </c>
      <c r="K1076" s="14">
        <f>'extended_recharge_2003-2015'!K212</f>
        <v>6.2178789999999999</v>
      </c>
      <c r="L1076" s="14">
        <f>'extended_recharge_2003-2015'!L212</f>
        <v>1.5244936</v>
      </c>
      <c r="M1076" s="14">
        <f>'extended_recharge_2003-2015'!M212</f>
        <v>2.8696031999999998</v>
      </c>
      <c r="N1076" s="14">
        <f>'extended_recharge_2003-2015'!N212</f>
        <v>31.326073000000001</v>
      </c>
      <c r="O1076" s="14">
        <f>'extended_recharge_2003-2015'!O212</f>
        <v>19.493706</v>
      </c>
      <c r="P1076" s="14">
        <f>'extended_recharge_2003-2015'!P212</f>
        <v>61.79918</v>
      </c>
      <c r="Q1076" s="14">
        <f>'extended_recharge_2003-2015'!Q212</f>
        <v>2.2821753</v>
      </c>
      <c r="R1076" s="14">
        <f>'extended_recharge_2003-2015'!R212</f>
        <v>7.9837875</v>
      </c>
      <c r="S1076" s="14">
        <f>'extended_recharge_2003-2015'!S212</f>
        <v>18.452742000000001</v>
      </c>
      <c r="T1076" s="14">
        <f>'extended_recharge_2003-2015'!T212</f>
        <v>30.660630999999999</v>
      </c>
      <c r="U1076" s="14">
        <f>'extended_recharge_2003-2015'!U212</f>
        <v>12.118399999999999</v>
      </c>
      <c r="V1076" s="15">
        <f>'extended_recharge_2003-2015'!V212</f>
        <v>22.671956999999999</v>
      </c>
      <c r="W1076" s="16">
        <f>'extended_recharge_2003-2015'!W212</f>
        <v>0.17358641</v>
      </c>
      <c r="X1076" s="16">
        <f>'extended_recharge_2003-2015'!X212</f>
        <v>9.2630040000000005</v>
      </c>
      <c r="Y1076" s="16">
        <f>'extended_recharge_2003-2015'!Y212</f>
        <v>12.374238999999999</v>
      </c>
      <c r="Z1076" s="16">
        <f>'extended_recharge_2003-2015'!Z212</f>
        <v>0.37808262999999998</v>
      </c>
      <c r="AA1076" s="16">
        <f>'extended_recharge_2003-2015'!AA212</f>
        <v>4.2412960000000002</v>
      </c>
      <c r="AB1076" s="16">
        <f>'extended_recharge_2003-2015'!AB212</f>
        <v>2.0911247999999998</v>
      </c>
      <c r="AC1076" s="16">
        <f>'extended_recharge_2003-2015'!AC212</f>
        <v>3.0982069999999999</v>
      </c>
      <c r="AD1076" s="16">
        <f>'extended_recharge_2003-2015'!AD212</f>
        <v>3.9915926000000002</v>
      </c>
      <c r="AE1076" s="16">
        <f>'extended_recharge_2003-2015'!AE212</f>
        <v>7.9976263000000003</v>
      </c>
      <c r="AF1076" s="16">
        <f>'extended_recharge_2003-2015'!AF212</f>
        <v>81.149733999999995</v>
      </c>
      <c r="AG1076" s="16">
        <f>'extended_recharge_2003-2015'!AG212</f>
        <v>14.175093</v>
      </c>
    </row>
    <row r="1077" spans="1:33" x14ac:dyDescent="0.2">
      <c r="A1077" s="3">
        <v>40694</v>
      </c>
      <c r="B1077" s="14">
        <f>'extended_recharge_2003-2015'!B213</f>
        <v>6.4695343999999997</v>
      </c>
      <c r="C1077" s="14">
        <f>'extended_recharge_2003-2015'!C213</f>
        <v>26.813877000000002</v>
      </c>
      <c r="D1077" s="14">
        <f>'extended_recharge_2003-2015'!D213</f>
        <v>1.5374064000000001</v>
      </c>
      <c r="E1077" s="14">
        <f>'extended_recharge_2003-2015'!E213</f>
        <v>4.5944222999999997</v>
      </c>
      <c r="F1077" s="14">
        <f>'extended_recharge_2003-2015'!F213</f>
        <v>15.128158000000001</v>
      </c>
      <c r="G1077" s="14">
        <f>'extended_recharge_2003-2015'!G213</f>
        <v>20.30095</v>
      </c>
      <c r="H1077" s="14">
        <f>'extended_recharge_2003-2015'!H213</f>
        <v>16.625114</v>
      </c>
      <c r="I1077" s="14">
        <f>'extended_recharge_2003-2015'!I213</f>
        <v>40.484589999999997</v>
      </c>
      <c r="J1077" s="14">
        <f>'extended_recharge_2003-2015'!J213</f>
        <v>2.9759419999999999</v>
      </c>
      <c r="K1077" s="14">
        <f>'extended_recharge_2003-2015'!K213</f>
        <v>7.8793344000000003</v>
      </c>
      <c r="L1077" s="14">
        <f>'extended_recharge_2003-2015'!L213</f>
        <v>-4.6471929999999997</v>
      </c>
      <c r="M1077" s="14">
        <f>'extended_recharge_2003-2015'!M213</f>
        <v>0.5088144</v>
      </c>
      <c r="N1077" s="14">
        <f>'extended_recharge_2003-2015'!N213</f>
        <v>37.048349999999999</v>
      </c>
      <c r="O1077" s="14">
        <f>'extended_recharge_2003-2015'!O213</f>
        <v>20.146090999999998</v>
      </c>
      <c r="P1077" s="14">
        <f>'extended_recharge_2003-2015'!P213</f>
        <v>43.562095999999997</v>
      </c>
      <c r="Q1077" s="14">
        <f>'extended_recharge_2003-2015'!Q213</f>
        <v>2.3406644000000001</v>
      </c>
      <c r="R1077" s="14">
        <f>'extended_recharge_2003-2015'!R213</f>
        <v>9.1008089999999999</v>
      </c>
      <c r="S1077" s="14">
        <f>'extended_recharge_2003-2015'!S213</f>
        <v>17.532253000000001</v>
      </c>
      <c r="T1077" s="14">
        <f>'extended_recharge_2003-2015'!T213</f>
        <v>40.012844000000001</v>
      </c>
      <c r="U1077" s="14">
        <f>'extended_recharge_2003-2015'!U213</f>
        <v>11.174633</v>
      </c>
      <c r="V1077" s="15">
        <f>'extended_recharge_2003-2015'!V213</f>
        <v>27.147614000000001</v>
      </c>
      <c r="W1077" s="16">
        <f>'extended_recharge_2003-2015'!W213</f>
        <v>4.1832951999999999</v>
      </c>
      <c r="X1077" s="16">
        <f>'extended_recharge_2003-2015'!X213</f>
        <v>8.2765664999999995</v>
      </c>
      <c r="Y1077" s="16">
        <f>'extended_recharge_2003-2015'!Y213</f>
        <v>13.510636</v>
      </c>
      <c r="Z1077" s="16">
        <f>'extended_recharge_2003-2015'!Z213</f>
        <v>0.45792714000000001</v>
      </c>
      <c r="AA1077" s="16">
        <f>'extended_recharge_2003-2015'!AA213</f>
        <v>4.6713500000000003</v>
      </c>
      <c r="AB1077" s="16">
        <f>'extended_recharge_2003-2015'!AB213</f>
        <v>1.8374539999999999</v>
      </c>
      <c r="AC1077" s="16">
        <f>'extended_recharge_2003-2015'!AC213</f>
        <v>3.1562252000000002</v>
      </c>
      <c r="AD1077" s="16">
        <f>'extended_recharge_2003-2015'!AD213</f>
        <v>5.2789273000000003</v>
      </c>
      <c r="AE1077" s="16">
        <f>'extended_recharge_2003-2015'!AE213</f>
        <v>1.1738876</v>
      </c>
      <c r="AF1077" s="16">
        <f>'extended_recharge_2003-2015'!AF213</f>
        <v>94.754729999999995</v>
      </c>
      <c r="AG1077" s="16">
        <f>'extended_recharge_2003-2015'!AG213</f>
        <v>17.724546</v>
      </c>
    </row>
    <row r="1078" spans="1:33" x14ac:dyDescent="0.2">
      <c r="A1078" s="3">
        <v>40724</v>
      </c>
      <c r="B1078" s="14">
        <f>'extended_recharge_2003-2015'!B214</f>
        <v>5.8940289999999997</v>
      </c>
      <c r="C1078" s="14">
        <f>'extended_recharge_2003-2015'!C214</f>
        <v>24.517787999999999</v>
      </c>
      <c r="D1078" s="14">
        <f>'extended_recharge_2003-2015'!D214</f>
        <v>-3.5192459</v>
      </c>
      <c r="E1078" s="14">
        <f>'extended_recharge_2003-2015'!E214</f>
        <v>-13.407572999999999</v>
      </c>
      <c r="F1078" s="14">
        <f>'extended_recharge_2003-2015'!F214</f>
        <v>0.68044870000000002</v>
      </c>
      <c r="G1078" s="14">
        <f>'extended_recharge_2003-2015'!G214</f>
        <v>1.284081</v>
      </c>
      <c r="H1078" s="14">
        <f>'extended_recharge_2003-2015'!H214</f>
        <v>14.693936000000001</v>
      </c>
      <c r="I1078" s="14">
        <f>'extended_recharge_2003-2015'!I214</f>
        <v>39.347810000000003</v>
      </c>
      <c r="J1078" s="14">
        <f>'extended_recharge_2003-2015'!J214</f>
        <v>-2.3046380000000002</v>
      </c>
      <c r="K1078" s="14">
        <f>'extended_recharge_2003-2015'!K214</f>
        <v>6.1807723000000001</v>
      </c>
      <c r="L1078" s="14">
        <f>'extended_recharge_2003-2015'!L214</f>
        <v>-5.8708735000000001</v>
      </c>
      <c r="M1078" s="14">
        <f>'extended_recharge_2003-2015'!M214</f>
        <v>-0.10136558</v>
      </c>
      <c r="N1078" s="14">
        <f>'extended_recharge_2003-2015'!N214</f>
        <v>33.589644999999997</v>
      </c>
      <c r="O1078" s="14">
        <f>'extended_recharge_2003-2015'!O214</f>
        <v>20.008275999999999</v>
      </c>
      <c r="P1078" s="14">
        <f>'extended_recharge_2003-2015'!P214</f>
        <v>29.913444999999999</v>
      </c>
      <c r="Q1078" s="14">
        <f>'extended_recharge_2003-2015'!Q214</f>
        <v>1.6556747000000001</v>
      </c>
      <c r="R1078" s="14">
        <f>'extended_recharge_2003-2015'!R214</f>
        <v>7.6661096000000004</v>
      </c>
      <c r="S1078" s="14">
        <f>'extended_recharge_2003-2015'!S214</f>
        <v>14.746813</v>
      </c>
      <c r="T1078" s="14">
        <f>'extended_recharge_2003-2015'!T214</f>
        <v>32.15278</v>
      </c>
      <c r="U1078" s="14">
        <f>'extended_recharge_2003-2015'!U214</f>
        <v>9.7507199999999994</v>
      </c>
      <c r="V1078" s="15">
        <f>'extended_recharge_2003-2015'!V214</f>
        <v>29.031696</v>
      </c>
      <c r="W1078" s="16">
        <f>'extended_recharge_2003-2015'!W214</f>
        <v>17.465679999999999</v>
      </c>
      <c r="X1078" s="16">
        <f>'extended_recharge_2003-2015'!X214</f>
        <v>6.2805514000000002</v>
      </c>
      <c r="Y1078" s="16">
        <f>'extended_recharge_2003-2015'!Y214</f>
        <v>13.694077999999999</v>
      </c>
      <c r="Z1078" s="16">
        <f>'extended_recharge_2003-2015'!Z214</f>
        <v>2.596301</v>
      </c>
      <c r="AA1078" s="16">
        <f>'extended_recharge_2003-2015'!AA214</f>
        <v>6.0308640000000002</v>
      </c>
      <c r="AB1078" s="16">
        <f>'extended_recharge_2003-2015'!AB214</f>
        <v>1.8397862</v>
      </c>
      <c r="AC1078" s="16">
        <f>'extended_recharge_2003-2015'!AC214</f>
        <v>3.5981356999999998</v>
      </c>
      <c r="AD1078" s="16">
        <f>'extended_recharge_2003-2015'!AD214</f>
        <v>7.4040140000000001</v>
      </c>
      <c r="AE1078" s="16">
        <f>'extended_recharge_2003-2015'!AE214</f>
        <v>-0.80797260000000004</v>
      </c>
      <c r="AF1078" s="16">
        <f>'extended_recharge_2003-2015'!AF214</f>
        <v>103.595924</v>
      </c>
      <c r="AG1078" s="16">
        <f>'extended_recharge_2003-2015'!AG214</f>
        <v>22.362839000000001</v>
      </c>
    </row>
    <row r="1079" spans="1:33" x14ac:dyDescent="0.2">
      <c r="A1079" s="3">
        <v>40755</v>
      </c>
      <c r="B1079" s="14">
        <f>'extended_recharge_2003-2015'!B215</f>
        <v>5.6158666999999998</v>
      </c>
      <c r="C1079" s="14">
        <f>'extended_recharge_2003-2015'!C215</f>
        <v>23.180367</v>
      </c>
      <c r="D1079" s="14">
        <f>'extended_recharge_2003-2015'!D215</f>
        <v>-7.3587059999999997</v>
      </c>
      <c r="E1079" s="14">
        <f>'extended_recharge_2003-2015'!E215</f>
        <v>-22.544426000000001</v>
      </c>
      <c r="F1079" s="14">
        <f>'extended_recharge_2003-2015'!F215</f>
        <v>-4.2141856999999998</v>
      </c>
      <c r="G1079" s="14">
        <f>'extended_recharge_2003-2015'!G215</f>
        <v>-1.0055215</v>
      </c>
      <c r="H1079" s="14">
        <f>'extended_recharge_2003-2015'!H215</f>
        <v>15.811417</v>
      </c>
      <c r="I1079" s="14">
        <f>'extended_recharge_2003-2015'!I215</f>
        <v>39.092044999999999</v>
      </c>
      <c r="J1079" s="14">
        <f>'extended_recharge_2003-2015'!J215</f>
        <v>-2.1818572999999999</v>
      </c>
      <c r="K1079" s="14">
        <f>'extended_recharge_2003-2015'!K215</f>
        <v>1.9165386</v>
      </c>
      <c r="L1079" s="14">
        <f>'extended_recharge_2003-2015'!L215</f>
        <v>-2.2730136000000001</v>
      </c>
      <c r="M1079" s="14">
        <f>'extended_recharge_2003-2015'!M215</f>
        <v>-0.51274955</v>
      </c>
      <c r="N1079" s="14">
        <f>'extended_recharge_2003-2015'!N215</f>
        <v>33.790976999999998</v>
      </c>
      <c r="O1079" s="14">
        <f>'extended_recharge_2003-2015'!O215</f>
        <v>21.795506</v>
      </c>
      <c r="P1079" s="14">
        <f>'extended_recharge_2003-2015'!P215</f>
        <v>56.089848000000003</v>
      </c>
      <c r="Q1079" s="14">
        <f>'extended_recharge_2003-2015'!Q215</f>
        <v>2.916731</v>
      </c>
      <c r="R1079" s="14">
        <f>'extended_recharge_2003-2015'!R215</f>
        <v>6.8387609999999999</v>
      </c>
      <c r="S1079" s="14">
        <f>'extended_recharge_2003-2015'!S215</f>
        <v>11.651621</v>
      </c>
      <c r="T1079" s="14">
        <f>'extended_recharge_2003-2015'!T215</f>
        <v>39.18197</v>
      </c>
      <c r="U1079" s="14">
        <f>'extended_recharge_2003-2015'!U215</f>
        <v>10.323503499999999</v>
      </c>
      <c r="V1079" s="15">
        <f>'extended_recharge_2003-2015'!V215</f>
        <v>35.117317</v>
      </c>
      <c r="W1079" s="16">
        <f>'extended_recharge_2003-2015'!W215</f>
        <v>29.598949999999999</v>
      </c>
      <c r="X1079" s="16">
        <f>'extended_recharge_2003-2015'!X215</f>
        <v>4.3045825999999998</v>
      </c>
      <c r="Y1079" s="16">
        <f>'extended_recharge_2003-2015'!Y215</f>
        <v>12.852738</v>
      </c>
      <c r="Z1079" s="16">
        <f>'extended_recharge_2003-2015'!Z215</f>
        <v>1.9600203</v>
      </c>
      <c r="AA1079" s="16">
        <f>'extended_recharge_2003-2015'!AA215</f>
        <v>3.9084631999999999</v>
      </c>
      <c r="AB1079" s="16">
        <f>'extended_recharge_2003-2015'!AB215</f>
        <v>2.5709116000000001</v>
      </c>
      <c r="AC1079" s="16">
        <f>'extended_recharge_2003-2015'!AC215</f>
        <v>3.6557567</v>
      </c>
      <c r="AD1079" s="16">
        <f>'extended_recharge_2003-2015'!AD215</f>
        <v>10.34056</v>
      </c>
      <c r="AE1079" s="16">
        <f>'extended_recharge_2003-2015'!AE215</f>
        <v>9.1993259999999993E-2</v>
      </c>
      <c r="AF1079" s="16">
        <f>'extended_recharge_2003-2015'!AF215</f>
        <v>112.41873</v>
      </c>
      <c r="AG1079" s="16">
        <f>'extended_recharge_2003-2015'!AG215</f>
        <v>24.855722</v>
      </c>
    </row>
    <row r="1080" spans="1:33" x14ac:dyDescent="0.2">
      <c r="A1080" s="3">
        <v>40786</v>
      </c>
      <c r="B1080" s="14">
        <f>'extended_recharge_2003-2015'!B216</f>
        <v>6.8737719999999998</v>
      </c>
      <c r="C1080" s="14">
        <f>'extended_recharge_2003-2015'!C216</f>
        <v>27.987708999999999</v>
      </c>
      <c r="D1080" s="14">
        <f>'extended_recharge_2003-2015'!D216</f>
        <v>7.3481740000000002</v>
      </c>
      <c r="E1080" s="14">
        <f>'extended_recharge_2003-2015'!E216</f>
        <v>21.943156999999999</v>
      </c>
      <c r="F1080" s="14">
        <f>'extended_recharge_2003-2015'!F216</f>
        <v>33.220013000000002</v>
      </c>
      <c r="G1080" s="14">
        <f>'extended_recharge_2003-2015'!G216</f>
        <v>40.095042999999997</v>
      </c>
      <c r="H1080" s="14">
        <f>'extended_recharge_2003-2015'!H216</f>
        <v>20.272644</v>
      </c>
      <c r="I1080" s="14">
        <f>'extended_recharge_2003-2015'!I216</f>
        <v>41.674059999999997</v>
      </c>
      <c r="J1080" s="14">
        <f>'extended_recharge_2003-2015'!J216</f>
        <v>11.261206</v>
      </c>
      <c r="K1080" s="14">
        <f>'extended_recharge_2003-2015'!K216</f>
        <v>13.948045</v>
      </c>
      <c r="L1080" s="14">
        <f>'extended_recharge_2003-2015'!L216</f>
        <v>10.787732999999999</v>
      </c>
      <c r="M1080" s="14">
        <f>'extended_recharge_2003-2015'!M216</f>
        <v>12.131631</v>
      </c>
      <c r="N1080" s="14">
        <f>'extended_recharge_2003-2015'!N216</f>
        <v>42.163634999999999</v>
      </c>
      <c r="O1080" s="14">
        <f>'extended_recharge_2003-2015'!O216</f>
        <v>22.784541999999998</v>
      </c>
      <c r="P1080" s="14">
        <f>'extended_recharge_2003-2015'!P216</f>
        <v>59.544967999999997</v>
      </c>
      <c r="Q1080" s="14">
        <f>'extended_recharge_2003-2015'!Q216</f>
        <v>0.77600884000000003</v>
      </c>
      <c r="R1080" s="14">
        <f>'extended_recharge_2003-2015'!R216</f>
        <v>8.546125</v>
      </c>
      <c r="S1080" s="14">
        <f>'extended_recharge_2003-2015'!S216</f>
        <v>16.683325</v>
      </c>
      <c r="T1080" s="14">
        <f>'extended_recharge_2003-2015'!T216</f>
        <v>28.617927999999999</v>
      </c>
      <c r="U1080" s="14">
        <f>'extended_recharge_2003-2015'!U216</f>
        <v>12.19524</v>
      </c>
      <c r="V1080" s="15">
        <f>'extended_recharge_2003-2015'!V216</f>
        <v>32.849710000000002</v>
      </c>
      <c r="W1080" s="16">
        <f>'extended_recharge_2003-2015'!W216</f>
        <v>30.034292000000001</v>
      </c>
      <c r="X1080" s="16">
        <f>'extended_recharge_2003-2015'!X216</f>
        <v>4.1718279999999996</v>
      </c>
      <c r="Y1080" s="16">
        <f>'extended_recharge_2003-2015'!Y216</f>
        <v>11.932886</v>
      </c>
      <c r="Z1080" s="16">
        <f>'extended_recharge_2003-2015'!Z216</f>
        <v>3.3166983000000001</v>
      </c>
      <c r="AA1080" s="16">
        <f>'extended_recharge_2003-2015'!AA216</f>
        <v>3.5020794999999998</v>
      </c>
      <c r="AB1080" s="16">
        <f>'extended_recharge_2003-2015'!AB216</f>
        <v>1.7578039999999999</v>
      </c>
      <c r="AC1080" s="16">
        <f>'extended_recharge_2003-2015'!AC216</f>
        <v>2.878701</v>
      </c>
      <c r="AD1080" s="16">
        <f>'extended_recharge_2003-2015'!AD216</f>
        <v>9.2537350000000007</v>
      </c>
      <c r="AE1080" s="16">
        <f>'extended_recharge_2003-2015'!AE216</f>
        <v>0.74543554000000001</v>
      </c>
      <c r="AF1080" s="16">
        <f>'extended_recharge_2003-2015'!AF216</f>
        <v>111.86229</v>
      </c>
      <c r="AG1080" s="16">
        <f>'extended_recharge_2003-2015'!AG216</f>
        <v>24.029879000000001</v>
      </c>
    </row>
    <row r="1081" spans="1:33" x14ac:dyDescent="0.2">
      <c r="A1081" s="3">
        <v>40816</v>
      </c>
      <c r="B1081" s="14">
        <f>'extended_recharge_2003-2015'!B217</f>
        <v>5.8320923000000002</v>
      </c>
      <c r="C1081" s="14">
        <f>'extended_recharge_2003-2015'!C217</f>
        <v>27.165368999999998</v>
      </c>
      <c r="D1081" s="14">
        <f>'extended_recharge_2003-2015'!D217</f>
        <v>4.4704294000000004</v>
      </c>
      <c r="E1081" s="14">
        <f>'extended_recharge_2003-2015'!E217</f>
        <v>13.541821000000001</v>
      </c>
      <c r="F1081" s="14">
        <f>'extended_recharge_2003-2015'!F217</f>
        <v>15.005723</v>
      </c>
      <c r="G1081" s="14">
        <f>'extended_recharge_2003-2015'!G217</f>
        <v>35.457039999999999</v>
      </c>
      <c r="H1081" s="14">
        <f>'extended_recharge_2003-2015'!H217</f>
        <v>19.646968999999999</v>
      </c>
      <c r="I1081" s="14">
        <f>'extended_recharge_2003-2015'!I217</f>
        <v>43.176949999999998</v>
      </c>
      <c r="J1081" s="14">
        <f>'extended_recharge_2003-2015'!J217</f>
        <v>15.840921</v>
      </c>
      <c r="K1081" s="14">
        <f>'extended_recharge_2003-2015'!K217</f>
        <v>11.241505999999999</v>
      </c>
      <c r="L1081" s="14">
        <f>'extended_recharge_2003-2015'!L217</f>
        <v>12.344941</v>
      </c>
      <c r="M1081" s="14">
        <f>'extended_recharge_2003-2015'!M217</f>
        <v>12.2995</v>
      </c>
      <c r="N1081" s="14">
        <f>'extended_recharge_2003-2015'!N217</f>
        <v>39.514626</v>
      </c>
      <c r="O1081" s="14">
        <f>'extended_recharge_2003-2015'!O217</f>
        <v>25.732237000000001</v>
      </c>
      <c r="P1081" s="14">
        <f>'extended_recharge_2003-2015'!P217</f>
        <v>60.762450000000001</v>
      </c>
      <c r="Q1081" s="14">
        <f>'extended_recharge_2003-2015'!Q217</f>
        <v>1.3485398</v>
      </c>
      <c r="R1081" s="14">
        <f>'extended_recharge_2003-2015'!R217</f>
        <v>6.3083982000000001</v>
      </c>
      <c r="S1081" s="14">
        <f>'extended_recharge_2003-2015'!S217</f>
        <v>19.617495000000002</v>
      </c>
      <c r="T1081" s="14">
        <f>'extended_recharge_2003-2015'!T217</f>
        <v>29.854133999999998</v>
      </c>
      <c r="U1081" s="14">
        <f>'extended_recharge_2003-2015'!U217</f>
        <v>12.945276</v>
      </c>
      <c r="V1081" s="15">
        <f>'extended_recharge_2003-2015'!V217</f>
        <v>25.867930999999999</v>
      </c>
      <c r="W1081" s="16">
        <f>'extended_recharge_2003-2015'!W217</f>
        <v>26.928280000000001</v>
      </c>
      <c r="X1081" s="16">
        <f>'extended_recharge_2003-2015'!X217</f>
        <v>2.9532837999999999</v>
      </c>
      <c r="Y1081" s="16">
        <f>'extended_recharge_2003-2015'!Y217</f>
        <v>10.398512</v>
      </c>
      <c r="Z1081" s="16">
        <f>'extended_recharge_2003-2015'!Z217</f>
        <v>3.0063396</v>
      </c>
      <c r="AA1081" s="16">
        <f>'extended_recharge_2003-2015'!AA217</f>
        <v>2.8655913000000002</v>
      </c>
      <c r="AB1081" s="16">
        <f>'extended_recharge_2003-2015'!AB217</f>
        <v>1.4125018</v>
      </c>
      <c r="AC1081" s="16">
        <f>'extended_recharge_2003-2015'!AC217</f>
        <v>3.4085776999999999</v>
      </c>
      <c r="AD1081" s="16">
        <f>'extended_recharge_2003-2015'!AD217</f>
        <v>6.9191739999999999</v>
      </c>
      <c r="AE1081" s="16">
        <f>'extended_recharge_2003-2015'!AE217</f>
        <v>3.142417</v>
      </c>
      <c r="AF1081" s="16">
        <f>'extended_recharge_2003-2015'!AF217</f>
        <v>107.17433</v>
      </c>
      <c r="AG1081" s="16">
        <f>'extended_recharge_2003-2015'!AG217</f>
        <v>20.378862000000002</v>
      </c>
    </row>
    <row r="1082" spans="1:33" x14ac:dyDescent="0.2">
      <c r="A1082" s="3">
        <v>40847</v>
      </c>
      <c r="B1082" s="14">
        <f>'extended_recharge_2003-2015'!B218</f>
        <v>4.5652265999999999</v>
      </c>
      <c r="C1082" s="14">
        <f>'extended_recharge_2003-2015'!C218</f>
        <v>28.456318</v>
      </c>
      <c r="D1082" s="14">
        <f>'extended_recharge_2003-2015'!D218</f>
        <v>3.3436043</v>
      </c>
      <c r="E1082" s="14">
        <f>'extended_recharge_2003-2015'!E218</f>
        <v>7.5570716999999998</v>
      </c>
      <c r="F1082" s="14">
        <f>'extended_recharge_2003-2015'!F218</f>
        <v>14.117899</v>
      </c>
      <c r="G1082" s="14">
        <f>'extended_recharge_2003-2015'!G218</f>
        <v>32.723072000000002</v>
      </c>
      <c r="H1082" s="14">
        <f>'extended_recharge_2003-2015'!H218</f>
        <v>17.889565000000001</v>
      </c>
      <c r="I1082" s="14">
        <f>'extended_recharge_2003-2015'!I218</f>
        <v>43.915256999999997</v>
      </c>
      <c r="J1082" s="14">
        <f>'extended_recharge_2003-2015'!J218</f>
        <v>27.934958000000002</v>
      </c>
      <c r="K1082" s="14">
        <f>'extended_recharge_2003-2015'!K218</f>
        <v>17.749351999999998</v>
      </c>
      <c r="L1082" s="14">
        <f>'extended_recharge_2003-2015'!L218</f>
        <v>9.4436140000000002</v>
      </c>
      <c r="M1082" s="14">
        <f>'extended_recharge_2003-2015'!M218</f>
        <v>11.528333999999999</v>
      </c>
      <c r="N1082" s="14">
        <f>'extended_recharge_2003-2015'!N218</f>
        <v>41.06767</v>
      </c>
      <c r="O1082" s="14">
        <f>'extended_recharge_2003-2015'!O218</f>
        <v>24.781841</v>
      </c>
      <c r="P1082" s="14">
        <f>'extended_recharge_2003-2015'!P218</f>
        <v>63.38588</v>
      </c>
      <c r="Q1082" s="14">
        <f>'extended_recharge_2003-2015'!Q218</f>
        <v>3.2125444000000001</v>
      </c>
      <c r="R1082" s="14">
        <f>'extended_recharge_2003-2015'!R218</f>
        <v>6.7578734999999996</v>
      </c>
      <c r="S1082" s="14">
        <f>'extended_recharge_2003-2015'!S218</f>
        <v>25.881945000000002</v>
      </c>
      <c r="T1082" s="14">
        <f>'extended_recharge_2003-2015'!T218</f>
        <v>46.00432</v>
      </c>
      <c r="U1082" s="14">
        <f>'extended_recharge_2003-2015'!U218</f>
        <v>10.402331</v>
      </c>
      <c r="V1082" s="15">
        <f>'extended_recharge_2003-2015'!V218</f>
        <v>23.978525000000001</v>
      </c>
      <c r="W1082" s="16">
        <f>'extended_recharge_2003-2015'!W218</f>
        <v>22.589254</v>
      </c>
      <c r="X1082" s="16">
        <f>'extended_recharge_2003-2015'!X218</f>
        <v>3.6136496</v>
      </c>
      <c r="Y1082" s="16">
        <f>'extended_recharge_2003-2015'!Y218</f>
        <v>9.4624279999999992</v>
      </c>
      <c r="Z1082" s="16">
        <f>'extended_recharge_2003-2015'!Z218</f>
        <v>7.0501943000000002</v>
      </c>
      <c r="AA1082" s="16">
        <f>'extended_recharge_2003-2015'!AA218</f>
        <v>6.0976743999999998</v>
      </c>
      <c r="AB1082" s="16">
        <f>'extended_recharge_2003-2015'!AB218</f>
        <v>1.6014968999999999</v>
      </c>
      <c r="AC1082" s="16">
        <f>'extended_recharge_2003-2015'!AC218</f>
        <v>4.1346854999999998</v>
      </c>
      <c r="AD1082" s="16">
        <f>'extended_recharge_2003-2015'!AD218</f>
        <v>4.780735</v>
      </c>
      <c r="AE1082" s="16">
        <f>'extended_recharge_2003-2015'!AE218</f>
        <v>7.8395104</v>
      </c>
      <c r="AF1082" s="16">
        <f>'extended_recharge_2003-2015'!AF218</f>
        <v>88.90746</v>
      </c>
      <c r="AG1082" s="16">
        <f>'extended_recharge_2003-2015'!AG218</f>
        <v>16.495743000000001</v>
      </c>
    </row>
    <row r="1083" spans="1:33" x14ac:dyDescent="0.2">
      <c r="A1083" s="3">
        <v>40877</v>
      </c>
      <c r="B1083" s="14">
        <f>'extended_recharge_2003-2015'!B219</f>
        <v>2.5068095000000001</v>
      </c>
      <c r="C1083" s="14">
        <f>'extended_recharge_2003-2015'!C219</f>
        <v>27.446085</v>
      </c>
      <c r="D1083" s="14">
        <f>'extended_recharge_2003-2015'!D219</f>
        <v>4.5426273000000004</v>
      </c>
      <c r="E1083" s="14">
        <f>'extended_recharge_2003-2015'!E219</f>
        <v>7.8181979999999998</v>
      </c>
      <c r="F1083" s="14">
        <f>'extended_recharge_2003-2015'!F219</f>
        <v>11.786607</v>
      </c>
      <c r="G1083" s="14">
        <f>'extended_recharge_2003-2015'!G219</f>
        <v>26.637733000000001</v>
      </c>
      <c r="H1083" s="14">
        <f>'extended_recharge_2003-2015'!H219</f>
        <v>15.226414</v>
      </c>
      <c r="I1083" s="14">
        <f>'extended_recharge_2003-2015'!I219</f>
        <v>38.875810000000001</v>
      </c>
      <c r="J1083" s="14">
        <f>'extended_recharge_2003-2015'!J219</f>
        <v>21.702188</v>
      </c>
      <c r="K1083" s="14">
        <f>'extended_recharge_2003-2015'!K219</f>
        <v>11.072872</v>
      </c>
      <c r="L1083" s="14">
        <f>'extended_recharge_2003-2015'!L219</f>
        <v>3.8929026000000002</v>
      </c>
      <c r="M1083" s="14">
        <f>'extended_recharge_2003-2015'!M219</f>
        <v>4.9509582999999999</v>
      </c>
      <c r="N1083" s="14">
        <f>'extended_recharge_2003-2015'!N219</f>
        <v>38.827987999999998</v>
      </c>
      <c r="O1083" s="14">
        <f>'extended_recharge_2003-2015'!O219</f>
        <v>21.531549999999999</v>
      </c>
      <c r="P1083" s="14">
        <f>'extended_recharge_2003-2015'!P219</f>
        <v>47.304423999999997</v>
      </c>
      <c r="Q1083" s="14">
        <f>'extended_recharge_2003-2015'!Q219</f>
        <v>1.0620297000000001</v>
      </c>
      <c r="R1083" s="14">
        <f>'extended_recharge_2003-2015'!R219</f>
        <v>7.3678464999999997</v>
      </c>
      <c r="S1083" s="14">
        <f>'extended_recharge_2003-2015'!S219</f>
        <v>21.971423999999999</v>
      </c>
      <c r="T1083" s="14">
        <f>'extended_recharge_2003-2015'!T219</f>
        <v>30.163076</v>
      </c>
      <c r="U1083" s="14">
        <f>'extended_recharge_2003-2015'!U219</f>
        <v>10.615155</v>
      </c>
      <c r="V1083" s="15">
        <f>'extended_recharge_2003-2015'!V219</f>
        <v>16.966055000000001</v>
      </c>
      <c r="W1083" s="16">
        <f>'extended_recharge_2003-2015'!W219</f>
        <v>16.255371</v>
      </c>
      <c r="X1083" s="16">
        <f>'extended_recharge_2003-2015'!X219</f>
        <v>5.4022100000000002</v>
      </c>
      <c r="Y1083" s="16">
        <f>'extended_recharge_2003-2015'!Y219</f>
        <v>10.263977000000001</v>
      </c>
      <c r="Z1083" s="16">
        <f>'extended_recharge_2003-2015'!Z219</f>
        <v>5.9187355000000004</v>
      </c>
      <c r="AA1083" s="16">
        <f>'extended_recharge_2003-2015'!AA219</f>
        <v>5.1684494000000001</v>
      </c>
      <c r="AB1083" s="16">
        <f>'extended_recharge_2003-2015'!AB219</f>
        <v>1.8031615999999999</v>
      </c>
      <c r="AC1083" s="16">
        <f>'extended_recharge_2003-2015'!AC219</f>
        <v>4.3238525000000001</v>
      </c>
      <c r="AD1083" s="16">
        <f>'extended_recharge_2003-2015'!AD219</f>
        <v>3.2783540000000002</v>
      </c>
      <c r="AE1083" s="16">
        <f>'extended_recharge_2003-2015'!AE219</f>
        <v>15.570677</v>
      </c>
      <c r="AF1083" s="16">
        <f>'extended_recharge_2003-2015'!AF219</f>
        <v>66.060980000000001</v>
      </c>
      <c r="AG1083" s="16">
        <f>'extended_recharge_2003-2015'!AG219</f>
        <v>13.424875</v>
      </c>
    </row>
    <row r="1084" spans="1:33" x14ac:dyDescent="0.2">
      <c r="A1084" s="3">
        <v>40908</v>
      </c>
      <c r="B1084" s="14">
        <f>'extended_recharge_2003-2015'!B220</f>
        <v>1.2000811</v>
      </c>
      <c r="C1084" s="14">
        <f>'extended_recharge_2003-2015'!C220</f>
        <v>25.92323</v>
      </c>
      <c r="D1084" s="14">
        <f>'extended_recharge_2003-2015'!D220</f>
        <v>2.425046</v>
      </c>
      <c r="E1084" s="14">
        <f>'extended_recharge_2003-2015'!E220</f>
        <v>-1.2309053000000001</v>
      </c>
      <c r="F1084" s="14">
        <f>'extended_recharge_2003-2015'!F220</f>
        <v>3.3186018000000002</v>
      </c>
      <c r="G1084" s="14">
        <f>'extended_recharge_2003-2015'!G220</f>
        <v>22.494865000000001</v>
      </c>
      <c r="H1084" s="14">
        <f>'extended_recharge_2003-2015'!H220</f>
        <v>14.46293</v>
      </c>
      <c r="I1084" s="14">
        <f>'extended_recharge_2003-2015'!I220</f>
        <v>39.047905</v>
      </c>
      <c r="J1084" s="14">
        <f>'extended_recharge_2003-2015'!J220</f>
        <v>20.823937999999998</v>
      </c>
      <c r="K1084" s="14">
        <f>'extended_recharge_2003-2015'!K220</f>
        <v>3.2207564999999998</v>
      </c>
      <c r="L1084" s="14">
        <f>'extended_recharge_2003-2015'!L220</f>
        <v>0.94798450000000001</v>
      </c>
      <c r="M1084" s="14">
        <f>'extended_recharge_2003-2015'!M220</f>
        <v>2.5750147999999999</v>
      </c>
      <c r="N1084" s="14">
        <f>'extended_recharge_2003-2015'!N220</f>
        <v>32.170597000000001</v>
      </c>
      <c r="O1084" s="14">
        <f>'extended_recharge_2003-2015'!O220</f>
        <v>22.697783000000001</v>
      </c>
      <c r="P1084" s="14">
        <f>'extended_recharge_2003-2015'!P220</f>
        <v>61.993572</v>
      </c>
      <c r="Q1084" s="14">
        <f>'extended_recharge_2003-2015'!Q220</f>
        <v>0.98853533999999998</v>
      </c>
      <c r="R1084" s="14">
        <f>'extended_recharge_2003-2015'!R220</f>
        <v>7.3977339999999998</v>
      </c>
      <c r="S1084" s="14">
        <f>'extended_recharge_2003-2015'!S220</f>
        <v>19.216470000000001</v>
      </c>
      <c r="T1084" s="14">
        <f>'extended_recharge_2003-2015'!T220</f>
        <v>35.532654000000001</v>
      </c>
      <c r="U1084" s="14">
        <f>'extended_recharge_2003-2015'!U220</f>
        <v>12.011927</v>
      </c>
      <c r="V1084" s="15">
        <f>'extended_recharge_2003-2015'!V220</f>
        <v>18.135041999999999</v>
      </c>
      <c r="W1084" s="16">
        <f>'extended_recharge_2003-2015'!W220</f>
        <v>11.964005</v>
      </c>
      <c r="X1084" s="16">
        <f>'extended_recharge_2003-2015'!X220</f>
        <v>6.0140133000000002</v>
      </c>
      <c r="Y1084" s="16">
        <f>'extended_recharge_2003-2015'!Y220</f>
        <v>11.007051000000001</v>
      </c>
      <c r="Z1084" s="16">
        <f>'extended_recharge_2003-2015'!Z220</f>
        <v>4.6846037000000003</v>
      </c>
      <c r="AA1084" s="16">
        <f>'extended_recharge_2003-2015'!AA220</f>
        <v>5.6694839999999997</v>
      </c>
      <c r="AB1084" s="16">
        <f>'extended_recharge_2003-2015'!AB220</f>
        <v>2.0851665000000001</v>
      </c>
      <c r="AC1084" s="16">
        <f>'extended_recharge_2003-2015'!AC220</f>
        <v>4.5020765999999997</v>
      </c>
      <c r="AD1084" s="16">
        <f>'extended_recharge_2003-2015'!AD220</f>
        <v>2.1926796</v>
      </c>
      <c r="AE1084" s="16">
        <f>'extended_recharge_2003-2015'!AE220</f>
        <v>25.714174</v>
      </c>
      <c r="AF1084" s="16">
        <f>'extended_recharge_2003-2015'!AF220</f>
        <v>63.978935</v>
      </c>
      <c r="AG1084" s="16">
        <f>'extended_recharge_2003-2015'!AG220</f>
        <v>11.098611999999999</v>
      </c>
    </row>
    <row r="1085" spans="1:33" x14ac:dyDescent="0.2">
      <c r="A1085" s="3">
        <v>40939</v>
      </c>
      <c r="B1085" s="14">
        <f>'extended_recharge_2003-2015'!B221</f>
        <v>2.0309590000000002</v>
      </c>
      <c r="C1085" s="14">
        <f>'extended_recharge_2003-2015'!C221</f>
        <v>24.455206</v>
      </c>
      <c r="D1085" s="14">
        <f>'extended_recharge_2003-2015'!D221</f>
        <v>-4.1074615000000003</v>
      </c>
      <c r="E1085" s="14">
        <f>'extended_recharge_2003-2015'!E221</f>
        <v>-13.692197999999999</v>
      </c>
      <c r="F1085" s="14">
        <f>'extended_recharge_2003-2015'!F221</f>
        <v>2.3156783999999999</v>
      </c>
      <c r="G1085" s="14">
        <f>'extended_recharge_2003-2015'!G221</f>
        <v>3.3121526000000001</v>
      </c>
      <c r="H1085" s="14">
        <f>'extended_recharge_2003-2015'!H221</f>
        <v>15.454516</v>
      </c>
      <c r="I1085" s="14">
        <f>'extended_recharge_2003-2015'!I221</f>
        <v>38.822369999999999</v>
      </c>
      <c r="J1085" s="14">
        <f>'extended_recharge_2003-2015'!J221</f>
        <v>15.25271</v>
      </c>
      <c r="K1085" s="14">
        <f>'extended_recharge_2003-2015'!K221</f>
        <v>5.9986987000000003</v>
      </c>
      <c r="L1085" s="14">
        <f>'extended_recharge_2003-2015'!L221</f>
        <v>4.1236043000000002</v>
      </c>
      <c r="M1085" s="14">
        <f>'extended_recharge_2003-2015'!M221</f>
        <v>3.0186809999999999</v>
      </c>
      <c r="N1085" s="14">
        <f>'extended_recharge_2003-2015'!N221</f>
        <v>33.039070000000002</v>
      </c>
      <c r="O1085" s="14">
        <f>'extended_recharge_2003-2015'!O221</f>
        <v>22.310735999999999</v>
      </c>
      <c r="P1085" s="14">
        <f>'extended_recharge_2003-2015'!P221</f>
        <v>66.930319999999995</v>
      </c>
      <c r="Q1085" s="14">
        <f>'extended_recharge_2003-2015'!Q221</f>
        <v>0.67202669999999998</v>
      </c>
      <c r="R1085" s="14">
        <f>'extended_recharge_2003-2015'!R221</f>
        <v>6.3001940000000003</v>
      </c>
      <c r="S1085" s="14">
        <f>'extended_recharge_2003-2015'!S221</f>
        <v>20.379256999999999</v>
      </c>
      <c r="T1085" s="14">
        <f>'extended_recharge_2003-2015'!T221</f>
        <v>32.836674000000002</v>
      </c>
      <c r="U1085" s="14">
        <f>'extended_recharge_2003-2015'!U221</f>
        <v>10.483516</v>
      </c>
      <c r="V1085" s="15">
        <f>'extended_recharge_2003-2015'!V221</f>
        <v>17.218229999999998</v>
      </c>
      <c r="W1085" s="16">
        <f>'extended_recharge_2003-2015'!W221</f>
        <v>4.8442135000000004</v>
      </c>
      <c r="X1085" s="16">
        <f>'extended_recharge_2003-2015'!X221</f>
        <v>7.4101086</v>
      </c>
      <c r="Y1085" s="16">
        <f>'extended_recharge_2003-2015'!Y221</f>
        <v>11.149032999999999</v>
      </c>
      <c r="Z1085" s="16">
        <f>'extended_recharge_2003-2015'!Z221</f>
        <v>3.5553319999999999</v>
      </c>
      <c r="AA1085" s="16">
        <f>'extended_recharge_2003-2015'!AA221</f>
        <v>4.8693284999999999</v>
      </c>
      <c r="AB1085" s="16">
        <f>'extended_recharge_2003-2015'!AB221</f>
        <v>1.4610955999999999</v>
      </c>
      <c r="AC1085" s="16">
        <f>'extended_recharge_2003-2015'!AC221</f>
        <v>3.5705391999999998</v>
      </c>
      <c r="AD1085" s="16">
        <f>'extended_recharge_2003-2015'!AD221</f>
        <v>1.7856110000000001</v>
      </c>
      <c r="AE1085" s="16">
        <f>'extended_recharge_2003-2015'!AE221</f>
        <v>27.495245000000001</v>
      </c>
      <c r="AF1085" s="16">
        <f>'extended_recharge_2003-2015'!AF221</f>
        <v>64.623930000000001</v>
      </c>
      <c r="AG1085" s="16">
        <f>'extended_recharge_2003-2015'!AG221</f>
        <v>9.8419190000000008</v>
      </c>
    </row>
    <row r="1086" spans="1:33" x14ac:dyDescent="0.2">
      <c r="A1086" s="3">
        <v>40968</v>
      </c>
      <c r="B1086" s="14">
        <f>'extended_recharge_2003-2015'!B222</f>
        <v>1.8923877</v>
      </c>
      <c r="C1086" s="14">
        <f>'extended_recharge_2003-2015'!C222</f>
        <v>24.787320999999999</v>
      </c>
      <c r="D1086" s="14">
        <f>'extended_recharge_2003-2015'!D222</f>
        <v>-1.6687578999999999</v>
      </c>
      <c r="E1086" s="14">
        <f>'extended_recharge_2003-2015'!E222</f>
        <v>-4.1967160000000003</v>
      </c>
      <c r="F1086" s="14">
        <f>'extended_recharge_2003-2015'!F222</f>
        <v>1.0260819000000001</v>
      </c>
      <c r="G1086" s="14">
        <f>'extended_recharge_2003-2015'!G222</f>
        <v>13.992559999999999</v>
      </c>
      <c r="H1086" s="14">
        <f>'extended_recharge_2003-2015'!H222</f>
        <v>16.049500999999999</v>
      </c>
      <c r="I1086" s="14">
        <f>'extended_recharge_2003-2015'!I222</f>
        <v>38.460921999999997</v>
      </c>
      <c r="J1086" s="14">
        <f>'extended_recharge_2003-2015'!J222</f>
        <v>11.513684</v>
      </c>
      <c r="K1086" s="14">
        <f>'extended_recharge_2003-2015'!K222</f>
        <v>4.2543993000000002</v>
      </c>
      <c r="L1086" s="14">
        <f>'extended_recharge_2003-2015'!L222</f>
        <v>2.8056516999999999</v>
      </c>
      <c r="M1086" s="14">
        <f>'extended_recharge_2003-2015'!M222</f>
        <v>4.9744615999999997</v>
      </c>
      <c r="N1086" s="14">
        <f>'extended_recharge_2003-2015'!N222</f>
        <v>30.124153</v>
      </c>
      <c r="O1086" s="14">
        <f>'extended_recharge_2003-2015'!O222</f>
        <v>24.355568000000002</v>
      </c>
      <c r="P1086" s="14">
        <f>'extended_recharge_2003-2015'!P222</f>
        <v>57.651927999999998</v>
      </c>
      <c r="Q1086" s="14">
        <f>'extended_recharge_2003-2015'!Q222</f>
        <v>1.5362273</v>
      </c>
      <c r="R1086" s="14">
        <f>'extended_recharge_2003-2015'!R222</f>
        <v>5.3677425000000003</v>
      </c>
      <c r="S1086" s="14">
        <f>'extended_recharge_2003-2015'!S222</f>
        <v>17.763918</v>
      </c>
      <c r="T1086" s="14">
        <f>'extended_recharge_2003-2015'!T222</f>
        <v>36.224792000000001</v>
      </c>
      <c r="U1086" s="14">
        <f>'extended_recharge_2003-2015'!U222</f>
        <v>10.497991000000001</v>
      </c>
      <c r="V1086" s="15">
        <f>'extended_recharge_2003-2015'!V222</f>
        <v>18.073713000000001</v>
      </c>
      <c r="W1086" s="16">
        <f>'extended_recharge_2003-2015'!W222</f>
        <v>1.7257875</v>
      </c>
      <c r="X1086" s="16">
        <f>'extended_recharge_2003-2015'!X222</f>
        <v>7.4072259999999996</v>
      </c>
      <c r="Y1086" s="16">
        <f>'extended_recharge_2003-2015'!Y222</f>
        <v>12.219661</v>
      </c>
      <c r="Z1086" s="16">
        <f>'extended_recharge_2003-2015'!Z222</f>
        <v>1.5720761999999999</v>
      </c>
      <c r="AA1086" s="16">
        <f>'extended_recharge_2003-2015'!AA222</f>
        <v>2.8513670000000002</v>
      </c>
      <c r="AB1086" s="16">
        <f>'extended_recharge_2003-2015'!AB222</f>
        <v>1.9970087000000001</v>
      </c>
      <c r="AC1086" s="16">
        <f>'extended_recharge_2003-2015'!AC222</f>
        <v>2.8521519999999998</v>
      </c>
      <c r="AD1086" s="16">
        <f>'extended_recharge_2003-2015'!AD222</f>
        <v>1.7687581999999999</v>
      </c>
      <c r="AE1086" s="16">
        <f>'extended_recharge_2003-2015'!AE222</f>
        <v>21.659578</v>
      </c>
      <c r="AF1086" s="16">
        <f>'extended_recharge_2003-2015'!AF222</f>
        <v>64.939670000000007</v>
      </c>
      <c r="AG1086" s="16">
        <f>'extended_recharge_2003-2015'!AG222</f>
        <v>9.6804284999999997</v>
      </c>
    </row>
    <row r="1087" spans="1:33" x14ac:dyDescent="0.2">
      <c r="A1087" s="3">
        <v>40999</v>
      </c>
      <c r="B1087" s="14">
        <f>'extended_recharge_2003-2015'!B223</f>
        <v>2.1287739999999999</v>
      </c>
      <c r="C1087" s="14">
        <f>'extended_recharge_2003-2015'!C223</f>
        <v>23.317719</v>
      </c>
      <c r="D1087" s="14">
        <f>'extended_recharge_2003-2015'!D223</f>
        <v>-3.1450144999999998</v>
      </c>
      <c r="E1087" s="14">
        <f>'extended_recharge_2003-2015'!E223</f>
        <v>-9.6326669999999996</v>
      </c>
      <c r="F1087" s="14">
        <f>'extended_recharge_2003-2015'!F223</f>
        <v>-0.47779199999999999</v>
      </c>
      <c r="G1087" s="14">
        <f>'extended_recharge_2003-2015'!G223</f>
        <v>11.006347</v>
      </c>
      <c r="H1087" s="14">
        <f>'extended_recharge_2003-2015'!H223</f>
        <v>14.922764000000001</v>
      </c>
      <c r="I1087" s="14">
        <f>'extended_recharge_2003-2015'!I223</f>
        <v>39.494979999999998</v>
      </c>
      <c r="J1087" s="14">
        <f>'extended_recharge_2003-2015'!J223</f>
        <v>10.450177</v>
      </c>
      <c r="K1087" s="14">
        <f>'extended_recharge_2003-2015'!K223</f>
        <v>9.5621770000000001</v>
      </c>
      <c r="L1087" s="14">
        <f>'extended_recharge_2003-2015'!L223</f>
        <v>3.1128239999999998</v>
      </c>
      <c r="M1087" s="14">
        <f>'extended_recharge_2003-2015'!M223</f>
        <v>6.0818304999999997</v>
      </c>
      <c r="N1087" s="14">
        <f>'extended_recharge_2003-2015'!N223</f>
        <v>35.004738000000003</v>
      </c>
      <c r="O1087" s="14">
        <f>'extended_recharge_2003-2015'!O223</f>
        <v>23.043768</v>
      </c>
      <c r="P1087" s="14">
        <f>'extended_recharge_2003-2015'!P223</f>
        <v>48.87388</v>
      </c>
      <c r="Q1087" s="14">
        <f>'extended_recharge_2003-2015'!Q223</f>
        <v>1.7272358999999999</v>
      </c>
      <c r="R1087" s="14">
        <f>'extended_recharge_2003-2015'!R223</f>
        <v>4.9275409999999997</v>
      </c>
      <c r="S1087" s="14">
        <f>'extended_recharge_2003-2015'!S223</f>
        <v>19.281808999999999</v>
      </c>
      <c r="T1087" s="14">
        <f>'extended_recharge_2003-2015'!T223</f>
        <v>31.895496000000001</v>
      </c>
      <c r="U1087" s="14">
        <f>'extended_recharge_2003-2015'!U223</f>
        <v>9.7195110000000007</v>
      </c>
      <c r="V1087" s="15">
        <f>'extended_recharge_2003-2015'!V223</f>
        <v>18.945081999999999</v>
      </c>
      <c r="W1087" s="16">
        <f>'extended_recharge_2003-2015'!W223</f>
        <v>9.8992200000000002E-2</v>
      </c>
      <c r="X1087" s="16">
        <f>'extended_recharge_2003-2015'!X223</f>
        <v>6.3946120000000004</v>
      </c>
      <c r="Y1087" s="16">
        <f>'extended_recharge_2003-2015'!Y223</f>
        <v>13.980167</v>
      </c>
      <c r="Z1087" s="16">
        <f>'extended_recharge_2003-2015'!Z223</f>
        <v>0.29258909999999999</v>
      </c>
      <c r="AA1087" s="16">
        <f>'extended_recharge_2003-2015'!AA223</f>
        <v>2.2475016000000001</v>
      </c>
      <c r="AB1087" s="16">
        <f>'extended_recharge_2003-2015'!AB223</f>
        <v>2.6998950000000002</v>
      </c>
      <c r="AC1087" s="16">
        <f>'extended_recharge_2003-2015'!AC223</f>
        <v>2.5022764</v>
      </c>
      <c r="AD1087" s="16">
        <f>'extended_recharge_2003-2015'!AD223</f>
        <v>2.1321610999999998</v>
      </c>
      <c r="AE1087" s="16">
        <f>'extended_recharge_2003-2015'!AE223</f>
        <v>15.014411000000001</v>
      </c>
      <c r="AF1087" s="16">
        <f>'extended_recharge_2003-2015'!AF223</f>
        <v>75.349999999999994</v>
      </c>
      <c r="AG1087" s="16">
        <f>'extended_recharge_2003-2015'!AG223</f>
        <v>11.110246</v>
      </c>
    </row>
    <row r="1088" spans="1:33" x14ac:dyDescent="0.2">
      <c r="A1088" s="3">
        <v>41029</v>
      </c>
      <c r="B1088" s="14">
        <f>'extended_recharge_2003-2015'!B224</f>
        <v>4.5147605000000004</v>
      </c>
      <c r="C1088" s="14">
        <f>'extended_recharge_2003-2015'!C224</f>
        <v>23.662327000000001</v>
      </c>
      <c r="D1088" s="14">
        <f>'extended_recharge_2003-2015'!D224</f>
        <v>-2.0592809000000001</v>
      </c>
      <c r="E1088" s="14">
        <f>'extended_recharge_2003-2015'!E224</f>
        <v>-6.2220573000000003</v>
      </c>
      <c r="F1088" s="14">
        <f>'extended_recharge_2003-2015'!F224</f>
        <v>7.5682</v>
      </c>
      <c r="G1088" s="14">
        <f>'extended_recharge_2003-2015'!G224</f>
        <v>21.262747000000001</v>
      </c>
      <c r="H1088" s="14">
        <f>'extended_recharge_2003-2015'!H224</f>
        <v>16.535229999999999</v>
      </c>
      <c r="I1088" s="14">
        <f>'extended_recharge_2003-2015'!I224</f>
        <v>40.10671</v>
      </c>
      <c r="J1088" s="14">
        <f>'extended_recharge_2003-2015'!J224</f>
        <v>4.8734254999999997</v>
      </c>
      <c r="K1088" s="14">
        <f>'extended_recharge_2003-2015'!K224</f>
        <v>7.1937585000000004</v>
      </c>
      <c r="L1088" s="14">
        <f>'extended_recharge_2003-2015'!L224</f>
        <v>1.9176632</v>
      </c>
      <c r="M1088" s="14">
        <f>'extended_recharge_2003-2015'!M224</f>
        <v>5.9128423000000003</v>
      </c>
      <c r="N1088" s="14">
        <f>'extended_recharge_2003-2015'!N224</f>
        <v>37.705300000000001</v>
      </c>
      <c r="O1088" s="14">
        <f>'extended_recharge_2003-2015'!O224</f>
        <v>22.822441000000001</v>
      </c>
      <c r="P1088" s="14">
        <f>'extended_recharge_2003-2015'!P224</f>
        <v>46.337775999999998</v>
      </c>
      <c r="Q1088" s="14">
        <f>'extended_recharge_2003-2015'!Q224</f>
        <v>2.6815199999999999</v>
      </c>
      <c r="R1088" s="14">
        <f>'extended_recharge_2003-2015'!R224</f>
        <v>6.1292705999999999</v>
      </c>
      <c r="S1088" s="14">
        <f>'extended_recharge_2003-2015'!S224</f>
        <v>24.762319999999999</v>
      </c>
      <c r="T1088" s="14">
        <f>'extended_recharge_2003-2015'!T224</f>
        <v>37.627940000000002</v>
      </c>
      <c r="U1088" s="14">
        <f>'extended_recharge_2003-2015'!U224</f>
        <v>13.702332</v>
      </c>
      <c r="V1088" s="15">
        <f>'extended_recharge_2003-2015'!V224</f>
        <v>20.708947999999999</v>
      </c>
      <c r="W1088" s="16">
        <f>'extended_recharge_2003-2015'!W224</f>
        <v>-3.041073E-2</v>
      </c>
      <c r="X1088" s="16">
        <f>'extended_recharge_2003-2015'!X224</f>
        <v>6.5604440000000004</v>
      </c>
      <c r="Y1088" s="16">
        <f>'extended_recharge_2003-2015'!Y224</f>
        <v>15.408443999999999</v>
      </c>
      <c r="Z1088" s="16">
        <f>'extended_recharge_2003-2015'!Z224</f>
        <v>0.31765315</v>
      </c>
      <c r="AA1088" s="16">
        <f>'extended_recharge_2003-2015'!AA224</f>
        <v>4.6829910000000003</v>
      </c>
      <c r="AB1088" s="16">
        <f>'extended_recharge_2003-2015'!AB224</f>
        <v>2.5804656000000001</v>
      </c>
      <c r="AC1088" s="16">
        <f>'extended_recharge_2003-2015'!AC224</f>
        <v>4.2279353000000004</v>
      </c>
      <c r="AD1088" s="16">
        <f>'extended_recharge_2003-2015'!AD224</f>
        <v>4.0693115999999998</v>
      </c>
      <c r="AE1088" s="16">
        <f>'extended_recharge_2003-2015'!AE224</f>
        <v>9.5584559999999996</v>
      </c>
      <c r="AF1088" s="16">
        <f>'extended_recharge_2003-2015'!AF224</f>
        <v>86.365455999999995</v>
      </c>
      <c r="AG1088" s="16">
        <f>'extended_recharge_2003-2015'!AG224</f>
        <v>14.440853000000001</v>
      </c>
    </row>
    <row r="1089" spans="1:33" x14ac:dyDescent="0.2">
      <c r="A1089" s="3">
        <v>41060</v>
      </c>
      <c r="B1089" s="14">
        <f>'extended_recharge_2003-2015'!B225</f>
        <v>4.2586174000000003</v>
      </c>
      <c r="C1089" s="14">
        <f>'extended_recharge_2003-2015'!C225</f>
        <v>21.480442</v>
      </c>
      <c r="D1089" s="14">
        <f>'extended_recharge_2003-2015'!D225</f>
        <v>-5.6078770000000002</v>
      </c>
      <c r="E1089" s="14">
        <f>'extended_recharge_2003-2015'!E225</f>
        <v>-17.139471</v>
      </c>
      <c r="F1089" s="14">
        <f>'extended_recharge_2003-2015'!F225</f>
        <v>-0.16976706999999999</v>
      </c>
      <c r="G1089" s="14">
        <f>'extended_recharge_2003-2015'!G225</f>
        <v>2.2720318000000002</v>
      </c>
      <c r="H1089" s="14">
        <f>'extended_recharge_2003-2015'!H225</f>
        <v>13.725595</v>
      </c>
      <c r="I1089" s="14">
        <f>'extended_recharge_2003-2015'!I225</f>
        <v>37.940199999999997</v>
      </c>
      <c r="J1089" s="14">
        <f>'extended_recharge_2003-2015'!J225</f>
        <v>-4.2839099999999997</v>
      </c>
      <c r="K1089" s="14">
        <f>'extended_recharge_2003-2015'!K225</f>
        <v>2.4951819999999998</v>
      </c>
      <c r="L1089" s="14">
        <f>'extended_recharge_2003-2015'!L225</f>
        <v>0.57196002999999995</v>
      </c>
      <c r="M1089" s="14">
        <f>'extended_recharge_2003-2015'!M225</f>
        <v>2.0985458000000001</v>
      </c>
      <c r="N1089" s="14">
        <f>'extended_recharge_2003-2015'!N225</f>
        <v>31.122826</v>
      </c>
      <c r="O1089" s="14">
        <f>'extended_recharge_2003-2015'!O225</f>
        <v>23.932383999999999</v>
      </c>
      <c r="P1089" s="14">
        <f>'extended_recharge_2003-2015'!P225</f>
        <v>30.692350000000001</v>
      </c>
      <c r="Q1089" s="14">
        <f>'extended_recharge_2003-2015'!Q225</f>
        <v>2.0647118</v>
      </c>
      <c r="R1089" s="14">
        <f>'extended_recharge_2003-2015'!R225</f>
        <v>5.5576850000000002</v>
      </c>
      <c r="S1089" s="14">
        <f>'extended_recharge_2003-2015'!S225</f>
        <v>19.922986999999999</v>
      </c>
      <c r="T1089" s="14">
        <f>'extended_recharge_2003-2015'!T225</f>
        <v>45.865265000000001</v>
      </c>
      <c r="U1089" s="14">
        <f>'extended_recharge_2003-2015'!U225</f>
        <v>12.999126</v>
      </c>
      <c r="V1089" s="15">
        <f>'extended_recharge_2003-2015'!V225</f>
        <v>25.289187999999999</v>
      </c>
      <c r="W1089" s="16">
        <f>'extended_recharge_2003-2015'!W225</f>
        <v>4.5968049999999998</v>
      </c>
      <c r="X1089" s="16">
        <f>'extended_recharge_2003-2015'!X225</f>
        <v>7.2746263000000004</v>
      </c>
      <c r="Y1089" s="16">
        <f>'extended_recharge_2003-2015'!Y225</f>
        <v>18.741576999999999</v>
      </c>
      <c r="Z1089" s="16">
        <f>'extended_recharge_2003-2015'!Z225</f>
        <v>0.93302090000000004</v>
      </c>
      <c r="AA1089" s="16">
        <f>'extended_recharge_2003-2015'!AA225</f>
        <v>3.8343446000000001</v>
      </c>
      <c r="AB1089" s="16">
        <f>'extended_recharge_2003-2015'!AB225</f>
        <v>2.0633347</v>
      </c>
      <c r="AC1089" s="16">
        <f>'extended_recharge_2003-2015'!AC225</f>
        <v>4.5123249999999997</v>
      </c>
      <c r="AD1089" s="16">
        <f>'extended_recharge_2003-2015'!AD225</f>
        <v>6.0263156999999996</v>
      </c>
      <c r="AE1089" s="16">
        <f>'extended_recharge_2003-2015'!AE225</f>
        <v>3.1626134000000001</v>
      </c>
      <c r="AF1089" s="16">
        <f>'extended_recharge_2003-2015'!AF225</f>
        <v>96.432159999999996</v>
      </c>
      <c r="AG1089" s="16">
        <f>'extended_recharge_2003-2015'!AG225</f>
        <v>17.807473999999999</v>
      </c>
    </row>
    <row r="1090" spans="1:33" x14ac:dyDescent="0.2">
      <c r="A1090" s="3">
        <v>41090</v>
      </c>
      <c r="B1090" s="14">
        <f>'extended_recharge_2003-2015'!B226</f>
        <v>5.0936060000000003</v>
      </c>
      <c r="C1090" s="14">
        <f>'extended_recharge_2003-2015'!C226</f>
        <v>21.578417000000002</v>
      </c>
      <c r="D1090" s="14">
        <f>'extended_recharge_2003-2015'!D226</f>
        <v>-6.8533790000000003</v>
      </c>
      <c r="E1090" s="14">
        <f>'extended_recharge_2003-2015'!E226</f>
        <v>-14.755654</v>
      </c>
      <c r="F1090" s="14">
        <f>'extended_recharge_2003-2015'!F226</f>
        <v>1.0483586000000001E-3</v>
      </c>
      <c r="G1090" s="14">
        <f>'extended_recharge_2003-2015'!G226</f>
        <v>-1.0663130000000001</v>
      </c>
      <c r="H1090" s="14">
        <f>'extended_recharge_2003-2015'!H226</f>
        <v>15.123683</v>
      </c>
      <c r="I1090" s="14">
        <f>'extended_recharge_2003-2015'!I226</f>
        <v>37.668909999999997</v>
      </c>
      <c r="J1090" s="14">
        <f>'extended_recharge_2003-2015'!J226</f>
        <v>-7.6892376000000002</v>
      </c>
      <c r="K1090" s="14">
        <f>'extended_recharge_2003-2015'!K226</f>
        <v>0.29945066999999997</v>
      </c>
      <c r="L1090" s="14">
        <f>'extended_recharge_2003-2015'!L226</f>
        <v>-5.6015290000000002</v>
      </c>
      <c r="M1090" s="14">
        <f>'extended_recharge_2003-2015'!M226</f>
        <v>0.70761680000000005</v>
      </c>
      <c r="N1090" s="14">
        <f>'extended_recharge_2003-2015'!N226</f>
        <v>26.125495999999998</v>
      </c>
      <c r="O1090" s="14">
        <f>'extended_recharge_2003-2015'!O226</f>
        <v>19.677714999999999</v>
      </c>
      <c r="P1090" s="14">
        <f>'extended_recharge_2003-2015'!P226</f>
        <v>51.192355999999997</v>
      </c>
      <c r="Q1090" s="14">
        <f>'extended_recharge_2003-2015'!Q226</f>
        <v>0.78488796999999999</v>
      </c>
      <c r="R1090" s="14">
        <f>'extended_recharge_2003-2015'!R226</f>
        <v>6.5938745000000001</v>
      </c>
      <c r="S1090" s="14">
        <f>'extended_recharge_2003-2015'!S226</f>
        <v>13.913874</v>
      </c>
      <c r="T1090" s="14">
        <f>'extended_recharge_2003-2015'!T226</f>
        <v>37.073486000000003</v>
      </c>
      <c r="U1090" s="14">
        <f>'extended_recharge_2003-2015'!U226</f>
        <v>10.864315</v>
      </c>
      <c r="V1090" s="15">
        <f>'extended_recharge_2003-2015'!V226</f>
        <v>28.521107000000001</v>
      </c>
      <c r="W1090" s="16">
        <f>'extended_recharge_2003-2015'!W226</f>
        <v>17.384422000000001</v>
      </c>
      <c r="X1090" s="16">
        <f>'extended_recharge_2003-2015'!X226</f>
        <v>6.0934258000000003</v>
      </c>
      <c r="Y1090" s="16">
        <f>'extended_recharge_2003-2015'!Y226</f>
        <v>19.135597000000001</v>
      </c>
      <c r="Z1090" s="16">
        <f>'extended_recharge_2003-2015'!Z226</f>
        <v>1.9708886000000001</v>
      </c>
      <c r="AA1090" s="16">
        <f>'extended_recharge_2003-2015'!AA226</f>
        <v>4.255287</v>
      </c>
      <c r="AB1090" s="16">
        <f>'extended_recharge_2003-2015'!AB226</f>
        <v>2.4167904999999998</v>
      </c>
      <c r="AC1090" s="16">
        <f>'extended_recharge_2003-2015'!AC226</f>
        <v>3.4142910999999998</v>
      </c>
      <c r="AD1090" s="16">
        <f>'extended_recharge_2003-2015'!AD226</f>
        <v>8.8805809999999994</v>
      </c>
      <c r="AE1090" s="16">
        <f>'extended_recharge_2003-2015'!AE226</f>
        <v>-0.1882518</v>
      </c>
      <c r="AF1090" s="16">
        <f>'extended_recharge_2003-2015'!AF226</f>
        <v>105.25830000000001</v>
      </c>
      <c r="AG1090" s="16">
        <f>'extended_recharge_2003-2015'!AG226</f>
        <v>22.298262000000001</v>
      </c>
    </row>
    <row r="1091" spans="1:33" x14ac:dyDescent="0.2">
      <c r="A1091" s="3">
        <v>41121</v>
      </c>
      <c r="B1091" s="14">
        <f>'extended_recharge_2003-2015'!B227</f>
        <v>4.9993825000000003</v>
      </c>
      <c r="C1091" s="14">
        <f>'extended_recharge_2003-2015'!C227</f>
        <v>22.023116999999999</v>
      </c>
      <c r="D1091" s="14">
        <f>'extended_recharge_2003-2015'!D227</f>
        <v>-4.2692500000000004</v>
      </c>
      <c r="E1091" s="14">
        <f>'extended_recharge_2003-2015'!E227</f>
        <v>-13.934163</v>
      </c>
      <c r="F1091" s="14">
        <f>'extended_recharge_2003-2015'!F227</f>
        <v>3.2059356999999999</v>
      </c>
      <c r="G1091" s="14">
        <f>'extended_recharge_2003-2015'!G227</f>
        <v>6.3668430000000003</v>
      </c>
      <c r="H1091" s="14">
        <f>'extended_recharge_2003-2015'!H227</f>
        <v>14.505791</v>
      </c>
      <c r="I1091" s="14">
        <f>'extended_recharge_2003-2015'!I227</f>
        <v>36.412660000000002</v>
      </c>
      <c r="J1091" s="14">
        <f>'extended_recharge_2003-2015'!J227</f>
        <v>0.62604470000000001</v>
      </c>
      <c r="K1091" s="14">
        <f>'extended_recharge_2003-2015'!K227</f>
        <v>-2.4545287999999998E-2</v>
      </c>
      <c r="L1091" s="14">
        <f>'extended_recharge_2003-2015'!L227</f>
        <v>-3.7715147</v>
      </c>
      <c r="M1091" s="14">
        <f>'extended_recharge_2003-2015'!M227</f>
        <v>-1.7444272999999999</v>
      </c>
      <c r="N1091" s="14">
        <f>'extended_recharge_2003-2015'!N227</f>
        <v>28.045373999999999</v>
      </c>
      <c r="O1091" s="14">
        <f>'extended_recharge_2003-2015'!O227</f>
        <v>24.774559</v>
      </c>
      <c r="P1091" s="14">
        <f>'extended_recharge_2003-2015'!P227</f>
        <v>47.600338000000001</v>
      </c>
      <c r="Q1091" s="14">
        <f>'extended_recharge_2003-2015'!Q227</f>
        <v>1.7131692000000001</v>
      </c>
      <c r="R1091" s="14">
        <f>'extended_recharge_2003-2015'!R227</f>
        <v>5.2173730000000003</v>
      </c>
      <c r="S1091" s="14">
        <f>'extended_recharge_2003-2015'!S227</f>
        <v>9.5453690000000009</v>
      </c>
      <c r="T1091" s="14">
        <f>'extended_recharge_2003-2015'!T227</f>
        <v>39.030119999999997</v>
      </c>
      <c r="U1091" s="14">
        <f>'extended_recharge_2003-2015'!U227</f>
        <v>9.4308300000000003</v>
      </c>
      <c r="V1091" s="15">
        <f>'extended_recharge_2003-2015'!V227</f>
        <v>32.808776999999999</v>
      </c>
      <c r="W1091" s="16">
        <f>'extended_recharge_2003-2015'!W227</f>
        <v>29.763245000000001</v>
      </c>
      <c r="X1091" s="16">
        <f>'extended_recharge_2003-2015'!X227</f>
        <v>4.7267599999999996</v>
      </c>
      <c r="Y1091" s="16">
        <f>'extended_recharge_2003-2015'!Y227</f>
        <v>17.883890000000001</v>
      </c>
      <c r="Z1091" s="16">
        <f>'extended_recharge_2003-2015'!Z227</f>
        <v>1.7788451000000001</v>
      </c>
      <c r="AA1091" s="16">
        <f>'extended_recharge_2003-2015'!AA227</f>
        <v>4.0098469999999997</v>
      </c>
      <c r="AB1091" s="16">
        <f>'extended_recharge_2003-2015'!AB227</f>
        <v>1.8328202</v>
      </c>
      <c r="AC1091" s="16">
        <f>'extended_recharge_2003-2015'!AC227</f>
        <v>2.5696970000000001</v>
      </c>
      <c r="AD1091" s="16">
        <f>'extended_recharge_2003-2015'!AD227</f>
        <v>10.797959000000001</v>
      </c>
      <c r="AE1091" s="16">
        <f>'extended_recharge_2003-2015'!AE227</f>
        <v>-0.82298784999999997</v>
      </c>
      <c r="AF1091" s="16">
        <f>'extended_recharge_2003-2015'!AF227</f>
        <v>113.83287</v>
      </c>
      <c r="AG1091" s="16">
        <f>'extended_recharge_2003-2015'!AG227</f>
        <v>24.898997999999999</v>
      </c>
    </row>
    <row r="1092" spans="1:33" x14ac:dyDescent="0.2">
      <c r="A1092" s="3">
        <v>41152</v>
      </c>
      <c r="B1092" s="14">
        <f>'extended_recharge_2003-2015'!B228</f>
        <v>4.1707891999999998</v>
      </c>
      <c r="C1092" s="14">
        <f>'extended_recharge_2003-2015'!C228</f>
        <v>24.495280999999999</v>
      </c>
      <c r="D1092" s="14">
        <f>'extended_recharge_2003-2015'!D228</f>
        <v>2.8836613</v>
      </c>
      <c r="E1092" s="14">
        <f>'extended_recharge_2003-2015'!E228</f>
        <v>3.1842104999999998</v>
      </c>
      <c r="F1092" s="14">
        <f>'extended_recharge_2003-2015'!F228</f>
        <v>12.017300000000001</v>
      </c>
      <c r="G1092" s="14">
        <f>'extended_recharge_2003-2015'!G228</f>
        <v>26.128564999999998</v>
      </c>
      <c r="H1092" s="14">
        <f>'extended_recharge_2003-2015'!H228</f>
        <v>18.439419999999998</v>
      </c>
      <c r="I1092" s="14">
        <f>'extended_recharge_2003-2015'!I228</f>
        <v>38.657153999999998</v>
      </c>
      <c r="J1092" s="14">
        <f>'extended_recharge_2003-2015'!J228</f>
        <v>11.560432</v>
      </c>
      <c r="K1092" s="14">
        <f>'extended_recharge_2003-2015'!K228</f>
        <v>8.8032339999999998</v>
      </c>
      <c r="L1092" s="14">
        <f>'extended_recharge_2003-2015'!L228</f>
        <v>1.7125699999999999</v>
      </c>
      <c r="M1092" s="14">
        <f>'extended_recharge_2003-2015'!M228</f>
        <v>5.4885726000000004</v>
      </c>
      <c r="N1092" s="14">
        <f>'extended_recharge_2003-2015'!N228</f>
        <v>32.782679999999999</v>
      </c>
      <c r="O1092" s="14">
        <f>'extended_recharge_2003-2015'!O228</f>
        <v>27.855515</v>
      </c>
      <c r="P1092" s="14">
        <f>'extended_recharge_2003-2015'!P228</f>
        <v>60.989223000000003</v>
      </c>
      <c r="Q1092" s="14">
        <f>'extended_recharge_2003-2015'!Q228</f>
        <v>1.2652117000000001</v>
      </c>
      <c r="R1092" s="14">
        <f>'extended_recharge_2003-2015'!R228</f>
        <v>4.2704696999999996</v>
      </c>
      <c r="S1092" s="14">
        <f>'extended_recharge_2003-2015'!S228</f>
        <v>16.697405</v>
      </c>
      <c r="T1092" s="14">
        <f>'extended_recharge_2003-2015'!T228</f>
        <v>35.185946999999999</v>
      </c>
      <c r="U1092" s="14">
        <f>'extended_recharge_2003-2015'!U228</f>
        <v>11.5699215</v>
      </c>
      <c r="V1092" s="15">
        <f>'extended_recharge_2003-2015'!V228</f>
        <v>35.872204000000004</v>
      </c>
      <c r="W1092" s="16">
        <f>'extended_recharge_2003-2015'!W228</f>
        <v>30.55359</v>
      </c>
      <c r="X1092" s="16">
        <f>'extended_recharge_2003-2015'!X228</f>
        <v>5.1691813</v>
      </c>
      <c r="Y1092" s="16">
        <f>'extended_recharge_2003-2015'!Y228</f>
        <v>14.943562</v>
      </c>
      <c r="Z1092" s="16">
        <f>'extended_recharge_2003-2015'!Z228</f>
        <v>3.8535955</v>
      </c>
      <c r="AA1092" s="16">
        <f>'extended_recharge_2003-2015'!AA228</f>
        <v>5.5223170000000001</v>
      </c>
      <c r="AB1092" s="16">
        <f>'extended_recharge_2003-2015'!AB228</f>
        <v>1.7416294999999999</v>
      </c>
      <c r="AC1092" s="16">
        <f>'extended_recharge_2003-2015'!AC228</f>
        <v>2.9694623999999998</v>
      </c>
      <c r="AD1092" s="16">
        <f>'extended_recharge_2003-2015'!AD228</f>
        <v>9.3586969999999994</v>
      </c>
      <c r="AE1092" s="16">
        <f>'extended_recharge_2003-2015'!AE228</f>
        <v>0.61274729999999999</v>
      </c>
      <c r="AF1092" s="16">
        <f>'extended_recharge_2003-2015'!AF228</f>
        <v>112.83226000000001</v>
      </c>
      <c r="AG1092" s="16">
        <f>'extended_recharge_2003-2015'!AG228</f>
        <v>24.189530000000001</v>
      </c>
    </row>
    <row r="1093" spans="1:33" x14ac:dyDescent="0.2">
      <c r="A1093" s="3">
        <v>41182</v>
      </c>
      <c r="B1093" s="14">
        <f>'extended_recharge_2003-2015'!B229</f>
        <v>2.9505452999999999</v>
      </c>
      <c r="C1093" s="14">
        <f>'extended_recharge_2003-2015'!C229</f>
        <v>24.247906</v>
      </c>
      <c r="D1093" s="14">
        <f>'extended_recharge_2003-2015'!D229</f>
        <v>4.6277303999999999</v>
      </c>
      <c r="E1093" s="14">
        <f>'extended_recharge_2003-2015'!E229</f>
        <v>4.9379390000000001</v>
      </c>
      <c r="F1093" s="14">
        <f>'extended_recharge_2003-2015'!F229</f>
        <v>13.129504000000001</v>
      </c>
      <c r="G1093" s="14">
        <f>'extended_recharge_2003-2015'!G229</f>
        <v>34.525219999999997</v>
      </c>
      <c r="H1093" s="14">
        <f>'extended_recharge_2003-2015'!H229</f>
        <v>15.293872</v>
      </c>
      <c r="I1093" s="14">
        <f>'extended_recharge_2003-2015'!I229</f>
        <v>39.095030000000001</v>
      </c>
      <c r="J1093" s="14">
        <f>'extended_recharge_2003-2015'!J229</f>
        <v>14.800879</v>
      </c>
      <c r="K1093" s="14">
        <f>'extended_recharge_2003-2015'!K229</f>
        <v>5.0162787</v>
      </c>
      <c r="L1093" s="14">
        <f>'extended_recharge_2003-2015'!L229</f>
        <v>0.13927278000000001</v>
      </c>
      <c r="M1093" s="14">
        <f>'extended_recharge_2003-2015'!M229</f>
        <v>2.9668353000000001</v>
      </c>
      <c r="N1093" s="14">
        <f>'extended_recharge_2003-2015'!N229</f>
        <v>31.577971999999999</v>
      </c>
      <c r="O1093" s="14">
        <f>'extended_recharge_2003-2015'!O229</f>
        <v>26.098842999999999</v>
      </c>
      <c r="P1093" s="14">
        <f>'extended_recharge_2003-2015'!P229</f>
        <v>58.526589999999999</v>
      </c>
      <c r="Q1093" s="14">
        <f>'extended_recharge_2003-2015'!Q229</f>
        <v>0.80835239999999997</v>
      </c>
      <c r="R1093" s="14">
        <f>'extended_recharge_2003-2015'!R229</f>
        <v>5.8450474999999997</v>
      </c>
      <c r="S1093" s="14">
        <f>'extended_recharge_2003-2015'!S229</f>
        <v>16.503371999999999</v>
      </c>
      <c r="T1093" s="14">
        <f>'extended_recharge_2003-2015'!T229</f>
        <v>30.36317</v>
      </c>
      <c r="U1093" s="14">
        <f>'extended_recharge_2003-2015'!U229</f>
        <v>10.531177</v>
      </c>
      <c r="V1093" s="15">
        <f>'extended_recharge_2003-2015'!V229</f>
        <v>28.946186000000001</v>
      </c>
      <c r="W1093" s="16">
        <f>'extended_recharge_2003-2015'!W229</f>
        <v>26.465128</v>
      </c>
      <c r="X1093" s="16">
        <f>'extended_recharge_2003-2015'!X229</f>
        <v>3.6839377999999998</v>
      </c>
      <c r="Y1093" s="16">
        <f>'extended_recharge_2003-2015'!Y229</f>
        <v>13.53323</v>
      </c>
      <c r="Z1093" s="16">
        <f>'extended_recharge_2003-2015'!Z229</f>
        <v>4.5331773999999996</v>
      </c>
      <c r="AA1093" s="16">
        <f>'extended_recharge_2003-2015'!AA229</f>
        <v>4.3864017000000004</v>
      </c>
      <c r="AB1093" s="16">
        <f>'extended_recharge_2003-2015'!AB229</f>
        <v>1.2081021000000001</v>
      </c>
      <c r="AC1093" s="16">
        <f>'extended_recharge_2003-2015'!AC229</f>
        <v>3.2809900000000001</v>
      </c>
      <c r="AD1093" s="16">
        <f>'extended_recharge_2003-2015'!AD229</f>
        <v>6.6334065999999998</v>
      </c>
      <c r="AE1093" s="16">
        <f>'extended_recharge_2003-2015'!AE229</f>
        <v>3.1494464999999998</v>
      </c>
      <c r="AF1093" s="16">
        <f>'extended_recharge_2003-2015'!AF229</f>
        <v>106.24945</v>
      </c>
      <c r="AG1093" s="16">
        <f>'extended_recharge_2003-2015'!AG229</f>
        <v>20.300816000000001</v>
      </c>
    </row>
    <row r="1094" spans="1:33" x14ac:dyDescent="0.2">
      <c r="A1094" s="3">
        <v>41213</v>
      </c>
      <c r="B1094" s="14">
        <f>'extended_recharge_2003-2015'!B230</f>
        <v>3.6014588000000001</v>
      </c>
      <c r="C1094" s="14">
        <f>'extended_recharge_2003-2015'!C230</f>
        <v>27.039593</v>
      </c>
      <c r="D1094" s="14">
        <f>'extended_recharge_2003-2015'!D230</f>
        <v>7.8734446</v>
      </c>
      <c r="E1094" s="14">
        <f>'extended_recharge_2003-2015'!E230</f>
        <v>25.903739999999999</v>
      </c>
      <c r="F1094" s="14">
        <f>'extended_recharge_2003-2015'!F230</f>
        <v>42.999671999999997</v>
      </c>
      <c r="G1094" s="14">
        <f>'extended_recharge_2003-2015'!G230</f>
        <v>32.470894000000001</v>
      </c>
      <c r="H1094" s="14">
        <f>'extended_recharge_2003-2015'!H230</f>
        <v>16.556650000000001</v>
      </c>
      <c r="I1094" s="14">
        <f>'extended_recharge_2003-2015'!I230</f>
        <v>40.924126000000001</v>
      </c>
      <c r="J1094" s="14">
        <f>'extended_recharge_2003-2015'!J230</f>
        <v>22.431356000000001</v>
      </c>
      <c r="K1094" s="14">
        <f>'extended_recharge_2003-2015'!K230</f>
        <v>20.578966000000001</v>
      </c>
      <c r="L1094" s="14">
        <f>'extended_recharge_2003-2015'!L230</f>
        <v>10.287853</v>
      </c>
      <c r="M1094" s="14">
        <f>'extended_recharge_2003-2015'!M230</f>
        <v>12.619122000000001</v>
      </c>
      <c r="N1094" s="14">
        <f>'extended_recharge_2003-2015'!N230</f>
        <v>44.978279999999998</v>
      </c>
      <c r="O1094" s="14">
        <f>'extended_recharge_2003-2015'!O230</f>
        <v>24.593250000000001</v>
      </c>
      <c r="P1094" s="14">
        <f>'extended_recharge_2003-2015'!P230</f>
        <v>98.533670000000001</v>
      </c>
      <c r="Q1094" s="14">
        <f>'extended_recharge_2003-2015'!Q230</f>
        <v>3.4348964999999998</v>
      </c>
      <c r="R1094" s="14">
        <f>'extended_recharge_2003-2015'!R230</f>
        <v>7.5572999999999997</v>
      </c>
      <c r="S1094" s="14">
        <f>'extended_recharge_2003-2015'!S230</f>
        <v>30.499561</v>
      </c>
      <c r="T1094" s="14">
        <f>'extended_recharge_2003-2015'!T230</f>
        <v>42.048209999999997</v>
      </c>
      <c r="U1094" s="14">
        <f>'extended_recharge_2003-2015'!U230</f>
        <v>10.8198395</v>
      </c>
      <c r="V1094" s="15">
        <f>'extended_recharge_2003-2015'!V230</f>
        <v>27.172011999999999</v>
      </c>
      <c r="W1094" s="16">
        <f>'extended_recharge_2003-2015'!W230</f>
        <v>21.939737000000001</v>
      </c>
      <c r="X1094" s="16">
        <f>'extended_recharge_2003-2015'!X230</f>
        <v>3.9942052000000001</v>
      </c>
      <c r="Y1094" s="16">
        <f>'extended_recharge_2003-2015'!Y230</f>
        <v>10.911206999999999</v>
      </c>
      <c r="Z1094" s="16">
        <f>'extended_recharge_2003-2015'!Z230</f>
        <v>5.4763820000000001</v>
      </c>
      <c r="AA1094" s="16">
        <f>'extended_recharge_2003-2015'!AA230</f>
        <v>5.5235586000000003</v>
      </c>
      <c r="AB1094" s="16">
        <f>'extended_recharge_2003-2015'!AB230</f>
        <v>2.1228639999999999</v>
      </c>
      <c r="AC1094" s="16">
        <f>'extended_recharge_2003-2015'!AC230</f>
        <v>3.5823497999999998</v>
      </c>
      <c r="AD1094" s="16">
        <f>'extended_recharge_2003-2015'!AD230</f>
        <v>4.8028389999999996</v>
      </c>
      <c r="AE1094" s="16">
        <f>'extended_recharge_2003-2015'!AE230</f>
        <v>9.7218850000000003</v>
      </c>
      <c r="AF1094" s="16">
        <f>'extended_recharge_2003-2015'!AF230</f>
        <v>88.072190000000006</v>
      </c>
      <c r="AG1094" s="16">
        <f>'extended_recharge_2003-2015'!AG230</f>
        <v>16.381186</v>
      </c>
    </row>
    <row r="1095" spans="1:33" x14ac:dyDescent="0.2">
      <c r="A1095" s="3">
        <v>41243</v>
      </c>
      <c r="B1095" s="14">
        <f>'extended_recharge_2003-2015'!B231</f>
        <v>-0.38150476999999999</v>
      </c>
      <c r="C1095" s="14">
        <f>'extended_recharge_2003-2015'!C231</f>
        <v>22.682701000000002</v>
      </c>
      <c r="D1095" s="14">
        <f>'extended_recharge_2003-2015'!D231</f>
        <v>1.6229302000000001</v>
      </c>
      <c r="E1095" s="14">
        <f>'extended_recharge_2003-2015'!E231</f>
        <v>-2.1376007000000001</v>
      </c>
      <c r="F1095" s="14">
        <f>'extended_recharge_2003-2015'!F231</f>
        <v>11.479780999999999</v>
      </c>
      <c r="G1095" s="14">
        <f>'extended_recharge_2003-2015'!G231</f>
        <v>18.879004999999999</v>
      </c>
      <c r="H1095" s="14">
        <f>'extended_recharge_2003-2015'!H231</f>
        <v>13.864502</v>
      </c>
      <c r="I1095" s="14">
        <f>'extended_recharge_2003-2015'!I231</f>
        <v>33.954624000000003</v>
      </c>
      <c r="J1095" s="14">
        <f>'extended_recharge_2003-2015'!J231</f>
        <v>21.333241999999998</v>
      </c>
      <c r="K1095" s="14">
        <f>'extended_recharge_2003-2015'!K231</f>
        <v>12.102318</v>
      </c>
      <c r="L1095" s="14">
        <f>'extended_recharge_2003-2015'!L231</f>
        <v>5.4999393999999997</v>
      </c>
      <c r="M1095" s="14">
        <f>'extended_recharge_2003-2015'!M231</f>
        <v>7.4582990000000002</v>
      </c>
      <c r="N1095" s="14">
        <f>'extended_recharge_2003-2015'!N231</f>
        <v>40.511986</v>
      </c>
      <c r="O1095" s="14">
        <f>'extended_recharge_2003-2015'!O231</f>
        <v>22.807994999999998</v>
      </c>
      <c r="P1095" s="14">
        <f>'extended_recharge_2003-2015'!P231</f>
        <v>31.801659000000001</v>
      </c>
      <c r="Q1095" s="14">
        <f>'extended_recharge_2003-2015'!Q231</f>
        <v>1.3437163000000001</v>
      </c>
      <c r="R1095" s="14">
        <f>'extended_recharge_2003-2015'!R231</f>
        <v>5.4273629999999997</v>
      </c>
      <c r="S1095" s="14">
        <f>'extended_recharge_2003-2015'!S231</f>
        <v>32.841797</v>
      </c>
      <c r="T1095" s="14">
        <f>'extended_recharge_2003-2015'!T231</f>
        <v>29.278735999999999</v>
      </c>
      <c r="U1095" s="14">
        <f>'extended_recharge_2003-2015'!U231</f>
        <v>11.087519</v>
      </c>
      <c r="V1095" s="15">
        <f>'extended_recharge_2003-2015'!V231</f>
        <v>20.403658</v>
      </c>
      <c r="W1095" s="16">
        <f>'extended_recharge_2003-2015'!W231</f>
        <v>16.336424000000001</v>
      </c>
      <c r="X1095" s="16">
        <f>'extended_recharge_2003-2015'!X231</f>
        <v>5.4221539999999999</v>
      </c>
      <c r="Y1095" s="16">
        <f>'extended_recharge_2003-2015'!Y231</f>
        <v>10.603253</v>
      </c>
      <c r="Z1095" s="16">
        <f>'extended_recharge_2003-2015'!Z231</f>
        <v>5.2194814999999997</v>
      </c>
      <c r="AA1095" s="16">
        <f>'extended_recharge_2003-2015'!AA231</f>
        <v>4.7202906999999996</v>
      </c>
      <c r="AB1095" s="16">
        <f>'extended_recharge_2003-2015'!AB231</f>
        <v>2.406755</v>
      </c>
      <c r="AC1095" s="16">
        <f>'extended_recharge_2003-2015'!AC231</f>
        <v>5.1164940000000003</v>
      </c>
      <c r="AD1095" s="16">
        <f>'extended_recharge_2003-2015'!AD231</f>
        <v>3.2193584</v>
      </c>
      <c r="AE1095" s="16">
        <f>'extended_recharge_2003-2015'!AE231</f>
        <v>14.896023</v>
      </c>
      <c r="AF1095" s="16">
        <f>'extended_recharge_2003-2015'!AF231</f>
        <v>68.099630000000005</v>
      </c>
      <c r="AG1095" s="16">
        <f>'extended_recharge_2003-2015'!AG231</f>
        <v>13.089674</v>
      </c>
    </row>
    <row r="1096" spans="1:33" x14ac:dyDescent="0.2">
      <c r="A1096" s="3">
        <v>41274</v>
      </c>
      <c r="B1096" s="14">
        <f>'extended_recharge_2003-2015'!B232</f>
        <v>0.41005986999999999</v>
      </c>
      <c r="C1096" s="14">
        <f>'extended_recharge_2003-2015'!C232</f>
        <v>25.335058</v>
      </c>
      <c r="D1096" s="14">
        <f>'extended_recharge_2003-2015'!D232</f>
        <v>3.4353313000000001</v>
      </c>
      <c r="E1096" s="14">
        <f>'extended_recharge_2003-2015'!E232</f>
        <v>-0.53432953000000005</v>
      </c>
      <c r="F1096" s="14">
        <f>'extended_recharge_2003-2015'!F232</f>
        <v>2.5941350000000001</v>
      </c>
      <c r="G1096" s="14">
        <f>'extended_recharge_2003-2015'!G232</f>
        <v>17.829922</v>
      </c>
      <c r="H1096" s="14">
        <f>'extended_recharge_2003-2015'!H232</f>
        <v>16.374357</v>
      </c>
      <c r="I1096" s="14">
        <f>'extended_recharge_2003-2015'!I232</f>
        <v>38.476086000000002</v>
      </c>
      <c r="J1096" s="14">
        <f>'extended_recharge_2003-2015'!J232</f>
        <v>23.018886999999999</v>
      </c>
      <c r="K1096" s="14">
        <f>'extended_recharge_2003-2015'!K232</f>
        <v>6.2265724999999996</v>
      </c>
      <c r="L1096" s="14">
        <f>'extended_recharge_2003-2015'!L232</f>
        <v>3.931337E-2</v>
      </c>
      <c r="M1096" s="14">
        <f>'extended_recharge_2003-2015'!M232</f>
        <v>5.8553030000000001</v>
      </c>
      <c r="N1096" s="14">
        <f>'extended_recharge_2003-2015'!N232</f>
        <v>38.049495999999998</v>
      </c>
      <c r="O1096" s="14">
        <f>'extended_recharge_2003-2015'!O232</f>
        <v>25.110806</v>
      </c>
      <c r="P1096" s="14">
        <f>'extended_recharge_2003-2015'!P232</f>
        <v>66.526179999999997</v>
      </c>
      <c r="Q1096" s="14">
        <f>'extended_recharge_2003-2015'!Q232</f>
        <v>1.6339380999999999</v>
      </c>
      <c r="R1096" s="14">
        <f>'extended_recharge_2003-2015'!R232</f>
        <v>7.0757880000000002</v>
      </c>
      <c r="S1096" s="14">
        <f>'extended_recharge_2003-2015'!S232</f>
        <v>25.114899000000001</v>
      </c>
      <c r="T1096" s="14">
        <f>'extended_recharge_2003-2015'!T232</f>
        <v>36.077297000000002</v>
      </c>
      <c r="U1096" s="14">
        <f>'extended_recharge_2003-2015'!U232</f>
        <v>11.951971</v>
      </c>
      <c r="V1096" s="15">
        <f>'extended_recharge_2003-2015'!V232</f>
        <v>19.758938000000001</v>
      </c>
      <c r="W1096" s="16">
        <f>'extended_recharge_2003-2015'!W232</f>
        <v>11.982358</v>
      </c>
      <c r="X1096" s="16">
        <f>'extended_recharge_2003-2015'!X232</f>
        <v>5.0614333</v>
      </c>
      <c r="Y1096" s="16">
        <f>'extended_recharge_2003-2015'!Y232</f>
        <v>11.358580999999999</v>
      </c>
      <c r="Z1096" s="16">
        <f>'extended_recharge_2003-2015'!Z232</f>
        <v>6.0226984000000003</v>
      </c>
      <c r="AA1096" s="16">
        <f>'extended_recharge_2003-2015'!AA232</f>
        <v>5.510707</v>
      </c>
      <c r="AB1096" s="16">
        <f>'extended_recharge_2003-2015'!AB232</f>
        <v>1.8800277000000001</v>
      </c>
      <c r="AC1096" s="16">
        <f>'extended_recharge_2003-2015'!AC232</f>
        <v>4.9616189999999998</v>
      </c>
      <c r="AD1096" s="16">
        <f>'extended_recharge_2003-2015'!AD232</f>
        <v>2.2784182999999998</v>
      </c>
      <c r="AE1096" s="16">
        <f>'extended_recharge_2003-2015'!AE232</f>
        <v>25.302029000000001</v>
      </c>
      <c r="AF1096" s="16">
        <f>'extended_recharge_2003-2015'!AF232</f>
        <v>64.832790000000003</v>
      </c>
      <c r="AG1096" s="16">
        <f>'extended_recharge_2003-2015'!AG232</f>
        <v>11.148501</v>
      </c>
    </row>
    <row r="1097" spans="1:33" x14ac:dyDescent="0.2">
      <c r="A1097" s="3">
        <v>41305</v>
      </c>
      <c r="B1097" s="14">
        <f>'extended_recharge_2003-2015'!B233</f>
        <v>-0.71772504000000004</v>
      </c>
      <c r="C1097" s="14">
        <f>'extended_recharge_2003-2015'!C233</f>
        <v>21.174569999999999</v>
      </c>
      <c r="D1097" s="14">
        <f>'extended_recharge_2003-2015'!D233</f>
        <v>-3.4095504000000001</v>
      </c>
      <c r="E1097" s="14">
        <f>'extended_recharge_2003-2015'!E233</f>
        <v>-3.8681966999999999</v>
      </c>
      <c r="F1097" s="14">
        <f>'extended_recharge_2003-2015'!F233</f>
        <v>-3.0555747000000002</v>
      </c>
      <c r="G1097" s="14">
        <f>'extended_recharge_2003-2015'!G233</f>
        <v>5.8385954</v>
      </c>
      <c r="H1097" s="14">
        <f>'extended_recharge_2003-2015'!H233</f>
        <v>15.472617</v>
      </c>
      <c r="I1097" s="14">
        <f>'extended_recharge_2003-2015'!I233</f>
        <v>35.218609999999998</v>
      </c>
      <c r="J1097" s="14">
        <f>'extended_recharge_2003-2015'!J233</f>
        <v>14.950642999999999</v>
      </c>
      <c r="K1097" s="14">
        <f>'extended_recharge_2003-2015'!K233</f>
        <v>4.3584766000000004</v>
      </c>
      <c r="L1097" s="14">
        <f>'extended_recharge_2003-2015'!L233</f>
        <v>-1.8889408000000001</v>
      </c>
      <c r="M1097" s="14">
        <f>'extended_recharge_2003-2015'!M233</f>
        <v>1.6923419</v>
      </c>
      <c r="N1097" s="14">
        <f>'extended_recharge_2003-2015'!N233</f>
        <v>34.641106000000001</v>
      </c>
      <c r="O1097" s="14">
        <f>'extended_recharge_2003-2015'!O233</f>
        <v>25.406351000000001</v>
      </c>
      <c r="P1097" s="14">
        <f>'extended_recharge_2003-2015'!P233</f>
        <v>53.894404999999999</v>
      </c>
      <c r="Q1097" s="14">
        <f>'extended_recharge_2003-2015'!Q233</f>
        <v>1.6039542</v>
      </c>
      <c r="R1097" s="14">
        <f>'extended_recharge_2003-2015'!R233</f>
        <v>6.4009390000000002</v>
      </c>
      <c r="S1097" s="14">
        <f>'extended_recharge_2003-2015'!S233</f>
        <v>21.339191</v>
      </c>
      <c r="T1097" s="14">
        <f>'extended_recharge_2003-2015'!T233</f>
        <v>30.684584000000001</v>
      </c>
      <c r="U1097" s="14">
        <f>'extended_recharge_2003-2015'!U233</f>
        <v>12.617436</v>
      </c>
      <c r="V1097" s="15">
        <f>'extended_recharge_2003-2015'!V233</f>
        <v>16.668852000000001</v>
      </c>
      <c r="W1097" s="16">
        <f>'extended_recharge_2003-2015'!W233</f>
        <v>5.3071804</v>
      </c>
      <c r="X1097" s="16">
        <f>'extended_recharge_2003-2015'!X233</f>
        <v>7.4679146000000003</v>
      </c>
      <c r="Y1097" s="16">
        <f>'extended_recharge_2003-2015'!Y233</f>
        <v>13.187571</v>
      </c>
      <c r="Z1097" s="16">
        <f>'extended_recharge_2003-2015'!Z233</f>
        <v>2.2531805</v>
      </c>
      <c r="AA1097" s="16">
        <f>'extended_recharge_2003-2015'!AA233</f>
        <v>3.0552063</v>
      </c>
      <c r="AB1097" s="16">
        <f>'extended_recharge_2003-2015'!AB233</f>
        <v>1.7245864</v>
      </c>
      <c r="AC1097" s="16">
        <f>'extended_recharge_2003-2015'!AC233</f>
        <v>4.8401389999999997</v>
      </c>
      <c r="AD1097" s="16">
        <f>'extended_recharge_2003-2015'!AD233</f>
        <v>1.9779169999999999</v>
      </c>
      <c r="AE1097" s="16">
        <f>'extended_recharge_2003-2015'!AE233</f>
        <v>25.204633999999999</v>
      </c>
      <c r="AF1097" s="16">
        <f>'extended_recharge_2003-2015'!AF233</f>
        <v>65.439419999999998</v>
      </c>
      <c r="AG1097" s="16">
        <f>'extended_recharge_2003-2015'!AG233</f>
        <v>9.9783690000000007</v>
      </c>
    </row>
    <row r="1098" spans="1:33" x14ac:dyDescent="0.2">
      <c r="A1098" s="3">
        <v>41333</v>
      </c>
      <c r="B1098" s="14">
        <f>'extended_recharge_2003-2015'!B234</f>
        <v>1.5928897</v>
      </c>
      <c r="C1098" s="14">
        <f>'extended_recharge_2003-2015'!C234</f>
        <v>27.989166000000001</v>
      </c>
      <c r="D1098" s="14">
        <f>'extended_recharge_2003-2015'!D234</f>
        <v>3.7748363</v>
      </c>
      <c r="E1098" s="14">
        <f>'extended_recharge_2003-2015'!E234</f>
        <v>10.794727</v>
      </c>
      <c r="F1098" s="14">
        <f>'extended_recharge_2003-2015'!F234</f>
        <v>9.0257210000000008</v>
      </c>
      <c r="G1098" s="14">
        <f>'extended_recharge_2003-2015'!G234</f>
        <v>32.802993999999998</v>
      </c>
      <c r="H1098" s="14">
        <f>'extended_recharge_2003-2015'!H234</f>
        <v>20.000698</v>
      </c>
      <c r="I1098" s="14">
        <f>'extended_recharge_2003-2015'!I234</f>
        <v>40.930866000000002</v>
      </c>
      <c r="J1098" s="14">
        <f>'extended_recharge_2003-2015'!J234</f>
        <v>16.576408000000001</v>
      </c>
      <c r="K1098" s="14">
        <f>'extended_recharge_2003-2015'!K234</f>
        <v>8.8327729999999995</v>
      </c>
      <c r="L1098" s="14">
        <f>'extended_recharge_2003-2015'!L234</f>
        <v>1.0081773999999999</v>
      </c>
      <c r="M1098" s="14">
        <f>'extended_recharge_2003-2015'!M234</f>
        <v>5.403378</v>
      </c>
      <c r="N1098" s="14">
        <f>'extended_recharge_2003-2015'!N234</f>
        <v>32.187503999999997</v>
      </c>
      <c r="O1098" s="14">
        <f>'extended_recharge_2003-2015'!O234</f>
        <v>24.526226000000001</v>
      </c>
      <c r="P1098" s="14">
        <f>'extended_recharge_2003-2015'!P234</f>
        <v>71.695689999999999</v>
      </c>
      <c r="Q1098" s="14">
        <f>'extended_recharge_2003-2015'!Q234</f>
        <v>2.3866212</v>
      </c>
      <c r="R1098" s="14">
        <f>'extended_recharge_2003-2015'!R234</f>
        <v>7.1657479999999998</v>
      </c>
      <c r="S1098" s="14">
        <f>'extended_recharge_2003-2015'!S234</f>
        <v>16.845334999999999</v>
      </c>
      <c r="T1098" s="14">
        <f>'extended_recharge_2003-2015'!T234</f>
        <v>32.941574000000003</v>
      </c>
      <c r="U1098" s="14">
        <f>'extended_recharge_2003-2015'!U234</f>
        <v>11.163432</v>
      </c>
      <c r="V1098" s="15">
        <f>'extended_recharge_2003-2015'!V234</f>
        <v>19.777407</v>
      </c>
      <c r="W1098" s="16">
        <f>'extended_recharge_2003-2015'!W234</f>
        <v>0.15969079999999999</v>
      </c>
      <c r="X1098" s="16">
        <f>'extended_recharge_2003-2015'!X234</f>
        <v>7.0356209999999999</v>
      </c>
      <c r="Y1098" s="16">
        <f>'extended_recharge_2003-2015'!Y234</f>
        <v>13.183358</v>
      </c>
      <c r="Z1098" s="16">
        <f>'extended_recharge_2003-2015'!Z234</f>
        <v>1.5849519999999999</v>
      </c>
      <c r="AA1098" s="16">
        <f>'extended_recharge_2003-2015'!AA234</f>
        <v>2.9175327000000002</v>
      </c>
      <c r="AB1098" s="16">
        <f>'extended_recharge_2003-2015'!AB234</f>
        <v>2.21061</v>
      </c>
      <c r="AC1098" s="16">
        <f>'extended_recharge_2003-2015'!AC234</f>
        <v>3.8159296999999999</v>
      </c>
      <c r="AD1098" s="16">
        <f>'extended_recharge_2003-2015'!AD234</f>
        <v>2.5287042</v>
      </c>
      <c r="AE1098" s="16">
        <f>'extended_recharge_2003-2015'!AE234</f>
        <v>22.989616000000002</v>
      </c>
      <c r="AF1098" s="16">
        <f>'extended_recharge_2003-2015'!AF234</f>
        <v>63.793776999999999</v>
      </c>
      <c r="AG1098" s="16">
        <f>'extended_recharge_2003-2015'!AG234</f>
        <v>9.7768169999999994</v>
      </c>
    </row>
    <row r="1099" spans="1:33" x14ac:dyDescent="0.2">
      <c r="A1099" s="3">
        <v>41364</v>
      </c>
      <c r="B1099" s="14">
        <f>'extended_recharge_2003-2015'!B235</f>
        <v>3.3825693000000001</v>
      </c>
      <c r="C1099" s="14">
        <f>'extended_recharge_2003-2015'!C235</f>
        <v>28.131542</v>
      </c>
      <c r="D1099" s="14">
        <f>'extended_recharge_2003-2015'!D235</f>
        <v>0.35552951999999999</v>
      </c>
      <c r="E1099" s="14">
        <f>'extended_recharge_2003-2015'!E235</f>
        <v>4.1073494000000004</v>
      </c>
      <c r="F1099" s="14">
        <f>'extended_recharge_2003-2015'!F235</f>
        <v>15.357087</v>
      </c>
      <c r="G1099" s="14">
        <f>'extended_recharge_2003-2015'!G235</f>
        <v>26.277999999999999</v>
      </c>
      <c r="H1099" s="14">
        <f>'extended_recharge_2003-2015'!H235</f>
        <v>17.802379999999999</v>
      </c>
      <c r="I1099" s="14">
        <f>'extended_recharge_2003-2015'!I235</f>
        <v>40.099640000000001</v>
      </c>
      <c r="J1099" s="14">
        <f>'extended_recharge_2003-2015'!J235</f>
        <v>8.7588419999999996</v>
      </c>
      <c r="K1099" s="14">
        <f>'extended_recharge_2003-2015'!K235</f>
        <v>12.212673000000001</v>
      </c>
      <c r="L1099" s="14">
        <f>'extended_recharge_2003-2015'!L235</f>
        <v>2.7898417000000002</v>
      </c>
      <c r="M1099" s="14">
        <f>'extended_recharge_2003-2015'!M235</f>
        <v>6.8146544000000002</v>
      </c>
      <c r="N1099" s="14">
        <f>'extended_recharge_2003-2015'!N235</f>
        <v>37.336320000000001</v>
      </c>
      <c r="O1099" s="14">
        <f>'extended_recharge_2003-2015'!O235</f>
        <v>21.890139000000001</v>
      </c>
      <c r="P1099" s="14">
        <f>'extended_recharge_2003-2015'!P235</f>
        <v>62.296363999999997</v>
      </c>
      <c r="Q1099" s="14">
        <f>'extended_recharge_2003-2015'!Q235</f>
        <v>2.2478400000000001</v>
      </c>
      <c r="R1099" s="14">
        <f>'extended_recharge_2003-2015'!R235</f>
        <v>6.9436730000000004</v>
      </c>
      <c r="S1099" s="14">
        <f>'extended_recharge_2003-2015'!S235</f>
        <v>27.944407000000002</v>
      </c>
      <c r="T1099" s="14">
        <f>'extended_recharge_2003-2015'!T235</f>
        <v>38.808205000000001</v>
      </c>
      <c r="U1099" s="14">
        <f>'extended_recharge_2003-2015'!U235</f>
        <v>9.0245529999999992</v>
      </c>
      <c r="V1099" s="15">
        <f>'extended_recharge_2003-2015'!V235</f>
        <v>22.455494000000002</v>
      </c>
      <c r="W1099" s="16">
        <f>'extended_recharge_2003-2015'!W235</f>
        <v>0.47192106</v>
      </c>
      <c r="X1099" s="16">
        <f>'extended_recharge_2003-2015'!X235</f>
        <v>6.1305413</v>
      </c>
      <c r="Y1099" s="16">
        <f>'extended_recharge_2003-2015'!Y235</f>
        <v>15.126275</v>
      </c>
      <c r="Z1099" s="16">
        <f>'extended_recharge_2003-2015'!Z235</f>
        <v>1.1445307</v>
      </c>
      <c r="AA1099" s="16">
        <f>'extended_recharge_2003-2015'!AA235</f>
        <v>3.7019818</v>
      </c>
      <c r="AB1099" s="16">
        <f>'extended_recharge_2003-2015'!AB235</f>
        <v>2.2883100000000001</v>
      </c>
      <c r="AC1099" s="16">
        <f>'extended_recharge_2003-2015'!AC235</f>
        <v>3.5012186000000001</v>
      </c>
      <c r="AD1099" s="16">
        <f>'extended_recharge_2003-2015'!AD235</f>
        <v>3.3116276</v>
      </c>
      <c r="AE1099" s="16">
        <f>'extended_recharge_2003-2015'!AE235</f>
        <v>16.574567999999999</v>
      </c>
      <c r="AF1099" s="16">
        <f>'extended_recharge_2003-2015'!AF235</f>
        <v>72.784514999999999</v>
      </c>
      <c r="AG1099" s="16">
        <f>'extended_recharge_2003-2015'!AG235</f>
        <v>10.738572</v>
      </c>
    </row>
    <row r="1100" spans="1:33" x14ac:dyDescent="0.2">
      <c r="A1100" s="3">
        <v>41394</v>
      </c>
      <c r="B1100" s="14">
        <f>'extended_recharge_2003-2015'!B236</f>
        <v>5.4374365999999998</v>
      </c>
      <c r="C1100" s="14">
        <f>'extended_recharge_2003-2015'!C236</f>
        <v>27.450184</v>
      </c>
      <c r="D1100" s="14">
        <f>'extended_recharge_2003-2015'!D236</f>
        <v>-4.6689606000000001</v>
      </c>
      <c r="E1100" s="14">
        <f>'extended_recharge_2003-2015'!E236</f>
        <v>-9.0088419999999996</v>
      </c>
      <c r="F1100" s="14">
        <f>'extended_recharge_2003-2015'!F236</f>
        <v>11.282500000000001</v>
      </c>
      <c r="G1100" s="14">
        <f>'extended_recharge_2003-2015'!G236</f>
        <v>16.878990000000002</v>
      </c>
      <c r="H1100" s="14">
        <f>'extended_recharge_2003-2015'!H236</f>
        <v>13.724138</v>
      </c>
      <c r="I1100" s="14">
        <f>'extended_recharge_2003-2015'!I236</f>
        <v>39.430835999999999</v>
      </c>
      <c r="J1100" s="14">
        <f>'extended_recharge_2003-2015'!J236</f>
        <v>-1.3439717</v>
      </c>
      <c r="K1100" s="14">
        <f>'extended_recharge_2003-2015'!K236</f>
        <v>4.3777460000000001</v>
      </c>
      <c r="L1100" s="14">
        <f>'extended_recharge_2003-2015'!L236</f>
        <v>-2.3792336000000001</v>
      </c>
      <c r="M1100" s="14">
        <f>'extended_recharge_2003-2015'!M236</f>
        <v>1.1729672</v>
      </c>
      <c r="N1100" s="14">
        <f>'extended_recharge_2003-2015'!N236</f>
        <v>33.081726000000003</v>
      </c>
      <c r="O1100" s="14">
        <f>'extended_recharge_2003-2015'!O236</f>
        <v>22.638884000000001</v>
      </c>
      <c r="P1100" s="14">
        <f>'extended_recharge_2003-2015'!P236</f>
        <v>78.194405000000003</v>
      </c>
      <c r="Q1100" s="14">
        <f>'extended_recharge_2003-2015'!Q236</f>
        <v>3.4714331999999999</v>
      </c>
      <c r="R1100" s="14">
        <f>'extended_recharge_2003-2015'!R236</f>
        <v>7.0215129999999997</v>
      </c>
      <c r="S1100" s="14">
        <f>'extended_recharge_2003-2015'!S236</f>
        <v>18.298496</v>
      </c>
      <c r="T1100" s="14">
        <f>'extended_recharge_2003-2015'!T236</f>
        <v>31.581050000000001</v>
      </c>
      <c r="U1100" s="14">
        <f>'extended_recharge_2003-2015'!U236</f>
        <v>11.586696</v>
      </c>
      <c r="V1100" s="15">
        <f>'extended_recharge_2003-2015'!V236</f>
        <v>22.428927999999999</v>
      </c>
      <c r="W1100" s="16">
        <f>'extended_recharge_2003-2015'!W236</f>
        <v>0.14530185000000001</v>
      </c>
      <c r="X1100" s="16">
        <f>'extended_recharge_2003-2015'!X236</f>
        <v>6.0480499999999999</v>
      </c>
      <c r="Y1100" s="16">
        <f>'extended_recharge_2003-2015'!Y236</f>
        <v>17.223268999999998</v>
      </c>
      <c r="Z1100" s="16">
        <f>'extended_recharge_2003-2015'!Z236</f>
        <v>1.2000369</v>
      </c>
      <c r="AA1100" s="16">
        <f>'extended_recharge_2003-2015'!AA236</f>
        <v>3.8070738</v>
      </c>
      <c r="AB1100" s="16">
        <f>'extended_recharge_2003-2015'!AB236</f>
        <v>1.7013526000000001</v>
      </c>
      <c r="AC1100" s="16">
        <f>'extended_recharge_2003-2015'!AC236</f>
        <v>3.5608194000000002</v>
      </c>
      <c r="AD1100" s="16">
        <f>'extended_recharge_2003-2015'!AD236</f>
        <v>4.5087704999999998</v>
      </c>
      <c r="AE1100" s="16">
        <f>'extended_recharge_2003-2015'!AE236</f>
        <v>8.0330440000000003</v>
      </c>
      <c r="AF1100" s="16">
        <f>'extended_recharge_2003-2015'!AF236</f>
        <v>82.756423999999996</v>
      </c>
      <c r="AG1100" s="16">
        <f>'extended_recharge_2003-2015'!AG236</f>
        <v>14.164868999999999</v>
      </c>
    </row>
    <row r="1101" spans="1:33" x14ac:dyDescent="0.2">
      <c r="A1101" s="3">
        <v>41425</v>
      </c>
      <c r="B1101" s="14">
        <f>'extended_recharge_2003-2015'!B237</f>
        <v>5.8807606999999997</v>
      </c>
      <c r="C1101" s="14">
        <f>'extended_recharge_2003-2015'!C237</f>
        <v>23.773792</v>
      </c>
      <c r="D1101" s="14">
        <f>'extended_recharge_2003-2015'!D237</f>
        <v>-8.2387949999999996</v>
      </c>
      <c r="E1101" s="14">
        <f>'extended_recharge_2003-2015'!E237</f>
        <v>-23.217562000000001</v>
      </c>
      <c r="F1101" s="14">
        <f>'extended_recharge_2003-2015'!F237</f>
        <v>-11.023811</v>
      </c>
      <c r="G1101" s="14">
        <f>'extended_recharge_2003-2015'!G237</f>
        <v>-0.78424059999999995</v>
      </c>
      <c r="H1101" s="14">
        <f>'extended_recharge_2003-2015'!H237</f>
        <v>12.670703</v>
      </c>
      <c r="I1101" s="14">
        <f>'extended_recharge_2003-2015'!I237</f>
        <v>36.762219999999999</v>
      </c>
      <c r="J1101" s="14">
        <f>'extended_recharge_2003-2015'!J237</f>
        <v>-4.2602696</v>
      </c>
      <c r="K1101" s="14">
        <f>'extended_recharge_2003-2015'!K237</f>
        <v>4.7615049999999997</v>
      </c>
      <c r="L1101" s="14">
        <f>'extended_recharge_2003-2015'!L237</f>
        <v>-2.9783412999999999</v>
      </c>
      <c r="M1101" s="14">
        <f>'extended_recharge_2003-2015'!M237</f>
        <v>1.7677677000000001</v>
      </c>
      <c r="N1101" s="14">
        <f>'extended_recharge_2003-2015'!N237</f>
        <v>36.089626000000003</v>
      </c>
      <c r="O1101" s="14">
        <f>'extended_recharge_2003-2015'!O237</f>
        <v>22.329062</v>
      </c>
      <c r="P1101" s="14">
        <f>'extended_recharge_2003-2015'!P237</f>
        <v>70.304100000000005</v>
      </c>
      <c r="Q1101" s="14">
        <f>'extended_recharge_2003-2015'!Q237</f>
        <v>4.5383944999999999</v>
      </c>
      <c r="R1101" s="14">
        <f>'extended_recharge_2003-2015'!R237</f>
        <v>6.7456719999999999</v>
      </c>
      <c r="S1101" s="14">
        <f>'extended_recharge_2003-2015'!S237</f>
        <v>14.47702</v>
      </c>
      <c r="T1101" s="14">
        <f>'extended_recharge_2003-2015'!T237</f>
        <v>40.116039999999998</v>
      </c>
      <c r="U1101" s="14">
        <f>'extended_recharge_2003-2015'!U237</f>
        <v>10.864545</v>
      </c>
      <c r="V1101" s="15">
        <f>'extended_recharge_2003-2015'!V237</f>
        <v>30.463418999999998</v>
      </c>
      <c r="W1101" s="16">
        <f>'extended_recharge_2003-2015'!W237</f>
        <v>4.0312023000000003</v>
      </c>
      <c r="X1101" s="16">
        <f>'extended_recharge_2003-2015'!X237</f>
        <v>6.9442979999999999</v>
      </c>
      <c r="Y1101" s="16">
        <f>'extended_recharge_2003-2015'!Y237</f>
        <v>21.60915</v>
      </c>
      <c r="Z1101" s="16">
        <f>'extended_recharge_2003-2015'!Z237</f>
        <v>1.0331701</v>
      </c>
      <c r="AA1101" s="16">
        <f>'extended_recharge_2003-2015'!AA237</f>
        <v>3.5344250000000001</v>
      </c>
      <c r="AB1101" s="16">
        <f>'extended_recharge_2003-2015'!AB237</f>
        <v>1.8987541999999999</v>
      </c>
      <c r="AC1101" s="16">
        <f>'extended_recharge_2003-2015'!AC237</f>
        <v>3.5430164</v>
      </c>
      <c r="AD1101" s="16">
        <f>'extended_recharge_2003-2015'!AD237</f>
        <v>7.8275119999999996</v>
      </c>
      <c r="AE1101" s="16">
        <f>'extended_recharge_2003-2015'!AE237</f>
        <v>2.5439980000000002</v>
      </c>
      <c r="AF1101" s="16">
        <f>'extended_recharge_2003-2015'!AF237</f>
        <v>94.266019999999997</v>
      </c>
      <c r="AG1101" s="16">
        <f>'extended_recharge_2003-2015'!AG237</f>
        <v>17.858948000000002</v>
      </c>
    </row>
    <row r="1102" spans="1:33" x14ac:dyDescent="0.2">
      <c r="A1102" s="3">
        <v>41455</v>
      </c>
      <c r="B1102" s="14">
        <f>'extended_recharge_2003-2015'!B238</f>
        <v>5.6624416999999996</v>
      </c>
      <c r="C1102" s="14">
        <f>'extended_recharge_2003-2015'!C238</f>
        <v>23.442347999999999</v>
      </c>
      <c r="D1102" s="14">
        <f>'extended_recharge_2003-2015'!D238</f>
        <v>-7.2188686999999998</v>
      </c>
      <c r="E1102" s="14">
        <f>'extended_recharge_2003-2015'!E238</f>
        <v>-21.702000000000002</v>
      </c>
      <c r="F1102" s="14">
        <f>'extended_recharge_2003-2015'!F238</f>
        <v>-10.21942</v>
      </c>
      <c r="G1102" s="14">
        <f>'extended_recharge_2003-2015'!G238</f>
        <v>-4.3420639999999997</v>
      </c>
      <c r="H1102" s="14">
        <f>'extended_recharge_2003-2015'!H238</f>
        <v>13.326803</v>
      </c>
      <c r="I1102" s="14">
        <f>'extended_recharge_2003-2015'!I238</f>
        <v>36.572581999999997</v>
      </c>
      <c r="J1102" s="14">
        <f>'extended_recharge_2003-2015'!J238</f>
        <v>-2.0268860000000002</v>
      </c>
      <c r="K1102" s="14">
        <f>'extended_recharge_2003-2015'!K238</f>
        <v>3.6468115000000001</v>
      </c>
      <c r="L1102" s="14">
        <f>'extended_recharge_2003-2015'!L238</f>
        <v>-6.8989796999999999</v>
      </c>
      <c r="M1102" s="14">
        <f>'extended_recharge_2003-2015'!M238</f>
        <v>1.3030406000000001</v>
      </c>
      <c r="N1102" s="14">
        <f>'extended_recharge_2003-2015'!N238</f>
        <v>30.41236</v>
      </c>
      <c r="O1102" s="14">
        <f>'extended_recharge_2003-2015'!O238</f>
        <v>19.545807</v>
      </c>
      <c r="P1102" s="14">
        <f>'extended_recharge_2003-2015'!P238</f>
        <v>69.605760000000004</v>
      </c>
      <c r="Q1102" s="14">
        <f>'extended_recharge_2003-2015'!Q238</f>
        <v>4.2602770000000003</v>
      </c>
      <c r="R1102" s="14">
        <f>'extended_recharge_2003-2015'!R238</f>
        <v>8.7410259999999997</v>
      </c>
      <c r="S1102" s="14">
        <f>'extended_recharge_2003-2015'!S238</f>
        <v>13.857969000000001</v>
      </c>
      <c r="T1102" s="14">
        <f>'extended_recharge_2003-2015'!T238</f>
        <v>39.966835000000003</v>
      </c>
      <c r="U1102" s="14">
        <f>'extended_recharge_2003-2015'!U238</f>
        <v>9.4312740000000002</v>
      </c>
      <c r="V1102" s="15">
        <f>'extended_recharge_2003-2015'!V238</f>
        <v>31.097815000000001</v>
      </c>
      <c r="W1102" s="16">
        <f>'extended_recharge_2003-2015'!W238</f>
        <v>17.160634999999999</v>
      </c>
      <c r="X1102" s="16">
        <f>'extended_recharge_2003-2015'!X238</f>
        <v>6.3699503000000002</v>
      </c>
      <c r="Y1102" s="16">
        <f>'extended_recharge_2003-2015'!Y238</f>
        <v>22.532526000000001</v>
      </c>
      <c r="Z1102" s="16">
        <f>'extended_recharge_2003-2015'!Z238</f>
        <v>1.7233505</v>
      </c>
      <c r="AA1102" s="16">
        <f>'extended_recharge_2003-2015'!AA238</f>
        <v>4.6420984000000001</v>
      </c>
      <c r="AB1102" s="16">
        <f>'extended_recharge_2003-2015'!AB238</f>
        <v>2.3279269999999999</v>
      </c>
      <c r="AC1102" s="16">
        <f>'extended_recharge_2003-2015'!AC238</f>
        <v>4.1961500000000003</v>
      </c>
      <c r="AD1102" s="16">
        <f>'extended_recharge_2003-2015'!AD238</f>
        <v>12.348774000000001</v>
      </c>
      <c r="AE1102" s="16">
        <f>'extended_recharge_2003-2015'!AE238</f>
        <v>-1.5478952000000001E-2</v>
      </c>
      <c r="AF1102" s="16">
        <f>'extended_recharge_2003-2015'!AF238</f>
        <v>101.49119</v>
      </c>
      <c r="AG1102" s="16">
        <f>'extended_recharge_2003-2015'!AG238</f>
        <v>23.129688000000002</v>
      </c>
    </row>
    <row r="1103" spans="1:33" x14ac:dyDescent="0.2">
      <c r="A1103" s="3">
        <v>41486</v>
      </c>
      <c r="B1103" s="14">
        <f>'extended_recharge_2003-2015'!B239</f>
        <v>7.3202943999999999</v>
      </c>
      <c r="C1103" s="14">
        <f>'extended_recharge_2003-2015'!C239</f>
        <v>23.033190000000001</v>
      </c>
      <c r="D1103" s="14">
        <f>'extended_recharge_2003-2015'!D239</f>
        <v>-3.9334614000000001</v>
      </c>
      <c r="E1103" s="14">
        <f>'extended_recharge_2003-2015'!E239</f>
        <v>-8.7931319999999999</v>
      </c>
      <c r="F1103" s="14">
        <f>'extended_recharge_2003-2015'!F239</f>
        <v>10.977278999999999</v>
      </c>
      <c r="G1103" s="14">
        <f>'extended_recharge_2003-2015'!G239</f>
        <v>6.3597016000000002</v>
      </c>
      <c r="H1103" s="14">
        <f>'extended_recharge_2003-2015'!H239</f>
        <v>16.487500000000001</v>
      </c>
      <c r="I1103" s="14">
        <f>'extended_recharge_2003-2015'!I239</f>
        <v>36.622463000000003</v>
      </c>
      <c r="J1103" s="14">
        <f>'extended_recharge_2003-2015'!J239</f>
        <v>-2.2098855999999998</v>
      </c>
      <c r="K1103" s="14">
        <f>'extended_recharge_2003-2015'!K239</f>
        <v>3.0890049999999998</v>
      </c>
      <c r="L1103" s="14">
        <f>'extended_recharge_2003-2015'!L239</f>
        <v>0.859151</v>
      </c>
      <c r="M1103" s="14">
        <f>'extended_recharge_2003-2015'!M239</f>
        <v>2.0485768000000002</v>
      </c>
      <c r="N1103" s="14">
        <f>'extended_recharge_2003-2015'!N239</f>
        <v>33.27805</v>
      </c>
      <c r="O1103" s="14">
        <f>'extended_recharge_2003-2015'!O239</f>
        <v>22.985631999999999</v>
      </c>
      <c r="P1103" s="14">
        <f>'extended_recharge_2003-2015'!P239</f>
        <v>60.347270000000002</v>
      </c>
      <c r="Q1103" s="14">
        <f>'extended_recharge_2003-2015'!Q239</f>
        <v>5.5183495999999996</v>
      </c>
      <c r="R1103" s="14">
        <f>'extended_recharge_2003-2015'!R239</f>
        <v>8.7343799999999998</v>
      </c>
      <c r="S1103" s="14">
        <f>'extended_recharge_2003-2015'!S239</f>
        <v>13.223269999999999</v>
      </c>
      <c r="T1103" s="14">
        <f>'extended_recharge_2003-2015'!T239</f>
        <v>34.622230000000002</v>
      </c>
      <c r="U1103" s="14">
        <f>'extended_recharge_2003-2015'!U239</f>
        <v>10.006577</v>
      </c>
      <c r="V1103" s="15">
        <f>'extended_recharge_2003-2015'!V239</f>
        <v>33.801009999999998</v>
      </c>
      <c r="W1103" s="16">
        <f>'extended_recharge_2003-2015'!W239</f>
        <v>27.956516000000001</v>
      </c>
      <c r="X1103" s="16">
        <f>'extended_recharge_2003-2015'!X239</f>
        <v>5.7306613999999998</v>
      </c>
      <c r="Y1103" s="16">
        <f>'extended_recharge_2003-2015'!Y239</f>
        <v>21.307614999999998</v>
      </c>
      <c r="Z1103" s="16">
        <f>'extended_recharge_2003-2015'!Z239</f>
        <v>2.8220203000000001</v>
      </c>
      <c r="AA1103" s="16">
        <f>'extended_recharge_2003-2015'!AA239</f>
        <v>6.4085207000000004</v>
      </c>
      <c r="AB1103" s="16">
        <f>'extended_recharge_2003-2015'!AB239</f>
        <v>2.0207543000000001</v>
      </c>
      <c r="AC1103" s="16">
        <f>'extended_recharge_2003-2015'!AC239</f>
        <v>3.8501525000000001</v>
      </c>
      <c r="AD1103" s="16">
        <f>'extended_recharge_2003-2015'!AD239</f>
        <v>12.965009</v>
      </c>
      <c r="AE1103" s="16">
        <f>'extended_recharge_2003-2015'!AE239</f>
        <v>-1.0196145999999999</v>
      </c>
      <c r="AF1103" s="16">
        <f>'extended_recharge_2003-2015'!AF239</f>
        <v>107.96048999999999</v>
      </c>
      <c r="AG1103" s="16">
        <f>'extended_recharge_2003-2015'!AG239</f>
        <v>25.099630000000001</v>
      </c>
    </row>
    <row r="1104" spans="1:33" x14ac:dyDescent="0.2">
      <c r="A1104" s="3">
        <v>41517</v>
      </c>
      <c r="B1104" s="14">
        <f>'extended_recharge_2003-2015'!B240</f>
        <v>5.2232294000000001</v>
      </c>
      <c r="C1104" s="14">
        <f>'extended_recharge_2003-2015'!C240</f>
        <v>23.793716</v>
      </c>
      <c r="D1104" s="14">
        <f>'extended_recharge_2003-2015'!D240</f>
        <v>-2.9236681</v>
      </c>
      <c r="E1104" s="14">
        <f>'extended_recharge_2003-2015'!E240</f>
        <v>-10.44903</v>
      </c>
      <c r="F1104" s="14">
        <f>'extended_recharge_2003-2015'!F240</f>
        <v>1.9516378999999999</v>
      </c>
      <c r="G1104" s="14">
        <f>'extended_recharge_2003-2015'!G240</f>
        <v>14.883789</v>
      </c>
      <c r="H1104" s="14">
        <f>'extended_recharge_2003-2015'!H240</f>
        <v>15.183453999999999</v>
      </c>
      <c r="I1104" s="14">
        <f>'extended_recharge_2003-2015'!I240</f>
        <v>38.222520000000003</v>
      </c>
      <c r="J1104" s="14">
        <f>'extended_recharge_2003-2015'!J240</f>
        <v>3.8963239999999999</v>
      </c>
      <c r="K1104" s="14">
        <f>'extended_recharge_2003-2015'!K240</f>
        <v>4.9869102999999999</v>
      </c>
      <c r="L1104" s="14">
        <f>'extended_recharge_2003-2015'!L240</f>
        <v>4.1710042999999999</v>
      </c>
      <c r="M1104" s="14">
        <f>'extended_recharge_2003-2015'!M240</f>
        <v>2.7357252000000001</v>
      </c>
      <c r="N1104" s="14">
        <f>'extended_recharge_2003-2015'!N240</f>
        <v>31.507840000000002</v>
      </c>
      <c r="O1104" s="14">
        <f>'extended_recharge_2003-2015'!O240</f>
        <v>25.248898000000001</v>
      </c>
      <c r="P1104" s="14">
        <f>'extended_recharge_2003-2015'!P240</f>
        <v>57.6496</v>
      </c>
      <c r="Q1104" s="14">
        <f>'extended_recharge_2003-2015'!Q240</f>
        <v>5.0872279999999996</v>
      </c>
      <c r="R1104" s="14">
        <f>'extended_recharge_2003-2015'!R240</f>
        <v>7.6495249999999997</v>
      </c>
      <c r="S1104" s="14">
        <f>'extended_recharge_2003-2015'!S240</f>
        <v>12.827693</v>
      </c>
      <c r="T1104" s="14">
        <f>'extended_recharge_2003-2015'!T240</f>
        <v>36.556342999999998</v>
      </c>
      <c r="U1104" s="14">
        <f>'extended_recharge_2003-2015'!U240</f>
        <v>12.364934</v>
      </c>
      <c r="V1104" s="15">
        <f>'extended_recharge_2003-2015'!V240</f>
        <v>35.173400000000001</v>
      </c>
      <c r="W1104" s="16">
        <f>'extended_recharge_2003-2015'!W240</f>
        <v>31.219563999999998</v>
      </c>
      <c r="X1104" s="16">
        <f>'extended_recharge_2003-2015'!X240</f>
        <v>6.5966360000000002</v>
      </c>
      <c r="Y1104" s="16">
        <f>'extended_recharge_2003-2015'!Y240</f>
        <v>19.540631999999999</v>
      </c>
      <c r="Z1104" s="16">
        <f>'extended_recharge_2003-2015'!Z240</f>
        <v>3.8767680000000002</v>
      </c>
      <c r="AA1104" s="16">
        <f>'extended_recharge_2003-2015'!AA240</f>
        <v>4.6074890000000002</v>
      </c>
      <c r="AB1104" s="16">
        <f>'extended_recharge_2003-2015'!AB240</f>
        <v>1.5570549</v>
      </c>
      <c r="AC1104" s="16">
        <f>'extended_recharge_2003-2015'!AC240</f>
        <v>3.5911810000000002</v>
      </c>
      <c r="AD1104" s="16">
        <f>'extended_recharge_2003-2015'!AD240</f>
        <v>10.128007999999999</v>
      </c>
      <c r="AE1104" s="16">
        <f>'extended_recharge_2003-2015'!AE240</f>
        <v>-1.6780656000000001E-2</v>
      </c>
      <c r="AF1104" s="16">
        <f>'extended_recharge_2003-2015'!AF240</f>
        <v>108.6478</v>
      </c>
      <c r="AG1104" s="16">
        <f>'extended_recharge_2003-2015'!AG240</f>
        <v>23.717252999999999</v>
      </c>
    </row>
    <row r="1105" spans="1:33" x14ac:dyDescent="0.2">
      <c r="A1105" s="3">
        <v>41547</v>
      </c>
      <c r="B1105" s="14">
        <f>'extended_recharge_2003-2015'!B241</f>
        <v>4.4308766999999998</v>
      </c>
      <c r="C1105" s="14">
        <f>'extended_recharge_2003-2015'!C241</f>
        <v>24.128997999999999</v>
      </c>
      <c r="D1105" s="14">
        <f>'extended_recharge_2003-2015'!D241</f>
        <v>1.4502379999999999</v>
      </c>
      <c r="E1105" s="14">
        <f>'extended_recharge_2003-2015'!E241</f>
        <v>-3.9879649000000001</v>
      </c>
      <c r="F1105" s="14">
        <f>'extended_recharge_2003-2015'!F241</f>
        <v>6.5118879999999999</v>
      </c>
      <c r="G1105" s="14">
        <f>'extended_recharge_2003-2015'!G241</f>
        <v>21.221423999999999</v>
      </c>
      <c r="H1105" s="14">
        <f>'extended_recharge_2003-2015'!H241</f>
        <v>15.721628000000001</v>
      </c>
      <c r="I1105" s="14">
        <f>'extended_recharge_2003-2015'!I241</f>
        <v>39.980953</v>
      </c>
      <c r="J1105" s="14">
        <f>'extended_recharge_2003-2015'!J241</f>
        <v>11.080920000000001</v>
      </c>
      <c r="K1105" s="14">
        <f>'extended_recharge_2003-2015'!K241</f>
        <v>3.215198</v>
      </c>
      <c r="L1105" s="14">
        <f>'extended_recharge_2003-2015'!L241</f>
        <v>10.402248999999999</v>
      </c>
      <c r="M1105" s="14">
        <f>'extended_recharge_2003-2015'!M241</f>
        <v>4.5669079999999997</v>
      </c>
      <c r="N1105" s="14">
        <f>'extended_recharge_2003-2015'!N241</f>
        <v>30.87837</v>
      </c>
      <c r="O1105" s="14">
        <f>'extended_recharge_2003-2015'!O241</f>
        <v>24.567851999999998</v>
      </c>
      <c r="P1105" s="14">
        <f>'extended_recharge_2003-2015'!P241</f>
        <v>51.239983000000002</v>
      </c>
      <c r="Q1105" s="14">
        <f>'extended_recharge_2003-2015'!Q241</f>
        <v>5.3154078</v>
      </c>
      <c r="R1105" s="14">
        <f>'extended_recharge_2003-2015'!R241</f>
        <v>8.2044569999999997</v>
      </c>
      <c r="S1105" s="14">
        <f>'extended_recharge_2003-2015'!S241</f>
        <v>19.15813</v>
      </c>
      <c r="T1105" s="14">
        <f>'extended_recharge_2003-2015'!T241</f>
        <v>35.838920000000002</v>
      </c>
      <c r="U1105" s="14">
        <f>'extended_recharge_2003-2015'!U241</f>
        <v>11.223369999999999</v>
      </c>
      <c r="V1105" s="15">
        <f>'extended_recharge_2003-2015'!V241</f>
        <v>30.674389000000001</v>
      </c>
      <c r="W1105" s="16">
        <f>'extended_recharge_2003-2015'!W241</f>
        <v>25.973507000000001</v>
      </c>
      <c r="X1105" s="16">
        <f>'extended_recharge_2003-2015'!X241</f>
        <v>5.5929283999999999</v>
      </c>
      <c r="Y1105" s="16">
        <f>'extended_recharge_2003-2015'!Y241</f>
        <v>17.963297000000001</v>
      </c>
      <c r="Z1105" s="16">
        <f>'extended_recharge_2003-2015'!Z241</f>
        <v>3.5867512000000001</v>
      </c>
      <c r="AA1105" s="16">
        <f>'extended_recharge_2003-2015'!AA241</f>
        <v>4.6144239999999996</v>
      </c>
      <c r="AB1105" s="16">
        <f>'extended_recharge_2003-2015'!AB241</f>
        <v>1.3607825</v>
      </c>
      <c r="AC1105" s="16">
        <f>'extended_recharge_2003-2015'!AC241</f>
        <v>4.7541304000000002</v>
      </c>
      <c r="AD1105" s="16">
        <f>'extended_recharge_2003-2015'!AD241</f>
        <v>6.3759839999999999</v>
      </c>
      <c r="AE1105" s="16">
        <f>'extended_recharge_2003-2015'!AE241</f>
        <v>3.1105109999999998</v>
      </c>
      <c r="AF1105" s="16">
        <f>'extended_recharge_2003-2015'!AF241</f>
        <v>100.38248400000001</v>
      </c>
      <c r="AG1105" s="16">
        <f>'extended_recharge_2003-2015'!AG241</f>
        <v>20.467141999999999</v>
      </c>
    </row>
    <row r="1106" spans="1:33" x14ac:dyDescent="0.2">
      <c r="A1106" s="3">
        <v>41578</v>
      </c>
      <c r="B1106" s="14">
        <f>'extended_recharge_2003-2015'!B242</f>
        <v>2.0417836</v>
      </c>
      <c r="C1106" s="14">
        <f>'extended_recharge_2003-2015'!C242</f>
        <v>24.659649000000002</v>
      </c>
      <c r="D1106" s="14">
        <f>'extended_recharge_2003-2015'!D242</f>
        <v>2.2882001000000001</v>
      </c>
      <c r="E1106" s="14">
        <f>'extended_recharge_2003-2015'!E242</f>
        <v>-10.445251000000001</v>
      </c>
      <c r="F1106" s="14">
        <f>'extended_recharge_2003-2015'!F242</f>
        <v>7.4100440000000001</v>
      </c>
      <c r="G1106" s="14">
        <f>'extended_recharge_2003-2015'!G242</f>
        <v>17.282612</v>
      </c>
      <c r="H1106" s="14">
        <f>'extended_recharge_2003-2015'!H242</f>
        <v>13.998319</v>
      </c>
      <c r="I1106" s="14">
        <f>'extended_recharge_2003-2015'!I242</f>
        <v>39.234397999999999</v>
      </c>
      <c r="J1106" s="14">
        <f>'extended_recharge_2003-2015'!J242</f>
        <v>19.615438000000001</v>
      </c>
      <c r="K1106" s="14">
        <f>'extended_recharge_2003-2015'!K242</f>
        <v>4.597791</v>
      </c>
      <c r="L1106" s="14">
        <f>'extended_recharge_2003-2015'!L242</f>
        <v>8.3271789999999992</v>
      </c>
      <c r="M1106" s="14">
        <f>'extended_recharge_2003-2015'!M242</f>
        <v>4.6482590000000004</v>
      </c>
      <c r="N1106" s="14">
        <f>'extended_recharge_2003-2015'!N242</f>
        <v>34.321877000000001</v>
      </c>
      <c r="O1106" s="14">
        <f>'extended_recharge_2003-2015'!O242</f>
        <v>24.423708000000001</v>
      </c>
      <c r="P1106" s="14">
        <f>'extended_recharge_2003-2015'!P242</f>
        <v>44.905552</v>
      </c>
      <c r="Q1106" s="14">
        <f>'extended_recharge_2003-2015'!Q242</f>
        <v>3.1447055000000002</v>
      </c>
      <c r="R1106" s="14">
        <f>'extended_recharge_2003-2015'!R242</f>
        <v>9.8611679999999993</v>
      </c>
      <c r="S1106" s="14">
        <f>'extended_recharge_2003-2015'!S242</f>
        <v>17.445900000000002</v>
      </c>
      <c r="T1106" s="14">
        <f>'extended_recharge_2003-2015'!T242</f>
        <v>36.836120000000001</v>
      </c>
      <c r="U1106" s="14">
        <f>'extended_recharge_2003-2015'!U242</f>
        <v>11.059540999999999</v>
      </c>
      <c r="V1106" s="15">
        <f>'extended_recharge_2003-2015'!V242</f>
        <v>24.549009999999999</v>
      </c>
      <c r="W1106" s="16">
        <f>'extended_recharge_2003-2015'!W242</f>
        <v>23.019238000000001</v>
      </c>
      <c r="X1106" s="16">
        <f>'extended_recharge_2003-2015'!X242</f>
        <v>5.7533099999999999</v>
      </c>
      <c r="Y1106" s="16">
        <f>'extended_recharge_2003-2015'!Y242</f>
        <v>13.947912000000001</v>
      </c>
      <c r="Z1106" s="16">
        <f>'extended_recharge_2003-2015'!Z242</f>
        <v>7.4661393</v>
      </c>
      <c r="AA1106" s="16">
        <f>'extended_recharge_2003-2015'!AA242</f>
        <v>5.3113174000000001</v>
      </c>
      <c r="AB1106" s="16">
        <f>'extended_recharge_2003-2015'!AB242</f>
        <v>1.4877279000000001</v>
      </c>
      <c r="AC1106" s="16">
        <f>'extended_recharge_2003-2015'!AC242</f>
        <v>4.2353544000000003</v>
      </c>
      <c r="AD1106" s="16">
        <f>'extended_recharge_2003-2015'!AD242</f>
        <v>3.9321100000000002</v>
      </c>
      <c r="AE1106" s="16">
        <f>'extended_recharge_2003-2015'!AE242</f>
        <v>7.8469863000000002</v>
      </c>
      <c r="AF1106" s="16">
        <f>'extended_recharge_2003-2015'!AF242</f>
        <v>90.492615000000001</v>
      </c>
      <c r="AG1106" s="16">
        <f>'extended_recharge_2003-2015'!AG242</f>
        <v>16.620512000000002</v>
      </c>
    </row>
    <row r="1107" spans="1:33" x14ac:dyDescent="0.2">
      <c r="A1107" s="3">
        <v>41608</v>
      </c>
      <c r="B1107" s="14">
        <f>'extended_recharge_2003-2015'!B243</f>
        <v>1.7105440999999999</v>
      </c>
      <c r="C1107" s="14">
        <f>'extended_recharge_2003-2015'!C243</f>
        <v>24.589995999999999</v>
      </c>
      <c r="D1107" s="14">
        <f>'extended_recharge_2003-2015'!D243</f>
        <v>4.7895637000000004</v>
      </c>
      <c r="E1107" s="14">
        <f>'extended_recharge_2003-2015'!E243</f>
        <v>10.847913</v>
      </c>
      <c r="F1107" s="14">
        <f>'extended_recharge_2003-2015'!F243</f>
        <v>26.591463000000001</v>
      </c>
      <c r="G1107" s="14">
        <f>'extended_recharge_2003-2015'!G243</f>
        <v>31.135587999999998</v>
      </c>
      <c r="H1107" s="14">
        <f>'extended_recharge_2003-2015'!H243</f>
        <v>17.309014999999999</v>
      </c>
      <c r="I1107" s="14">
        <f>'extended_recharge_2003-2015'!I243</f>
        <v>38.904305000000001</v>
      </c>
      <c r="J1107" s="14">
        <f>'extended_recharge_2003-2015'!J243</f>
        <v>27.178963</v>
      </c>
      <c r="K1107" s="14">
        <f>'extended_recharge_2003-2015'!K243</f>
        <v>12.500878</v>
      </c>
      <c r="L1107" s="14">
        <f>'extended_recharge_2003-2015'!L243</f>
        <v>12.217933</v>
      </c>
      <c r="M1107" s="14">
        <f>'extended_recharge_2003-2015'!M243</f>
        <v>10.746486000000001</v>
      </c>
      <c r="N1107" s="14">
        <f>'extended_recharge_2003-2015'!N243</f>
        <v>38.085613000000002</v>
      </c>
      <c r="O1107" s="14">
        <f>'extended_recharge_2003-2015'!O243</f>
        <v>23.978563000000001</v>
      </c>
      <c r="P1107" s="14">
        <f>'extended_recharge_2003-2015'!P243</f>
        <v>71.31671</v>
      </c>
      <c r="Q1107" s="14">
        <f>'extended_recharge_2003-2015'!Q243</f>
        <v>3.8380423000000001</v>
      </c>
      <c r="R1107" s="14">
        <f>'extended_recharge_2003-2015'!R243</f>
        <v>9.2339169999999999</v>
      </c>
      <c r="S1107" s="14">
        <f>'extended_recharge_2003-2015'!S243</f>
        <v>24.064869000000002</v>
      </c>
      <c r="T1107" s="14">
        <f>'extended_recharge_2003-2015'!T243</f>
        <v>41.392918000000002</v>
      </c>
      <c r="U1107" s="14">
        <f>'extended_recharge_2003-2015'!U243</f>
        <v>12.73982</v>
      </c>
      <c r="V1107" s="15">
        <f>'extended_recharge_2003-2015'!V243</f>
        <v>22.990738</v>
      </c>
      <c r="W1107" s="16">
        <f>'extended_recharge_2003-2015'!W243</f>
        <v>16.357243</v>
      </c>
      <c r="X1107" s="16">
        <f>'extended_recharge_2003-2015'!X243</f>
        <v>6.5993233</v>
      </c>
      <c r="Y1107" s="16">
        <f>'extended_recharge_2003-2015'!Y243</f>
        <v>12.618729999999999</v>
      </c>
      <c r="Z1107" s="16">
        <f>'extended_recharge_2003-2015'!Z243</f>
        <v>4.9146333000000002</v>
      </c>
      <c r="AA1107" s="16">
        <f>'extended_recharge_2003-2015'!AA243</f>
        <v>6.2053409999999998</v>
      </c>
      <c r="AB1107" s="16">
        <f>'extended_recharge_2003-2015'!AB243</f>
        <v>2.0845064999999998</v>
      </c>
      <c r="AC1107" s="16">
        <f>'extended_recharge_2003-2015'!AC243</f>
        <v>5.4114427999999997</v>
      </c>
      <c r="AD1107" s="16">
        <f>'extended_recharge_2003-2015'!AD243</f>
        <v>2.8341563000000001</v>
      </c>
      <c r="AE1107" s="16">
        <f>'extended_recharge_2003-2015'!AE243</f>
        <v>16.098693999999998</v>
      </c>
      <c r="AF1107" s="16">
        <f>'extended_recharge_2003-2015'!AF243</f>
        <v>73.756739999999994</v>
      </c>
      <c r="AG1107" s="16">
        <f>'extended_recharge_2003-2015'!AG243</f>
        <v>13.333867</v>
      </c>
    </row>
    <row r="1108" spans="1:33" x14ac:dyDescent="0.2">
      <c r="A1108" s="3">
        <v>41639</v>
      </c>
      <c r="B1108" s="14">
        <f>'extended_recharge_2003-2015'!B244</f>
        <v>1.8501239</v>
      </c>
      <c r="C1108" s="14">
        <f>'extended_recharge_2003-2015'!C244</f>
        <v>24.102433999999999</v>
      </c>
      <c r="D1108" s="14">
        <f>'extended_recharge_2003-2015'!D244</f>
        <v>5.9644083999999999</v>
      </c>
      <c r="E1108" s="14">
        <f>'extended_recharge_2003-2015'!E244</f>
        <v>13.152058</v>
      </c>
      <c r="F1108" s="14">
        <f>'extended_recharge_2003-2015'!F244</f>
        <v>21.514994000000002</v>
      </c>
      <c r="G1108" s="14">
        <f>'extended_recharge_2003-2015'!G244</f>
        <v>32.892147000000001</v>
      </c>
      <c r="H1108" s="14">
        <f>'extended_recharge_2003-2015'!H244</f>
        <v>19.149930000000001</v>
      </c>
      <c r="I1108" s="14">
        <f>'extended_recharge_2003-2015'!I244</f>
        <v>38.453826999999997</v>
      </c>
      <c r="J1108" s="14">
        <f>'extended_recharge_2003-2015'!J244</f>
        <v>24.805437000000001</v>
      </c>
      <c r="K1108" s="14">
        <f>'extended_recharge_2003-2015'!K244</f>
        <v>9.5493389999999998</v>
      </c>
      <c r="L1108" s="14">
        <f>'extended_recharge_2003-2015'!L244</f>
        <v>7.6046839999999998</v>
      </c>
      <c r="M1108" s="14">
        <f>'extended_recharge_2003-2015'!M244</f>
        <v>5.9231189999999998</v>
      </c>
      <c r="N1108" s="14">
        <f>'extended_recharge_2003-2015'!N244</f>
        <v>36.652476999999998</v>
      </c>
      <c r="O1108" s="14">
        <f>'extended_recharge_2003-2015'!O244</f>
        <v>26.011095000000001</v>
      </c>
      <c r="P1108" s="14">
        <f>'extended_recharge_2003-2015'!P244</f>
        <v>69.646904000000006</v>
      </c>
      <c r="Q1108" s="14">
        <f>'extended_recharge_2003-2015'!Q244</f>
        <v>5.0517510000000003</v>
      </c>
      <c r="R1108" s="14">
        <f>'extended_recharge_2003-2015'!R244</f>
        <v>8.0078209999999999</v>
      </c>
      <c r="S1108" s="14">
        <f>'extended_recharge_2003-2015'!S244</f>
        <v>24.645451999999999</v>
      </c>
      <c r="T1108" s="14">
        <f>'extended_recharge_2003-2015'!T244</f>
        <v>44.927504999999996</v>
      </c>
      <c r="U1108" s="14">
        <f>'extended_recharge_2003-2015'!U244</f>
        <v>12.402004</v>
      </c>
      <c r="V1108" s="15">
        <f>'extended_recharge_2003-2015'!V244</f>
        <v>22.658802000000001</v>
      </c>
      <c r="W1108" s="16">
        <f>'extended_recharge_2003-2015'!W244</f>
        <v>12.016368999999999</v>
      </c>
      <c r="X1108" s="16">
        <f>'extended_recharge_2003-2015'!X244</f>
        <v>6.56968</v>
      </c>
      <c r="Y1108" s="16">
        <f>'extended_recharge_2003-2015'!Y244</f>
        <v>13.771986999999999</v>
      </c>
      <c r="Z1108" s="16">
        <f>'extended_recharge_2003-2015'!Z244</f>
        <v>5.2203889999999999</v>
      </c>
      <c r="AA1108" s="16">
        <f>'extended_recharge_2003-2015'!AA244</f>
        <v>5.1712065000000003</v>
      </c>
      <c r="AB1108" s="16">
        <f>'extended_recharge_2003-2015'!AB244</f>
        <v>1.901896</v>
      </c>
      <c r="AC1108" s="16">
        <f>'extended_recharge_2003-2015'!AC244</f>
        <v>4.8505120000000002</v>
      </c>
      <c r="AD1108" s="16">
        <f>'extended_recharge_2003-2015'!AD244</f>
        <v>1.7257133</v>
      </c>
      <c r="AE1108" s="16">
        <f>'extended_recharge_2003-2015'!AE244</f>
        <v>23.815249999999999</v>
      </c>
      <c r="AF1108" s="16">
        <f>'extended_recharge_2003-2015'!AF244</f>
        <v>65.541504000000003</v>
      </c>
      <c r="AG1108" s="16">
        <f>'extended_recharge_2003-2015'!AG244</f>
        <v>11.242762000000001</v>
      </c>
    </row>
    <row r="1109" spans="1:33" x14ac:dyDescent="0.2">
      <c r="A1109" s="3">
        <v>41670</v>
      </c>
      <c r="B1109" s="14">
        <f>'extended_recharge_2003-2015'!B245</f>
        <v>2.1421168000000002</v>
      </c>
      <c r="C1109" s="14">
        <f>'extended_recharge_2003-2015'!C245</f>
        <v>26.696009</v>
      </c>
      <c r="D1109" s="14">
        <f>'extended_recharge_2003-2015'!D245</f>
        <v>2.9030805000000002</v>
      </c>
      <c r="E1109" s="14">
        <f>'extended_recharge_2003-2015'!E245</f>
        <v>7.4418144000000002</v>
      </c>
      <c r="F1109" s="14">
        <f>'extended_recharge_2003-2015'!F245</f>
        <v>15.079688000000001</v>
      </c>
      <c r="G1109" s="14">
        <f>'extended_recharge_2003-2015'!G245</f>
        <v>22.972100999999999</v>
      </c>
      <c r="H1109" s="14">
        <f>'extended_recharge_2003-2015'!H245</f>
        <v>16.775735999999998</v>
      </c>
      <c r="I1109" s="14">
        <f>'extended_recharge_2003-2015'!I245</f>
        <v>39.205680000000001</v>
      </c>
      <c r="J1109" s="14">
        <f>'extended_recharge_2003-2015'!J245</f>
        <v>16.85502</v>
      </c>
      <c r="K1109" s="14">
        <f>'extended_recharge_2003-2015'!K245</f>
        <v>4.5395859999999999</v>
      </c>
      <c r="L1109" s="14">
        <f>'extended_recharge_2003-2015'!L245</f>
        <v>0.37808313999999998</v>
      </c>
      <c r="M1109" s="14">
        <f>'extended_recharge_2003-2015'!M245</f>
        <v>-0.12359612</v>
      </c>
      <c r="N1109" s="14">
        <f>'extended_recharge_2003-2015'!N245</f>
        <v>31.813780000000001</v>
      </c>
      <c r="O1109" s="14">
        <f>'extended_recharge_2003-2015'!O245</f>
        <v>22.535413999999999</v>
      </c>
      <c r="P1109" s="14">
        <f>'extended_recharge_2003-2015'!P245</f>
        <v>48.771416000000002</v>
      </c>
      <c r="Q1109" s="14">
        <f>'extended_recharge_2003-2015'!Q245</f>
        <v>2.7434927999999998</v>
      </c>
      <c r="R1109" s="14">
        <f>'extended_recharge_2003-2015'!R245</f>
        <v>9.058389</v>
      </c>
      <c r="S1109" s="14">
        <f>'extended_recharge_2003-2015'!S245</f>
        <v>18.186430000000001</v>
      </c>
      <c r="T1109" s="14">
        <f>'extended_recharge_2003-2015'!T245</f>
        <v>33.691302999999998</v>
      </c>
      <c r="U1109" s="14">
        <f>'extended_recharge_2003-2015'!U245</f>
        <v>11.21265</v>
      </c>
      <c r="V1109" s="15">
        <f>'extended_recharge_2003-2015'!V245</f>
        <v>17.687033</v>
      </c>
      <c r="W1109" s="16">
        <f>'extended_recharge_2003-2015'!W245</f>
        <v>5.3422689999999999</v>
      </c>
      <c r="X1109" s="16">
        <f>'extended_recharge_2003-2015'!X245</f>
        <v>9.1928920000000005</v>
      </c>
      <c r="Y1109" s="16">
        <f>'extended_recharge_2003-2015'!Y245</f>
        <v>14.905468000000001</v>
      </c>
      <c r="Z1109" s="16">
        <f>'extended_recharge_2003-2015'!Z245</f>
        <v>2.5219908000000002</v>
      </c>
      <c r="AA1109" s="16">
        <f>'extended_recharge_2003-2015'!AA245</f>
        <v>3.0225384000000002</v>
      </c>
      <c r="AB1109" s="16">
        <f>'extended_recharge_2003-2015'!AB245</f>
        <v>1.7607812</v>
      </c>
      <c r="AC1109" s="16">
        <f>'extended_recharge_2003-2015'!AC245</f>
        <v>4.9524426000000004</v>
      </c>
      <c r="AD1109" s="16">
        <f>'extended_recharge_2003-2015'!AD245</f>
        <v>1.2321249000000001</v>
      </c>
      <c r="AE1109" s="16">
        <f>'extended_recharge_2003-2015'!AE245</f>
        <v>25.457530999999999</v>
      </c>
      <c r="AF1109" s="16">
        <f>'extended_recharge_2003-2015'!AF245</f>
        <v>68.984160000000003</v>
      </c>
      <c r="AG1109" s="16">
        <f>'extended_recharge_2003-2015'!AG245</f>
        <v>10.146708</v>
      </c>
    </row>
    <row r="1110" spans="1:33" x14ac:dyDescent="0.2">
      <c r="A1110" s="3">
        <v>41698</v>
      </c>
      <c r="B1110" s="14">
        <f>'extended_recharge_2003-2015'!B246</f>
        <v>1.3249171</v>
      </c>
      <c r="C1110" s="14">
        <f>'extended_recharge_2003-2015'!C246</f>
        <v>24.348783000000001</v>
      </c>
      <c r="D1110" s="14">
        <f>'extended_recharge_2003-2015'!D246</f>
        <v>-3.9381948000000002</v>
      </c>
      <c r="E1110" s="14">
        <f>'extended_recharge_2003-2015'!E246</f>
        <v>-13.591379</v>
      </c>
      <c r="F1110" s="14">
        <f>'extended_recharge_2003-2015'!F246</f>
        <v>0.17533723000000001</v>
      </c>
      <c r="G1110" s="14">
        <f>'extended_recharge_2003-2015'!G246</f>
        <v>-2.3586122999999999</v>
      </c>
      <c r="H1110" s="14">
        <f>'extended_recharge_2003-2015'!H246</f>
        <v>15.834235</v>
      </c>
      <c r="I1110" s="14">
        <f>'extended_recharge_2003-2015'!I246</f>
        <v>38.510123999999998</v>
      </c>
      <c r="J1110" s="14">
        <f>'extended_recharge_2003-2015'!J246</f>
        <v>6.2735167000000001</v>
      </c>
      <c r="K1110" s="14">
        <f>'extended_recharge_2003-2015'!K246</f>
        <v>5.119815</v>
      </c>
      <c r="L1110" s="14">
        <f>'extended_recharge_2003-2015'!L246</f>
        <v>-6.7638325999999998</v>
      </c>
      <c r="M1110" s="14">
        <f>'extended_recharge_2003-2015'!M246</f>
        <v>-0.86215929999999996</v>
      </c>
      <c r="N1110" s="14">
        <f>'extended_recharge_2003-2015'!N246</f>
        <v>32.951552999999997</v>
      </c>
      <c r="O1110" s="14">
        <f>'extended_recharge_2003-2015'!O246</f>
        <v>23.092334999999999</v>
      </c>
      <c r="P1110" s="14">
        <f>'extended_recharge_2003-2015'!P246</f>
        <v>53.970309999999998</v>
      </c>
      <c r="Q1110" s="14">
        <f>'extended_recharge_2003-2015'!Q246</f>
        <v>5.4610696000000001</v>
      </c>
      <c r="R1110" s="14">
        <f>'extended_recharge_2003-2015'!R246</f>
        <v>8.7621380000000002</v>
      </c>
      <c r="S1110" s="14">
        <f>'extended_recharge_2003-2015'!S246</f>
        <v>14.983732</v>
      </c>
      <c r="T1110" s="14">
        <f>'extended_recharge_2003-2015'!T246</f>
        <v>35.962240000000001</v>
      </c>
      <c r="U1110" s="14">
        <f>'extended_recharge_2003-2015'!U246</f>
        <v>10.144212</v>
      </c>
      <c r="V1110" s="15">
        <f>'extended_recharge_2003-2015'!V246</f>
        <v>18.585035000000001</v>
      </c>
      <c r="W1110" s="16">
        <f>'extended_recharge_2003-2015'!W246</f>
        <v>1.1389340999999999</v>
      </c>
      <c r="X1110" s="16">
        <f>'extended_recharge_2003-2015'!X246</f>
        <v>7.0535483000000001</v>
      </c>
      <c r="Y1110" s="16">
        <f>'extended_recharge_2003-2015'!Y246</f>
        <v>15.176484</v>
      </c>
      <c r="Z1110" s="16">
        <f>'extended_recharge_2003-2015'!Z246</f>
        <v>1.5247705</v>
      </c>
      <c r="AA1110" s="16">
        <f>'extended_recharge_2003-2015'!AA246</f>
        <v>3.0928825999999998</v>
      </c>
      <c r="AB1110" s="16">
        <f>'extended_recharge_2003-2015'!AB246</f>
        <v>1.5014856000000001</v>
      </c>
      <c r="AC1110" s="16">
        <f>'extended_recharge_2003-2015'!AC246</f>
        <v>3.6789079</v>
      </c>
      <c r="AD1110" s="16">
        <f>'extended_recharge_2003-2015'!AD246</f>
        <v>1.6281722000000001</v>
      </c>
      <c r="AE1110" s="16">
        <f>'extended_recharge_2003-2015'!AE246</f>
        <v>23.365220999999998</v>
      </c>
      <c r="AF1110" s="16">
        <f>'extended_recharge_2003-2015'!AF246</f>
        <v>66.357799999999997</v>
      </c>
      <c r="AG1110" s="16">
        <f>'extended_recharge_2003-2015'!AG246</f>
        <v>9.6012330000000006</v>
      </c>
    </row>
    <row r="1111" spans="1:33" x14ac:dyDescent="0.2">
      <c r="A1111" s="3">
        <v>41729</v>
      </c>
      <c r="B1111" s="14">
        <f>'extended_recharge_2003-2015'!B247</f>
        <v>2.9962924000000002</v>
      </c>
      <c r="C1111" s="14">
        <f>'extended_recharge_2003-2015'!C247</f>
        <v>26.728069999999999</v>
      </c>
      <c r="D1111" s="14">
        <f>'extended_recharge_2003-2015'!D247</f>
        <v>-1.2017959</v>
      </c>
      <c r="E1111" s="14">
        <f>'extended_recharge_2003-2015'!E247</f>
        <v>2.0334682000000002</v>
      </c>
      <c r="F1111" s="14">
        <f>'extended_recharge_2003-2015'!F247</f>
        <v>9.3934979999999992</v>
      </c>
      <c r="G1111" s="14">
        <f>'extended_recharge_2003-2015'!G247</f>
        <v>15.245290000000001</v>
      </c>
      <c r="H1111" s="14">
        <f>'extended_recharge_2003-2015'!H247</f>
        <v>17.926935</v>
      </c>
      <c r="I1111" s="14">
        <f>'extended_recharge_2003-2015'!I247</f>
        <v>41.246983</v>
      </c>
      <c r="J1111" s="14">
        <f>'extended_recharge_2003-2015'!J247</f>
        <v>10.06358</v>
      </c>
      <c r="K1111" s="14">
        <f>'extended_recharge_2003-2015'!K247</f>
        <v>13.647902999999999</v>
      </c>
      <c r="L1111" s="14">
        <f>'extended_recharge_2003-2015'!L247</f>
        <v>2.7872167000000001</v>
      </c>
      <c r="M1111" s="14">
        <f>'extended_recharge_2003-2015'!M247</f>
        <v>6.9523052999999999</v>
      </c>
      <c r="N1111" s="14">
        <f>'extended_recharge_2003-2015'!N247</f>
        <v>37.401702999999998</v>
      </c>
      <c r="O1111" s="14">
        <f>'extended_recharge_2003-2015'!O247</f>
        <v>20.074477999999999</v>
      </c>
      <c r="P1111" s="14">
        <f>'extended_recharge_2003-2015'!P247</f>
        <v>71.775970000000001</v>
      </c>
      <c r="Q1111" s="14">
        <f>'extended_recharge_2003-2015'!Q247</f>
        <v>3.5731647</v>
      </c>
      <c r="R1111" s="14">
        <f>'extended_recharge_2003-2015'!R247</f>
        <v>8.0367339999999992</v>
      </c>
      <c r="S1111" s="14">
        <f>'extended_recharge_2003-2015'!S247</f>
        <v>22.014541999999999</v>
      </c>
      <c r="T1111" s="14">
        <f>'extended_recharge_2003-2015'!T247</f>
        <v>38.224820000000001</v>
      </c>
      <c r="U1111" s="14">
        <f>'extended_recharge_2003-2015'!U247</f>
        <v>9.4553030000000007</v>
      </c>
      <c r="V1111" s="15">
        <f>'extended_recharge_2003-2015'!V247</f>
        <v>20.956606000000001</v>
      </c>
      <c r="W1111" s="16">
        <f>'extended_recharge_2003-2015'!W247</f>
        <v>3.3637970000000003E-2</v>
      </c>
      <c r="X1111" s="16">
        <f>'extended_recharge_2003-2015'!X247</f>
        <v>6.7199654999999998</v>
      </c>
      <c r="Y1111" s="16">
        <f>'extended_recharge_2003-2015'!Y247</f>
        <v>15.910895</v>
      </c>
      <c r="Z1111" s="16">
        <f>'extended_recharge_2003-2015'!Z247</f>
        <v>0.93169380000000002</v>
      </c>
      <c r="AA1111" s="16">
        <f>'extended_recharge_2003-2015'!AA247</f>
        <v>2.9633286000000001</v>
      </c>
      <c r="AB1111" s="16">
        <f>'extended_recharge_2003-2015'!AB247</f>
        <v>2.1495636</v>
      </c>
      <c r="AC1111" s="16">
        <f>'extended_recharge_2003-2015'!AC247</f>
        <v>3.859289</v>
      </c>
      <c r="AD1111" s="16">
        <f>'extended_recharge_2003-2015'!AD247</f>
        <v>2.9730349999999999</v>
      </c>
      <c r="AE1111" s="16">
        <f>'extended_recharge_2003-2015'!AE247</f>
        <v>14.641078</v>
      </c>
      <c r="AF1111" s="16">
        <f>'extended_recharge_2003-2015'!AF247</f>
        <v>75.427180000000007</v>
      </c>
      <c r="AG1111" s="16">
        <f>'extended_recharge_2003-2015'!AG247</f>
        <v>10.922589</v>
      </c>
    </row>
    <row r="1112" spans="1:33" x14ac:dyDescent="0.2">
      <c r="A1112" s="3">
        <v>41759</v>
      </c>
      <c r="B1112" s="14">
        <f>'extended_recharge_2003-2015'!B248</f>
        <v>2.5550478000000001</v>
      </c>
      <c r="C1112" s="14">
        <f>'extended_recharge_2003-2015'!C248</f>
        <v>25.086977000000001</v>
      </c>
      <c r="D1112" s="14">
        <f>'extended_recharge_2003-2015'!D248</f>
        <v>-2.8755639999999998</v>
      </c>
      <c r="E1112" s="14">
        <f>'extended_recharge_2003-2015'!E248</f>
        <v>-5.5774717000000003</v>
      </c>
      <c r="F1112" s="14">
        <f>'extended_recharge_2003-2015'!F248</f>
        <v>4.6365150000000002</v>
      </c>
      <c r="G1112" s="14">
        <f>'extended_recharge_2003-2015'!G248</f>
        <v>10.585993</v>
      </c>
      <c r="H1112" s="14">
        <f>'extended_recharge_2003-2015'!H248</f>
        <v>14.409922</v>
      </c>
      <c r="I1112" s="14">
        <f>'extended_recharge_2003-2015'!I248</f>
        <v>41.556460000000001</v>
      </c>
      <c r="J1112" s="14">
        <f>'extended_recharge_2003-2015'!J248</f>
        <v>-0.48187697000000002</v>
      </c>
      <c r="K1112" s="14">
        <f>'extended_recharge_2003-2015'!K248</f>
        <v>3.3195543000000001</v>
      </c>
      <c r="L1112" s="14">
        <f>'extended_recharge_2003-2015'!L248</f>
        <v>-6.4778710000000004</v>
      </c>
      <c r="M1112" s="14">
        <f>'extended_recharge_2003-2015'!M248</f>
        <v>0.96224940000000003</v>
      </c>
      <c r="N1112" s="14">
        <f>'extended_recharge_2003-2015'!N248</f>
        <v>33.048760000000001</v>
      </c>
      <c r="O1112" s="14">
        <f>'extended_recharge_2003-2015'!O248</f>
        <v>22.479849000000002</v>
      </c>
      <c r="P1112" s="14">
        <f>'extended_recharge_2003-2015'!P248</f>
        <v>69.415854999999993</v>
      </c>
      <c r="Q1112" s="14">
        <f>'extended_recharge_2003-2015'!Q248</f>
        <v>3.3067807999999999</v>
      </c>
      <c r="R1112" s="14">
        <f>'extended_recharge_2003-2015'!R248</f>
        <v>9.1169119999999992</v>
      </c>
      <c r="S1112" s="14">
        <f>'extended_recharge_2003-2015'!S248</f>
        <v>21.131253999999998</v>
      </c>
      <c r="T1112" s="14">
        <f>'extended_recharge_2003-2015'!T248</f>
        <v>45.094493999999997</v>
      </c>
      <c r="U1112" s="14">
        <f>'extended_recharge_2003-2015'!U248</f>
        <v>12.397425</v>
      </c>
      <c r="V1112" s="15">
        <f>'extended_recharge_2003-2015'!V248</f>
        <v>25.134032999999999</v>
      </c>
      <c r="W1112" s="16">
        <f>'extended_recharge_2003-2015'!W248</f>
        <v>-0.81405649999999996</v>
      </c>
      <c r="X1112" s="16">
        <f>'extended_recharge_2003-2015'!X248</f>
        <v>6.7261369999999996</v>
      </c>
      <c r="Y1112" s="16">
        <f>'extended_recharge_2003-2015'!Y248</f>
        <v>19.147358000000001</v>
      </c>
      <c r="Z1112" s="16">
        <f>'extended_recharge_2003-2015'!Z248</f>
        <v>0.13492179000000001</v>
      </c>
      <c r="AA1112" s="16">
        <f>'extended_recharge_2003-2015'!AA248</f>
        <v>3.6986983000000002</v>
      </c>
      <c r="AB1112" s="16">
        <f>'extended_recharge_2003-2015'!AB248</f>
        <v>2.3145224999999998</v>
      </c>
      <c r="AC1112" s="16">
        <f>'extended_recharge_2003-2015'!AC248</f>
        <v>3.240043</v>
      </c>
      <c r="AD1112" s="16">
        <f>'extended_recharge_2003-2015'!AD248</f>
        <v>4.627542</v>
      </c>
      <c r="AE1112" s="16">
        <f>'extended_recharge_2003-2015'!AE248</f>
        <v>8.2991060000000001</v>
      </c>
      <c r="AF1112" s="16">
        <f>'extended_recharge_2003-2015'!AF248</f>
        <v>85.719399999999993</v>
      </c>
      <c r="AG1112" s="16">
        <f>'extended_recharge_2003-2015'!AG248</f>
        <v>13.909566</v>
      </c>
    </row>
    <row r="1113" spans="1:33" x14ac:dyDescent="0.2">
      <c r="A1113" s="3">
        <v>41790</v>
      </c>
      <c r="B1113" s="14">
        <f>'extended_recharge_2003-2015'!B249</f>
        <v>4.8280025000000002</v>
      </c>
      <c r="C1113" s="14">
        <f>'extended_recharge_2003-2015'!C249</f>
        <v>24.120311999999998</v>
      </c>
      <c r="D1113" s="14">
        <f>'extended_recharge_2003-2015'!D249</f>
        <v>-3.5908935</v>
      </c>
      <c r="E1113" s="14">
        <f>'extended_recharge_2003-2015'!E249</f>
        <v>-11.227012</v>
      </c>
      <c r="F1113" s="14">
        <f>'extended_recharge_2003-2015'!F249</f>
        <v>-0.1529112</v>
      </c>
      <c r="G1113" s="14">
        <f>'extended_recharge_2003-2015'!G249</f>
        <v>9.7413229999999995</v>
      </c>
      <c r="H1113" s="14">
        <f>'extended_recharge_2003-2015'!H249</f>
        <v>16.040061999999999</v>
      </c>
      <c r="I1113" s="14">
        <f>'extended_recharge_2003-2015'!I249</f>
        <v>40.103152999999999</v>
      </c>
      <c r="J1113" s="14">
        <f>'extended_recharge_2003-2015'!J249</f>
        <v>-7.8989596000000004</v>
      </c>
      <c r="K1113" s="14">
        <f>'extended_recharge_2003-2015'!K249</f>
        <v>0.94414540000000002</v>
      </c>
      <c r="L1113" s="14">
        <f>'extended_recharge_2003-2015'!L249</f>
        <v>-7.4677800000000003</v>
      </c>
      <c r="M1113" s="14">
        <f>'extended_recharge_2003-2015'!M249</f>
        <v>-1.5758696999999999</v>
      </c>
      <c r="N1113" s="14">
        <f>'extended_recharge_2003-2015'!N249</f>
        <v>30.367172</v>
      </c>
      <c r="O1113" s="14">
        <f>'extended_recharge_2003-2015'!O249</f>
        <v>23.875923</v>
      </c>
      <c r="P1113" s="14">
        <f>'extended_recharge_2003-2015'!P249</f>
        <v>54.796402</v>
      </c>
      <c r="Q1113" s="14">
        <f>'extended_recharge_2003-2015'!Q249</f>
        <v>4.2148785999999996</v>
      </c>
      <c r="R1113" s="14">
        <f>'extended_recharge_2003-2015'!R249</f>
        <v>8.3581149999999997</v>
      </c>
      <c r="S1113" s="14">
        <f>'extended_recharge_2003-2015'!S249</f>
        <v>16.207163000000001</v>
      </c>
      <c r="T1113" s="14">
        <f>'extended_recharge_2003-2015'!T249</f>
        <v>40.112439999999999</v>
      </c>
      <c r="U1113" s="14">
        <f>'extended_recharge_2003-2015'!U249</f>
        <v>12.603229000000001</v>
      </c>
      <c r="V1113" s="15">
        <f>'extended_recharge_2003-2015'!V249</f>
        <v>26.670663999999999</v>
      </c>
      <c r="W1113" s="16">
        <f>'extended_recharge_2003-2015'!W249</f>
        <v>4.7477530000000003</v>
      </c>
      <c r="X1113" s="16">
        <f>'extended_recharge_2003-2015'!X249</f>
        <v>6.1839532999999998</v>
      </c>
      <c r="Y1113" s="16">
        <f>'extended_recharge_2003-2015'!Y249</f>
        <v>23.16564</v>
      </c>
      <c r="Z1113" s="16">
        <f>'extended_recharge_2003-2015'!Z249</f>
        <v>0.36123096999999998</v>
      </c>
      <c r="AA1113" s="16">
        <f>'extended_recharge_2003-2015'!AA249</f>
        <v>3.8130967999999998</v>
      </c>
      <c r="AB1113" s="16">
        <f>'extended_recharge_2003-2015'!AB249</f>
        <v>1.8415524000000001</v>
      </c>
      <c r="AC1113" s="16">
        <f>'extended_recharge_2003-2015'!AC249</f>
        <v>3.4044845000000001</v>
      </c>
      <c r="AD1113" s="16">
        <f>'extended_recharge_2003-2015'!AD249</f>
        <v>7.6921495999999996</v>
      </c>
      <c r="AE1113" s="16">
        <f>'extended_recharge_2003-2015'!AE249</f>
        <v>3.8599367</v>
      </c>
      <c r="AF1113" s="16">
        <f>'extended_recharge_2003-2015'!AF249</f>
        <v>99.150869999999998</v>
      </c>
      <c r="AG1113" s="16">
        <f>'extended_recharge_2003-2015'!AG249</f>
        <v>18.003927000000001</v>
      </c>
    </row>
    <row r="1114" spans="1:33" x14ac:dyDescent="0.2">
      <c r="A1114" s="3">
        <v>41820</v>
      </c>
      <c r="B1114" s="14">
        <f>'extended_recharge_2003-2015'!B250</f>
        <v>5.9508065999999999</v>
      </c>
      <c r="C1114" s="14">
        <f>'extended_recharge_2003-2015'!C250</f>
        <v>22.296125</v>
      </c>
      <c r="D1114" s="14">
        <f>'extended_recharge_2003-2015'!D250</f>
        <v>-5.4529395000000003</v>
      </c>
      <c r="E1114" s="14">
        <f>'extended_recharge_2003-2015'!E250</f>
        <v>-11.845169</v>
      </c>
      <c r="F1114" s="14">
        <f>'extended_recharge_2003-2015'!F250</f>
        <v>0.50480219999999998</v>
      </c>
      <c r="G1114" s="14">
        <f>'extended_recharge_2003-2015'!G250</f>
        <v>5.9114427999999997</v>
      </c>
      <c r="H1114" s="14">
        <f>'extended_recharge_2003-2015'!H250</f>
        <v>14.302372999999999</v>
      </c>
      <c r="I1114" s="14">
        <f>'extended_recharge_2003-2015'!I250</f>
        <v>40.075676000000001</v>
      </c>
      <c r="J1114" s="14">
        <f>'extended_recharge_2003-2015'!J250</f>
        <v>-6.6230164</v>
      </c>
      <c r="K1114" s="14">
        <f>'extended_recharge_2003-2015'!K250</f>
        <v>4.2889657000000003</v>
      </c>
      <c r="L1114" s="14">
        <f>'extended_recharge_2003-2015'!L250</f>
        <v>-9.0177619999999994</v>
      </c>
      <c r="M1114" s="14">
        <f>'extended_recharge_2003-2015'!M250</f>
        <v>-1.3463148</v>
      </c>
      <c r="N1114" s="14">
        <f>'extended_recharge_2003-2015'!N250</f>
        <v>31.506691</v>
      </c>
      <c r="O1114" s="14">
        <f>'extended_recharge_2003-2015'!O250</f>
        <v>18.94004</v>
      </c>
      <c r="P1114" s="14">
        <f>'extended_recharge_2003-2015'!P250</f>
        <v>52.122627000000001</v>
      </c>
      <c r="Q1114" s="14">
        <f>'extended_recharge_2003-2015'!Q250</f>
        <v>3.649051</v>
      </c>
      <c r="R1114" s="14">
        <f>'extended_recharge_2003-2015'!R250</f>
        <v>8.5199169999999995</v>
      </c>
      <c r="S1114" s="14">
        <f>'extended_recharge_2003-2015'!S250</f>
        <v>14.096237</v>
      </c>
      <c r="T1114" s="14">
        <f>'extended_recharge_2003-2015'!T250</f>
        <v>39.251595000000002</v>
      </c>
      <c r="U1114" s="14">
        <f>'extended_recharge_2003-2015'!U250</f>
        <v>11.6378355</v>
      </c>
      <c r="V1114" s="15">
        <f>'extended_recharge_2003-2015'!V250</f>
        <v>29.458034999999999</v>
      </c>
      <c r="W1114" s="16">
        <f>'extended_recharge_2003-2015'!W250</f>
        <v>16.679549999999999</v>
      </c>
      <c r="X1114" s="16">
        <f>'extended_recharge_2003-2015'!X250</f>
        <v>5.7059635999999996</v>
      </c>
      <c r="Y1114" s="16">
        <f>'extended_recharge_2003-2015'!Y250</f>
        <v>23.003126000000002</v>
      </c>
      <c r="Z1114" s="16">
        <f>'extended_recharge_2003-2015'!Z250</f>
        <v>1.2893808</v>
      </c>
      <c r="AA1114" s="16">
        <f>'extended_recharge_2003-2015'!AA250</f>
        <v>3.6683226000000002</v>
      </c>
      <c r="AB1114" s="16">
        <f>'extended_recharge_2003-2015'!AB250</f>
        <v>1.8696410000000001</v>
      </c>
      <c r="AC1114" s="16">
        <f>'extended_recharge_2003-2015'!AC250</f>
        <v>3.6665269999999999</v>
      </c>
      <c r="AD1114" s="16">
        <f>'extended_recharge_2003-2015'!AD250</f>
        <v>12.876039</v>
      </c>
      <c r="AE1114" s="16">
        <f>'extended_recharge_2003-2015'!AE250</f>
        <v>0.32161077999999999</v>
      </c>
      <c r="AF1114" s="16">
        <f>'extended_recharge_2003-2015'!AF250</f>
        <v>102.26005600000001</v>
      </c>
      <c r="AG1114" s="16">
        <f>'extended_recharge_2003-2015'!AG250</f>
        <v>23.418285000000001</v>
      </c>
    </row>
    <row r="1115" spans="1:33" x14ac:dyDescent="0.2">
      <c r="A1115" s="3">
        <v>41851</v>
      </c>
      <c r="B1115" s="14">
        <f>'extended_recharge_2003-2015'!B251</f>
        <v>6.5704919999999998</v>
      </c>
      <c r="C1115" s="14">
        <f>'extended_recharge_2003-2015'!C251</f>
        <v>24.822935000000001</v>
      </c>
      <c r="D1115" s="14">
        <f>'extended_recharge_2003-2015'!D251</f>
        <v>-1.7843199999999999</v>
      </c>
      <c r="E1115" s="14">
        <f>'extended_recharge_2003-2015'!E251</f>
        <v>-8.2529710000000005</v>
      </c>
      <c r="F1115" s="14">
        <f>'extended_recharge_2003-2015'!F251</f>
        <v>10.772276</v>
      </c>
      <c r="G1115" s="14">
        <f>'extended_recharge_2003-2015'!G251</f>
        <v>13.965318999999999</v>
      </c>
      <c r="H1115" s="14">
        <f>'extended_recharge_2003-2015'!H251</f>
        <v>15.946322</v>
      </c>
      <c r="I1115" s="14">
        <f>'extended_recharge_2003-2015'!I251</f>
        <v>41.255305999999997</v>
      </c>
      <c r="J1115" s="14">
        <f>'extended_recharge_2003-2015'!J251</f>
        <v>-1.9857298999999999</v>
      </c>
      <c r="K1115" s="14">
        <f>'extended_recharge_2003-2015'!K251</f>
        <v>5.1755966999999998</v>
      </c>
      <c r="L1115" s="14">
        <f>'extended_recharge_2003-2015'!L251</f>
        <v>-3.1287631999999999</v>
      </c>
      <c r="M1115" s="14">
        <f>'extended_recharge_2003-2015'!M251</f>
        <v>4.2716960000000004</v>
      </c>
      <c r="N1115" s="14">
        <f>'extended_recharge_2003-2015'!N251</f>
        <v>33.990769999999998</v>
      </c>
      <c r="O1115" s="14">
        <f>'extended_recharge_2003-2015'!O251</f>
        <v>23.419074999999999</v>
      </c>
      <c r="P1115" s="14">
        <f>'extended_recharge_2003-2015'!P251</f>
        <v>72.148070000000004</v>
      </c>
      <c r="Q1115" s="14">
        <f>'extended_recharge_2003-2015'!Q251</f>
        <v>6.0750690000000001</v>
      </c>
      <c r="R1115" s="14">
        <f>'extended_recharge_2003-2015'!R251</f>
        <v>11.996370000000001</v>
      </c>
      <c r="S1115" s="14">
        <f>'extended_recharge_2003-2015'!S251</f>
        <v>22.298521000000001</v>
      </c>
      <c r="T1115" s="14">
        <f>'extended_recharge_2003-2015'!T251</f>
        <v>47.058307999999997</v>
      </c>
      <c r="U1115" s="14">
        <f>'extended_recharge_2003-2015'!U251</f>
        <v>9.2353570000000005</v>
      </c>
      <c r="V1115" s="15">
        <f>'extended_recharge_2003-2015'!V251</f>
        <v>34.360435000000003</v>
      </c>
      <c r="W1115" s="16">
        <f>'extended_recharge_2003-2015'!W251</f>
        <v>28.528013000000001</v>
      </c>
      <c r="X1115" s="16">
        <f>'extended_recharge_2003-2015'!X251</f>
        <v>4.4086290000000004</v>
      </c>
      <c r="Y1115" s="16">
        <f>'extended_recharge_2003-2015'!Y251</f>
        <v>21.277070999999999</v>
      </c>
      <c r="Z1115" s="16">
        <f>'extended_recharge_2003-2015'!Z251</f>
        <v>2.22668</v>
      </c>
      <c r="AA1115" s="16">
        <f>'extended_recharge_2003-2015'!AA251</f>
        <v>5.4889507000000002</v>
      </c>
      <c r="AB1115" s="16">
        <f>'extended_recharge_2003-2015'!AB251</f>
        <v>2.1124665999999999</v>
      </c>
      <c r="AC1115" s="16">
        <f>'extended_recharge_2003-2015'!AC251</f>
        <v>4.7358412999999997</v>
      </c>
      <c r="AD1115" s="16">
        <f>'extended_recharge_2003-2015'!AD251</f>
        <v>12.886729000000001</v>
      </c>
      <c r="AE1115" s="16">
        <f>'extended_recharge_2003-2015'!AE251</f>
        <v>-1.3543851</v>
      </c>
      <c r="AF1115" s="16">
        <f>'extended_recharge_2003-2015'!AF251</f>
        <v>109.043755</v>
      </c>
      <c r="AG1115" s="16">
        <f>'extended_recharge_2003-2015'!AG251</f>
        <v>24.664852</v>
      </c>
    </row>
    <row r="1116" spans="1:33" x14ac:dyDescent="0.2">
      <c r="A1116" s="3">
        <v>41882</v>
      </c>
      <c r="B1116" s="14">
        <f>'extended_recharge_2003-2015'!B252</f>
        <v>5.5442749999999998</v>
      </c>
      <c r="C1116" s="14">
        <f>'extended_recharge_2003-2015'!C252</f>
        <v>23.641228000000002</v>
      </c>
      <c r="D1116" s="14">
        <f>'extended_recharge_2003-2015'!D252</f>
        <v>-1.1539899</v>
      </c>
      <c r="E1116" s="14">
        <f>'extended_recharge_2003-2015'!E252</f>
        <v>-1.7985175</v>
      </c>
      <c r="F1116" s="14">
        <f>'extended_recharge_2003-2015'!F252</f>
        <v>18.342054000000001</v>
      </c>
      <c r="G1116" s="14">
        <f>'extended_recharge_2003-2015'!G252</f>
        <v>18.634615</v>
      </c>
      <c r="H1116" s="14">
        <f>'extended_recharge_2003-2015'!H252</f>
        <v>15.5070715</v>
      </c>
      <c r="I1116" s="14">
        <f>'extended_recharge_2003-2015'!I252</f>
        <v>39.825397000000002</v>
      </c>
      <c r="J1116" s="14">
        <f>'extended_recharge_2003-2015'!J252</f>
        <v>8.8822364999999994</v>
      </c>
      <c r="K1116" s="14">
        <f>'extended_recharge_2003-2015'!K252</f>
        <v>7.5791306000000001</v>
      </c>
      <c r="L1116" s="14">
        <f>'extended_recharge_2003-2015'!L252</f>
        <v>3.8707337000000002</v>
      </c>
      <c r="M1116" s="14">
        <f>'extended_recharge_2003-2015'!M252</f>
        <v>7.3505782999999996</v>
      </c>
      <c r="N1116" s="14">
        <f>'extended_recharge_2003-2015'!N252</f>
        <v>35.354953999999999</v>
      </c>
      <c r="O1116" s="14">
        <f>'extended_recharge_2003-2015'!O252</f>
        <v>25.105796999999999</v>
      </c>
      <c r="P1116" s="14">
        <f>'extended_recharge_2003-2015'!P252</f>
        <v>82.72972</v>
      </c>
      <c r="Q1116" s="14">
        <f>'extended_recharge_2003-2015'!Q252</f>
        <v>5.3605619999999998</v>
      </c>
      <c r="R1116" s="14">
        <f>'extended_recharge_2003-2015'!R252</f>
        <v>11.265233</v>
      </c>
      <c r="S1116" s="14">
        <f>'extended_recharge_2003-2015'!S252</f>
        <v>22.478452999999998</v>
      </c>
      <c r="T1116" s="14">
        <f>'extended_recharge_2003-2015'!T252</f>
        <v>41.821423000000003</v>
      </c>
      <c r="U1116" s="14">
        <f>'extended_recharge_2003-2015'!U252</f>
        <v>10.198199000000001</v>
      </c>
      <c r="V1116" s="15">
        <f>'extended_recharge_2003-2015'!V252</f>
        <v>38.036057</v>
      </c>
      <c r="W1116" s="16">
        <f>'extended_recharge_2003-2015'!W252</f>
        <v>29.846679999999999</v>
      </c>
      <c r="X1116" s="16">
        <f>'extended_recharge_2003-2015'!X252</f>
        <v>4.8928447000000004</v>
      </c>
      <c r="Y1116" s="16">
        <f>'extended_recharge_2003-2015'!Y252</f>
        <v>18.807943000000002</v>
      </c>
      <c r="Z1116" s="16">
        <f>'extended_recharge_2003-2015'!Z252</f>
        <v>4.3643200000000002</v>
      </c>
      <c r="AA1116" s="16">
        <f>'extended_recharge_2003-2015'!AA252</f>
        <v>5.0256439999999998</v>
      </c>
      <c r="AB1116" s="16">
        <f>'extended_recharge_2003-2015'!AB252</f>
        <v>1.482183</v>
      </c>
      <c r="AC1116" s="16">
        <f>'extended_recharge_2003-2015'!AC252</f>
        <v>3.0838312999999999</v>
      </c>
      <c r="AD1116" s="16">
        <f>'extended_recharge_2003-2015'!AD252</f>
        <v>10.085108</v>
      </c>
      <c r="AE1116" s="16">
        <f>'extended_recharge_2003-2015'!AE252</f>
        <v>-0.26908280000000001</v>
      </c>
      <c r="AF1116" s="16">
        <f>'extended_recharge_2003-2015'!AF252</f>
        <v>108.241776</v>
      </c>
      <c r="AG1116" s="16">
        <f>'extended_recharge_2003-2015'!AG252</f>
        <v>24.175633999999999</v>
      </c>
    </row>
    <row r="1117" spans="1:33" x14ac:dyDescent="0.2">
      <c r="A1117" s="3">
        <v>41912</v>
      </c>
      <c r="B1117" s="14">
        <f>'extended_recharge_2003-2015'!B253</f>
        <v>5.3836985000000004</v>
      </c>
      <c r="C1117" s="14">
        <f>'extended_recharge_2003-2015'!C253</f>
        <v>25.979783999999999</v>
      </c>
      <c r="D1117" s="14">
        <f>'extended_recharge_2003-2015'!D253</f>
        <v>0.64322690000000005</v>
      </c>
      <c r="E1117" s="14">
        <f>'extended_recharge_2003-2015'!E253</f>
        <v>12.424272999999999</v>
      </c>
      <c r="F1117" s="14">
        <f>'extended_recharge_2003-2015'!F253</f>
        <v>27.00094</v>
      </c>
      <c r="G1117" s="14">
        <f>'extended_recharge_2003-2015'!G253</f>
        <v>26.352736</v>
      </c>
      <c r="H1117" s="14">
        <f>'extended_recharge_2003-2015'!H253</f>
        <v>15.300076499999999</v>
      </c>
      <c r="I1117" s="14">
        <f>'extended_recharge_2003-2015'!I253</f>
        <v>41.573914000000002</v>
      </c>
      <c r="J1117" s="14">
        <f>'extended_recharge_2003-2015'!J253</f>
        <v>13.863531999999999</v>
      </c>
      <c r="K1117" s="14">
        <f>'extended_recharge_2003-2015'!K253</f>
        <v>10.525786</v>
      </c>
      <c r="L1117" s="14">
        <f>'extended_recharge_2003-2015'!L253</f>
        <v>11.739307999999999</v>
      </c>
      <c r="M1117" s="14">
        <f>'extended_recharge_2003-2015'!M253</f>
        <v>9.8361579999999993</v>
      </c>
      <c r="N1117" s="14">
        <f>'extended_recharge_2003-2015'!N253</f>
        <v>38.622439999999997</v>
      </c>
      <c r="O1117" s="14">
        <f>'extended_recharge_2003-2015'!O253</f>
        <v>23.968686999999999</v>
      </c>
      <c r="P1117" s="14">
        <f>'extended_recharge_2003-2015'!P253</f>
        <v>80.209816000000004</v>
      </c>
      <c r="Q1117" s="14">
        <f>'extended_recharge_2003-2015'!Q253</f>
        <v>6.0369352999999997</v>
      </c>
      <c r="R1117" s="14">
        <f>'extended_recharge_2003-2015'!R253</f>
        <v>12.266301</v>
      </c>
      <c r="S1117" s="14">
        <f>'extended_recharge_2003-2015'!S253</f>
        <v>19.951134</v>
      </c>
      <c r="T1117" s="14">
        <f>'extended_recharge_2003-2015'!T253</f>
        <v>39.002795999999996</v>
      </c>
      <c r="U1117" s="14">
        <f>'extended_recharge_2003-2015'!U253</f>
        <v>11.360671</v>
      </c>
      <c r="V1117" s="15">
        <f>'extended_recharge_2003-2015'!V253</f>
        <v>34.022829999999999</v>
      </c>
      <c r="W1117" s="16">
        <f>'extended_recharge_2003-2015'!W253</f>
        <v>27.594141</v>
      </c>
      <c r="X1117" s="16">
        <f>'extended_recharge_2003-2015'!X253</f>
        <v>3.7016814</v>
      </c>
      <c r="Y1117" s="16">
        <f>'extended_recharge_2003-2015'!Y253</f>
        <v>16.463757000000001</v>
      </c>
      <c r="Z1117" s="16">
        <f>'extended_recharge_2003-2015'!Z253</f>
        <v>4.314184</v>
      </c>
      <c r="AA1117" s="16">
        <f>'extended_recharge_2003-2015'!AA253</f>
        <v>4.6280327000000003</v>
      </c>
      <c r="AB1117" s="16">
        <f>'extended_recharge_2003-2015'!AB253</f>
        <v>1.2132628000000001</v>
      </c>
      <c r="AC1117" s="16">
        <f>'extended_recharge_2003-2015'!AC253</f>
        <v>4.4794292000000002</v>
      </c>
      <c r="AD1117" s="16">
        <f>'extended_recharge_2003-2015'!AD253</f>
        <v>6.2838244000000003</v>
      </c>
      <c r="AE1117" s="16">
        <f>'extended_recharge_2003-2015'!AE253</f>
        <v>2.3488351999999999</v>
      </c>
      <c r="AF1117" s="16">
        <f>'extended_recharge_2003-2015'!AF253</f>
        <v>102.83807</v>
      </c>
      <c r="AG1117" s="16">
        <f>'extended_recharge_2003-2015'!AG253</f>
        <v>20.582525</v>
      </c>
    </row>
    <row r="1118" spans="1:33" x14ac:dyDescent="0.2">
      <c r="A1118" s="3">
        <v>41943</v>
      </c>
      <c r="B1118" s="14">
        <f>'extended_recharge_2003-2015'!B254</f>
        <v>3.6247022000000002</v>
      </c>
      <c r="C1118" s="14">
        <f>'extended_recharge_2003-2015'!C254</f>
        <v>25.477034</v>
      </c>
      <c r="D1118" s="14">
        <f>'extended_recharge_2003-2015'!D254</f>
        <v>7.3017079999999996</v>
      </c>
      <c r="E1118" s="14">
        <f>'extended_recharge_2003-2015'!E254</f>
        <v>16.504604</v>
      </c>
      <c r="F1118" s="14">
        <f>'extended_recharge_2003-2015'!F254</f>
        <v>28.480924999999999</v>
      </c>
      <c r="G1118" s="14">
        <f>'extended_recharge_2003-2015'!G254</f>
        <v>47.429915999999999</v>
      </c>
      <c r="H1118" s="14">
        <f>'extended_recharge_2003-2015'!H254</f>
        <v>18.081495</v>
      </c>
      <c r="I1118" s="14">
        <f>'extended_recharge_2003-2015'!I254</f>
        <v>37.418953000000002</v>
      </c>
      <c r="J1118" s="14">
        <f>'extended_recharge_2003-2015'!J254</f>
        <v>25.824743000000002</v>
      </c>
      <c r="K1118" s="14">
        <f>'extended_recharge_2003-2015'!K254</f>
        <v>14.980147000000001</v>
      </c>
      <c r="L1118" s="14">
        <f>'extended_recharge_2003-2015'!L254</f>
        <v>17.708838</v>
      </c>
      <c r="M1118" s="14">
        <f>'extended_recharge_2003-2015'!M254</f>
        <v>12.073378</v>
      </c>
      <c r="N1118" s="14">
        <f>'extended_recharge_2003-2015'!N254</f>
        <v>36.096159999999998</v>
      </c>
      <c r="O1118" s="14">
        <f>'extended_recharge_2003-2015'!O254</f>
        <v>22.374056</v>
      </c>
      <c r="P1118" s="14">
        <f>'extended_recharge_2003-2015'!P254</f>
        <v>37.716971999999998</v>
      </c>
      <c r="Q1118" s="14">
        <f>'extended_recharge_2003-2015'!Q254</f>
        <v>3.2936752</v>
      </c>
      <c r="R1118" s="14">
        <f>'extended_recharge_2003-2015'!R254</f>
        <v>10.942354</v>
      </c>
      <c r="S1118" s="14">
        <f>'extended_recharge_2003-2015'!S254</f>
        <v>24.645150999999998</v>
      </c>
      <c r="T1118" s="14">
        <f>'extended_recharge_2003-2015'!T254</f>
        <v>42.255859999999998</v>
      </c>
      <c r="U1118" s="14">
        <f>'extended_recharge_2003-2015'!U254</f>
        <v>8.5029009999999996</v>
      </c>
      <c r="V1118" s="15">
        <f>'extended_recharge_2003-2015'!V254</f>
        <v>27.867878000000001</v>
      </c>
      <c r="W1118" s="16">
        <f>'extended_recharge_2003-2015'!W254</f>
        <v>22.600916000000002</v>
      </c>
      <c r="X1118" s="16">
        <f>'extended_recharge_2003-2015'!X254</f>
        <v>4.1747107999999997</v>
      </c>
      <c r="Y1118" s="16">
        <f>'extended_recharge_2003-2015'!Y254</f>
        <v>13.137973000000001</v>
      </c>
      <c r="Z1118" s="16">
        <f>'extended_recharge_2003-2015'!Z254</f>
        <v>5.5117440000000002</v>
      </c>
      <c r="AA1118" s="16">
        <f>'extended_recharge_2003-2015'!AA254</f>
        <v>3.6969012999999999</v>
      </c>
      <c r="AB1118" s="16">
        <f>'extended_recharge_2003-2015'!AB254</f>
        <v>1.4556041</v>
      </c>
      <c r="AC1118" s="16">
        <f>'extended_recharge_2003-2015'!AC254</f>
        <v>2.3504212</v>
      </c>
      <c r="AD1118" s="16">
        <f>'extended_recharge_2003-2015'!AD254</f>
        <v>3.7461019000000002</v>
      </c>
      <c r="AE1118" s="16">
        <f>'extended_recharge_2003-2015'!AE254</f>
        <v>7.6822786000000001</v>
      </c>
      <c r="AF1118" s="16">
        <f>'extended_recharge_2003-2015'!AF254</f>
        <v>87.500969999999995</v>
      </c>
      <c r="AG1118" s="16">
        <f>'extended_recharge_2003-2015'!AG254</f>
        <v>16.562155000000001</v>
      </c>
    </row>
    <row r="1119" spans="1:33" x14ac:dyDescent="0.2">
      <c r="A1119" s="3">
        <v>41973</v>
      </c>
      <c r="B1119" s="14">
        <f>'extended_recharge_2003-2015'!B255</f>
        <v>1.4716206999999999</v>
      </c>
      <c r="C1119" s="14">
        <f>'extended_recharge_2003-2015'!C255</f>
        <v>23.562033</v>
      </c>
      <c r="D1119" s="14">
        <f>'extended_recharge_2003-2015'!D255</f>
        <v>1.9899998999999999</v>
      </c>
      <c r="E1119" s="14">
        <f>'extended_recharge_2003-2015'!E255</f>
        <v>-3.2922951999999999</v>
      </c>
      <c r="F1119" s="14">
        <f>'extended_recharge_2003-2015'!F255</f>
        <v>6.8357809999999999</v>
      </c>
      <c r="G1119" s="14">
        <f>'extended_recharge_2003-2015'!G255</f>
        <v>20.614037</v>
      </c>
      <c r="H1119" s="14">
        <f>'extended_recharge_2003-2015'!H255</f>
        <v>15.859737000000001</v>
      </c>
      <c r="I1119" s="14">
        <f>'extended_recharge_2003-2015'!I255</f>
        <v>39.077689999999997</v>
      </c>
      <c r="J1119" s="14">
        <f>'extended_recharge_2003-2015'!J255</f>
        <v>23.85473</v>
      </c>
      <c r="K1119" s="14">
        <f>'extended_recharge_2003-2015'!K255</f>
        <v>7.7572764999999997</v>
      </c>
      <c r="L1119" s="14">
        <f>'extended_recharge_2003-2015'!L255</f>
        <v>11.851661</v>
      </c>
      <c r="M1119" s="14">
        <f>'extended_recharge_2003-2015'!M255</f>
        <v>6.3340015000000003</v>
      </c>
      <c r="N1119" s="14">
        <f>'extended_recharge_2003-2015'!N255</f>
        <v>37.536580000000001</v>
      </c>
      <c r="O1119" s="14">
        <f>'extended_recharge_2003-2015'!O255</f>
        <v>25.180387</v>
      </c>
      <c r="P1119" s="14">
        <f>'extended_recharge_2003-2015'!P255</f>
        <v>55.573368000000002</v>
      </c>
      <c r="Q1119" s="14">
        <f>'extended_recharge_2003-2015'!Q255</f>
        <v>3.4281812</v>
      </c>
      <c r="R1119" s="14">
        <f>'extended_recharge_2003-2015'!R255</f>
        <v>11.512238</v>
      </c>
      <c r="S1119" s="14">
        <f>'extended_recharge_2003-2015'!S255</f>
        <v>25.591363999999999</v>
      </c>
      <c r="T1119" s="14">
        <f>'extended_recharge_2003-2015'!T255</f>
        <v>43.235325000000003</v>
      </c>
      <c r="U1119" s="14">
        <f>'extended_recharge_2003-2015'!U255</f>
        <v>14.665929</v>
      </c>
      <c r="V1119" s="15">
        <f>'extended_recharge_2003-2015'!V255</f>
        <v>24.114086</v>
      </c>
      <c r="W1119" s="16">
        <f>'extended_recharge_2003-2015'!W255</f>
        <v>16.452385</v>
      </c>
      <c r="X1119" s="16">
        <f>'extended_recharge_2003-2015'!X255</f>
        <v>3.7897742000000001</v>
      </c>
      <c r="Y1119" s="16">
        <f>'extended_recharge_2003-2015'!Y255</f>
        <v>9.9403120000000005</v>
      </c>
      <c r="Z1119" s="16">
        <f>'extended_recharge_2003-2015'!Z255</f>
        <v>5.1884804000000004</v>
      </c>
      <c r="AA1119" s="16">
        <f>'extended_recharge_2003-2015'!AA255</f>
        <v>3.6464588999999998</v>
      </c>
      <c r="AB1119" s="16">
        <f>'extended_recharge_2003-2015'!AB255</f>
        <v>1.6514059999999999</v>
      </c>
      <c r="AC1119" s="16">
        <f>'extended_recharge_2003-2015'!AC255</f>
        <v>3.7559526000000001</v>
      </c>
      <c r="AD1119" s="16">
        <f>'extended_recharge_2003-2015'!AD255</f>
        <v>2.8109033000000001</v>
      </c>
      <c r="AE1119" s="16">
        <f>'extended_recharge_2003-2015'!AE255</f>
        <v>12.160537</v>
      </c>
      <c r="AF1119" s="16">
        <f>'extended_recharge_2003-2015'!AF255</f>
        <v>70.611260000000001</v>
      </c>
      <c r="AG1119" s="16">
        <f>'extended_recharge_2003-2015'!AG255</f>
        <v>13.033739000000001</v>
      </c>
    </row>
    <row r="1120" spans="1:33" x14ac:dyDescent="0.2">
      <c r="A1120" s="3">
        <v>42004</v>
      </c>
      <c r="B1120" s="14">
        <f>'extended_recharge_2003-2015'!B256</f>
        <v>-0.43523017000000003</v>
      </c>
      <c r="C1120" s="14">
        <f>'extended_recharge_2003-2015'!C256</f>
        <v>21.626629999999999</v>
      </c>
      <c r="D1120" s="14">
        <f>'extended_recharge_2003-2015'!D256</f>
        <v>-2.3889629999999999</v>
      </c>
      <c r="E1120" s="14">
        <f>'extended_recharge_2003-2015'!E256</f>
        <v>-9.4236070000000005</v>
      </c>
      <c r="F1120" s="14">
        <f>'extended_recharge_2003-2015'!F256</f>
        <v>-4.2131980000000002</v>
      </c>
      <c r="G1120" s="14">
        <f>'extended_recharge_2003-2015'!G256</f>
        <v>13.495227</v>
      </c>
      <c r="H1120" s="14">
        <f>'extended_recharge_2003-2015'!H256</f>
        <v>15.380713999999999</v>
      </c>
      <c r="I1120" s="14">
        <f>'extended_recharge_2003-2015'!I256</f>
        <v>38.205100000000002</v>
      </c>
      <c r="J1120" s="14">
        <f>'extended_recharge_2003-2015'!J256</f>
        <v>17.056429000000001</v>
      </c>
      <c r="K1120" s="14">
        <f>'extended_recharge_2003-2015'!K256</f>
        <v>5.4994936000000001</v>
      </c>
      <c r="L1120" s="14">
        <f>'extended_recharge_2003-2015'!L256</f>
        <v>5.6755699999999996</v>
      </c>
      <c r="M1120" s="14">
        <f>'extended_recharge_2003-2015'!M256</f>
        <v>2.4964590000000002</v>
      </c>
      <c r="N1120" s="14">
        <f>'extended_recharge_2003-2015'!N256</f>
        <v>33.291550000000001</v>
      </c>
      <c r="O1120" s="14">
        <f>'extended_recharge_2003-2015'!O256</f>
        <v>26.172325000000001</v>
      </c>
      <c r="P1120" s="14">
        <f>'extended_recharge_2003-2015'!P256</f>
        <v>62.048575999999997</v>
      </c>
      <c r="Q1120" s="14">
        <f>'extended_recharge_2003-2015'!Q256</f>
        <v>5.8408540000000002</v>
      </c>
      <c r="R1120" s="14">
        <f>'extended_recharge_2003-2015'!R256</f>
        <v>9.6106069999999999</v>
      </c>
      <c r="S1120" s="14">
        <f>'extended_recharge_2003-2015'!S256</f>
        <v>16.253584</v>
      </c>
      <c r="T1120" s="14">
        <f>'extended_recharge_2003-2015'!T256</f>
        <v>45.943649999999998</v>
      </c>
      <c r="U1120" s="14">
        <f>'extended_recharge_2003-2015'!U256</f>
        <v>15.739236</v>
      </c>
      <c r="V1120" s="15">
        <f>'extended_recharge_2003-2015'!V256</f>
        <v>25.000132000000001</v>
      </c>
      <c r="W1120" s="16">
        <f>'extended_recharge_2003-2015'!W256</f>
        <v>12.320930000000001</v>
      </c>
      <c r="X1120" s="16">
        <f>'extended_recharge_2003-2015'!X256</f>
        <v>2.2616806</v>
      </c>
      <c r="Y1120" s="16">
        <f>'extended_recharge_2003-2015'!Y256</f>
        <v>6.9320300000000001</v>
      </c>
      <c r="Z1120" s="16">
        <f>'extended_recharge_2003-2015'!Z256</f>
        <v>4.2571089999999998</v>
      </c>
      <c r="AA1120" s="16">
        <f>'extended_recharge_2003-2015'!AA256</f>
        <v>4.3797183000000004</v>
      </c>
      <c r="AB1120" s="16">
        <f>'extended_recharge_2003-2015'!AB256</f>
        <v>1.6582063</v>
      </c>
      <c r="AC1120" s="16">
        <f>'extended_recharge_2003-2015'!AC256</f>
        <v>4.5746254999999998</v>
      </c>
      <c r="AD1120" s="16">
        <f>'extended_recharge_2003-2015'!AD256</f>
        <v>1.8246960000000001</v>
      </c>
      <c r="AE1120" s="16">
        <f>'extended_recharge_2003-2015'!AE256</f>
        <v>21.111992000000001</v>
      </c>
      <c r="AF1120" s="16">
        <f>'extended_recharge_2003-2015'!AF256</f>
        <v>64.866720000000001</v>
      </c>
      <c r="AG1120" s="16">
        <f>'extended_recharge_2003-2015'!AG256</f>
        <v>11.402338</v>
      </c>
    </row>
    <row r="1121" spans="1:33" x14ac:dyDescent="0.2">
      <c r="A1121" s="3">
        <v>42035</v>
      </c>
      <c r="B1121" s="14">
        <f>'extended_recharge_2003-2015'!B257</f>
        <v>1.2226108</v>
      </c>
      <c r="C1121" s="14">
        <f>'extended_recharge_2003-2015'!C257</f>
        <v>23.746421999999999</v>
      </c>
      <c r="D1121" s="14">
        <f>'extended_recharge_2003-2015'!D257</f>
        <v>-7.2989460000000006E-2</v>
      </c>
      <c r="E1121" s="14">
        <f>'extended_recharge_2003-2015'!E257</f>
        <v>5.1799429999999997</v>
      </c>
      <c r="F1121" s="14">
        <f>'extended_recharge_2003-2015'!F257</f>
        <v>10.867257</v>
      </c>
      <c r="G1121" s="14">
        <f>'extended_recharge_2003-2015'!G257</f>
        <v>22.574923999999999</v>
      </c>
      <c r="H1121" s="14">
        <f>'extended_recharge_2003-2015'!H257</f>
        <v>20.479884999999999</v>
      </c>
      <c r="I1121" s="14">
        <f>'extended_recharge_2003-2015'!I257</f>
        <v>42.754147000000003</v>
      </c>
      <c r="J1121" s="14">
        <f>'extended_recharge_2003-2015'!J257</f>
        <v>17.002746999999999</v>
      </c>
      <c r="K1121" s="14">
        <f>'extended_recharge_2003-2015'!K257</f>
        <v>2.6455274000000002</v>
      </c>
      <c r="L1121" s="14">
        <f>'extended_recharge_2003-2015'!L257</f>
        <v>3.7074888000000001</v>
      </c>
      <c r="M1121" s="14">
        <f>'extended_recharge_2003-2015'!M257</f>
        <v>4.4530880000000002</v>
      </c>
      <c r="N1121" s="14">
        <f>'extended_recharge_2003-2015'!N257</f>
        <v>29.758424999999999</v>
      </c>
      <c r="O1121" s="14">
        <f>'extended_recharge_2003-2015'!O257</f>
        <v>21.98395</v>
      </c>
      <c r="P1121" s="14">
        <f>'extended_recharge_2003-2015'!P257</f>
        <v>70.38655</v>
      </c>
      <c r="Q1121" s="14">
        <f>'extended_recharge_2003-2015'!Q257</f>
        <v>3.5106761</v>
      </c>
      <c r="R1121" s="14">
        <f>'extended_recharge_2003-2015'!R257</f>
        <v>12.025990999999999</v>
      </c>
      <c r="S1121" s="14">
        <f>'extended_recharge_2003-2015'!S257</f>
        <v>11.32874</v>
      </c>
      <c r="T1121" s="14">
        <f>'extended_recharge_2003-2015'!T257</f>
        <v>32.005465999999998</v>
      </c>
      <c r="U1121" s="14">
        <f>'extended_recharge_2003-2015'!U257</f>
        <v>13.493413</v>
      </c>
      <c r="V1121" s="15">
        <f>'extended_recharge_2003-2015'!V257</f>
        <v>19.973140000000001</v>
      </c>
      <c r="W1121" s="16">
        <f>'extended_recharge_2003-2015'!W257</f>
        <v>5.1534494999999998</v>
      </c>
      <c r="X1121" s="16">
        <f>'extended_recharge_2003-2015'!X257</f>
        <v>3.9046528</v>
      </c>
      <c r="Y1121" s="16">
        <f>'extended_recharge_2003-2015'!Y257</f>
        <v>7.5885049999999996</v>
      </c>
      <c r="Z1121" s="16">
        <f>'extended_recharge_2003-2015'!Z257</f>
        <v>2.1467170000000002</v>
      </c>
      <c r="AA1121" s="16">
        <f>'extended_recharge_2003-2015'!AA257</f>
        <v>2.3915709999999999</v>
      </c>
      <c r="AB1121" s="16">
        <f>'extended_recharge_2003-2015'!AB257</f>
        <v>1.4894369999999999</v>
      </c>
      <c r="AC1121" s="16">
        <f>'extended_recharge_2003-2015'!AC257</f>
        <v>3.2848144000000001</v>
      </c>
      <c r="AD1121" s="16">
        <f>'extended_recharge_2003-2015'!AD257</f>
        <v>1.5523769000000001</v>
      </c>
      <c r="AE1121" s="16">
        <f>'extended_recharge_2003-2015'!AE257</f>
        <v>23.342345999999999</v>
      </c>
      <c r="AF1121" s="16">
        <f>'extended_recharge_2003-2015'!AF257</f>
        <v>66.088390000000004</v>
      </c>
      <c r="AG1121" s="16">
        <f>'extended_recharge_2003-2015'!AG257</f>
        <v>10.042145</v>
      </c>
    </row>
    <row r="1122" spans="1:33" x14ac:dyDescent="0.2">
      <c r="A1122" s="3">
        <v>42063</v>
      </c>
      <c r="B1122" s="14">
        <f>'extended_recharge_2003-2015'!B258</f>
        <v>4.5881119999999997</v>
      </c>
      <c r="C1122" s="14">
        <f>'extended_recharge_2003-2015'!C258</f>
        <v>30.580991999999998</v>
      </c>
      <c r="D1122" s="14">
        <f>'extended_recharge_2003-2015'!D258</f>
        <v>7.4046500000000002</v>
      </c>
      <c r="E1122" s="14">
        <f>'extended_recharge_2003-2015'!E258</f>
        <v>30.215357000000001</v>
      </c>
      <c r="F1122" s="14">
        <f>'extended_recharge_2003-2015'!F258</f>
        <v>33.436478000000001</v>
      </c>
      <c r="G1122" s="14">
        <f>'extended_recharge_2003-2015'!G258</f>
        <v>47.718822000000003</v>
      </c>
      <c r="H1122" s="14">
        <f>'extended_recharge_2003-2015'!H258</f>
        <v>21.558088000000001</v>
      </c>
      <c r="I1122" s="14">
        <f>'extended_recharge_2003-2015'!I258</f>
        <v>44.560496999999998</v>
      </c>
      <c r="J1122" s="14">
        <f>'extended_recharge_2003-2015'!J258</f>
        <v>17.057959</v>
      </c>
      <c r="K1122" s="14">
        <f>'extended_recharge_2003-2015'!K258</f>
        <v>12.526263999999999</v>
      </c>
      <c r="L1122" s="14">
        <f>'extended_recharge_2003-2015'!L258</f>
        <v>7.0266209999999996</v>
      </c>
      <c r="M1122" s="14">
        <f>'extended_recharge_2003-2015'!M258</f>
        <v>8.1337050000000009</v>
      </c>
      <c r="N1122" s="14">
        <f>'extended_recharge_2003-2015'!N258</f>
        <v>33.63635</v>
      </c>
      <c r="O1122" s="14">
        <f>'extended_recharge_2003-2015'!O258</f>
        <v>20.544523000000002</v>
      </c>
      <c r="P1122" s="14">
        <f>'extended_recharge_2003-2015'!P258</f>
        <v>61.048664000000002</v>
      </c>
      <c r="Q1122" s="14">
        <f>'extended_recharge_2003-2015'!Q258</f>
        <v>4.7908200000000001</v>
      </c>
      <c r="R1122" s="14">
        <f>'extended_recharge_2003-2015'!R258</f>
        <v>11.267072000000001</v>
      </c>
      <c r="S1122" s="14">
        <f>'extended_recharge_2003-2015'!S258</f>
        <v>17.324587000000001</v>
      </c>
      <c r="T1122" s="14">
        <f>'extended_recharge_2003-2015'!T258</f>
        <v>34.180542000000003</v>
      </c>
      <c r="U1122" s="14">
        <f>'extended_recharge_2003-2015'!U258</f>
        <v>11.950283000000001</v>
      </c>
      <c r="V1122" s="15">
        <f>'extended_recharge_2003-2015'!V258</f>
        <v>20.101960999999999</v>
      </c>
      <c r="W1122" s="16">
        <f>'extended_recharge_2003-2015'!W258</f>
        <v>0.75283926999999995</v>
      </c>
      <c r="X1122" s="16">
        <f>'extended_recharge_2003-2015'!X258</f>
        <v>1.8412892000000001</v>
      </c>
      <c r="Y1122" s="16">
        <f>'extended_recharge_2003-2015'!Y258</f>
        <v>8.8222450000000006</v>
      </c>
      <c r="Z1122" s="16">
        <f>'extended_recharge_2003-2015'!Z258</f>
        <v>0.51262949999999996</v>
      </c>
      <c r="AA1122" s="16">
        <f>'extended_recharge_2003-2015'!AA258</f>
        <v>2.9628869999999998</v>
      </c>
      <c r="AB1122" s="16">
        <f>'extended_recharge_2003-2015'!AB258</f>
        <v>1.7354423000000001</v>
      </c>
      <c r="AC1122" s="16">
        <f>'extended_recharge_2003-2015'!AC258</f>
        <v>2.6544219999999998</v>
      </c>
      <c r="AD1122" s="16">
        <f>'extended_recharge_2003-2015'!AD258</f>
        <v>1.7999951000000001</v>
      </c>
      <c r="AE1122" s="16">
        <f>'extended_recharge_2003-2015'!AE258</f>
        <v>20.394915000000001</v>
      </c>
      <c r="AF1122" s="16">
        <f>'extended_recharge_2003-2015'!AF258</f>
        <v>64.119439999999997</v>
      </c>
      <c r="AG1122" s="16">
        <f>'extended_recharge_2003-2015'!AG258</f>
        <v>10.038527500000001</v>
      </c>
    </row>
    <row r="1123" spans="1:33" x14ac:dyDescent="0.2">
      <c r="A1123" s="3">
        <v>42094</v>
      </c>
      <c r="B1123" s="14">
        <f>'extended_recharge_2003-2015'!B259</f>
        <v>4.4409175000000003</v>
      </c>
      <c r="C1123" s="14">
        <f>'extended_recharge_2003-2015'!C259</f>
        <v>27.95025</v>
      </c>
      <c r="D1123" s="14">
        <f>'extended_recharge_2003-2015'!D259</f>
        <v>-0.89230317000000003</v>
      </c>
      <c r="E1123" s="14">
        <f>'extended_recharge_2003-2015'!E259</f>
        <v>-12.536500999999999</v>
      </c>
      <c r="F1123" s="14">
        <f>'extended_recharge_2003-2015'!F259</f>
        <v>2.2373588</v>
      </c>
      <c r="G1123" s="14">
        <f>'extended_recharge_2003-2015'!G259</f>
        <v>16.084161999999999</v>
      </c>
      <c r="H1123" s="14">
        <f>'extended_recharge_2003-2015'!H259</f>
        <v>17.25958</v>
      </c>
      <c r="I1123" s="14">
        <f>'extended_recharge_2003-2015'!I259</f>
        <v>44.810516</v>
      </c>
      <c r="J1123" s="14">
        <f>'extended_recharge_2003-2015'!J259</f>
        <v>9.9879470000000001</v>
      </c>
      <c r="K1123" s="14">
        <f>'extended_recharge_2003-2015'!K259</f>
        <v>10.795514000000001</v>
      </c>
      <c r="L1123" s="14">
        <f>'extended_recharge_2003-2015'!L259</f>
        <v>4.9307699999999999</v>
      </c>
      <c r="M1123" s="14">
        <f>'extended_recharge_2003-2015'!M259</f>
        <v>6.7383547000000004</v>
      </c>
      <c r="N1123" s="14">
        <f>'extended_recharge_2003-2015'!N259</f>
        <v>37.722458000000003</v>
      </c>
      <c r="O1123" s="14">
        <f>'extended_recharge_2003-2015'!O259</f>
        <v>19.834633</v>
      </c>
      <c r="P1123" s="14">
        <f>'extended_recharge_2003-2015'!P259</f>
        <v>40.454790000000003</v>
      </c>
      <c r="Q1123" s="14">
        <f>'extended_recharge_2003-2015'!Q259</f>
        <v>3.2732972999999999</v>
      </c>
      <c r="R1123" s="14">
        <f>'extended_recharge_2003-2015'!R259</f>
        <v>8.2416219999999996</v>
      </c>
      <c r="S1123" s="14">
        <f>'extended_recharge_2003-2015'!S259</f>
        <v>22.859746999999999</v>
      </c>
      <c r="T1123" s="14">
        <f>'extended_recharge_2003-2015'!T259</f>
        <v>42.528072000000002</v>
      </c>
      <c r="U1123" s="14">
        <f>'extended_recharge_2003-2015'!U259</f>
        <v>9.713222</v>
      </c>
      <c r="V1123" s="15">
        <f>'extended_recharge_2003-2015'!V259</f>
        <v>21.969223</v>
      </c>
      <c r="W1123" s="16">
        <f>'extended_recharge_2003-2015'!W259</f>
        <v>5.0876190000000002E-2</v>
      </c>
      <c r="X1123" s="16">
        <f>'extended_recharge_2003-2015'!X259</f>
        <v>2.1604562</v>
      </c>
      <c r="Y1123" s="16">
        <f>'extended_recharge_2003-2015'!Y259</f>
        <v>10.598233</v>
      </c>
      <c r="Z1123" s="16">
        <f>'extended_recharge_2003-2015'!Z259</f>
        <v>0.99883100000000002</v>
      </c>
      <c r="AA1123" s="16">
        <f>'extended_recharge_2003-2015'!AA259</f>
        <v>3.6440549999999998</v>
      </c>
      <c r="AB1123" s="16">
        <f>'extended_recharge_2003-2015'!AB259</f>
        <v>1.7894848999999999</v>
      </c>
      <c r="AC1123" s="16">
        <f>'extended_recharge_2003-2015'!AC259</f>
        <v>3.7381310000000001</v>
      </c>
      <c r="AD1123" s="16">
        <f>'extended_recharge_2003-2015'!AD259</f>
        <v>2.8608343999999999</v>
      </c>
      <c r="AE1123" s="16">
        <f>'extended_recharge_2003-2015'!AE259</f>
        <v>18.612513</v>
      </c>
      <c r="AF1123" s="16">
        <f>'extended_recharge_2003-2015'!AF259</f>
        <v>71.431754999999995</v>
      </c>
      <c r="AG1123" s="16">
        <f>'extended_recharge_2003-2015'!AG259</f>
        <v>11.157178999999999</v>
      </c>
    </row>
    <row r="1124" spans="1:33" x14ac:dyDescent="0.2">
      <c r="A1124" s="3">
        <v>42124</v>
      </c>
      <c r="B1124" s="14">
        <f>'extended_recharge_2003-2015'!B260</f>
        <v>4.4855640000000001</v>
      </c>
      <c r="C1124" s="14">
        <f>'extended_recharge_2003-2015'!C260</f>
        <v>26.016826999999999</v>
      </c>
      <c r="D1124" s="14">
        <f>'extended_recharge_2003-2015'!D260</f>
        <v>-1.5840240999999999</v>
      </c>
      <c r="E1124" s="14">
        <f>'extended_recharge_2003-2015'!E260</f>
        <v>-7.5410310000000003</v>
      </c>
      <c r="F1124" s="14">
        <f>'extended_recharge_2003-2015'!F260</f>
        <v>6.4054985000000002</v>
      </c>
      <c r="G1124" s="14">
        <f>'extended_recharge_2003-2015'!G260</f>
        <v>5.9028049999999999</v>
      </c>
      <c r="H1124" s="14">
        <f>'extended_recharge_2003-2015'!H260</f>
        <v>14.782432999999999</v>
      </c>
      <c r="I1124" s="14">
        <f>'extended_recharge_2003-2015'!I260</f>
        <v>42.781579999999998</v>
      </c>
      <c r="J1124" s="14">
        <f>'extended_recharge_2003-2015'!J260</f>
        <v>3.1276470000000001</v>
      </c>
      <c r="K1124" s="14">
        <f>'extended_recharge_2003-2015'!K260</f>
        <v>6.9477053</v>
      </c>
      <c r="L1124" s="14">
        <f>'extended_recharge_2003-2015'!L260</f>
        <v>-1.8350839999999999</v>
      </c>
      <c r="M1124" s="14">
        <f>'extended_recharge_2003-2015'!M260</f>
        <v>5.5270760000000001</v>
      </c>
      <c r="N1124" s="14">
        <f>'extended_recharge_2003-2015'!N260</f>
        <v>33.024605000000001</v>
      </c>
      <c r="O1124" s="14">
        <f>'extended_recharge_2003-2015'!O260</f>
        <v>20.492598000000001</v>
      </c>
      <c r="P1124" s="14">
        <f>'extended_recharge_2003-2015'!P260</f>
        <v>62.939261999999999</v>
      </c>
      <c r="Q1124" s="14">
        <f>'extended_recharge_2003-2015'!Q260</f>
        <v>1.860158</v>
      </c>
      <c r="R1124" s="14">
        <f>'extended_recharge_2003-2015'!R260</f>
        <v>8.7966920000000002</v>
      </c>
      <c r="S1124" s="14">
        <f>'extended_recharge_2003-2015'!S260</f>
        <v>20.808239</v>
      </c>
      <c r="T1124" s="14">
        <f>'extended_recharge_2003-2015'!T260</f>
        <v>40.490112000000003</v>
      </c>
      <c r="U1124" s="14">
        <f>'extended_recharge_2003-2015'!U260</f>
        <v>11.656110999999999</v>
      </c>
      <c r="V1124" s="15">
        <f>'extended_recharge_2003-2015'!V260</f>
        <v>26.147397999999999</v>
      </c>
      <c r="W1124" s="16">
        <f>'extended_recharge_2003-2015'!W260</f>
        <v>6.7654850000000002E-2</v>
      </c>
      <c r="X1124" s="16">
        <f>'extended_recharge_2003-2015'!X260</f>
        <v>1.7821051000000001</v>
      </c>
      <c r="Y1124" s="16">
        <f>'extended_recharge_2003-2015'!Y260</f>
        <v>12.670717</v>
      </c>
      <c r="Z1124" s="16">
        <f>'extended_recharge_2003-2015'!Z260</f>
        <v>-0.15740556</v>
      </c>
      <c r="AA1124" s="16">
        <f>'extended_recharge_2003-2015'!AA260</f>
        <v>3.5833689999999998</v>
      </c>
      <c r="AB1124" s="16">
        <f>'extended_recharge_2003-2015'!AB260</f>
        <v>2.6449733000000002</v>
      </c>
      <c r="AC1124" s="16">
        <f>'extended_recharge_2003-2015'!AC260</f>
        <v>4.3725652999999998</v>
      </c>
      <c r="AD1124" s="16">
        <f>'extended_recharge_2003-2015'!AD260</f>
        <v>4.7403215999999997</v>
      </c>
      <c r="AE1124" s="16">
        <f>'extended_recharge_2003-2015'!AE260</f>
        <v>9.6211450000000003</v>
      </c>
      <c r="AF1124" s="16">
        <f>'extended_recharge_2003-2015'!AF260</f>
        <v>83.372029999999995</v>
      </c>
      <c r="AG1124" s="16">
        <f>'extended_recharge_2003-2015'!AG260</f>
        <v>14.39724</v>
      </c>
    </row>
    <row r="1125" spans="1:33" x14ac:dyDescent="0.2">
      <c r="A1125" s="3">
        <v>42155</v>
      </c>
      <c r="B1125" s="14">
        <f>'extended_recharge_2003-2015'!B261</f>
        <v>6.5556599999999996</v>
      </c>
      <c r="C1125" s="14">
        <f>'extended_recharge_2003-2015'!C261</f>
        <v>25.804148000000001</v>
      </c>
      <c r="D1125" s="14">
        <f>'extended_recharge_2003-2015'!D261</f>
        <v>-7.9811816000000002</v>
      </c>
      <c r="E1125" s="14">
        <f>'extended_recharge_2003-2015'!E261</f>
        <v>-19.408397999999998</v>
      </c>
      <c r="F1125" s="14">
        <f>'extended_recharge_2003-2015'!F261</f>
        <v>-5.8724065000000003</v>
      </c>
      <c r="G1125" s="14">
        <f>'extended_recharge_2003-2015'!G261</f>
        <v>-2.9982407000000002</v>
      </c>
      <c r="H1125" s="14">
        <f>'extended_recharge_2003-2015'!H261</f>
        <v>14.652269</v>
      </c>
      <c r="I1125" s="14">
        <f>'extended_recharge_2003-2015'!I261</f>
        <v>43.674773999999999</v>
      </c>
      <c r="J1125" s="14">
        <f>'extended_recharge_2003-2015'!J261</f>
        <v>-9.9037019999999991</v>
      </c>
      <c r="K1125" s="14">
        <f>'extended_recharge_2003-2015'!K261</f>
        <v>3.0127649999999999</v>
      </c>
      <c r="L1125" s="14">
        <f>'extended_recharge_2003-2015'!L261</f>
        <v>-7.5931892000000003</v>
      </c>
      <c r="M1125" s="14">
        <f>'extended_recharge_2003-2015'!M261</f>
        <v>2.4421778000000001</v>
      </c>
      <c r="N1125" s="14">
        <f>'extended_recharge_2003-2015'!N261</f>
        <v>33.208477000000002</v>
      </c>
      <c r="O1125" s="14">
        <f>'extended_recharge_2003-2015'!O261</f>
        <v>21.857544000000001</v>
      </c>
      <c r="P1125" s="14">
        <f>'extended_recharge_2003-2015'!P261</f>
        <v>47.102269999999997</v>
      </c>
      <c r="Q1125" s="14">
        <f>'extended_recharge_2003-2015'!Q261</f>
        <v>3.9622304000000002</v>
      </c>
      <c r="R1125" s="14">
        <f>'extended_recharge_2003-2015'!R261</f>
        <v>9.5548190000000002</v>
      </c>
      <c r="S1125" s="14">
        <f>'extended_recharge_2003-2015'!S261</f>
        <v>12.678976</v>
      </c>
      <c r="T1125" s="14">
        <f>'extended_recharge_2003-2015'!T261</f>
        <v>33.051388000000003</v>
      </c>
      <c r="U1125" s="14">
        <f>'extended_recharge_2003-2015'!U261</f>
        <v>12.790763999999999</v>
      </c>
      <c r="V1125" s="15">
        <f>'extended_recharge_2003-2015'!V261</f>
        <v>23.991869999999999</v>
      </c>
      <c r="W1125" s="16">
        <f>'extended_recharge_2003-2015'!W261</f>
        <v>4.1710779999999996</v>
      </c>
      <c r="X1125" s="16">
        <f>'extended_recharge_2003-2015'!X261</f>
        <v>-1.2961449E-2</v>
      </c>
      <c r="Y1125" s="16">
        <f>'extended_recharge_2003-2015'!Y261</f>
        <v>15.432399999999999</v>
      </c>
      <c r="Z1125" s="16">
        <f>'extended_recharge_2003-2015'!Z261</f>
        <v>1.4531398</v>
      </c>
      <c r="AA1125" s="16">
        <f>'extended_recharge_2003-2015'!AA261</f>
        <v>3.6259925000000002</v>
      </c>
      <c r="AB1125" s="16">
        <f>'extended_recharge_2003-2015'!AB261</f>
        <v>2.0438730000000001</v>
      </c>
      <c r="AC1125" s="16">
        <f>'extended_recharge_2003-2015'!AC261</f>
        <v>3.8823793000000002</v>
      </c>
      <c r="AD1125" s="16">
        <f>'extended_recharge_2003-2015'!AD261</f>
        <v>7.5110125999999999</v>
      </c>
      <c r="AE1125" s="16">
        <f>'extended_recharge_2003-2015'!AE261</f>
        <v>1.9335859</v>
      </c>
      <c r="AF1125" s="16">
        <f>'extended_recharge_2003-2015'!AF261</f>
        <v>96.002464000000003</v>
      </c>
      <c r="AG1125" s="16">
        <f>'extended_recharge_2003-2015'!AG261</f>
        <v>18.140663</v>
      </c>
    </row>
    <row r="1126" spans="1:33" x14ac:dyDescent="0.2">
      <c r="A1126" s="3">
        <v>42185</v>
      </c>
      <c r="B1126" s="14">
        <f>'extended_recharge_2003-2015'!B262</f>
        <v>6.7667675000000003</v>
      </c>
      <c r="C1126" s="14">
        <f>'extended_recharge_2003-2015'!C262</f>
        <v>25.754818</v>
      </c>
      <c r="D1126" s="14">
        <f>'extended_recharge_2003-2015'!D262</f>
        <v>-3.6819858999999999</v>
      </c>
      <c r="E1126" s="14">
        <f>'extended_recharge_2003-2015'!E262</f>
        <v>-4.9480000000000004</v>
      </c>
      <c r="F1126" s="14">
        <f>'extended_recharge_2003-2015'!F262</f>
        <v>10.701097000000001</v>
      </c>
      <c r="G1126" s="14">
        <f>'extended_recharge_2003-2015'!G262</f>
        <v>9.5888939999999998</v>
      </c>
      <c r="H1126" s="14">
        <f>'extended_recharge_2003-2015'!H262</f>
        <v>15.3636465</v>
      </c>
      <c r="I1126" s="14">
        <f>'extended_recharge_2003-2015'!I262</f>
        <v>43.084102999999999</v>
      </c>
      <c r="J1126" s="14">
        <f>'extended_recharge_2003-2015'!J262</f>
        <v>1.9037972999999999</v>
      </c>
      <c r="K1126" s="14">
        <f>'extended_recharge_2003-2015'!K262</f>
        <v>6.8288812999999999</v>
      </c>
      <c r="L1126" s="14">
        <f>'extended_recharge_2003-2015'!L262</f>
        <v>1.0886608</v>
      </c>
      <c r="M1126" s="14">
        <f>'extended_recharge_2003-2015'!M262</f>
        <v>3.1699115999999998</v>
      </c>
      <c r="N1126" s="14">
        <f>'extended_recharge_2003-2015'!N262</f>
        <v>33.310295000000004</v>
      </c>
      <c r="O1126" s="14">
        <f>'extended_recharge_2003-2015'!O262</f>
        <v>21.082787</v>
      </c>
      <c r="P1126" s="14">
        <f>'extended_recharge_2003-2015'!P262</f>
        <v>54.258353999999997</v>
      </c>
      <c r="Q1126" s="14">
        <f>'extended_recharge_2003-2015'!Q262</f>
        <v>4.9367565999999998</v>
      </c>
      <c r="R1126" s="14">
        <f>'extended_recharge_2003-2015'!R262</f>
        <v>12.274782</v>
      </c>
      <c r="S1126" s="14">
        <f>'extended_recharge_2003-2015'!S262</f>
        <v>15.958132000000001</v>
      </c>
      <c r="T1126" s="14">
        <f>'extended_recharge_2003-2015'!T262</f>
        <v>29.575420000000001</v>
      </c>
      <c r="U1126" s="14">
        <f>'extended_recharge_2003-2015'!U262</f>
        <v>15.048892</v>
      </c>
      <c r="V1126" s="15">
        <f>'extended_recharge_2003-2015'!V262</f>
        <v>31.376892000000002</v>
      </c>
      <c r="W1126" s="16">
        <f>'extended_recharge_2003-2015'!W262</f>
        <v>16.234439999999999</v>
      </c>
      <c r="X1126" s="16">
        <f>'extended_recharge_2003-2015'!X262</f>
        <v>-1.4044559999999999</v>
      </c>
      <c r="Y1126" s="16">
        <f>'extended_recharge_2003-2015'!Y262</f>
        <v>15.579559</v>
      </c>
      <c r="Z1126" s="16">
        <f>'extended_recharge_2003-2015'!Z262</f>
        <v>0.99230593</v>
      </c>
      <c r="AA1126" s="16">
        <f>'extended_recharge_2003-2015'!AA262</f>
        <v>5.8604244999999997</v>
      </c>
      <c r="AB1126" s="16">
        <f>'extended_recharge_2003-2015'!AB262</f>
        <v>1.9099090000000001</v>
      </c>
      <c r="AC1126" s="16">
        <f>'extended_recharge_2003-2015'!AC262</f>
        <v>3.8906109999999998</v>
      </c>
      <c r="AD1126" s="16">
        <f>'extended_recharge_2003-2015'!AD262</f>
        <v>10.76191</v>
      </c>
      <c r="AE1126" s="16">
        <f>'extended_recharge_2003-2015'!AE262</f>
        <v>0.62689760000000005</v>
      </c>
      <c r="AF1126" s="16">
        <f>'extended_recharge_2003-2015'!AF262</f>
        <v>100.75329000000001</v>
      </c>
      <c r="AG1126" s="16">
        <f>'extended_recharge_2003-2015'!AG262</f>
        <v>22.980153999999999</v>
      </c>
    </row>
    <row r="1127" spans="1:33" x14ac:dyDescent="0.2">
      <c r="A1127" s="3">
        <v>42216</v>
      </c>
      <c r="B1127" s="14">
        <f>'extended_recharge_2003-2015'!B263</f>
        <v>7.0730686</v>
      </c>
      <c r="C1127" s="14">
        <f>'extended_recharge_2003-2015'!C263</f>
        <v>25.34995</v>
      </c>
      <c r="D1127" s="14">
        <f>'extended_recharge_2003-2015'!D263</f>
        <v>-2.8077811000000001E-2</v>
      </c>
      <c r="E1127" s="14">
        <f>'extended_recharge_2003-2015'!E263</f>
        <v>0.21932545000000001</v>
      </c>
      <c r="F1127" s="14">
        <f>'extended_recharge_2003-2015'!F263</f>
        <v>21.46649</v>
      </c>
      <c r="G1127" s="14">
        <f>'extended_recharge_2003-2015'!G263</f>
        <v>17.705772</v>
      </c>
      <c r="H1127" s="14">
        <f>'extended_recharge_2003-2015'!H263</f>
        <v>16.183420000000002</v>
      </c>
      <c r="I1127" s="14">
        <f>'extended_recharge_2003-2015'!I263</f>
        <v>43.884483000000003</v>
      </c>
      <c r="J1127" s="14">
        <f>'extended_recharge_2003-2015'!J263</f>
        <v>6.6110252999999997</v>
      </c>
      <c r="K1127" s="14">
        <f>'extended_recharge_2003-2015'!K263</f>
        <v>13.842896</v>
      </c>
      <c r="L1127" s="14">
        <f>'extended_recharge_2003-2015'!L263</f>
        <v>6.5990859999999998</v>
      </c>
      <c r="M1127" s="14">
        <f>'extended_recharge_2003-2015'!M263</f>
        <v>6.9079920000000001</v>
      </c>
      <c r="N1127" s="14">
        <f>'extended_recharge_2003-2015'!N263</f>
        <v>39.300490000000003</v>
      </c>
      <c r="O1127" s="14">
        <f>'extended_recharge_2003-2015'!O263</f>
        <v>23.613337999999999</v>
      </c>
      <c r="P1127" s="14">
        <f>'extended_recharge_2003-2015'!P263</f>
        <v>67.641750000000002</v>
      </c>
      <c r="Q1127" s="14">
        <f>'extended_recharge_2003-2015'!Q263</f>
        <v>4.2184249999999999</v>
      </c>
      <c r="R1127" s="14">
        <f>'extended_recharge_2003-2015'!R263</f>
        <v>11.440443999999999</v>
      </c>
      <c r="S1127" s="14">
        <f>'extended_recharge_2003-2015'!S263</f>
        <v>20.8079</v>
      </c>
      <c r="T1127" s="14">
        <f>'extended_recharge_2003-2015'!T263</f>
        <v>28.631498000000001</v>
      </c>
      <c r="U1127" s="14">
        <f>'extended_recharge_2003-2015'!U263</f>
        <v>15.007833</v>
      </c>
      <c r="V1127" s="15">
        <f>'extended_recharge_2003-2015'!V263</f>
        <v>35.71528</v>
      </c>
      <c r="W1127" s="16">
        <f>'extended_recharge_2003-2015'!W263</f>
        <v>27.233076000000001</v>
      </c>
      <c r="X1127" s="16">
        <f>'extended_recharge_2003-2015'!X263</f>
        <v>-3.7381806000000002</v>
      </c>
      <c r="Y1127" s="16">
        <f>'extended_recharge_2003-2015'!Y263</f>
        <v>13.838984999999999</v>
      </c>
      <c r="Z1127" s="16">
        <f>'extended_recharge_2003-2015'!Z263</f>
        <v>2.3989820000000002</v>
      </c>
      <c r="AA1127" s="16">
        <f>'extended_recharge_2003-2015'!AA263</f>
        <v>6.2416619999999998</v>
      </c>
      <c r="AB1127" s="16">
        <f>'extended_recharge_2003-2015'!AB263</f>
        <v>1.7585602</v>
      </c>
      <c r="AC1127" s="16">
        <f>'extended_recharge_2003-2015'!AC263</f>
        <v>3.9535505999999998</v>
      </c>
      <c r="AD1127" s="16">
        <f>'extended_recharge_2003-2015'!AD263</f>
        <v>10.76313</v>
      </c>
      <c r="AE1127" s="16">
        <f>'extended_recharge_2003-2015'!AE263</f>
        <v>-0.55493340000000002</v>
      </c>
      <c r="AF1127" s="16">
        <f>'extended_recharge_2003-2015'!AF263</f>
        <v>106.040375</v>
      </c>
      <c r="AG1127" s="16">
        <f>'extended_recharge_2003-2015'!AG263</f>
        <v>25.030031000000001</v>
      </c>
    </row>
    <row r="1128" spans="1:33" x14ac:dyDescent="0.2">
      <c r="A1128" s="3">
        <v>42247</v>
      </c>
      <c r="B1128" s="14">
        <f>'extended_recharge_2003-2015'!B264</f>
        <v>5.4471239999999996</v>
      </c>
      <c r="C1128" s="14">
        <f>'extended_recharge_2003-2015'!C264</f>
        <v>23.737525999999999</v>
      </c>
      <c r="D1128" s="14">
        <f>'extended_recharge_2003-2015'!D264</f>
        <v>-5.6034154999999997</v>
      </c>
      <c r="E1128" s="14">
        <f>'extended_recharge_2003-2015'!E264</f>
        <v>-21.65269</v>
      </c>
      <c r="F1128" s="14">
        <f>'extended_recharge_2003-2015'!F264</f>
        <v>-3.5900957999999998</v>
      </c>
      <c r="G1128" s="14">
        <f>'extended_recharge_2003-2015'!G264</f>
        <v>-0.10097844</v>
      </c>
      <c r="H1128" s="14">
        <f>'extended_recharge_2003-2015'!H264</f>
        <v>13.927235</v>
      </c>
      <c r="I1128" s="14">
        <f>'extended_recharge_2003-2015'!I264</f>
        <v>41.085182000000003</v>
      </c>
      <c r="J1128" s="14">
        <f>'extended_recharge_2003-2015'!J264</f>
        <v>0.34689265000000002</v>
      </c>
      <c r="K1128" s="14">
        <f>'extended_recharge_2003-2015'!K264</f>
        <v>1.7860304</v>
      </c>
      <c r="L1128" s="14">
        <f>'extended_recharge_2003-2015'!L264</f>
        <v>0.43238496999999998</v>
      </c>
      <c r="M1128" s="14">
        <f>'extended_recharge_2003-2015'!M264</f>
        <v>1.2674099999999999</v>
      </c>
      <c r="N1128" s="14">
        <f>'extended_recharge_2003-2015'!N264</f>
        <v>29.119492000000001</v>
      </c>
      <c r="O1128" s="14">
        <f>'extended_recharge_2003-2015'!O264</f>
        <v>24.675352</v>
      </c>
      <c r="P1128" s="14">
        <f>'extended_recharge_2003-2015'!P264</f>
        <v>56.350166000000002</v>
      </c>
      <c r="Q1128" s="14">
        <f>'extended_recharge_2003-2015'!Q264</f>
        <v>3.8660356999999999</v>
      </c>
      <c r="R1128" s="14">
        <f>'extended_recharge_2003-2015'!R264</f>
        <v>12.566288</v>
      </c>
      <c r="S1128" s="14">
        <f>'extended_recharge_2003-2015'!S264</f>
        <v>14.220401000000001</v>
      </c>
      <c r="T1128" s="14">
        <f>'extended_recharge_2003-2015'!T264</f>
        <v>29.788381999999999</v>
      </c>
      <c r="U1128" s="14">
        <f>'extended_recharge_2003-2015'!U264</f>
        <v>12.902353</v>
      </c>
      <c r="V1128" s="15">
        <f>'extended_recharge_2003-2015'!V264</f>
        <v>37.436954</v>
      </c>
      <c r="W1128" s="16">
        <f>'extended_recharge_2003-2015'!W264</f>
        <v>31.38353</v>
      </c>
      <c r="X1128" s="16">
        <f>'extended_recharge_2003-2015'!X264</f>
        <v>-3.6419950000000001</v>
      </c>
      <c r="Y1128" s="16">
        <f>'extended_recharge_2003-2015'!Y264</f>
        <v>13.219364000000001</v>
      </c>
      <c r="Z1128" s="16">
        <f>'extended_recharge_2003-2015'!Z264</f>
        <v>4.1513660000000003</v>
      </c>
      <c r="AA1128" s="16">
        <f>'extended_recharge_2003-2015'!AA264</f>
        <v>4.0330405000000003</v>
      </c>
      <c r="AB1128" s="16">
        <f>'extended_recharge_2003-2015'!AB264</f>
        <v>1.2764911999999999</v>
      </c>
      <c r="AC1128" s="16">
        <f>'extended_recharge_2003-2015'!AC264</f>
        <v>3.5743963999999999</v>
      </c>
      <c r="AD1128" s="16">
        <f>'extended_recharge_2003-2015'!AD264</f>
        <v>7.8697214000000004</v>
      </c>
      <c r="AE1128" s="16">
        <f>'extended_recharge_2003-2015'!AE264</f>
        <v>-0.7258</v>
      </c>
      <c r="AF1128" s="16">
        <f>'extended_recharge_2003-2015'!AF264</f>
        <v>108.881226</v>
      </c>
      <c r="AG1128" s="16">
        <f>'extended_recharge_2003-2015'!AG264</f>
        <v>23.997648000000002</v>
      </c>
    </row>
    <row r="1129" spans="1:33" x14ac:dyDescent="0.2">
      <c r="A1129" s="3">
        <v>42277</v>
      </c>
      <c r="B1129" s="14">
        <f>'extended_recharge_2003-2015'!B265</f>
        <v>4.1528910000000003</v>
      </c>
      <c r="C1129" s="14">
        <f>'extended_recharge_2003-2015'!C265</f>
        <v>24.083856999999998</v>
      </c>
      <c r="D1129" s="14">
        <f>'extended_recharge_2003-2015'!D265</f>
        <v>-2.1370214999999999</v>
      </c>
      <c r="E1129" s="14">
        <f>'extended_recharge_2003-2015'!E265</f>
        <v>-6.6421229999999998</v>
      </c>
      <c r="F1129" s="14">
        <f>'extended_recharge_2003-2015'!F265</f>
        <v>12.748625000000001</v>
      </c>
      <c r="G1129" s="14">
        <f>'extended_recharge_2003-2015'!G265</f>
        <v>12.636341</v>
      </c>
      <c r="H1129" s="14">
        <f>'extended_recharge_2003-2015'!H265</f>
        <v>14.666788</v>
      </c>
      <c r="I1129" s="14">
        <f>'extended_recharge_2003-2015'!I265</f>
        <v>40.61027</v>
      </c>
      <c r="J1129" s="14">
        <f>'extended_recharge_2003-2015'!J265</f>
        <v>11.099235</v>
      </c>
      <c r="K1129" s="14">
        <f>'extended_recharge_2003-2015'!K265</f>
        <v>5.3440760000000003</v>
      </c>
      <c r="L1129" s="14">
        <f>'extended_recharge_2003-2015'!L265</f>
        <v>3.7529880000000002</v>
      </c>
      <c r="M1129" s="14">
        <f>'extended_recharge_2003-2015'!M265</f>
        <v>4.6269926999999997</v>
      </c>
      <c r="N1129" s="14">
        <f>'extended_recharge_2003-2015'!N265</f>
        <v>32.202503</v>
      </c>
      <c r="O1129" s="14">
        <f>'extended_recharge_2003-2015'!O265</f>
        <v>23.792542000000001</v>
      </c>
      <c r="P1129" s="14">
        <f>'extended_recharge_2003-2015'!P265</f>
        <v>45.397747000000003</v>
      </c>
      <c r="Q1129" s="14">
        <f>'extended_recharge_2003-2015'!Q265</f>
        <v>4.1769356999999996</v>
      </c>
      <c r="R1129" s="14">
        <f>'extended_recharge_2003-2015'!R265</f>
        <v>10.986903</v>
      </c>
      <c r="S1129" s="14">
        <f>'extended_recharge_2003-2015'!S265</f>
        <v>16.721708</v>
      </c>
      <c r="T1129" s="14">
        <f>'extended_recharge_2003-2015'!T265</f>
        <v>29.353224000000001</v>
      </c>
      <c r="U1129" s="14">
        <f>'extended_recharge_2003-2015'!U265</f>
        <v>13.457046999999999</v>
      </c>
      <c r="V1129" s="15">
        <f>'extended_recharge_2003-2015'!V265</f>
        <v>34.510959999999997</v>
      </c>
      <c r="W1129" s="16">
        <f>'extended_recharge_2003-2015'!W265</f>
        <v>26.476078000000001</v>
      </c>
      <c r="X1129" s="16">
        <f>'extended_recharge_2003-2015'!X265</f>
        <v>-5.2409678</v>
      </c>
      <c r="Y1129" s="16">
        <f>'extended_recharge_2003-2015'!Y265</f>
        <v>12.40329</v>
      </c>
      <c r="Z1129" s="16">
        <f>'extended_recharge_2003-2015'!Z265</f>
        <v>5.4435969999999996</v>
      </c>
      <c r="AA1129" s="16">
        <f>'extended_recharge_2003-2015'!AA265</f>
        <v>4.6228829999999999</v>
      </c>
      <c r="AB1129" s="16">
        <f>'extended_recharge_2003-2015'!AB265</f>
        <v>1.9670106999999999</v>
      </c>
      <c r="AC1129" s="16">
        <f>'extended_recharge_2003-2015'!AC265</f>
        <v>3.9156723000000002</v>
      </c>
      <c r="AD1129" s="16">
        <f>'extended_recharge_2003-2015'!AD265</f>
        <v>4.991797</v>
      </c>
      <c r="AE1129" s="16">
        <f>'extended_recharge_2003-2015'!AE265</f>
        <v>1.4791558</v>
      </c>
      <c r="AF1129" s="16">
        <f>'extended_recharge_2003-2015'!AF265</f>
        <v>97.821100000000001</v>
      </c>
      <c r="AG1129" s="16">
        <f>'extended_recharge_2003-2015'!AG265</f>
        <v>20.237819999999999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E1CD-5D31-264A-AD52-550C7D6A8A67}">
  <dimension ref="A1:G35"/>
  <sheetViews>
    <sheetView tabSelected="1" workbookViewId="0">
      <selection activeCell="A12" sqref="A12:XFD12"/>
    </sheetView>
  </sheetViews>
  <sheetFormatPr baseColWidth="10" defaultRowHeight="16" x14ac:dyDescent="0.2"/>
  <cols>
    <col min="2" max="2" width="18.5" bestFit="1" customWidth="1"/>
    <col min="3" max="3" width="19.33203125" bestFit="1" customWidth="1"/>
    <col min="4" max="4" width="19.33203125" customWidth="1"/>
    <col min="5" max="5" width="18.5" bestFit="1" customWidth="1"/>
    <col min="6" max="6" width="19.33203125" bestFit="1" customWidth="1"/>
    <col min="7" max="7" width="11.33203125" bestFit="1" customWidth="1"/>
  </cols>
  <sheetData>
    <row r="1" spans="1:7" x14ac:dyDescent="0.2">
      <c r="B1" s="18" t="s">
        <v>37</v>
      </c>
      <c r="C1" s="18"/>
      <c r="D1" s="17"/>
      <c r="E1" s="18" t="s">
        <v>38</v>
      </c>
      <c r="F1" s="18"/>
    </row>
    <row r="2" spans="1:7" x14ac:dyDescent="0.2">
      <c r="A2" t="s">
        <v>36</v>
      </c>
      <c r="B2" t="s">
        <v>39</v>
      </c>
      <c r="C2" t="s">
        <v>40</v>
      </c>
      <c r="D2" t="s">
        <v>42</v>
      </c>
      <c r="E2" t="s">
        <v>39</v>
      </c>
      <c r="F2" t="s">
        <v>41</v>
      </c>
      <c r="G2" t="s">
        <v>42</v>
      </c>
    </row>
    <row r="3" spans="1:7" x14ac:dyDescent="0.2">
      <c r="A3" t="s">
        <v>1</v>
      </c>
      <c r="B3">
        <v>38447</v>
      </c>
      <c r="C3">
        <v>39437</v>
      </c>
      <c r="D3">
        <f>C3-B3</f>
        <v>990</v>
      </c>
      <c r="E3">
        <f>B3</f>
        <v>38447</v>
      </c>
      <c r="F3" s="10">
        <f>C3+D3/984*144</f>
        <v>39581.878048780491</v>
      </c>
      <c r="G3" s="10">
        <f>F3-E3</f>
        <v>1134.8780487804906</v>
      </c>
    </row>
    <row r="4" spans="1:7" x14ac:dyDescent="0.2">
      <c r="A4" t="s">
        <v>2</v>
      </c>
      <c r="B4">
        <v>136494</v>
      </c>
      <c r="C4">
        <v>136494</v>
      </c>
      <c r="D4">
        <f t="shared" ref="D4:D34" si="0">C4-B4</f>
        <v>0</v>
      </c>
      <c r="E4">
        <f t="shared" ref="E4:E34" si="1">B4</f>
        <v>136494</v>
      </c>
      <c r="F4" s="10">
        <f>E4</f>
        <v>136494</v>
      </c>
      <c r="G4" s="10">
        <f t="shared" ref="G4:G34" si="2">F4-E4</f>
        <v>0</v>
      </c>
    </row>
    <row r="5" spans="1:7" x14ac:dyDescent="0.2">
      <c r="A5" t="s">
        <v>3</v>
      </c>
      <c r="B5">
        <v>132687</v>
      </c>
      <c r="C5">
        <v>131748</v>
      </c>
      <c r="D5">
        <f t="shared" si="0"/>
        <v>-939</v>
      </c>
      <c r="E5">
        <f t="shared" si="1"/>
        <v>132687</v>
      </c>
      <c r="F5" s="10">
        <f>C5+D5/984*144</f>
        <v>131610.58536585365</v>
      </c>
      <c r="G5" s="10">
        <f t="shared" si="2"/>
        <v>-1076.4146341463493</v>
      </c>
    </row>
    <row r="6" spans="1:7" x14ac:dyDescent="0.2">
      <c r="A6" t="s">
        <v>4</v>
      </c>
      <c r="B6">
        <v>60728</v>
      </c>
      <c r="C6">
        <v>60508</v>
      </c>
      <c r="D6">
        <f t="shared" si="0"/>
        <v>-220</v>
      </c>
      <c r="E6">
        <f t="shared" si="1"/>
        <v>60728</v>
      </c>
      <c r="F6" s="10">
        <f t="shared" ref="F6:F23" si="3">C6+D6/984*144</f>
        <v>60475.804878048781</v>
      </c>
      <c r="G6" s="10">
        <f t="shared" si="2"/>
        <v>-252.19512195121933</v>
      </c>
    </row>
    <row r="7" spans="1:7" x14ac:dyDescent="0.2">
      <c r="A7" t="s">
        <v>5</v>
      </c>
      <c r="B7">
        <v>91113</v>
      </c>
      <c r="C7">
        <v>90457</v>
      </c>
      <c r="D7">
        <f t="shared" si="0"/>
        <v>-656</v>
      </c>
      <c r="E7">
        <f t="shared" si="1"/>
        <v>91113</v>
      </c>
      <c r="F7" s="10">
        <f t="shared" si="3"/>
        <v>90361</v>
      </c>
      <c r="G7" s="10">
        <f t="shared" si="2"/>
        <v>-752</v>
      </c>
    </row>
    <row r="8" spans="1:7" x14ac:dyDescent="0.2">
      <c r="A8" t="s">
        <v>6</v>
      </c>
      <c r="B8">
        <v>174968</v>
      </c>
      <c r="C8">
        <v>175275</v>
      </c>
      <c r="D8">
        <f t="shared" si="0"/>
        <v>307</v>
      </c>
      <c r="E8">
        <f t="shared" si="1"/>
        <v>174968</v>
      </c>
      <c r="F8" s="10">
        <f t="shared" si="3"/>
        <v>175319.92682926828</v>
      </c>
      <c r="G8" s="10">
        <f t="shared" si="2"/>
        <v>351.92682926828275</v>
      </c>
    </row>
    <row r="9" spans="1:7" x14ac:dyDescent="0.2">
      <c r="A9" t="s">
        <v>7</v>
      </c>
      <c r="B9">
        <v>56539</v>
      </c>
      <c r="C9">
        <v>51210</v>
      </c>
      <c r="D9">
        <f t="shared" si="0"/>
        <v>-5329</v>
      </c>
      <c r="E9">
        <f t="shared" si="1"/>
        <v>56539</v>
      </c>
      <c r="F9" s="10">
        <f t="shared" si="3"/>
        <v>50430.146341463413</v>
      </c>
      <c r="G9" s="10">
        <f t="shared" si="2"/>
        <v>-6108.8536585365873</v>
      </c>
    </row>
    <row r="10" spans="1:7" x14ac:dyDescent="0.2">
      <c r="A10" t="s">
        <v>8</v>
      </c>
      <c r="B10">
        <v>190665</v>
      </c>
      <c r="C10">
        <v>182829</v>
      </c>
      <c r="D10">
        <f t="shared" si="0"/>
        <v>-7836</v>
      </c>
      <c r="E10">
        <f t="shared" si="1"/>
        <v>190665</v>
      </c>
      <c r="F10" s="10">
        <f t="shared" si="3"/>
        <v>181682.26829268291</v>
      </c>
      <c r="G10" s="10">
        <f t="shared" si="2"/>
        <v>-8982.7317073170852</v>
      </c>
    </row>
    <row r="11" spans="1:7" x14ac:dyDescent="0.2">
      <c r="A11" t="s">
        <v>9</v>
      </c>
      <c r="B11">
        <v>139472</v>
      </c>
      <c r="C11">
        <v>139843</v>
      </c>
      <c r="D11">
        <f t="shared" si="0"/>
        <v>371</v>
      </c>
      <c r="E11">
        <f t="shared" si="1"/>
        <v>139472</v>
      </c>
      <c r="F11" s="10">
        <f t="shared" si="3"/>
        <v>139897.29268292684</v>
      </c>
      <c r="G11" s="10">
        <f t="shared" si="2"/>
        <v>425.29268292683992</v>
      </c>
    </row>
    <row r="12" spans="1:7" x14ac:dyDescent="0.2">
      <c r="A12" t="s">
        <v>10</v>
      </c>
      <c r="B12">
        <v>90210</v>
      </c>
      <c r="C12">
        <v>87055</v>
      </c>
      <c r="D12">
        <f t="shared" si="0"/>
        <v>-3155</v>
      </c>
      <c r="E12">
        <f t="shared" si="1"/>
        <v>90210</v>
      </c>
      <c r="F12" s="10">
        <f t="shared" si="3"/>
        <v>86593.292682926825</v>
      </c>
      <c r="G12" s="10">
        <f t="shared" si="2"/>
        <v>-3616.7073170731746</v>
      </c>
    </row>
    <row r="13" spans="1:7" x14ac:dyDescent="0.2">
      <c r="A13" t="s">
        <v>11</v>
      </c>
      <c r="B13">
        <v>58838</v>
      </c>
      <c r="C13">
        <v>58246</v>
      </c>
      <c r="D13">
        <f t="shared" si="0"/>
        <v>-592</v>
      </c>
      <c r="E13">
        <f t="shared" si="1"/>
        <v>58838</v>
      </c>
      <c r="F13" s="10">
        <f t="shared" si="3"/>
        <v>58159.365853658535</v>
      </c>
      <c r="G13" s="10">
        <f t="shared" si="2"/>
        <v>-678.63414634146466</v>
      </c>
    </row>
    <row r="14" spans="1:7" x14ac:dyDescent="0.2">
      <c r="A14" t="s">
        <v>12</v>
      </c>
      <c r="B14">
        <v>42602</v>
      </c>
      <c r="C14">
        <v>40865</v>
      </c>
      <c r="D14">
        <f t="shared" si="0"/>
        <v>-1737</v>
      </c>
      <c r="E14">
        <f t="shared" si="1"/>
        <v>42602</v>
      </c>
      <c r="F14" s="10">
        <f t="shared" si="3"/>
        <v>40610.804878048781</v>
      </c>
      <c r="G14" s="10">
        <f t="shared" si="2"/>
        <v>-1991.1951219512193</v>
      </c>
    </row>
    <row r="15" spans="1:7" x14ac:dyDescent="0.2">
      <c r="A15" t="s">
        <v>13</v>
      </c>
      <c r="B15">
        <v>138216</v>
      </c>
      <c r="C15">
        <v>128560</v>
      </c>
      <c r="D15">
        <f t="shared" si="0"/>
        <v>-9656</v>
      </c>
      <c r="E15">
        <f t="shared" si="1"/>
        <v>138216</v>
      </c>
      <c r="F15" s="10">
        <f t="shared" si="3"/>
        <v>127146.9268292683</v>
      </c>
      <c r="G15" s="10">
        <f t="shared" si="2"/>
        <v>-11069.073170731703</v>
      </c>
    </row>
    <row r="16" spans="1:7" x14ac:dyDescent="0.2">
      <c r="A16" t="s">
        <v>14</v>
      </c>
      <c r="B16">
        <v>178840</v>
      </c>
      <c r="C16">
        <v>172009</v>
      </c>
      <c r="D16">
        <f t="shared" si="0"/>
        <v>-6831</v>
      </c>
      <c r="E16">
        <f t="shared" si="1"/>
        <v>178840</v>
      </c>
      <c r="F16" s="10">
        <f t="shared" si="3"/>
        <v>171009.34146341463</v>
      </c>
      <c r="G16" s="10">
        <f t="shared" si="2"/>
        <v>-7830.658536585368</v>
      </c>
    </row>
    <row r="17" spans="1:7" x14ac:dyDescent="0.2">
      <c r="A17" t="s">
        <v>15</v>
      </c>
      <c r="B17">
        <v>309643</v>
      </c>
      <c r="C17">
        <v>306666</v>
      </c>
      <c r="D17">
        <f t="shared" si="0"/>
        <v>-2977</v>
      </c>
      <c r="E17">
        <f t="shared" si="1"/>
        <v>309643</v>
      </c>
      <c r="F17" s="10">
        <f t="shared" si="3"/>
        <v>306230.34146341466</v>
      </c>
      <c r="G17" s="10">
        <f t="shared" si="2"/>
        <v>-3412.6585365853389</v>
      </c>
    </row>
    <row r="18" spans="1:7" x14ac:dyDescent="0.2">
      <c r="A18" t="s">
        <v>16</v>
      </c>
      <c r="B18">
        <v>64696</v>
      </c>
      <c r="C18">
        <v>64438</v>
      </c>
      <c r="D18">
        <f t="shared" si="0"/>
        <v>-258</v>
      </c>
      <c r="E18">
        <f t="shared" si="1"/>
        <v>64696</v>
      </c>
      <c r="F18" s="10">
        <f t="shared" si="3"/>
        <v>64400.243902439026</v>
      </c>
      <c r="G18" s="10">
        <f t="shared" si="2"/>
        <v>-295.75609756097401</v>
      </c>
    </row>
    <row r="19" spans="1:7" x14ac:dyDescent="0.2">
      <c r="A19" t="s">
        <v>17</v>
      </c>
      <c r="B19">
        <v>97214</v>
      </c>
      <c r="C19">
        <v>93653</v>
      </c>
      <c r="D19">
        <f t="shared" si="0"/>
        <v>-3561</v>
      </c>
      <c r="E19">
        <f t="shared" si="1"/>
        <v>97214</v>
      </c>
      <c r="F19" s="10">
        <f t="shared" si="3"/>
        <v>93131.878048780491</v>
      </c>
      <c r="G19" s="10">
        <f t="shared" si="2"/>
        <v>-4082.1219512195094</v>
      </c>
    </row>
    <row r="20" spans="1:7" x14ac:dyDescent="0.2">
      <c r="A20" t="s">
        <v>18</v>
      </c>
      <c r="B20">
        <v>321375</v>
      </c>
      <c r="C20">
        <v>321375</v>
      </c>
      <c r="D20">
        <f t="shared" si="0"/>
        <v>0</v>
      </c>
      <c r="E20">
        <f t="shared" si="1"/>
        <v>321375</v>
      </c>
      <c r="F20" s="10">
        <f t="shared" si="3"/>
        <v>321375</v>
      </c>
      <c r="G20" s="10">
        <f t="shared" si="2"/>
        <v>0</v>
      </c>
    </row>
    <row r="21" spans="1:7" x14ac:dyDescent="0.2">
      <c r="A21" t="s">
        <v>19</v>
      </c>
      <c r="B21">
        <v>141750</v>
      </c>
      <c r="C21">
        <v>128223</v>
      </c>
      <c r="D21">
        <f t="shared" si="0"/>
        <v>-13527</v>
      </c>
      <c r="E21">
        <f t="shared" si="1"/>
        <v>141750</v>
      </c>
      <c r="F21" s="10">
        <f t="shared" si="3"/>
        <v>126243.43902439025</v>
      </c>
      <c r="G21" s="10">
        <f t="shared" si="2"/>
        <v>-15506.560975609755</v>
      </c>
    </row>
    <row r="22" spans="1:7" x14ac:dyDescent="0.2">
      <c r="A22" t="s">
        <v>20</v>
      </c>
      <c r="B22">
        <v>137073</v>
      </c>
      <c r="C22">
        <v>125136</v>
      </c>
      <c r="D22">
        <f t="shared" si="0"/>
        <v>-11937</v>
      </c>
      <c r="E22">
        <f t="shared" si="1"/>
        <v>137073</v>
      </c>
      <c r="F22" s="10">
        <f t="shared" si="3"/>
        <v>123389.12195121951</v>
      </c>
      <c r="G22" s="10">
        <f t="shared" si="2"/>
        <v>-13683.878048780491</v>
      </c>
    </row>
    <row r="23" spans="1:7" x14ac:dyDescent="0.2">
      <c r="A23" t="s">
        <v>21</v>
      </c>
      <c r="B23">
        <v>341142</v>
      </c>
      <c r="C23">
        <v>324302</v>
      </c>
      <c r="D23">
        <f t="shared" si="0"/>
        <v>-16840</v>
      </c>
      <c r="E23">
        <f t="shared" si="1"/>
        <v>341142</v>
      </c>
      <c r="F23" s="10">
        <f t="shared" si="3"/>
        <v>321837.60975609755</v>
      </c>
      <c r="G23" s="10">
        <f t="shared" si="2"/>
        <v>-19304.390243902453</v>
      </c>
    </row>
    <row r="24" spans="1:7" x14ac:dyDescent="0.2">
      <c r="A24" t="s">
        <v>22</v>
      </c>
      <c r="B24">
        <v>275</v>
      </c>
      <c r="C24">
        <v>275</v>
      </c>
      <c r="D24">
        <f t="shared" si="0"/>
        <v>0</v>
      </c>
      <c r="E24">
        <f t="shared" si="1"/>
        <v>275</v>
      </c>
      <c r="F24" s="10">
        <f>C24</f>
        <v>275</v>
      </c>
      <c r="G24" s="10">
        <f t="shared" si="2"/>
        <v>0</v>
      </c>
    </row>
    <row r="25" spans="1:7" x14ac:dyDescent="0.2">
      <c r="A25" t="s">
        <v>23</v>
      </c>
      <c r="B25">
        <v>7000</v>
      </c>
      <c r="C25">
        <v>7000</v>
      </c>
      <c r="D25">
        <f t="shared" si="0"/>
        <v>0</v>
      </c>
      <c r="E25">
        <f t="shared" si="1"/>
        <v>7000</v>
      </c>
      <c r="F25" s="10">
        <f t="shared" ref="F25:F34" si="4">C25</f>
        <v>7000</v>
      </c>
      <c r="G25" s="10">
        <f t="shared" si="2"/>
        <v>0</v>
      </c>
    </row>
    <row r="26" spans="1:7" x14ac:dyDescent="0.2">
      <c r="A26" t="s">
        <v>24</v>
      </c>
      <c r="B26">
        <v>7000</v>
      </c>
      <c r="C26">
        <v>7000</v>
      </c>
      <c r="D26">
        <f t="shared" si="0"/>
        <v>0</v>
      </c>
      <c r="E26">
        <f t="shared" si="1"/>
        <v>7000</v>
      </c>
      <c r="F26" s="10">
        <f t="shared" si="4"/>
        <v>7000</v>
      </c>
      <c r="G26" s="10">
        <f t="shared" si="2"/>
        <v>0</v>
      </c>
    </row>
    <row r="27" spans="1:7" x14ac:dyDescent="0.2">
      <c r="A27" t="s">
        <v>25</v>
      </c>
      <c r="B27">
        <v>20000</v>
      </c>
      <c r="C27">
        <v>20000</v>
      </c>
      <c r="D27">
        <f t="shared" si="0"/>
        <v>0</v>
      </c>
      <c r="E27">
        <f t="shared" si="1"/>
        <v>20000</v>
      </c>
      <c r="F27" s="10">
        <f t="shared" si="4"/>
        <v>20000</v>
      </c>
      <c r="G27" s="10">
        <f t="shared" si="2"/>
        <v>0</v>
      </c>
    </row>
    <row r="28" spans="1:7" x14ac:dyDescent="0.2">
      <c r="A28" t="s">
        <v>26</v>
      </c>
      <c r="B28">
        <v>3500</v>
      </c>
      <c r="C28">
        <v>3500</v>
      </c>
      <c r="D28">
        <f t="shared" si="0"/>
        <v>0</v>
      </c>
      <c r="E28">
        <f t="shared" si="1"/>
        <v>3500</v>
      </c>
      <c r="F28" s="10">
        <f t="shared" si="4"/>
        <v>3500</v>
      </c>
      <c r="G28" s="10">
        <f t="shared" si="2"/>
        <v>0</v>
      </c>
    </row>
    <row r="29" spans="1:7" x14ac:dyDescent="0.2">
      <c r="A29" t="s">
        <v>27</v>
      </c>
      <c r="B29">
        <v>930</v>
      </c>
      <c r="C29">
        <v>930</v>
      </c>
      <c r="D29">
        <f t="shared" si="0"/>
        <v>0</v>
      </c>
      <c r="E29">
        <f t="shared" si="1"/>
        <v>930</v>
      </c>
      <c r="F29" s="10">
        <f t="shared" si="4"/>
        <v>930</v>
      </c>
      <c r="G29" s="10">
        <f t="shared" si="2"/>
        <v>0</v>
      </c>
    </row>
    <row r="30" spans="1:7" x14ac:dyDescent="0.2">
      <c r="A30" t="s">
        <v>28</v>
      </c>
      <c r="B30">
        <v>2580</v>
      </c>
      <c r="C30">
        <v>2580</v>
      </c>
      <c r="D30">
        <f t="shared" si="0"/>
        <v>0</v>
      </c>
      <c r="E30">
        <f t="shared" si="1"/>
        <v>2580</v>
      </c>
      <c r="F30" s="10">
        <f t="shared" si="4"/>
        <v>2580</v>
      </c>
      <c r="G30" s="10">
        <f t="shared" si="2"/>
        <v>0</v>
      </c>
    </row>
    <row r="31" spans="1:7" x14ac:dyDescent="0.2">
      <c r="A31" t="s">
        <v>29</v>
      </c>
      <c r="B31">
        <v>30000</v>
      </c>
      <c r="C31">
        <v>30000</v>
      </c>
      <c r="D31">
        <f t="shared" si="0"/>
        <v>0</v>
      </c>
      <c r="E31">
        <f t="shared" si="1"/>
        <v>30000</v>
      </c>
      <c r="F31" s="10">
        <f t="shared" si="4"/>
        <v>30000</v>
      </c>
      <c r="G31" s="10">
        <f t="shared" si="2"/>
        <v>0</v>
      </c>
    </row>
    <row r="32" spans="1:7" x14ac:dyDescent="0.2">
      <c r="A32" t="s">
        <v>30</v>
      </c>
      <c r="B32">
        <v>425</v>
      </c>
      <c r="C32">
        <v>425</v>
      </c>
      <c r="D32">
        <f t="shared" si="0"/>
        <v>0</v>
      </c>
      <c r="E32">
        <f t="shared" si="1"/>
        <v>425</v>
      </c>
      <c r="F32" s="10">
        <f t="shared" si="4"/>
        <v>425</v>
      </c>
      <c r="G32" s="10">
        <f t="shared" si="2"/>
        <v>0</v>
      </c>
    </row>
    <row r="33" spans="1:7" x14ac:dyDescent="0.2">
      <c r="A33" t="s">
        <v>31</v>
      </c>
      <c r="B33">
        <v>750</v>
      </c>
      <c r="C33">
        <v>750</v>
      </c>
      <c r="D33">
        <f t="shared" si="0"/>
        <v>0</v>
      </c>
      <c r="E33">
        <f t="shared" si="1"/>
        <v>750</v>
      </c>
      <c r="F33" s="10">
        <f t="shared" si="4"/>
        <v>750</v>
      </c>
      <c r="G33" s="10">
        <f t="shared" si="2"/>
        <v>0</v>
      </c>
    </row>
    <row r="34" spans="1:7" x14ac:dyDescent="0.2">
      <c r="A34" t="s">
        <v>32</v>
      </c>
      <c r="B34">
        <v>2500</v>
      </c>
      <c r="C34">
        <v>2500</v>
      </c>
      <c r="D34">
        <f t="shared" si="0"/>
        <v>0</v>
      </c>
      <c r="E34">
        <f t="shared" si="1"/>
        <v>2500</v>
      </c>
      <c r="F34" s="10">
        <f t="shared" si="4"/>
        <v>2500</v>
      </c>
      <c r="G34" s="10">
        <f t="shared" si="2"/>
        <v>0</v>
      </c>
    </row>
    <row r="35" spans="1:7" x14ac:dyDescent="0.2">
      <c r="A35" t="s">
        <v>43</v>
      </c>
      <c r="B35">
        <f>SUM(B3:B34)</f>
        <v>3017672</v>
      </c>
      <c r="C35">
        <f>SUM(C3:C34)</f>
        <v>2933289</v>
      </c>
      <c r="D35">
        <f t="shared" ref="D35" si="5">IF(C35&lt;B35,C35-B35,0)</f>
        <v>-84383</v>
      </c>
      <c r="E35">
        <f>SUM(E3:E34)</f>
        <v>3017672</v>
      </c>
      <c r="F35" s="10">
        <f>SUM(F3:F34)</f>
        <v>2920940.2682926832</v>
      </c>
      <c r="G35" s="10">
        <f t="shared" ref="G35" si="6">IF(F35&lt;E35,F35-E35,0)</f>
        <v>-96731.731707316823</v>
      </c>
    </row>
  </sheetData>
  <mergeCells count="2">
    <mergeCell ref="B1:C1"/>
    <mergeCell ref="E1:F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plots</vt:lpstr>
      <vt:lpstr>existing_gw_inflows_1921-2003</vt:lpstr>
      <vt:lpstr>extended_recharge_2003-2015</vt:lpstr>
      <vt:lpstr>Updated_gw_inflows_1921-2015</vt:lpstr>
      <vt:lpstr>initial_ending_storage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S Dogan</dc:creator>
  <cp:lastModifiedBy>Mustafa S Dogan</cp:lastModifiedBy>
  <dcterms:created xsi:type="dcterms:W3CDTF">2025-11-13T06:22:00Z</dcterms:created>
  <dcterms:modified xsi:type="dcterms:W3CDTF">2025-11-25T11:08:28Z</dcterms:modified>
</cp:coreProperties>
</file>